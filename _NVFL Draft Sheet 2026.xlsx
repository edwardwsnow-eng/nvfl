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ME" sheetId="1" r:id="rId4"/>
    <sheet state="visible" name="Settings" sheetId="2" r:id="rId5"/>
    <sheet state="visible" name="Teams &amp; Draft Order" sheetId="3" r:id="rId6"/>
    <sheet state="hidden" name="Draft (8 Teams)" sheetId="4" r:id="rId7"/>
    <sheet state="hidden" name="Draft (10 Teams)" sheetId="5" r:id="rId8"/>
    <sheet state="hidden" name="Draft (12 Teams)" sheetId="6" r:id="rId9"/>
    <sheet state="visible" name="Draft " sheetId="7" r:id="rId10"/>
    <sheet state="visible" name="PlayerDB" sheetId="8" r:id="rId11"/>
    <sheet state="visible" name="Big Board" sheetId="9" r:id="rId12"/>
    <sheet state="hidden" name="Draft Stats" sheetId="10" r:id="rId13"/>
    <sheet state="hidden" name="Team Stats" sheetId="11" r:id="rId14"/>
    <sheet state="hidden" name="HELP_PlayersLeft" sheetId="12" r:id="rId15"/>
    <sheet state="hidden" name="HELP_PlayerDB_Filtered" sheetId="13" r:id="rId16"/>
    <sheet state="visible" name="Drafted Players" sheetId="14" r:id="rId17"/>
    <sheet state="visible" name="Buttheads" sheetId="15" r:id="rId18"/>
    <sheet state="visible" name="Hammer" sheetId="16" r:id="rId19"/>
    <sheet state="visible" name="Sleeper Cell" sheetId="17" r:id="rId20"/>
    <sheet state="visible" name="Phantasm" sheetId="18" r:id="rId21"/>
    <sheet state="visible" name="Ice" sheetId="19" r:id="rId22"/>
    <sheet state="visible" name="El Nino" sheetId="20" r:id="rId23"/>
    <sheet state="visible" name="BBBW" sheetId="21" r:id="rId24"/>
    <sheet state="visible" name="Turbo " sheetId="22" r:id="rId25"/>
    <sheet state="visible" name="Luddtie" sheetId="23" r:id="rId26"/>
    <sheet state="visible" name="DD" sheetId="24" r:id="rId27"/>
    <sheet state="visible" name="TD" sheetId="25" r:id="rId28"/>
    <sheet state="visible" name="Dogs" sheetId="26" r:id="rId29"/>
    <sheet state="visible" name="Achains" sheetId="27" r:id="rId30"/>
    <sheet state="visible" name="Nasty" sheetId="28" r:id="rId31"/>
    <sheet state="hidden" name="Tabellenblatt40" sheetId="29" r:id="rId32"/>
    <sheet state="hidden" name="HELP_HIDDEN" sheetId="30" r:id="rId33"/>
  </sheets>
  <definedNames>
    <definedName name="Player">HELP_PlayersLeft!$A$2:$A$1000</definedName>
    <definedName name="Position">HELP_PlayersLeft!$B$2:$B$1000</definedName>
    <definedName hidden="1" localSheetId="3" name="_xlnm._FilterDatabase">'Draft (8 Teams)'!$B$1:$G$209</definedName>
    <definedName hidden="1" localSheetId="4" name="_xlnm._FilterDatabase">'Draft (10 Teams)'!$B$1:$G$261</definedName>
    <definedName hidden="1" localSheetId="5" name="_xlnm._FilterDatabase">'Draft (12 Teams)'!$B$1:$G$313</definedName>
    <definedName hidden="1" localSheetId="6" name="_xlnm._FilterDatabase">'Draft '!$B$1:$G$365</definedName>
    <definedName hidden="1" localSheetId="7" name="_xlnm._FilterDatabase">PlayerDB!$A$1:$I$3364</definedName>
    <definedName hidden="1" localSheetId="9" name="_xlnm._FilterDatabase">'Draft Stats'!$A$1:$K$33</definedName>
    <definedName hidden="1" localSheetId="10" name="_xlnm._FilterDatabase">'Team Stats'!$A$1:$K$15</definedName>
    <definedName hidden="1" localSheetId="14" name="_xlnm._FilterDatabase">Buttheads!$A$2:$A$1002</definedName>
    <definedName hidden="1" localSheetId="15" name="_xlnm._FilterDatabase">Hammer!$A$2:$A$1002</definedName>
    <definedName hidden="1" localSheetId="16" name="_xlnm._FilterDatabase">'Sleeper Cell'!$A$2:$A$1002</definedName>
    <definedName hidden="1" localSheetId="17" name="_xlnm._FilterDatabase">Phantasm!$A$2:$A$1002</definedName>
    <definedName hidden="1" localSheetId="18" name="_xlnm._FilterDatabase">Ice!$A$2:$A$1002</definedName>
    <definedName hidden="1" localSheetId="19" name="_xlnm._FilterDatabase">'El Nino'!$A$2:$A$1002</definedName>
    <definedName hidden="1" localSheetId="20" name="_xlnm._FilterDatabase">BBBW!$A$2:$A$1002</definedName>
    <definedName hidden="1" localSheetId="21" name="_xlnm._FilterDatabase">'Turbo '!$A$2:$A$1002</definedName>
    <definedName hidden="1" localSheetId="22" name="_xlnm._FilterDatabase">Luddtie!$A$2:$A$1002</definedName>
    <definedName hidden="1" localSheetId="23" name="_xlnm._FilterDatabase">DD!$A$2:$A$1002</definedName>
    <definedName hidden="1" localSheetId="24" name="_xlnm._FilterDatabase">TD!$A$2:$A$1002</definedName>
    <definedName hidden="1" localSheetId="25" name="_xlnm._FilterDatabase">Dogs!$A$2:$A$1002</definedName>
    <definedName hidden="1" localSheetId="26" name="_xlnm._FilterDatabase">Achains!$A$2:$A$1002</definedName>
    <definedName hidden="1" localSheetId="27" name="_xlnm._FilterDatabase">Nasty!$A$2:$A$1002</definedName>
  </definedNames>
  <calcPr/>
</workbook>
</file>

<file path=xl/sharedStrings.xml><?xml version="1.0" encoding="utf-8"?>
<sst xmlns="http://schemas.openxmlformats.org/spreadsheetml/2006/main" count="1960" uniqueCount="508">
  <si>
    <t>Fantasy Football Offline Drafter</t>
  </si>
  <si>
    <t>Season:</t>
  </si>
  <si>
    <t>2023</t>
  </si>
  <si>
    <t>Version:</t>
  </si>
  <si>
    <t>1.2</t>
  </si>
  <si>
    <t>ADP Last Updated:</t>
  </si>
  <si>
    <t>28.08.2023</t>
  </si>
  <si>
    <t>This is a Google Sheets document to keep track of your Fantasy Football drafts.
- Offline drafts with your friends
- Can't or don't want to use your Fantasy platform's draft tool
- Mock drafts
- Whatever you want</t>
  </si>
  <si>
    <t>!! PLEASE READ FIRST !!
You need to create a copy of this document to work with it.</t>
  </si>
  <si>
    <r>
      <rPr>
        <b/>
        <sz val="12.0"/>
      </rPr>
      <t>HOW TO USE</t>
    </r>
    <r>
      <rPr>
        <b/>
      </rPr>
      <t xml:space="preserve">
</t>
    </r>
    <r>
      <rPr/>
      <t>1) Create a copy of this document (File --&gt; Create Copy). Downloading this document as Excel will mess with some functions. It is not advised.
2) Choose your league format and number of teams in the "Settings" tab.
3) Enter Team Names and Draft Order in the "Draft Order" tab. You do NOT need to enter team names anywhere else. Everything will be filled automatically.
4) Delete or ignore additional unnecessary draft rounds (delete rows)
5) Share your document URL with your leaguemates or display the sheet during your offline draft party.
6) Select Drafted Players in the "Draft" Tab for your selected league size. Everything else will update automatically. You can hide the other "Draft" tabs.
7) Enjoy!
8) To update to the latest document or ADP version, create a new copy from the latest version. See link below.</t>
    </r>
  </si>
  <si>
    <r>
      <rPr>
        <rFont val="Arial"/>
        <b/>
        <sz val="12.0"/>
      </rPr>
      <t>New in Version 1.2:</t>
    </r>
    <r>
      <rPr>
        <rFont val="Arial"/>
        <sz val="10.0"/>
      </rPr>
      <t xml:space="preserve">
- Option to select the number of teams (8, 10, 12 or 14 teams)
- Option to choose between Redraft (Standard, Half-PPR, PPR) and Dynasty (1QB, 2QB/SF) rankings
- Bye Weeks
- Bug Fixes
- Improved Performance </t>
    </r>
  </si>
  <si>
    <t>Version Check:</t>
  </si>
  <si>
    <t>ADP Check:</t>
  </si>
  <si>
    <t>Latest version:</t>
  </si>
  <si>
    <t>All versions:</t>
  </si>
  <si>
    <t>https://docs.google.com/spreadsheets/d/1gsBtjhuYYhW7fpC0MdrSoM-8x0w5zndM1rr-M-FLa9c</t>
  </si>
  <si>
    <t>I would love to receive some feedback via this Google form (1 minute)</t>
  </si>
  <si>
    <t>https://forms.gle/6FjbktP7ZeMaTDKM8</t>
  </si>
  <si>
    <t>Created By</t>
  </si>
  <si>
    <t>Jonas Eble</t>
  </si>
  <si>
    <r>
      <rPr>
        <b/>
      </rPr>
      <t xml:space="preserve">Discord: </t>
    </r>
    <r>
      <rPr/>
      <t>OpenSesame#0084</t>
    </r>
  </si>
  <si>
    <r>
      <rPr>
        <b/>
      </rPr>
      <t>Twitter:</t>
    </r>
    <r>
      <rPr/>
      <t xml:space="preserve"> @j1eble</t>
    </r>
  </si>
  <si>
    <t>Please tell me about any bugs, problems or your wishes for future versions.</t>
  </si>
  <si>
    <t>Feel free to contact me for any special or individual version of this document.</t>
  </si>
  <si>
    <t>Settings</t>
  </si>
  <si>
    <t>League</t>
  </si>
  <si>
    <t>Positions</t>
  </si>
  <si>
    <t># of Teams</t>
  </si>
  <si>
    <t>QB</t>
  </si>
  <si>
    <t>ADP Rankings</t>
  </si>
  <si>
    <t>Dynasty</t>
  </si>
  <si>
    <t>RB</t>
  </si>
  <si>
    <t>Scoring</t>
  </si>
  <si>
    <t>Half-PPR</t>
  </si>
  <si>
    <t>(Redraft only)</t>
  </si>
  <si>
    <t>WR</t>
  </si>
  <si>
    <t>QB Settings</t>
  </si>
  <si>
    <t>2QB/SF</t>
  </si>
  <si>
    <t>(Dynasty only)</t>
  </si>
  <si>
    <t>TE</t>
  </si>
  <si>
    <t>K</t>
  </si>
  <si>
    <t>D/ST</t>
  </si>
  <si>
    <t>DL</t>
  </si>
  <si>
    <t>LB</t>
  </si>
  <si>
    <t>DB</t>
  </si>
  <si>
    <t>Teams &amp; Draft Order</t>
  </si>
  <si>
    <t>Select Draft Order:</t>
  </si>
  <si>
    <t>Teams</t>
  </si>
  <si>
    <t>#</t>
  </si>
  <si>
    <t>Team Name</t>
  </si>
  <si>
    <t>Owner</t>
  </si>
  <si>
    <t>1.</t>
  </si>
  <si>
    <t xml:space="preserve">Sleeper Cell </t>
  </si>
  <si>
    <t>2.</t>
  </si>
  <si>
    <t>Phantasm</t>
  </si>
  <si>
    <t>3.</t>
  </si>
  <si>
    <t>Icelanders</t>
  </si>
  <si>
    <t>4.</t>
  </si>
  <si>
    <t>El Nino</t>
  </si>
  <si>
    <t>5.</t>
  </si>
  <si>
    <t>Buttheads</t>
  </si>
  <si>
    <t>6.</t>
  </si>
  <si>
    <t>Big Boys Big Work</t>
  </si>
  <si>
    <t>7.</t>
  </si>
  <si>
    <t>Turbo-Ginz</t>
  </si>
  <si>
    <t>8.</t>
  </si>
  <si>
    <t>Luddite</t>
  </si>
  <si>
    <t>9.</t>
  </si>
  <si>
    <t>Achaians</t>
  </si>
  <si>
    <t>10.</t>
  </si>
  <si>
    <t>Daddy's Dogs</t>
  </si>
  <si>
    <t>11.</t>
  </si>
  <si>
    <t>TDs and Beers</t>
  </si>
  <si>
    <t>12.</t>
  </si>
  <si>
    <t>DD Riders</t>
  </si>
  <si>
    <t>13.</t>
  </si>
  <si>
    <t>Nasty</t>
  </si>
  <si>
    <t>14.</t>
  </si>
  <si>
    <t>Red Hammer</t>
  </si>
  <si>
    <t>Round</t>
  </si>
  <si>
    <t>Pick</t>
  </si>
  <si>
    <t>Team</t>
  </si>
  <si>
    <t>Pos</t>
  </si>
  <si>
    <t>Bye</t>
  </si>
  <si>
    <t>Round 01</t>
  </si>
  <si>
    <t>Overall</t>
  </si>
  <si>
    <t>Round 02</t>
  </si>
  <si>
    <t>Round 03</t>
  </si>
  <si>
    <t>Round 04</t>
  </si>
  <si>
    <t>Round 05</t>
  </si>
  <si>
    <t>Round 06</t>
  </si>
  <si>
    <t>Round 07</t>
  </si>
  <si>
    <t>Round 08</t>
  </si>
  <si>
    <t>Round 09</t>
  </si>
  <si>
    <t>Round 10</t>
  </si>
  <si>
    <t>Round 11</t>
  </si>
  <si>
    <t>Round 12</t>
  </si>
  <si>
    <t>Round 13</t>
  </si>
  <si>
    <t>Round 14</t>
  </si>
  <si>
    <t>Round 15</t>
  </si>
  <si>
    <t>Round 16</t>
  </si>
  <si>
    <t>Round 17</t>
  </si>
  <si>
    <t>Round 18</t>
  </si>
  <si>
    <t>Round 19</t>
  </si>
  <si>
    <t>Round 20</t>
  </si>
  <si>
    <t>Round 21</t>
  </si>
  <si>
    <t>Round 22</t>
  </si>
  <si>
    <t>Round 23</t>
  </si>
  <si>
    <t>Round 24</t>
  </si>
  <si>
    <t>Round 25</t>
  </si>
  <si>
    <t>Round 26</t>
  </si>
  <si>
    <t>Keeper</t>
  </si>
  <si>
    <t>Aaron Rodgers – PIT</t>
  </si>
  <si>
    <t>Phantasms</t>
  </si>
  <si>
    <t>Bijan Robinson – ATL</t>
  </si>
  <si>
    <t>R1</t>
  </si>
  <si>
    <t>R2</t>
  </si>
  <si>
    <t>R3</t>
  </si>
  <si>
    <t>R4</t>
  </si>
  <si>
    <t>R5</t>
  </si>
  <si>
    <t>R6</t>
  </si>
  <si>
    <t>phantasm</t>
  </si>
  <si>
    <t>R7</t>
  </si>
  <si>
    <t xml:space="preserve">R8 </t>
  </si>
  <si>
    <t>R9</t>
  </si>
  <si>
    <t>r10</t>
  </si>
  <si>
    <t>R11</t>
  </si>
  <si>
    <t>R12</t>
  </si>
  <si>
    <t>R13</t>
  </si>
  <si>
    <t>R14</t>
  </si>
  <si>
    <t>SF</t>
  </si>
  <si>
    <t>STD</t>
  </si>
  <si>
    <t>PPR</t>
  </si>
  <si>
    <t>Player</t>
  </si>
  <si>
    <t>Christian McCaffrey – SF</t>
  </si>
  <si>
    <t>Derrick Henry – BAL</t>
  </si>
  <si>
    <t>Saquon Barkley – PHI</t>
  </si>
  <si>
    <t>Jahmyr Gibbs – DET</t>
  </si>
  <si>
    <t>Jonathan Taylor – IND</t>
  </si>
  <si>
    <t>Josh Jacobs – GB</t>
  </si>
  <si>
    <t>Ashton Jeanty – LV</t>
  </si>
  <si>
    <t>Kyren Williams – LAR</t>
  </si>
  <si>
    <t>De'Von Achane – MIA</t>
  </si>
  <si>
    <t>Bucky Irving – TB</t>
  </si>
  <si>
    <t>James Cook – BUF</t>
  </si>
  <si>
    <t>Chase Brown – CIN</t>
  </si>
  <si>
    <t>Omarion Hampton – LAC</t>
  </si>
  <si>
    <t>Kenneth Walker III – SEA</t>
  </si>
  <si>
    <t>Breece Hall – NYJ</t>
  </si>
  <si>
    <t>Chuba Hubbard – CAR</t>
  </si>
  <si>
    <t>James Conner – ARI</t>
  </si>
  <si>
    <t>Alvin Kamara – NO</t>
  </si>
  <si>
    <t>David Montgomery – DET</t>
  </si>
  <si>
    <t>Isiah Pacheco – KC</t>
  </si>
  <si>
    <t>Joe Mixon – HOU</t>
  </si>
  <si>
    <t>Tony Pollard – TEN</t>
  </si>
  <si>
    <t>Kaleb Johnson – PIT</t>
  </si>
  <si>
    <t>Brian Robinson Jr. – WAS</t>
  </si>
  <si>
    <t>RJ Harvey – DEN</t>
  </si>
  <si>
    <t>Tyrone Tracy Jr. – NYG</t>
  </si>
  <si>
    <t>Jaylen Warren – PIT</t>
  </si>
  <si>
    <t>J.K. Dobbins – DEN</t>
  </si>
  <si>
    <t>Rhamondre Stevenson – NE</t>
  </si>
  <si>
    <t>Cam Skattebo – NYG</t>
  </si>
  <si>
    <t>Tank Bigsby – JAX</t>
  </si>
  <si>
    <t>Javonte Williams – DAL</t>
  </si>
  <si>
    <t>Zach Charbonnet – SEA</t>
  </si>
  <si>
    <t>Travis Etienne – JAX</t>
  </si>
  <si>
    <t>Quinshon Judkins – CLE</t>
  </si>
  <si>
    <t>Tyjae Spears – TEN</t>
  </si>
  <si>
    <t>Najee Harris – LAC</t>
  </si>
  <si>
    <t>Austin Ekeler – WAS</t>
  </si>
  <si>
    <t>Trey Benson – ARI</t>
  </si>
  <si>
    <t>Rachaad White – TB</t>
  </si>
  <si>
    <t>Ray Davis – BUF</t>
  </si>
  <si>
    <t>Tyler Allgeier – ATL</t>
  </si>
  <si>
    <t>Jerome Ford – CLE</t>
  </si>
  <si>
    <t>Isaac Guerendo – SF</t>
  </si>
  <si>
    <t>Nick Chubb – HOU</t>
  </si>
  <si>
    <t>Jaydon Blue – DAL</t>
  </si>
  <si>
    <t>Dylan Sampson – CLE</t>
  </si>
  <si>
    <t>Roschon Johnson – CHI</t>
  </si>
  <si>
    <t>Jaylen Wright – MIA</t>
  </si>
  <si>
    <t>Braelon Allen – NYJ</t>
  </si>
  <si>
    <t>Rico Dowdle – CAR</t>
  </si>
  <si>
    <t>Bhayshul Tuten – JAX</t>
  </si>
  <si>
    <t>Kendre Miller – NO</t>
  </si>
  <si>
    <t>Miles Sanders – DAL</t>
  </si>
  <si>
    <t>Justice Hill – BAL</t>
  </si>
  <si>
    <t>Kareem Hunt – KC</t>
  </si>
  <si>
    <t>MarShawn Lloyd – GB</t>
  </si>
  <si>
    <t>Ty Johnson – BUF</t>
  </si>
  <si>
    <t>Raheem Mostert – LV</t>
  </si>
  <si>
    <t>Samaje Perine – CIN</t>
  </si>
  <si>
    <t>Keaton Mitchell – BAL</t>
  </si>
  <si>
    <t>Blake Corum – LAR</t>
  </si>
  <si>
    <t>Alexander Mattison – MIA</t>
  </si>
  <si>
    <t>Woody Marks – HOU</t>
  </si>
  <si>
    <t>Emanuel Wilson – GB</t>
  </si>
  <si>
    <t>Elijah Mitchell – KC</t>
  </si>
  <si>
    <t>Tahj Brooks – CIN</t>
  </si>
  <si>
    <t>Jarquez Hunter – LAR</t>
  </si>
  <si>
    <t>Khalil Herbert – IND</t>
  </si>
  <si>
    <t>A.J. Dillon – PHI</t>
  </si>
  <si>
    <t>Will Shipley – PHI</t>
  </si>
  <si>
    <t>Sean Tucker – TB</t>
  </si>
  <si>
    <t>Kenneth Gainwell – PIT</t>
  </si>
  <si>
    <t>Kyle Monangai – CHI</t>
  </si>
  <si>
    <t>Trevor Etienne – CAR</t>
  </si>
  <si>
    <t>Antonio Gibson – NE</t>
  </si>
  <si>
    <t>Robbie Ouzts – SEA</t>
  </si>
  <si>
    <t>Devin Singletary – NYG</t>
  </si>
  <si>
    <t>Devin Neal – NO</t>
  </si>
  <si>
    <t>Dameon Pierce – HOU</t>
  </si>
  <si>
    <t>Jacory Croskey-Merritt – WAS</t>
  </si>
  <si>
    <t>Jordan James – SF</t>
  </si>
  <si>
    <t>Ameer Abdullah – SF</t>
  </si>
  <si>
    <t>DJ Giddens – IND</t>
  </si>
  <si>
    <t>Jaleel McLaughlin – DEN</t>
  </si>
  <si>
    <t>Kyle Juszczyk – SF</t>
  </si>
  <si>
    <t>Emari Demercado – ARI</t>
  </si>
  <si>
    <t>Amar Johnson – GB</t>
  </si>
  <si>
    <t>Brashard Smith – KC</t>
  </si>
  <si>
    <t>Isaiah Davis – NYJ</t>
  </si>
  <si>
    <t>Chris Rodriguez Jr. – WAS</t>
  </si>
  <si>
    <t>Audric Estime – DEN</t>
  </si>
  <si>
    <t>Damien Martinez – SEA</t>
  </si>
  <si>
    <t>Chris Brooks – GB</t>
  </si>
  <si>
    <t>Ollie Gordon II – MIA</t>
  </si>
  <si>
    <t>Ja'Marr Chase – CIN</t>
  </si>
  <si>
    <t>Justin Jefferson – MIN</t>
  </si>
  <si>
    <t>CeeDee Lamb – DAL</t>
  </si>
  <si>
    <t>Puka Nacua – LAR</t>
  </si>
  <si>
    <t>Nico Collins – HOU</t>
  </si>
  <si>
    <t>Malik Nabers – NYG</t>
  </si>
  <si>
    <t>Brian Thomas Jr. – JAX</t>
  </si>
  <si>
    <t>Amon-Ra St. Brown – DET</t>
  </si>
  <si>
    <t>A.J. Brown – PHI</t>
  </si>
  <si>
    <t>Tyreek Hill – MIA</t>
  </si>
  <si>
    <t>Drake London – ATL</t>
  </si>
  <si>
    <t>Ladd McConkey – LAC</t>
  </si>
  <si>
    <t>Mike Evans – TB</t>
  </si>
  <si>
    <t>Tee Higgins – CIN</t>
  </si>
  <si>
    <t>Terry McLaurin – WAS</t>
  </si>
  <si>
    <t>Davante Adams – LAR</t>
  </si>
  <si>
    <t>Marvin Harrison Jr. – ARI</t>
  </si>
  <si>
    <t>DK Metcalf – PIT</t>
  </si>
  <si>
    <t>Jaxon Smith-Njigba – SEA</t>
  </si>
  <si>
    <t>Zay Flowers – BAL</t>
  </si>
  <si>
    <t>Xavier Worthy – KC</t>
  </si>
  <si>
    <t>Garrett Wilson – NYJ</t>
  </si>
  <si>
    <t>Courtland Sutton – DEN</t>
  </si>
  <si>
    <t>DJ Moore – CHI</t>
  </si>
  <si>
    <t>Jameson Williams – DET</t>
  </si>
  <si>
    <t>Calvin Ridley – TEN</t>
  </si>
  <si>
    <t>DeVonta Smith – PHI</t>
  </si>
  <si>
    <t>George Pickens – DAL</t>
  </si>
  <si>
    <t>Jerry Jeudy – CLE</t>
  </si>
  <si>
    <t>Deebo Samuel Sr. – WAS</t>
  </si>
  <si>
    <t>Tetairoa McMillan – CAR</t>
  </si>
  <si>
    <t>Jaylen Waddle – MIA</t>
  </si>
  <si>
    <t>Jauan Jennings – SF</t>
  </si>
  <si>
    <t>Travis Hunter – JAX</t>
  </si>
  <si>
    <t>Jayden Reed – GB</t>
  </si>
  <si>
    <t>Jakobi Meyers – LV</t>
  </si>
  <si>
    <t>Matthew Golden – GB</t>
  </si>
  <si>
    <t>Rome Odunze – CHI</t>
  </si>
  <si>
    <t>Chris Olave – NO</t>
  </si>
  <si>
    <t>Rashee Rice – KC</t>
  </si>
  <si>
    <t>Chris Godwin – TB</t>
  </si>
  <si>
    <t>Keon Coleman – BUF</t>
  </si>
  <si>
    <t>Rashid Shaheed – NO</t>
  </si>
  <si>
    <t>Darnell Mooney – ATL</t>
  </si>
  <si>
    <t>Stefon Diggs – NE</t>
  </si>
  <si>
    <t>Jordan Addison – MIN</t>
  </si>
  <si>
    <t>Ricky Pearsall – SF</t>
  </si>
  <si>
    <t>Khalil Shakir – BUF</t>
  </si>
  <si>
    <t>Cooper Kupp – SEA</t>
  </si>
  <si>
    <t>Michael Pittman Jr. – IND</t>
  </si>
  <si>
    <t>Josh Downs – IND</t>
  </si>
  <si>
    <t>Marvin Mims Jr. – DEN</t>
  </si>
  <si>
    <t>Rashod Bateman – BAL</t>
  </si>
  <si>
    <t>Brandon Aiyuk – SF</t>
  </si>
  <si>
    <t>Keenan Allen – LAC</t>
  </si>
  <si>
    <t>Cedric Tillman – CLE</t>
  </si>
  <si>
    <t>Emeka Egbuka – TB</t>
  </si>
  <si>
    <t>Jayden Higgins – HOU</t>
  </si>
  <si>
    <t>Luther Burden III – CHI</t>
  </si>
  <si>
    <t>Xavier Legette – CAR</t>
  </si>
  <si>
    <t>Christian Kirk – HOU</t>
  </si>
  <si>
    <t>Adam Thielen – CAR</t>
  </si>
  <si>
    <t>Jack Bech – LV</t>
  </si>
  <si>
    <t>Jalen McMillan – TB</t>
  </si>
  <si>
    <t>Quentin Johnston – LAC</t>
  </si>
  <si>
    <t>Tyler Lockett – TEN</t>
  </si>
  <si>
    <t>Michael Wilson – ARI</t>
  </si>
  <si>
    <t>Calvin Austin III – PIT</t>
  </si>
  <si>
    <t>DeMario Douglas – NE</t>
  </si>
  <si>
    <t>Alec Pierce – IND</t>
  </si>
  <si>
    <t>Diontae Johnson – CLE</t>
  </si>
  <si>
    <t>Kyle Williams – NE</t>
  </si>
  <si>
    <t>Dyami Brown – JAX</t>
  </si>
  <si>
    <t>Tutu Atwell – LAR</t>
  </si>
  <si>
    <t>Darius Slayton – NYG</t>
  </si>
  <si>
    <t>DeAndre Hopkins – BAL</t>
  </si>
  <si>
    <t>Marquise Brown – KC</t>
  </si>
  <si>
    <t>Donte Thornton Jr. – LV</t>
  </si>
  <si>
    <t>Devaughn Vele – DEN</t>
  </si>
  <si>
    <t>Isaiah Bond – TEX</t>
  </si>
  <si>
    <t>—</t>
  </si>
  <si>
    <t>Jordan Whittington – LAR</t>
  </si>
  <si>
    <t>Ja’Corey Brooks – FA</t>
  </si>
  <si>
    <t>Beaux Collins – FA</t>
  </si>
  <si>
    <t>Andrew Armstrong – FA</t>
  </si>
  <si>
    <t>LaJohntay Wester – FA</t>
  </si>
  <si>
    <t>Antwane Wells Jr. – FA</t>
  </si>
  <si>
    <t>Van Jefferson – TEN</t>
  </si>
  <si>
    <t>Jermaine Burton – CIN</t>
  </si>
  <si>
    <t>K.J. Osborn – WAS</t>
  </si>
  <si>
    <t>JuJu Smith-Schuster – KC</t>
  </si>
  <si>
    <t>Ty Felton – MIN</t>
  </si>
  <si>
    <t>Anthony Miller – BAL</t>
  </si>
  <si>
    <t>Elijah Moore – BUF</t>
  </si>
  <si>
    <t>Josh Palmer – BUF</t>
  </si>
  <si>
    <t>Kalif Raymond – DET</t>
  </si>
  <si>
    <t>Robert Woods – PIT</t>
  </si>
  <si>
    <t>Zay Jones – ARI</t>
  </si>
  <si>
    <t>Jalin Hyatt – NYG</t>
  </si>
  <si>
    <t>Lamar Jackson – BAL</t>
  </si>
  <si>
    <t>Josh Allen – BUF</t>
  </si>
  <si>
    <t>Jalen Hurts – PHI</t>
  </si>
  <si>
    <t>Jayden Daniels – WAS</t>
  </si>
  <si>
    <t>Joe Burrow – CIN</t>
  </si>
  <si>
    <t>Patrick Mahomes – KC</t>
  </si>
  <si>
    <t>Baker Mayfield – TB</t>
  </si>
  <si>
    <t>Kyler Murray – ARI</t>
  </si>
  <si>
    <t>Brock Purdy – SF</t>
  </si>
  <si>
    <t>Bo Nix – DEN</t>
  </si>
  <si>
    <t>Justin Fields – NYJ</t>
  </si>
  <si>
    <t>Justin Herbert – LAC</t>
  </si>
  <si>
    <t>Jared Goff – DET</t>
  </si>
  <si>
    <t>Dak Prescott – DAL</t>
  </si>
  <si>
    <t>J.J. McCarthy – MIN</t>
  </si>
  <si>
    <t>Caleb Williams – CHI</t>
  </si>
  <si>
    <t>C.J. Stroud – HOU</t>
  </si>
  <si>
    <t>Jordan Love – GB</t>
  </si>
  <si>
    <t>Trevor Lawrence – JAX</t>
  </si>
  <si>
    <t>Drake Maye – NE</t>
  </si>
  <si>
    <t>Matthew Stafford – LAR</t>
  </si>
  <si>
    <t>Michael Penix Jr. – ATL</t>
  </si>
  <si>
    <t>Tua Tagovailoa – MIA</t>
  </si>
  <si>
    <t>Geno Smith – LV</t>
  </si>
  <si>
    <t>Sam Darnold – SEA</t>
  </si>
  <si>
    <t>Bryce Young – CAR</t>
  </si>
  <si>
    <t>Cam Ward – TEN</t>
  </si>
  <si>
    <t>Anthony Richardson – IND</t>
  </si>
  <si>
    <t>Russell Wilson – NYG</t>
  </si>
  <si>
    <t>Tyler Shough – NO</t>
  </si>
  <si>
    <t>Daniel Jones – IND</t>
  </si>
  <si>
    <t>Kenny Pickett – CLE</t>
  </si>
  <si>
    <t>Dillon Gabriel – CLE</t>
  </si>
  <si>
    <t>Shedeur Sanders – CLE</t>
  </si>
  <si>
    <t>Brock Bowers – LV</t>
  </si>
  <si>
    <t>George Kittle – SF</t>
  </si>
  <si>
    <t>Trey McBride – ARI</t>
  </si>
  <si>
    <t>Mark Andrews – BAL</t>
  </si>
  <si>
    <t>Sam LaPorta – DET</t>
  </si>
  <si>
    <t>T.J. Hockenson – MIN</t>
  </si>
  <si>
    <t>Travis Kelce – KC</t>
  </si>
  <si>
    <t>David Njoku – CLE</t>
  </si>
  <si>
    <t>Tucker Kraft – GB</t>
  </si>
  <si>
    <t>Tyler Warren – IND</t>
  </si>
  <si>
    <t>Dallas Goedert – PHI</t>
  </si>
  <si>
    <t>Zach Ertz – WAS</t>
  </si>
  <si>
    <t>Dalton Kincaid – BUF</t>
  </si>
  <si>
    <t>Evan Engram – DEN</t>
  </si>
  <si>
    <t>Kyle Pitts – ATL</t>
  </si>
  <si>
    <t>Jake Ferguson – DAL</t>
  </si>
  <si>
    <t>Hunter Henry – NE</t>
  </si>
  <si>
    <t>Darren Waller – MIA</t>
  </si>
  <si>
    <t>Isaiah Likely – BAL</t>
  </si>
  <si>
    <t>Colston Loveland – CHI</t>
  </si>
  <si>
    <t>Cade Otton – TB</t>
  </si>
  <si>
    <t>Jonnu Smith – PIT</t>
  </si>
  <si>
    <t>Brenton Strange – JAX</t>
  </si>
  <si>
    <t>Mike Gesicki – CIN</t>
  </si>
  <si>
    <t>Dalton Schultz – HOU</t>
  </si>
  <si>
    <t>Juwan Johnson – NO</t>
  </si>
  <si>
    <t>Pat Freiermuth – PIT</t>
  </si>
  <si>
    <t>Chigoziem Okonkwo – TEN</t>
  </si>
  <si>
    <t>Tyler Higbee – LAR</t>
  </si>
  <si>
    <t>Theo Johnson – NYG</t>
  </si>
  <si>
    <t>Elijah Arroyo – SEA</t>
  </si>
  <si>
    <t>Brandon Aubrey – DAL</t>
  </si>
  <si>
    <t>Chase McLaughlin – TB</t>
  </si>
  <si>
    <t>Cameron Dicker – LAC</t>
  </si>
  <si>
    <t>Jake Elliott – PHI</t>
  </si>
  <si>
    <t>Matt Gay – WAS</t>
  </si>
  <si>
    <t>Jake Bates – DET</t>
  </si>
  <si>
    <t>Chris Boswell – PIT</t>
  </si>
  <si>
    <t>Tyler Loop – BAL</t>
  </si>
  <si>
    <t>Daniel Carlson – LV</t>
  </si>
  <si>
    <t>Ka’imi Fairbairn – HOU</t>
  </si>
  <si>
    <t>Evan McPherson – CIN</t>
  </si>
  <si>
    <t>Tyler Bass – BUF</t>
  </si>
  <si>
    <t>Wil Lutz – DEN</t>
  </si>
  <si>
    <t>Jason Sanders – MIA</t>
  </si>
  <si>
    <t>Jake Moody – SF</t>
  </si>
  <si>
    <t>Brandon McManus – GB</t>
  </si>
  <si>
    <t>Younghoe Koo – ATL</t>
  </si>
  <si>
    <t>Harrison Butker – KC</t>
  </si>
  <si>
    <t>Jason Myers – SEA</t>
  </si>
  <si>
    <t>Joshua Karty – LAR</t>
  </si>
  <si>
    <t>Chad Ryland – ARI</t>
  </si>
  <si>
    <t>Cairo Santos – CHI</t>
  </si>
  <si>
    <t>Cam Little – JAC</t>
  </si>
  <si>
    <t>Will Reichard – MIN</t>
  </si>
  <si>
    <t>Graham Gano – NYG</t>
  </si>
  <si>
    <t>Caden Davis – NYJ</t>
  </si>
  <si>
    <t>Blake Grupe – NO</t>
  </si>
  <si>
    <t>Joey Slye – TEN</t>
  </si>
  <si>
    <t>Matthew Wright – CAR</t>
  </si>
  <si>
    <t>Andres Borregales – NE</t>
  </si>
  <si>
    <t>Spencer Shrader – IND</t>
  </si>
  <si>
    <t>Dustin Hopkins – CLE</t>
  </si>
  <si>
    <t>Denver Broncos – DEN</t>
  </si>
  <si>
    <t>Philadelphia Eagles – PHI</t>
  </si>
  <si>
    <t>Pittsburgh Steelers – PIT</t>
  </si>
  <si>
    <t>Baltimore Ravens – BAL</t>
  </si>
  <si>
    <t>Minnesota Vikings – MIN</t>
  </si>
  <si>
    <t>Kansas City Chiefs – KC</t>
  </si>
  <si>
    <t>Detroit Lions – DET</t>
  </si>
  <si>
    <t>New York Jets – NYJ</t>
  </si>
  <si>
    <t>Houston Texans – HOU</t>
  </si>
  <si>
    <t>Los Angeles Chargers – LAC</t>
  </si>
  <si>
    <t>Buffalo Bills – BUF</t>
  </si>
  <si>
    <t>Seattle Seahawks – SEA</t>
  </si>
  <si>
    <t>Los Angeles Rams – LAR</t>
  </si>
  <si>
    <t>Green Bay Packers – GB</t>
  </si>
  <si>
    <t>Dallas Cowboys – DAL</t>
  </si>
  <si>
    <t>New York Giants – NYG</t>
  </si>
  <si>
    <t>Cleveland Browns – CLE</t>
  </si>
  <si>
    <t>San Francisco 49ers – SF</t>
  </si>
  <si>
    <t>Tampa Bay Buccaneers – TB</t>
  </si>
  <si>
    <t>Miami Dolphins – MIA</t>
  </si>
  <si>
    <t>Arizona Cardinals – ARI</t>
  </si>
  <si>
    <t>Chicago Bears – CHI</t>
  </si>
  <si>
    <t>New England Patriots – NE</t>
  </si>
  <si>
    <t>Washington Commanders – WAS</t>
  </si>
  <si>
    <t>Cincinnati Bengals – CIN</t>
  </si>
  <si>
    <t>Atlanta Falcons – ATL</t>
  </si>
  <si>
    <t>New Orleans Saints – NO</t>
  </si>
  <si>
    <t>Indianapolis Colts – IND</t>
  </si>
  <si>
    <t>Las Vegas Raiders – LV</t>
  </si>
  <si>
    <t>Jacksonville Jaguars – JAC</t>
  </si>
  <si>
    <t>Tennessee Titans – TEN</t>
  </si>
  <si>
    <t>Carolina Panthers – CAR</t>
  </si>
  <si>
    <t>ARI</t>
  </si>
  <si>
    <t>ATL</t>
  </si>
  <si>
    <t>BAL</t>
  </si>
  <si>
    <t>BUF</t>
  </si>
  <si>
    <t>CAR</t>
  </si>
  <si>
    <t>CHI</t>
  </si>
  <si>
    <t>CIN</t>
  </si>
  <si>
    <t>CLE</t>
  </si>
  <si>
    <t>DAL</t>
  </si>
  <si>
    <t>DEN</t>
  </si>
  <si>
    <t>DET</t>
  </si>
  <si>
    <t>GBP</t>
  </si>
  <si>
    <t>HOU</t>
  </si>
  <si>
    <t>IND</t>
  </si>
  <si>
    <t>JAC</t>
  </si>
  <si>
    <t>KCC</t>
  </si>
  <si>
    <t>LAC</t>
  </si>
  <si>
    <t>LAR</t>
  </si>
  <si>
    <t>LVR</t>
  </si>
  <si>
    <t>MIA</t>
  </si>
  <si>
    <t>MIN</t>
  </si>
  <si>
    <t>NEP</t>
  </si>
  <si>
    <t>NOS</t>
  </si>
  <si>
    <t>NYG</t>
  </si>
  <si>
    <t>NYJ</t>
  </si>
  <si>
    <t>PHI</t>
  </si>
  <si>
    <t>PIT</t>
  </si>
  <si>
    <t>SEA</t>
  </si>
  <si>
    <t>SFO</t>
  </si>
  <si>
    <t>TBB</t>
  </si>
  <si>
    <t>TEN</t>
  </si>
  <si>
    <t>WAS</t>
  </si>
  <si>
    <t>Position</t>
  </si>
  <si>
    <t xml:space="preserve">Buttheads </t>
  </si>
  <si>
    <t>Projected points</t>
  </si>
  <si>
    <t>Bye Week</t>
  </si>
  <si>
    <t>23 TreVeyon Henderson NE 14</t>
  </si>
  <si>
    <t/>
  </si>
  <si>
    <t>R8</t>
  </si>
  <si>
    <t>R10</t>
  </si>
  <si>
    <t>R15</t>
  </si>
  <si>
    <t>R16</t>
  </si>
  <si>
    <t>Hammer</t>
  </si>
  <si>
    <t>Q</t>
  </si>
  <si>
    <t>rb</t>
  </si>
  <si>
    <t>wr</t>
  </si>
  <si>
    <t>D</t>
  </si>
  <si>
    <t xml:space="preserve">Phantasm </t>
  </si>
  <si>
    <t>Turbo-Gunz</t>
  </si>
  <si>
    <t>Tds and Beers</t>
  </si>
  <si>
    <t>Sort by: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</si>
</sst>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7">
    <font>
      <sz val="10.0"/>
      <color rgb="FF000000"/>
      <name val="Arial"/>
    </font>
    <font>
      <b/>
      <sz val="18.0"/>
    </font>
    <font/>
    <font>
      <b/>
    </font>
    <font>
      <name val="Arial"/>
    </font>
    <font>
      <b/>
      <sz val="15.0"/>
      <color rgb="FFFFFFFF"/>
    </font>
    <font>
      <sz val="10.0"/>
      <name val="Arial"/>
    </font>
    <font>
      <b/>
      <name val="Arial"/>
    </font>
    <font>
      <u/>
      <color rgb="FF0000FF"/>
    </font>
    <font>
      <u/>
      <color rgb="FF0000FF"/>
    </font>
    <font>
      <u/>
      <color rgb="FF0000FF"/>
    </font>
    <font>
      <b/>
      <sz val="14.0"/>
    </font>
    <font>
      <i/>
      <color rgb="FF999999"/>
    </font>
    <font>
      <color rgb="FF999999"/>
    </font>
    <font>
      <b/>
      <color rgb="FFFFFFFF"/>
    </font>
    <font>
      <b/>
      <sz val="12.0"/>
    </font>
    <font>
      <color rgb="FF222222"/>
      <name val="Arial"/>
    </font>
    <font>
      <b/>
      <sz val="10.0"/>
      <name val="Arial"/>
    </font>
    <font>
      <b/>
      <sz val="10.0"/>
      <color rgb="FF000000"/>
      <name val="Arial"/>
    </font>
    <font>
      <sz val="10.0"/>
      <color rgb="FFFFFFFF"/>
      <name val="Arial"/>
    </font>
    <font>
      <b/>
      <i/>
      <sz val="8.0"/>
      <color rgb="FFFFFFFF"/>
      <name val="Roboto"/>
    </font>
    <font>
      <color rgb="FFFF0000"/>
      <name val="Arial"/>
    </font>
    <font>
      <b/>
      <i/>
      <sz val="9.0"/>
      <name val="Roboto"/>
    </font>
    <font>
      <sz val="10.0"/>
      <color rgb="FF999999"/>
      <name val="Arial"/>
    </font>
    <font>
      <b/>
      <color rgb="FFFFFFFF"/>
      <name val="Arial"/>
    </font>
    <font>
      <b/>
      <sz val="15.0"/>
    </font>
    <font>
      <sz val="10.0"/>
    </font>
  </fonts>
  <fills count="4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F3F3F3"/>
        <bgColor rgb="FFF3F3F3"/>
      </patternFill>
    </fill>
    <fill>
      <patternFill patternType="solid">
        <fgColor rgb="FF00FF00"/>
        <bgColor rgb="FF00FF00"/>
      </patternFill>
    </fill>
    <fill>
      <patternFill patternType="solid">
        <fgColor rgb="FF3C78D8"/>
        <bgColor rgb="FF3C78D8"/>
      </patternFill>
    </fill>
    <fill>
      <patternFill patternType="solid">
        <fgColor rgb="FFFF9900"/>
        <bgColor rgb="FFFF9900"/>
      </patternFill>
    </fill>
    <fill>
      <patternFill patternType="solid">
        <fgColor rgb="FFD5A6BD"/>
        <bgColor rgb="FFD5A6BD"/>
      </patternFill>
    </fill>
    <fill>
      <patternFill patternType="solid">
        <fgColor rgb="FF8E7CC3"/>
        <bgColor rgb="FF8E7CC3"/>
      </patternFill>
    </fill>
    <fill>
      <patternFill patternType="solid">
        <fgColor rgb="FF53585E"/>
        <bgColor rgb="FF53585E"/>
      </patternFill>
    </fill>
    <fill>
      <patternFill patternType="solid">
        <fgColor rgb="FF999999"/>
        <bgColor rgb="FF999999"/>
      </patternFill>
    </fill>
    <fill>
      <patternFill patternType="solid">
        <fgColor rgb="FF97233F"/>
        <bgColor rgb="FF97233F"/>
      </patternFill>
    </fill>
    <fill>
      <patternFill patternType="solid">
        <fgColor rgb="FFA71930"/>
        <bgColor rgb="FFA71930"/>
      </patternFill>
    </fill>
    <fill>
      <patternFill patternType="solid">
        <fgColor rgb="FF241773"/>
        <bgColor rgb="FF241773"/>
      </patternFill>
    </fill>
    <fill>
      <patternFill patternType="solid">
        <fgColor rgb="FF00338D"/>
        <bgColor rgb="FF00338D"/>
      </patternFill>
    </fill>
    <fill>
      <patternFill patternType="solid">
        <fgColor rgb="FF0085CA"/>
        <bgColor rgb="FF0085CA"/>
      </patternFill>
    </fill>
    <fill>
      <patternFill patternType="solid">
        <fgColor rgb="FF00143F"/>
        <bgColor rgb="FF00143F"/>
      </patternFill>
    </fill>
    <fill>
      <patternFill patternType="solid">
        <fgColor rgb="FFFB4F14"/>
        <bgColor rgb="FFFB4F14"/>
      </patternFill>
    </fill>
    <fill>
      <patternFill patternType="solid">
        <fgColor rgb="FF311D00"/>
        <bgColor rgb="FF311D00"/>
      </patternFill>
    </fill>
    <fill>
      <patternFill patternType="solid">
        <fgColor rgb="FF003594"/>
        <bgColor rgb="FF003594"/>
      </patternFill>
    </fill>
    <fill>
      <patternFill patternType="solid">
        <fgColor rgb="FFFC4C02"/>
        <bgColor rgb="FFFC4C02"/>
      </patternFill>
    </fill>
    <fill>
      <patternFill patternType="solid">
        <fgColor rgb="FF046EB4"/>
        <bgColor rgb="FF046EB4"/>
      </patternFill>
    </fill>
    <fill>
      <patternFill patternType="solid">
        <fgColor rgb="FF183028"/>
        <bgColor rgb="FF183028"/>
      </patternFill>
    </fill>
    <fill>
      <patternFill patternType="solid">
        <fgColor rgb="FF03202F"/>
        <bgColor rgb="FF03202F"/>
      </patternFill>
    </fill>
    <fill>
      <patternFill patternType="solid">
        <fgColor rgb="FF003D79"/>
        <bgColor rgb="FF003D79"/>
      </patternFill>
    </fill>
    <fill>
      <patternFill patternType="solid">
        <fgColor rgb="FFD29F13"/>
        <bgColor rgb="FFD29F13"/>
      </patternFill>
    </fill>
    <fill>
      <patternFill patternType="solid">
        <fgColor rgb="FFC8102E"/>
        <bgColor rgb="FFC8102E"/>
      </patternFill>
    </fill>
    <fill>
      <patternFill patternType="solid">
        <fgColor rgb="FF0073CF"/>
        <bgColor rgb="FF0073CF"/>
      </patternFill>
    </fill>
    <fill>
      <patternFill patternType="solid">
        <fgColor rgb="FF002147"/>
        <bgColor rgb="FF002147"/>
      </patternFill>
    </fill>
    <fill>
      <patternFill patternType="solid">
        <fgColor rgb="FFC4C9CC"/>
        <bgColor rgb="FFC4C9CC"/>
      </patternFill>
    </fill>
    <fill>
      <patternFill patternType="solid">
        <fgColor rgb="FF008E97"/>
        <bgColor rgb="FF008E97"/>
      </patternFill>
    </fill>
    <fill>
      <patternFill patternType="solid">
        <fgColor rgb="FF4F2683"/>
        <bgColor rgb="FF4F2683"/>
      </patternFill>
    </fill>
    <fill>
      <patternFill patternType="solid">
        <fgColor rgb="FF0A2342"/>
        <bgColor rgb="FF0A2342"/>
      </patternFill>
    </fill>
    <fill>
      <patternFill patternType="solid">
        <fgColor rgb="FFA08A58"/>
        <bgColor rgb="FFA08A58"/>
      </patternFill>
    </fill>
    <fill>
      <patternFill patternType="solid">
        <fgColor rgb="FF0B2265"/>
        <bgColor rgb="FF0B2265"/>
      </patternFill>
    </fill>
    <fill>
      <patternFill patternType="solid">
        <fgColor rgb="FF274E13"/>
        <bgColor rgb="FF274E13"/>
      </patternFill>
    </fill>
    <fill>
      <patternFill patternType="solid">
        <fgColor rgb="FF014A53"/>
        <bgColor rgb="FF014A53"/>
      </patternFill>
    </fill>
    <fill>
      <patternFill patternType="solid">
        <fgColor rgb="FFFFC20E"/>
        <bgColor rgb="FFFFC20E"/>
      </patternFill>
    </fill>
    <fill>
      <patternFill patternType="solid">
        <fgColor rgb="FF002A5C"/>
        <bgColor rgb="FF002A5C"/>
      </patternFill>
    </fill>
    <fill>
      <patternFill patternType="solid">
        <fgColor rgb="FFA6192E"/>
        <bgColor rgb="FFA6192E"/>
      </patternFill>
    </fill>
    <fill>
      <patternFill patternType="solid">
        <fgColor rgb="FFD40909"/>
        <bgColor rgb="FFD40909"/>
      </patternFill>
    </fill>
    <fill>
      <patternFill patternType="solid">
        <fgColor rgb="FF4B92DB"/>
        <bgColor rgb="FF4B92DB"/>
      </patternFill>
    </fill>
    <fill>
      <patternFill patternType="solid">
        <fgColor rgb="FF7C1415"/>
        <bgColor rgb="FF7C1415"/>
      </patternFill>
    </fill>
  </fills>
  <borders count="13">
    <border/>
    <border>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border>
    <border>
      <right style="thin">
        <color rgb="FF000000"/>
      </right>
      <bottom style="thin">
        <color rgb="FF000000"/>
      </bottom>
    </border>
    <border>
      <right style="thin">
        <color rgb="FF000000"/>
      </right>
      <top style="thin">
        <color rgb="FF000000"/>
      </top>
    </border>
    <border>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0" fontId="3" numFmtId="0" xfId="0" applyAlignment="1" applyFont="1">
      <alignment readingOrder="0"/>
    </xf>
    <xf borderId="0" fillId="0" fontId="2" numFmtId="49" xfId="0" applyAlignment="1" applyFont="1" applyNumberFormat="1">
      <alignment horizontal="left" readingOrder="0"/>
    </xf>
    <xf borderId="0" fillId="0" fontId="4" numFmtId="0" xfId="0" applyAlignment="1" applyFont="1">
      <alignment horizontal="center" readingOrder="0" vertical="bottom"/>
    </xf>
    <xf borderId="0" fillId="0" fontId="2" numFmtId="0" xfId="0" applyAlignment="1" applyFont="1">
      <alignment horizontal="center" readingOrder="0"/>
    </xf>
    <xf borderId="0" fillId="2" fontId="5" numFmtId="0" xfId="0" applyAlignment="1" applyFill="1" applyFont="1">
      <alignment horizontal="center" readingOrder="0"/>
    </xf>
    <xf borderId="0" fillId="0" fontId="6" numFmtId="0" xfId="0" applyAlignment="1" applyFont="1">
      <alignment readingOrder="0"/>
    </xf>
    <xf borderId="0" fillId="0" fontId="4" numFmtId="0" xfId="0" applyAlignment="1" applyFont="1">
      <alignment vertical="bottom"/>
    </xf>
    <xf borderId="0" fillId="0" fontId="7" numFmtId="0" xfId="0" applyAlignment="1" applyFont="1">
      <alignment vertical="bottom"/>
    </xf>
    <xf borderId="0" fillId="0" fontId="4" numFmtId="0" xfId="0" applyAlignment="1" applyFont="1">
      <alignment horizontal="center" vertical="bottom"/>
    </xf>
    <xf borderId="0" fillId="0" fontId="7" numFmtId="0" xfId="0" applyAlignment="1" applyFont="1">
      <alignment readingOrder="0" vertical="bottom"/>
    </xf>
    <xf borderId="0" fillId="0" fontId="8" numFmtId="49" xfId="0" applyAlignment="1" applyFont="1" applyNumberFormat="1">
      <alignment horizontal="center"/>
    </xf>
    <xf borderId="0" fillId="0" fontId="2" numFmtId="0" xfId="0" applyAlignment="1" applyFont="1">
      <alignment horizontal="center" readingOrder="0"/>
    </xf>
    <xf borderId="0" fillId="0" fontId="9" numFmtId="0" xfId="0" applyAlignment="1" applyFont="1">
      <alignment horizontal="center" readingOrder="0"/>
    </xf>
    <xf borderId="0" fillId="0" fontId="3" numFmtId="0" xfId="0" applyAlignment="1" applyFont="1">
      <alignment horizontal="center" readingOrder="0"/>
    </xf>
    <xf borderId="0" fillId="0" fontId="10" numFmtId="0" xfId="0" applyAlignment="1" applyFont="1">
      <alignment horizontal="center" readingOrder="0"/>
    </xf>
    <xf borderId="0" fillId="0" fontId="2" numFmtId="0" xfId="0" applyAlignment="1" applyFont="1">
      <alignment horizontal="center" readingOrder="0" vertical="bottom"/>
    </xf>
    <xf borderId="0" fillId="0" fontId="11" numFmtId="0" xfId="0" applyAlignment="1" applyFont="1">
      <alignment horizontal="center" readingOrder="0"/>
    </xf>
    <xf borderId="0" fillId="0" fontId="2" numFmtId="0" xfId="0" applyAlignment="1" applyFont="1">
      <alignment horizontal="center"/>
    </xf>
    <xf borderId="0" fillId="0" fontId="12" numFmtId="0" xfId="0" applyAlignment="1" applyFont="1">
      <alignment horizontal="center" readingOrder="0"/>
    </xf>
    <xf borderId="0" fillId="0" fontId="13" numFmtId="0" xfId="0" applyAlignment="1" applyFont="1">
      <alignment horizontal="center" readingOrder="0"/>
    </xf>
    <xf borderId="0" fillId="3" fontId="11" numFmtId="0" xfId="0" applyAlignment="1" applyFill="1" applyFont="1">
      <alignment horizontal="center" readingOrder="0"/>
    </xf>
    <xf borderId="0" fillId="3" fontId="14" numFmtId="0" xfId="0" applyAlignment="1" applyFont="1">
      <alignment horizontal="center" readingOrder="0"/>
    </xf>
    <xf borderId="0" fillId="0" fontId="15" numFmtId="0" xfId="0" applyAlignment="1" applyFont="1">
      <alignment horizontal="center" readingOrder="0"/>
    </xf>
    <xf borderId="0" fillId="3" fontId="16" numFmtId="0" xfId="0" applyAlignment="1" applyFont="1">
      <alignment vertical="bottom"/>
    </xf>
    <xf borderId="0" fillId="0" fontId="3" numFmtId="0" xfId="0" applyAlignment="1" applyFont="1">
      <alignment horizontal="center"/>
    </xf>
    <xf borderId="1" fillId="4" fontId="17" numFmtId="0" xfId="0" applyAlignment="1" applyBorder="1" applyFill="1" applyFont="1">
      <alignment readingOrder="0"/>
    </xf>
    <xf borderId="1" fillId="4" fontId="17" numFmtId="0" xfId="0" applyAlignment="1" applyBorder="1" applyFont="1">
      <alignment horizontal="center" readingOrder="0"/>
    </xf>
    <xf borderId="2" fillId="4" fontId="17" numFmtId="0" xfId="0" applyAlignment="1" applyBorder="1" applyFont="1">
      <alignment horizontal="center" readingOrder="0"/>
    </xf>
    <xf borderId="3" fillId="4" fontId="17" numFmtId="0" xfId="0" applyAlignment="1" applyBorder="1" applyFont="1">
      <alignment horizontal="center" readingOrder="0"/>
    </xf>
    <xf borderId="0" fillId="0" fontId="6" numFmtId="0" xfId="0" applyFont="1"/>
    <xf borderId="0" fillId="3" fontId="17" numFmtId="0" xfId="0" applyAlignment="1" applyFont="1">
      <alignment readingOrder="0"/>
    </xf>
    <xf borderId="0" fillId="3" fontId="6" numFmtId="0" xfId="0" applyAlignment="1" applyFont="1">
      <alignment horizontal="center" readingOrder="0"/>
    </xf>
    <xf borderId="0" fillId="3" fontId="17" numFmtId="0" xfId="0" applyAlignment="1" applyFont="1">
      <alignment horizontal="center" readingOrder="0"/>
    </xf>
    <xf borderId="0" fillId="3" fontId="6" numFmtId="164" xfId="0" applyAlignment="1" applyFont="1" applyNumberFormat="1">
      <alignment horizontal="center"/>
    </xf>
    <xf borderId="3" fillId="3" fontId="6" numFmtId="3" xfId="0" applyAlignment="1" applyBorder="1" applyFont="1" applyNumberFormat="1">
      <alignment horizontal="center"/>
    </xf>
    <xf borderId="0" fillId="4" fontId="6" numFmtId="0" xfId="0" applyAlignment="1" applyFont="1">
      <alignment horizontal="center"/>
    </xf>
    <xf borderId="4" fillId="3" fontId="6" numFmtId="0" xfId="0" applyAlignment="1" applyBorder="1" applyFont="1">
      <alignment horizontal="center"/>
    </xf>
    <xf borderId="3" fillId="3" fontId="6" numFmtId="0" xfId="0" applyAlignment="1" applyBorder="1" applyFont="1">
      <alignment horizontal="center" readingOrder="0"/>
    </xf>
    <xf borderId="0" fillId="5" fontId="18" numFmtId="0" xfId="0" applyAlignment="1" applyFill="1" applyFont="1">
      <alignment horizontal="center" readingOrder="0"/>
    </xf>
    <xf borderId="0" fillId="0" fontId="6" numFmtId="0" xfId="0" applyAlignment="1" applyFont="1">
      <alignment horizontal="center"/>
    </xf>
    <xf borderId="0" fillId="2" fontId="17" numFmtId="0" xfId="0" applyAlignment="1" applyFont="1">
      <alignment horizontal="center" readingOrder="0"/>
    </xf>
    <xf borderId="0" fillId="0" fontId="17" numFmtId="0" xfId="0" applyAlignment="1" applyFont="1">
      <alignment horizontal="center"/>
    </xf>
    <xf borderId="0" fillId="6" fontId="17" numFmtId="0" xfId="0" applyAlignment="1" applyFill="1" applyFont="1">
      <alignment readingOrder="0"/>
    </xf>
    <xf borderId="0" fillId="6" fontId="6" numFmtId="0" xfId="0" applyAlignment="1" applyFont="1">
      <alignment horizontal="center" readingOrder="0"/>
    </xf>
    <xf borderId="0" fillId="6" fontId="17" numFmtId="0" xfId="0" applyAlignment="1" applyFont="1">
      <alignment horizontal="center" readingOrder="0"/>
    </xf>
    <xf borderId="0" fillId="6" fontId="6" numFmtId="164" xfId="0" applyAlignment="1" applyFont="1" applyNumberFormat="1">
      <alignment horizontal="center"/>
    </xf>
    <xf borderId="3" fillId="6" fontId="6" numFmtId="3" xfId="0" applyAlignment="1" applyBorder="1" applyFont="1" applyNumberFormat="1">
      <alignment horizontal="center"/>
    </xf>
    <xf borderId="4" fillId="6" fontId="6" numFmtId="0" xfId="0" applyAlignment="1" applyBorder="1" applyFont="1">
      <alignment horizontal="center"/>
    </xf>
    <xf borderId="3" fillId="6" fontId="6" numFmtId="0" xfId="0" applyAlignment="1" applyBorder="1" applyFont="1">
      <alignment horizontal="center" readingOrder="0"/>
    </xf>
    <xf borderId="0" fillId="0" fontId="19" numFmtId="0" xfId="0" applyAlignment="1" applyFont="1">
      <alignment horizontal="center" readingOrder="0"/>
    </xf>
    <xf borderId="0" fillId="0" fontId="6" numFmtId="164" xfId="0" applyAlignment="1" applyFont="1" applyNumberFormat="1">
      <alignment horizontal="center"/>
    </xf>
    <xf borderId="1" fillId="6" fontId="17" numFmtId="0" xfId="0" applyAlignment="1" applyBorder="1" applyFont="1">
      <alignment readingOrder="0"/>
    </xf>
    <xf borderId="1" fillId="6" fontId="6" numFmtId="0" xfId="0" applyAlignment="1" applyBorder="1" applyFont="1">
      <alignment horizontal="center" readingOrder="0"/>
    </xf>
    <xf borderId="1" fillId="6" fontId="17" numFmtId="0" xfId="0" applyAlignment="1" applyBorder="1" applyFont="1">
      <alignment horizontal="center" readingOrder="0"/>
    </xf>
    <xf borderId="1" fillId="6" fontId="6" numFmtId="164" xfId="0" applyAlignment="1" applyBorder="1" applyFont="1" applyNumberFormat="1">
      <alignment horizontal="center"/>
    </xf>
    <xf borderId="5" fillId="6" fontId="6" numFmtId="3" xfId="0" applyAlignment="1" applyBorder="1" applyFont="1" applyNumberFormat="1">
      <alignment horizontal="center"/>
    </xf>
    <xf borderId="1" fillId="4" fontId="6" numFmtId="0" xfId="0" applyAlignment="1" applyBorder="1" applyFont="1">
      <alignment horizontal="center"/>
    </xf>
    <xf borderId="2" fillId="6" fontId="6" numFmtId="0" xfId="0" applyAlignment="1" applyBorder="1" applyFont="1">
      <alignment horizontal="center"/>
    </xf>
    <xf borderId="0" fillId="0" fontId="6" numFmtId="0" xfId="0" applyAlignment="1" applyFont="1">
      <alignment horizontal="center" readingOrder="0"/>
    </xf>
    <xf borderId="6" fillId="3" fontId="6" numFmtId="0" xfId="0" applyAlignment="1" applyBorder="1" applyFont="1">
      <alignment horizontal="center" readingOrder="0"/>
    </xf>
    <xf borderId="0" fillId="0" fontId="19" numFmtId="0" xfId="0" applyAlignment="1" applyFont="1">
      <alignment horizontal="center" readingOrder="0"/>
    </xf>
    <xf borderId="5" fillId="6" fontId="6" numFmtId="0" xfId="0" applyAlignment="1" applyBorder="1" applyFont="1">
      <alignment horizontal="center" readingOrder="0"/>
    </xf>
    <xf borderId="0" fillId="7" fontId="17" numFmtId="0" xfId="0" applyAlignment="1" applyFill="1" applyFont="1">
      <alignment horizontal="center" readingOrder="0"/>
    </xf>
    <xf borderId="0" fillId="8" fontId="17" numFmtId="0" xfId="0" applyAlignment="1" applyFill="1" applyFont="1">
      <alignment horizontal="center" readingOrder="0"/>
    </xf>
    <xf borderId="0" fillId="3" fontId="0" numFmtId="0" xfId="0" applyAlignment="1" applyFont="1">
      <alignment horizontal="center"/>
    </xf>
    <xf borderId="0" fillId="9" fontId="17" numFmtId="0" xfId="0" applyAlignment="1" applyFill="1" applyFont="1">
      <alignment horizontal="center" readingOrder="0"/>
    </xf>
    <xf borderId="0" fillId="10" fontId="17" numFmtId="0" xfId="0" applyAlignment="1" applyFill="1" applyFont="1">
      <alignment horizontal="center" readingOrder="0"/>
    </xf>
    <xf borderId="0" fillId="11" fontId="17" numFmtId="0" xfId="0" applyAlignment="1" applyFill="1" applyFont="1">
      <alignment horizontal="center" readingOrder="0"/>
    </xf>
    <xf borderId="0" fillId="0" fontId="17" numFmtId="0" xfId="0" applyAlignment="1" applyFont="1">
      <alignment horizontal="center" readingOrder="0"/>
    </xf>
    <xf borderId="7" fillId="3" fontId="17" numFmtId="0" xfId="0" applyAlignment="1" applyBorder="1" applyFont="1">
      <alignment readingOrder="0"/>
    </xf>
    <xf borderId="7" fillId="3" fontId="6" numFmtId="0" xfId="0" applyAlignment="1" applyBorder="1" applyFont="1">
      <alignment horizontal="center" readingOrder="0"/>
    </xf>
    <xf borderId="7" fillId="3" fontId="17" numFmtId="0" xfId="0" applyAlignment="1" applyBorder="1" applyFont="1">
      <alignment horizontal="center" readingOrder="0"/>
    </xf>
    <xf borderId="7" fillId="4" fontId="6" numFmtId="0" xfId="0" applyAlignment="1" applyBorder="1" applyFont="1">
      <alignment horizontal="center"/>
    </xf>
    <xf borderId="8" fillId="3" fontId="6" numFmtId="0" xfId="0" applyAlignment="1" applyBorder="1" applyFont="1">
      <alignment horizontal="center"/>
    </xf>
    <xf borderId="8" fillId="3" fontId="6" numFmtId="0" xfId="0" applyAlignment="1" applyBorder="1" applyFont="1">
      <alignment horizontal="center" readingOrder="0"/>
    </xf>
    <xf borderId="4" fillId="6" fontId="6" numFmtId="0" xfId="0" applyAlignment="1" applyBorder="1" applyFont="1">
      <alignment horizontal="center" readingOrder="0"/>
    </xf>
    <xf borderId="4" fillId="3" fontId="6" numFmtId="0" xfId="0" applyAlignment="1" applyBorder="1" applyFont="1">
      <alignment horizontal="center" readingOrder="0"/>
    </xf>
    <xf borderId="2" fillId="6" fontId="6" numFmtId="0" xfId="0" applyAlignment="1" applyBorder="1" applyFont="1">
      <alignment horizontal="center" readingOrder="0"/>
    </xf>
    <xf borderId="5" fillId="4" fontId="17" numFmtId="3" xfId="0" applyAlignment="1" applyBorder="1" applyFont="1" applyNumberFormat="1">
      <alignment horizontal="center" readingOrder="0"/>
    </xf>
    <xf borderId="0" fillId="6" fontId="17" numFmtId="0" xfId="0" applyAlignment="1" applyFont="1">
      <alignment readingOrder="0"/>
    </xf>
    <xf borderId="0" fillId="3" fontId="17" numFmtId="0" xfId="0" applyAlignment="1" applyFont="1">
      <alignment readingOrder="0"/>
    </xf>
    <xf borderId="1" fillId="6" fontId="17" numFmtId="0" xfId="0" applyAlignment="1" applyBorder="1" applyFont="1">
      <alignment readingOrder="0"/>
    </xf>
    <xf borderId="0" fillId="4" fontId="17" numFmtId="0" xfId="0" applyAlignment="1" applyFont="1">
      <alignment readingOrder="0"/>
    </xf>
    <xf borderId="0" fillId="4" fontId="17" numFmtId="0" xfId="0" applyAlignment="1" applyFont="1">
      <alignment horizontal="center" readingOrder="0"/>
    </xf>
    <xf borderId="1" fillId="4" fontId="17" numFmtId="3" xfId="0" applyAlignment="1" applyBorder="1" applyFont="1" applyNumberFormat="1">
      <alignment horizontal="center" readingOrder="0"/>
    </xf>
    <xf borderId="9" fillId="3" fontId="17" numFmtId="0" xfId="0" applyAlignment="1" applyBorder="1" applyFont="1">
      <alignment readingOrder="0"/>
    </xf>
    <xf borderId="0" fillId="3" fontId="6" numFmtId="3" xfId="0" applyAlignment="1" applyFont="1" applyNumberFormat="1">
      <alignment horizontal="center"/>
    </xf>
    <xf borderId="9" fillId="6" fontId="17" numFmtId="0" xfId="0" applyAlignment="1" applyBorder="1" applyFont="1">
      <alignment readingOrder="0"/>
    </xf>
    <xf borderId="0" fillId="6" fontId="6" numFmtId="3" xfId="0" applyAlignment="1" applyFont="1" applyNumberFormat="1">
      <alignment horizontal="center"/>
    </xf>
    <xf borderId="4" fillId="3" fontId="4" numFmtId="0" xfId="0" applyAlignment="1" applyBorder="1" applyFont="1">
      <alignment horizontal="center" vertical="bottom"/>
    </xf>
    <xf borderId="1" fillId="6" fontId="6" numFmtId="3" xfId="0" applyAlignment="1" applyBorder="1" applyFont="1" applyNumberFormat="1">
      <alignment horizontal="center"/>
    </xf>
    <xf borderId="4" fillId="6" fontId="4" numFmtId="0" xfId="0" applyAlignment="1" applyBorder="1" applyFont="1">
      <alignment horizontal="center" vertical="bottom"/>
    </xf>
    <xf borderId="8" fillId="3" fontId="4" numFmtId="0" xfId="0" applyAlignment="1" applyBorder="1" applyFont="1">
      <alignment horizontal="center" vertical="bottom"/>
    </xf>
    <xf borderId="10" fillId="6" fontId="17" numFmtId="0" xfId="0" applyAlignment="1" applyBorder="1" applyFont="1">
      <alignment readingOrder="0"/>
    </xf>
    <xf borderId="10" fillId="3" fontId="17" numFmtId="0" xfId="0" applyAlignment="1" applyBorder="1" applyFont="1">
      <alignment readingOrder="0"/>
    </xf>
    <xf borderId="0" fillId="3" fontId="2" numFmtId="0" xfId="0" applyFont="1"/>
    <xf borderId="11" fillId="6" fontId="17" numFmtId="0" xfId="0" applyAlignment="1" applyBorder="1" applyFont="1">
      <alignment readingOrder="0"/>
    </xf>
    <xf borderId="0" fillId="6" fontId="2" numFmtId="0" xfId="0" applyFont="1"/>
    <xf borderId="0" fillId="3" fontId="6" numFmtId="0" xfId="0" applyAlignment="1" applyFont="1">
      <alignment horizontal="center" readingOrder="0"/>
    </xf>
    <xf borderId="0" fillId="6" fontId="6" numFmtId="0" xfId="0" applyAlignment="1" applyFont="1">
      <alignment horizontal="center" readingOrder="0"/>
    </xf>
    <xf borderId="9" fillId="3" fontId="7" numFmtId="0" xfId="0" applyAlignment="1" applyBorder="1" applyFont="1">
      <alignment readingOrder="0" vertical="bottom"/>
    </xf>
    <xf borderId="7" fillId="3" fontId="4" numFmtId="0" xfId="0" applyAlignment="1" applyBorder="1" applyFont="1">
      <alignment vertical="bottom"/>
    </xf>
    <xf borderId="7" fillId="4" fontId="4" numFmtId="0" xfId="0" applyAlignment="1" applyBorder="1" applyFont="1">
      <alignment vertical="bottom"/>
    </xf>
    <xf borderId="10" fillId="6" fontId="4" numFmtId="0" xfId="0" applyAlignment="1" applyBorder="1" applyFont="1">
      <alignment vertical="bottom"/>
    </xf>
    <xf borderId="0" fillId="6" fontId="4" numFmtId="0" xfId="0" applyAlignment="1" applyFont="1">
      <alignment vertical="bottom"/>
    </xf>
    <xf borderId="0" fillId="4" fontId="4" numFmtId="0" xfId="0" applyAlignment="1" applyFont="1">
      <alignment vertical="bottom"/>
    </xf>
    <xf borderId="10" fillId="3" fontId="4" numFmtId="0" xfId="0" applyAlignment="1" applyBorder="1" applyFont="1">
      <alignment vertical="bottom"/>
    </xf>
    <xf borderId="0" fillId="3" fontId="4" numFmtId="0" xfId="0" applyAlignment="1" applyFont="1">
      <alignment vertical="bottom"/>
    </xf>
    <xf borderId="11" fillId="6" fontId="4" numFmtId="0" xfId="0" applyAlignment="1" applyBorder="1" applyFont="1">
      <alignment vertical="bottom"/>
    </xf>
    <xf borderId="10" fillId="3" fontId="7" numFmtId="0" xfId="0" applyAlignment="1" applyBorder="1" applyFont="1">
      <alignment readingOrder="0" vertical="bottom"/>
    </xf>
    <xf borderId="0" fillId="6" fontId="4" numFmtId="0" xfId="0" applyAlignment="1" applyFont="1">
      <alignment readingOrder="0" vertical="bottom"/>
    </xf>
    <xf borderId="1" fillId="6" fontId="4" numFmtId="0" xfId="0" applyAlignment="1" applyBorder="1" applyFont="1">
      <alignment vertical="bottom"/>
    </xf>
    <xf borderId="1" fillId="4" fontId="4" numFmtId="0" xfId="0" applyAlignment="1" applyBorder="1" applyFont="1">
      <alignment vertical="bottom"/>
    </xf>
    <xf borderId="2" fillId="6" fontId="4" numFmtId="0" xfId="0" applyAlignment="1" applyBorder="1" applyFont="1">
      <alignment horizontal="center" vertical="bottom"/>
    </xf>
    <xf borderId="0" fillId="12" fontId="20" numFmtId="3" xfId="0" applyAlignment="1" applyFill="1" applyFont="1" applyNumberFormat="1">
      <alignment horizontal="center" readingOrder="0" vertical="bottom"/>
    </xf>
    <xf borderId="0" fillId="12" fontId="20" numFmtId="0" xfId="0" applyAlignment="1" applyFont="1">
      <alignment horizontal="center" readingOrder="0" vertical="bottom"/>
    </xf>
    <xf borderId="0" fillId="0" fontId="4" numFmtId="3" xfId="0" applyAlignment="1" applyFont="1" applyNumberFormat="1">
      <alignment horizontal="right" vertical="bottom"/>
    </xf>
    <xf borderId="0" fillId="0" fontId="4" numFmtId="0" xfId="0" applyAlignment="1" applyFont="1">
      <alignment vertical="bottom"/>
    </xf>
    <xf borderId="0" fillId="0" fontId="4" numFmtId="0" xfId="0" applyAlignment="1" applyFont="1">
      <alignment horizontal="right" vertical="bottom"/>
    </xf>
    <xf borderId="0" fillId="0" fontId="4" numFmtId="3" xfId="0" applyAlignment="1" applyFont="1" applyNumberFormat="1">
      <alignment vertical="bottom"/>
    </xf>
    <xf borderId="0" fillId="0" fontId="21" numFmtId="0" xfId="0" applyAlignment="1" applyFont="1">
      <alignment vertical="bottom"/>
    </xf>
    <xf borderId="0" fillId="0" fontId="4" numFmtId="3" xfId="0" applyAlignment="1" applyFont="1" applyNumberFormat="1">
      <alignment horizontal="right" readingOrder="0" vertical="bottom"/>
    </xf>
    <xf borderId="0" fillId="0" fontId="22" numFmtId="3" xfId="0" applyAlignment="1" applyFont="1" applyNumberFormat="1">
      <alignment horizontal="center" vertical="bottom"/>
    </xf>
    <xf borderId="0" fillId="0" fontId="22" numFmtId="0" xfId="0" applyAlignment="1" applyFont="1">
      <alignment horizontal="center" vertical="bottom"/>
    </xf>
    <xf borderId="0" fillId="0" fontId="22" numFmtId="0" xfId="0" applyAlignment="1" applyFont="1">
      <alignment horizontal="center" readingOrder="0" vertical="bottom"/>
    </xf>
    <xf borderId="12" fillId="13" fontId="23" numFmtId="0" xfId="0" applyAlignment="1" applyBorder="1" applyFill="1" applyFont="1">
      <alignment horizontal="center" readingOrder="0"/>
    </xf>
    <xf borderId="12" fillId="5" fontId="17" numFmtId="0" xfId="0" applyAlignment="1" applyBorder="1" applyFont="1">
      <alignment horizontal="center" readingOrder="0" vertical="center"/>
    </xf>
    <xf borderId="12" fillId="5" fontId="3" numFmtId="0" xfId="0" applyAlignment="1" applyBorder="1" applyFont="1">
      <alignment horizontal="center" vertical="center"/>
    </xf>
    <xf borderId="12" fillId="5" fontId="3" numFmtId="0" xfId="0" applyAlignment="1" applyBorder="1" applyFont="1">
      <alignment horizontal="center" readingOrder="0" vertical="center"/>
    </xf>
    <xf borderId="12" fillId="0" fontId="2" numFmtId="0" xfId="0" applyAlignment="1" applyBorder="1" applyFont="1">
      <alignment horizontal="center" vertical="center"/>
    </xf>
    <xf borderId="12" fillId="3" fontId="0" numFmtId="0" xfId="0" applyAlignment="1" applyBorder="1" applyFont="1">
      <alignment horizontal="center" vertical="center"/>
    </xf>
    <xf borderId="12" fillId="0" fontId="6" numFmtId="0" xfId="0" applyAlignment="1" applyBorder="1" applyFont="1">
      <alignment horizontal="center" readingOrder="0" vertical="center"/>
    </xf>
    <xf borderId="12" fillId="0" fontId="2" numFmtId="0" xfId="0" applyAlignment="1" applyBorder="1" applyFont="1">
      <alignment horizontal="center" readingOrder="0" vertical="center"/>
    </xf>
    <xf borderId="0" fillId="4" fontId="7" numFmtId="0" xfId="0" applyAlignment="1" applyFont="1">
      <alignment horizontal="center" vertical="bottom"/>
    </xf>
    <xf borderId="0" fillId="14" fontId="24" numFmtId="0" xfId="0" applyAlignment="1" applyFill="1" applyFont="1">
      <alignment horizontal="center" vertical="bottom"/>
    </xf>
    <xf borderId="0" fillId="3" fontId="4" numFmtId="0" xfId="0" applyAlignment="1" applyFont="1">
      <alignment horizontal="center" vertical="bottom"/>
    </xf>
    <xf borderId="0" fillId="15" fontId="24" numFmtId="0" xfId="0" applyAlignment="1" applyFill="1" applyFont="1">
      <alignment horizontal="center" vertical="bottom"/>
    </xf>
    <xf borderId="0" fillId="6" fontId="4" numFmtId="0" xfId="0" applyAlignment="1" applyFont="1">
      <alignment horizontal="center" vertical="bottom"/>
    </xf>
    <xf borderId="0" fillId="16" fontId="24" numFmtId="0" xfId="0" applyAlignment="1" applyFill="1" applyFont="1">
      <alignment horizontal="center" vertical="bottom"/>
    </xf>
    <xf borderId="0" fillId="17" fontId="24" numFmtId="0" xfId="0" applyAlignment="1" applyFill="1" applyFont="1">
      <alignment horizontal="center" vertical="bottom"/>
    </xf>
    <xf borderId="0" fillId="18" fontId="24" numFmtId="0" xfId="0" applyAlignment="1" applyFill="1" applyFont="1">
      <alignment horizontal="center" vertical="bottom"/>
    </xf>
    <xf borderId="0" fillId="19" fontId="24" numFmtId="0" xfId="0" applyAlignment="1" applyFill="1" applyFont="1">
      <alignment horizontal="center" vertical="bottom"/>
    </xf>
    <xf borderId="0" fillId="20" fontId="24" numFmtId="0" xfId="0" applyAlignment="1" applyFill="1" applyFont="1">
      <alignment horizontal="center" vertical="bottom"/>
    </xf>
    <xf borderId="0" fillId="21" fontId="24" numFmtId="0" xfId="0" applyAlignment="1" applyFill="1" applyFont="1">
      <alignment horizontal="center" vertical="bottom"/>
    </xf>
    <xf borderId="0" fillId="22" fontId="24" numFmtId="0" xfId="0" applyAlignment="1" applyFill="1" applyFont="1">
      <alignment horizontal="center" vertical="bottom"/>
    </xf>
    <xf borderId="0" fillId="23" fontId="24" numFmtId="0" xfId="0" applyAlignment="1" applyFill="1" applyFont="1">
      <alignment horizontal="center" vertical="bottom"/>
    </xf>
    <xf borderId="0" fillId="24" fontId="24" numFmtId="0" xfId="0" applyAlignment="1" applyFill="1" applyFont="1">
      <alignment horizontal="center" vertical="bottom"/>
    </xf>
    <xf borderId="0" fillId="25" fontId="24" numFmtId="0" xfId="0" applyAlignment="1" applyFill="1" applyFont="1">
      <alignment horizontal="center" vertical="bottom"/>
    </xf>
    <xf borderId="0" fillId="26" fontId="24" numFmtId="0" xfId="0" applyAlignment="1" applyFill="1" applyFont="1">
      <alignment horizontal="center" vertical="bottom"/>
    </xf>
    <xf borderId="0" fillId="27" fontId="24" numFmtId="0" xfId="0" applyAlignment="1" applyFill="1" applyFont="1">
      <alignment horizontal="center" vertical="bottom"/>
    </xf>
    <xf borderId="0" fillId="28" fontId="24" numFmtId="0" xfId="0" applyAlignment="1" applyFill="1" applyFont="1">
      <alignment horizontal="center" vertical="bottom"/>
    </xf>
    <xf borderId="0" fillId="29" fontId="24" numFmtId="0" xfId="0" applyAlignment="1" applyFill="1" applyFont="1">
      <alignment horizontal="center" vertical="bottom"/>
    </xf>
    <xf borderId="0" fillId="30" fontId="24" numFmtId="0" xfId="0" applyAlignment="1" applyFill="1" applyFont="1">
      <alignment horizontal="center" vertical="bottom"/>
    </xf>
    <xf borderId="0" fillId="31" fontId="24" numFmtId="0" xfId="0" applyAlignment="1" applyFill="1" applyFont="1">
      <alignment horizontal="center" vertical="bottom"/>
    </xf>
    <xf borderId="0" fillId="32" fontId="7" numFmtId="0" xfId="0" applyAlignment="1" applyFill="1" applyFont="1">
      <alignment horizontal="center" vertical="bottom"/>
    </xf>
    <xf borderId="0" fillId="33" fontId="24" numFmtId="0" xfId="0" applyAlignment="1" applyFill="1" applyFont="1">
      <alignment horizontal="center" vertical="bottom"/>
    </xf>
    <xf borderId="0" fillId="34" fontId="24" numFmtId="0" xfId="0" applyAlignment="1" applyFill="1" applyFont="1">
      <alignment horizontal="center" vertical="bottom"/>
    </xf>
    <xf borderId="0" fillId="35" fontId="24" numFmtId="0" xfId="0" applyAlignment="1" applyFill="1" applyFont="1">
      <alignment horizontal="center" vertical="bottom"/>
    </xf>
    <xf borderId="0" fillId="36" fontId="24" numFmtId="0" xfId="0" applyAlignment="1" applyFill="1" applyFont="1">
      <alignment horizontal="center" vertical="bottom"/>
    </xf>
    <xf borderId="0" fillId="37" fontId="24" numFmtId="0" xfId="0" applyAlignment="1" applyFill="1" applyFont="1">
      <alignment horizontal="center" vertical="bottom"/>
    </xf>
    <xf borderId="0" fillId="38" fontId="24" numFmtId="0" xfId="0" applyAlignment="1" applyFill="1" applyFont="1">
      <alignment horizontal="center" vertical="bottom"/>
    </xf>
    <xf borderId="0" fillId="39" fontId="24" numFmtId="0" xfId="0" applyAlignment="1" applyFill="1" applyFont="1">
      <alignment horizontal="center" vertical="bottom"/>
    </xf>
    <xf borderId="0" fillId="40" fontId="24" numFmtId="0" xfId="0" applyAlignment="1" applyFill="1" applyFont="1">
      <alignment horizontal="center" vertical="bottom"/>
    </xf>
    <xf borderId="0" fillId="41" fontId="24" numFmtId="0" xfId="0" applyAlignment="1" applyFill="1" applyFont="1">
      <alignment horizontal="center" vertical="bottom"/>
    </xf>
    <xf borderId="0" fillId="42" fontId="24" numFmtId="0" xfId="0" applyAlignment="1" applyFill="1" applyFont="1">
      <alignment horizontal="center" vertical="bottom"/>
    </xf>
    <xf borderId="0" fillId="43" fontId="24" numFmtId="0" xfId="0" applyAlignment="1" applyFill="1" applyFont="1">
      <alignment horizontal="center" vertical="bottom"/>
    </xf>
    <xf borderId="0" fillId="44" fontId="24" numFmtId="0" xfId="0" applyAlignment="1" applyFill="1" applyFont="1">
      <alignment horizontal="center" vertical="bottom"/>
    </xf>
    <xf borderId="0" fillId="45" fontId="24" numFmtId="0" xfId="0" applyAlignment="1" applyFill="1" applyFont="1">
      <alignment horizontal="center" vertical="bottom"/>
    </xf>
    <xf borderId="0" fillId="4" fontId="2" numFmtId="0" xfId="0" applyAlignment="1" applyFont="1">
      <alignment horizontal="center" readingOrder="0"/>
    </xf>
    <xf borderId="0" fillId="3" fontId="3" numFmtId="0" xfId="0" applyAlignment="1" applyFont="1">
      <alignment horizontal="center" readingOrder="0"/>
    </xf>
    <xf borderId="0" fillId="3" fontId="2" numFmtId="0" xfId="0" applyAlignment="1" applyFont="1">
      <alignment horizontal="center"/>
    </xf>
    <xf borderId="0" fillId="6" fontId="3" numFmtId="0" xfId="0" applyAlignment="1" applyFont="1">
      <alignment horizontal="center" readingOrder="0"/>
    </xf>
    <xf borderId="0" fillId="6" fontId="2" numFmtId="0" xfId="0" applyAlignment="1" applyFont="1">
      <alignment horizontal="center"/>
    </xf>
    <xf borderId="0" fillId="0" fontId="3" numFmtId="0" xfId="0" applyFont="1"/>
    <xf borderId="0" fillId="0" fontId="3" numFmtId="0" xfId="0" applyAlignment="1" applyFont="1">
      <alignment horizontal="center"/>
    </xf>
    <xf borderId="0" fillId="0" fontId="22" numFmtId="3" xfId="0" applyAlignment="1" applyFont="1" applyNumberFormat="1">
      <alignment horizontal="center" readingOrder="0" vertical="bottom"/>
    </xf>
    <xf borderId="0" fillId="0" fontId="22" numFmtId="0" xfId="0" applyAlignment="1" applyFont="1">
      <alignment horizontal="center" vertical="bottom"/>
    </xf>
    <xf borderId="2" fillId="0" fontId="22" numFmtId="0" xfId="0" applyAlignment="1" applyBorder="1" applyFont="1">
      <alignment horizontal="center" vertical="bottom"/>
    </xf>
    <xf borderId="2" fillId="0" fontId="22" numFmtId="0" xfId="0" applyAlignment="1" applyBorder="1" applyFont="1">
      <alignment horizontal="center" readingOrder="0" vertical="bottom"/>
    </xf>
    <xf borderId="12" fillId="0" fontId="22" numFmtId="0" xfId="0" applyAlignment="1" applyBorder="1" applyFont="1">
      <alignment horizontal="center" vertical="bottom"/>
    </xf>
    <xf borderId="12" fillId="0" fontId="22" numFmtId="0" xfId="0" applyAlignment="1" applyBorder="1" applyFont="1">
      <alignment horizontal="center" readingOrder="0" vertical="bottom"/>
    </xf>
    <xf borderId="12" fillId="0" fontId="3" numFmtId="0" xfId="0" applyAlignment="1" applyBorder="1" applyFont="1">
      <alignment horizontal="center" readingOrder="0"/>
    </xf>
    <xf borderId="12" fillId="0" fontId="3" numFmtId="0" xfId="0" applyAlignment="1" applyBorder="1" applyFont="1">
      <alignment horizontal="center"/>
    </xf>
    <xf borderId="12" fillId="0" fontId="2" numFmtId="0" xfId="0" applyAlignment="1" applyBorder="1" applyFont="1">
      <alignment horizontal="center"/>
    </xf>
    <xf borderId="0" fillId="5" fontId="25" numFmtId="0" xfId="0" applyAlignment="1" applyFont="1">
      <alignment horizontal="center" readingOrder="0"/>
    </xf>
    <xf borderId="0" fillId="0" fontId="2" numFmtId="3" xfId="0" applyAlignment="1" applyFont="1" applyNumberFormat="1">
      <alignment horizontal="center"/>
    </xf>
    <xf borderId="0" fillId="0" fontId="2" numFmtId="164" xfId="0" applyAlignment="1" applyFont="1" applyNumberFormat="1">
      <alignment horizontal="center"/>
    </xf>
    <xf borderId="0" fillId="0" fontId="4" numFmtId="0" xfId="0" applyAlignment="1" applyFont="1">
      <alignment horizontal="center" vertical="bottom"/>
    </xf>
    <xf borderId="0" fillId="0" fontId="2" numFmtId="3" xfId="0" applyFont="1" applyNumberFormat="1"/>
    <xf borderId="0" fillId="0" fontId="2" numFmtId="164" xfId="0" applyFont="1" applyNumberFormat="1"/>
    <xf borderId="0" fillId="3" fontId="0" numFmtId="0" xfId="0" applyAlignment="1" applyFont="1">
      <alignment readingOrder="0"/>
    </xf>
    <xf borderId="0" fillId="0" fontId="26" numFmtId="0" xfId="0" applyFont="1"/>
    <xf borderId="0" fillId="0" fontId="4" numFmtId="0" xfId="0" applyAlignment="1" applyFont="1">
      <alignment vertical="bottom"/>
    </xf>
    <xf borderId="0" fillId="0" fontId="4" numFmtId="3" xfId="0" applyAlignment="1" applyFont="1" applyNumberFormat="1">
      <alignment vertical="bottom"/>
    </xf>
  </cellXfs>
  <cellStyles count="1">
    <cellStyle xfId="0" name="Normal" builtinId="0"/>
  </cellStyles>
  <dxfs count="91">
    <dxf>
      <font>
        <b/>
      </font>
      <fill>
        <patternFill patternType="solid">
          <fgColor rgb="FFFF9900"/>
          <bgColor rgb="FFFF9900"/>
        </patternFill>
      </fill>
      <border/>
    </dxf>
    <dxf>
      <font>
        <b/>
      </font>
      <fill>
        <patternFill patternType="solid">
          <fgColor rgb="FF00FF00"/>
          <bgColor rgb="FF00FF00"/>
        </patternFill>
      </fill>
      <border/>
    </dxf>
    <dxf>
      <font>
        <i/>
        <color rgb="FF999999"/>
      </font>
      <fill>
        <patternFill patternType="none"/>
      </fill>
      <border/>
    </dxf>
    <dxf>
      <font>
        <b/>
        <color rgb="FFFF0000"/>
      </font>
      <fill>
        <patternFill patternType="solid">
          <fgColor rgb="FFFFFF00"/>
          <bgColor rgb="FFFFFF00"/>
        </patternFill>
      </fill>
      <border/>
    </dxf>
    <dxf>
      <font/>
      <fill>
        <patternFill patternType="solid">
          <fgColor rgb="FF000000"/>
          <bgColor rgb="FF000000"/>
        </patternFill>
      </fill>
      <border/>
    </dxf>
    <dxf>
      <font/>
      <fill>
        <patternFill patternType="none"/>
      </fill>
      <border/>
    </dxf>
    <dxf>
      <font>
        <b/>
      </font>
      <fill>
        <patternFill patternType="solid">
          <fgColor rgb="FFCFE2F3"/>
          <bgColor rgb="FFCFE2F3"/>
        </patternFill>
      </fill>
      <border/>
    </dxf>
    <dxf>
      <font>
        <b/>
      </font>
      <fill>
        <patternFill patternType="solid">
          <fgColor rgb="FFF4C7C3"/>
          <bgColor rgb="FFF4C7C3"/>
        </patternFill>
      </fill>
      <border/>
    </dxf>
    <dxf>
      <font>
        <b/>
        <color rgb="FFFFFFFF"/>
      </font>
      <fill>
        <patternFill patternType="solid">
          <fgColor rgb="FF97233F"/>
          <bgColor rgb="FF97233F"/>
        </patternFill>
      </fill>
      <border/>
    </dxf>
    <dxf>
      <font>
        <b/>
        <color rgb="FFFFFFFF"/>
      </font>
      <fill>
        <patternFill patternType="solid">
          <fgColor rgb="FFA71930"/>
          <bgColor rgb="FFA71930"/>
        </patternFill>
      </fill>
      <border/>
    </dxf>
    <dxf>
      <font>
        <b/>
        <color rgb="FFFFFFFF"/>
      </font>
      <fill>
        <patternFill patternType="solid">
          <fgColor rgb="FF241773"/>
          <bgColor rgb="FF241773"/>
        </patternFill>
      </fill>
      <border/>
    </dxf>
    <dxf>
      <font>
        <b/>
        <color rgb="FFFFFFFF"/>
      </font>
      <fill>
        <patternFill patternType="solid">
          <fgColor rgb="FF00338D"/>
          <bgColor rgb="FF00338D"/>
        </patternFill>
      </fill>
      <border/>
    </dxf>
    <dxf>
      <font>
        <b/>
        <color rgb="FFFFFFFF"/>
      </font>
      <fill>
        <patternFill patternType="solid">
          <fgColor rgb="FF0085CA"/>
          <bgColor rgb="FF0085CA"/>
        </patternFill>
      </fill>
      <border/>
    </dxf>
    <dxf>
      <font>
        <b/>
        <color rgb="FFFFFFFF"/>
      </font>
      <fill>
        <patternFill patternType="solid">
          <fgColor rgb="FF00143F"/>
          <bgColor rgb="FF00143F"/>
        </patternFill>
      </fill>
      <border/>
    </dxf>
    <dxf>
      <font>
        <b/>
        <color rgb="FFFFFFFF"/>
      </font>
      <fill>
        <patternFill patternType="solid">
          <fgColor rgb="FFFB4F14"/>
          <bgColor rgb="FFFB4F14"/>
        </patternFill>
      </fill>
      <border/>
    </dxf>
    <dxf>
      <font>
        <b/>
        <color rgb="FFFFFFFF"/>
      </font>
      <fill>
        <patternFill patternType="solid">
          <fgColor rgb="FF311D00"/>
          <bgColor rgb="FF311D00"/>
        </patternFill>
      </fill>
      <border/>
    </dxf>
    <dxf>
      <font>
        <b/>
        <color rgb="FFFFFFFF"/>
      </font>
      <fill>
        <patternFill patternType="solid">
          <fgColor rgb="FF003594"/>
          <bgColor rgb="FF003594"/>
        </patternFill>
      </fill>
      <border/>
    </dxf>
    <dxf>
      <font>
        <b/>
        <color rgb="FFFFFFFF"/>
      </font>
      <fill>
        <patternFill patternType="solid">
          <fgColor rgb="FFFC4C02"/>
          <bgColor rgb="FFFC4C02"/>
        </patternFill>
      </fill>
      <border/>
    </dxf>
    <dxf>
      <font>
        <b/>
        <color rgb="FFFFFFFF"/>
      </font>
      <fill>
        <patternFill patternType="solid">
          <fgColor rgb="FF046EB4"/>
          <bgColor rgb="FF046EB4"/>
        </patternFill>
      </fill>
      <border/>
    </dxf>
    <dxf>
      <font>
        <b/>
        <color rgb="FFFFFFFF"/>
      </font>
      <fill>
        <patternFill patternType="solid">
          <fgColor rgb="FF183028"/>
          <bgColor rgb="FF183028"/>
        </patternFill>
      </fill>
      <border/>
    </dxf>
    <dxf>
      <font>
        <b/>
        <color rgb="FFFFFFFF"/>
      </font>
      <fill>
        <patternFill patternType="solid">
          <fgColor rgb="FF03202F"/>
          <bgColor rgb="FF03202F"/>
        </patternFill>
      </fill>
      <border/>
    </dxf>
    <dxf>
      <font>
        <b/>
        <color rgb="FFFFFFFF"/>
      </font>
      <fill>
        <patternFill patternType="solid">
          <fgColor rgb="FF003D79"/>
          <bgColor rgb="FF003D79"/>
        </patternFill>
      </fill>
      <border/>
    </dxf>
    <dxf>
      <font>
        <b/>
        <color rgb="FFFFFFFF"/>
      </font>
      <fill>
        <patternFill patternType="solid">
          <fgColor rgb="FFD29F13"/>
          <bgColor rgb="FFD29F13"/>
        </patternFill>
      </fill>
      <border/>
    </dxf>
    <dxf>
      <font>
        <b/>
        <color rgb="FFFFFFFF"/>
      </font>
      <fill>
        <patternFill patternType="solid">
          <fgColor rgb="FFC8102E"/>
          <bgColor rgb="FFC8102E"/>
        </patternFill>
      </fill>
      <border/>
    </dxf>
    <dxf>
      <font>
        <b/>
        <color rgb="FFFFFFFF"/>
      </font>
      <fill>
        <patternFill patternType="solid">
          <fgColor rgb="FF0073CF"/>
          <bgColor rgb="FF0073CF"/>
        </patternFill>
      </fill>
      <border/>
    </dxf>
    <dxf>
      <font>
        <b/>
        <color rgb="FFFFFFFF"/>
      </font>
      <fill>
        <patternFill patternType="solid">
          <fgColor rgb="FF002147"/>
          <bgColor rgb="FF002147"/>
        </patternFill>
      </fill>
      <border/>
    </dxf>
    <dxf>
      <font>
        <b/>
        <color rgb="FFFFFFFF"/>
      </font>
      <fill>
        <patternFill patternType="solid">
          <fgColor rgb="FF008E97"/>
          <bgColor rgb="FF008E97"/>
        </patternFill>
      </fill>
      <border/>
    </dxf>
    <dxf>
      <font>
        <b/>
        <color rgb="FFFFFFFF"/>
      </font>
      <fill>
        <patternFill patternType="solid">
          <fgColor rgb="FF4F2683"/>
          <bgColor rgb="FF4F2683"/>
        </patternFill>
      </fill>
      <border/>
    </dxf>
    <dxf>
      <font>
        <b/>
        <color rgb="FFFFFFFF"/>
      </font>
      <fill>
        <patternFill patternType="solid">
          <fgColor rgb="FF0A2342"/>
          <bgColor rgb="FF0A2342"/>
        </patternFill>
      </fill>
      <border/>
    </dxf>
    <dxf>
      <font>
        <b/>
        <color rgb="FFFFFFFF"/>
      </font>
      <fill>
        <patternFill patternType="solid">
          <fgColor rgb="FFA08A58"/>
          <bgColor rgb="FFA08A58"/>
        </patternFill>
      </fill>
      <border/>
    </dxf>
    <dxf>
      <font>
        <b/>
        <color rgb="FFFFFFFF"/>
      </font>
      <fill>
        <patternFill patternType="solid">
          <fgColor rgb="FF0B2265"/>
          <bgColor rgb="FF0B2265"/>
        </patternFill>
      </fill>
      <border/>
    </dxf>
    <dxf>
      <font>
        <b/>
        <color rgb="FFFFFFFF"/>
      </font>
      <fill>
        <patternFill patternType="solid">
          <fgColor rgb="FF274E13"/>
          <bgColor rgb="FF274E13"/>
        </patternFill>
      </fill>
      <border/>
    </dxf>
    <dxf>
      <font>
        <b/>
        <color rgb="FFFFFFFF"/>
      </font>
      <fill>
        <patternFill patternType="solid">
          <fgColor rgb="FFC4C9CC"/>
          <bgColor rgb="FFC4C9CC"/>
        </patternFill>
      </fill>
      <border/>
    </dxf>
    <dxf>
      <font>
        <b/>
        <color rgb="FFFFFFFF"/>
      </font>
      <fill>
        <patternFill patternType="solid">
          <fgColor rgb="FF014A53"/>
          <bgColor rgb="FF014A53"/>
        </patternFill>
      </fill>
      <border/>
    </dxf>
    <dxf>
      <font>
        <b/>
        <color rgb="FFFFFFFF"/>
      </font>
      <fill>
        <patternFill patternType="solid">
          <fgColor rgb="FFFFC20E"/>
          <bgColor rgb="FFFFC20E"/>
        </patternFill>
      </fill>
      <border/>
    </dxf>
    <dxf>
      <font>
        <b/>
        <color rgb="FFFFFFFF"/>
      </font>
      <fill>
        <patternFill patternType="solid">
          <fgColor rgb="FFA6192E"/>
          <bgColor rgb="FFA6192E"/>
        </patternFill>
      </fill>
      <border/>
    </dxf>
    <dxf>
      <font>
        <b/>
        <color rgb="FFFFFFFF"/>
      </font>
      <fill>
        <patternFill patternType="solid">
          <fgColor rgb="FF002A5C"/>
          <bgColor rgb="FF002A5C"/>
        </patternFill>
      </fill>
      <border/>
    </dxf>
    <dxf>
      <font>
        <b/>
        <color rgb="FFF3F3F3"/>
      </font>
      <fill>
        <patternFill patternType="solid">
          <fgColor rgb="FFD40909"/>
          <bgColor rgb="FFD40909"/>
        </patternFill>
      </fill>
      <border/>
    </dxf>
    <dxf>
      <font>
        <b/>
        <color rgb="FFFFFFFF"/>
      </font>
      <fill>
        <patternFill patternType="solid">
          <fgColor rgb="FF4B92DB"/>
          <bgColor rgb="FF4B92DB"/>
        </patternFill>
      </fill>
      <border/>
    </dxf>
    <dxf>
      <font>
        <b/>
        <color rgb="FFFFFFFF"/>
      </font>
      <fill>
        <patternFill patternType="solid">
          <fgColor rgb="FF7C1415"/>
          <bgColor rgb="FF7C1415"/>
        </patternFill>
      </fill>
      <border/>
    </dxf>
    <dxf>
      <font>
        <b/>
      </font>
      <fill>
        <patternFill patternType="solid">
          <fgColor rgb="FFFF0000"/>
          <bgColor rgb="FFFF0000"/>
        </patternFill>
      </fill>
      <border/>
    </dxf>
    <dxf>
      <font>
        <b/>
      </font>
      <fill>
        <patternFill patternType="solid">
          <fgColor rgb="FF3C78D8"/>
          <bgColor rgb="FF3C78D8"/>
        </patternFill>
      </fill>
      <border/>
    </dxf>
    <dxf>
      <font/>
      <fill>
        <patternFill patternType="solid">
          <fgColor rgb="FFFF00FF"/>
          <bgColor rgb="FFFF00FF"/>
        </patternFill>
      </fill>
      <border/>
    </dxf>
    <dxf>
      <font>
        <b/>
      </font>
      <fill>
        <patternFill patternType="solid">
          <fgColor rgb="FFA4C2F4"/>
          <bgColor rgb="FFA4C2F4"/>
        </patternFill>
      </fill>
      <border/>
    </dxf>
    <dxf>
      <font>
        <b/>
      </font>
      <fill>
        <patternFill patternType="solid">
          <fgColor rgb="FFE06666"/>
          <bgColor rgb="FFE06666"/>
        </patternFill>
      </fill>
      <border/>
    </dxf>
    <dxf>
      <font>
        <b/>
      </font>
      <fill>
        <patternFill patternType="solid">
          <fgColor rgb="FFFCE5CD"/>
          <bgColor rgb="FFFCE5CD"/>
        </patternFill>
      </fill>
      <border/>
    </dxf>
    <dxf>
      <font>
        <b/>
      </font>
      <fill>
        <patternFill patternType="solid">
          <fgColor rgb="FFC27BA0"/>
          <bgColor rgb="FFC27BA0"/>
        </patternFill>
      </fill>
      <border/>
    </dxf>
    <dxf>
      <font>
        <color rgb="FFFF0000"/>
      </font>
      <fill>
        <patternFill patternType="solid">
          <fgColor rgb="FFFFFF00"/>
          <bgColor rgb="FFFFFF00"/>
        </patternFill>
      </fill>
      <border/>
    </dxf>
    <dxf>
      <font>
        <b/>
      </font>
      <fill>
        <patternFill patternType="solid">
          <fgColor rgb="FFFFFF00"/>
          <bgColor rgb="FFFFFF00"/>
        </patternFill>
      </fill>
      <border/>
    </dxf>
    <dxf>
      <font/>
      <fill>
        <patternFill patternType="solid">
          <fgColor rgb="FFEA9999"/>
          <bgColor rgb="FFEA9999"/>
        </patternFill>
      </fill>
      <border/>
    </dxf>
    <dxf>
      <font/>
      <fill>
        <patternFill patternType="solid">
          <fgColor rgb="FFF4C7C3"/>
          <bgColor rgb="FFF4C7C3"/>
        </patternFill>
      </fill>
      <border/>
    </dxf>
    <dxf>
      <font/>
      <fill>
        <patternFill patternType="solid">
          <fgColor rgb="FF97233F"/>
          <bgColor rgb="FF97233F"/>
        </patternFill>
      </fill>
      <border/>
    </dxf>
    <dxf>
      <font/>
      <fill>
        <patternFill patternType="solid">
          <fgColor rgb="FFA71930"/>
          <bgColor rgb="FFA71930"/>
        </patternFill>
      </fill>
      <border/>
    </dxf>
    <dxf>
      <font/>
      <fill>
        <patternFill patternType="solid">
          <fgColor rgb="FF241773"/>
          <bgColor rgb="FF241773"/>
        </patternFill>
      </fill>
      <border/>
    </dxf>
    <dxf>
      <font/>
      <fill>
        <patternFill patternType="solid">
          <fgColor rgb="FF00338D"/>
          <bgColor rgb="FF00338D"/>
        </patternFill>
      </fill>
      <border/>
    </dxf>
    <dxf>
      <font/>
      <fill>
        <patternFill patternType="solid">
          <fgColor rgb="FF0085CA"/>
          <bgColor rgb="FF0085CA"/>
        </patternFill>
      </fill>
      <border/>
    </dxf>
    <dxf>
      <font/>
      <fill>
        <patternFill patternType="solid">
          <fgColor rgb="FF00143F"/>
          <bgColor rgb="FF00143F"/>
        </patternFill>
      </fill>
      <border/>
    </dxf>
    <dxf>
      <font/>
      <fill>
        <patternFill patternType="solid">
          <fgColor rgb="FFFB4F14"/>
          <bgColor rgb="FFFB4F14"/>
        </patternFill>
      </fill>
      <border/>
    </dxf>
    <dxf>
      <font/>
      <fill>
        <patternFill patternType="solid">
          <fgColor rgb="FF311D00"/>
          <bgColor rgb="FF311D00"/>
        </patternFill>
      </fill>
      <border/>
    </dxf>
    <dxf>
      <font/>
      <fill>
        <patternFill patternType="solid">
          <fgColor rgb="FF003594"/>
          <bgColor rgb="FF003594"/>
        </patternFill>
      </fill>
      <border/>
    </dxf>
    <dxf>
      <font/>
      <fill>
        <patternFill patternType="solid">
          <fgColor rgb="FFFC4C02"/>
          <bgColor rgb="FFFC4C02"/>
        </patternFill>
      </fill>
      <border/>
    </dxf>
    <dxf>
      <font/>
      <fill>
        <patternFill patternType="solid">
          <fgColor rgb="FF046EB4"/>
          <bgColor rgb="FF046EB4"/>
        </patternFill>
      </fill>
      <border/>
    </dxf>
    <dxf>
      <font/>
      <fill>
        <patternFill patternType="solid">
          <fgColor rgb="FF183028"/>
          <bgColor rgb="FF183028"/>
        </patternFill>
      </fill>
      <border/>
    </dxf>
    <dxf>
      <font/>
      <fill>
        <patternFill patternType="solid">
          <fgColor rgb="FF03202F"/>
          <bgColor rgb="FF03202F"/>
        </patternFill>
      </fill>
      <border/>
    </dxf>
    <dxf>
      <font/>
      <fill>
        <patternFill patternType="solid">
          <fgColor rgb="FF003D79"/>
          <bgColor rgb="FF003D79"/>
        </patternFill>
      </fill>
      <border/>
    </dxf>
    <dxf>
      <font/>
      <fill>
        <patternFill patternType="solid">
          <fgColor rgb="FFD29F13"/>
          <bgColor rgb="FFD29F13"/>
        </patternFill>
      </fill>
      <border/>
    </dxf>
    <dxf>
      <font/>
      <fill>
        <patternFill patternType="solid">
          <fgColor rgb="FFC8102E"/>
          <bgColor rgb="FFC8102E"/>
        </patternFill>
      </fill>
      <border/>
    </dxf>
    <dxf>
      <font/>
      <fill>
        <patternFill patternType="solid">
          <fgColor rgb="FF0073CF"/>
          <bgColor rgb="FF0073CF"/>
        </patternFill>
      </fill>
      <border/>
    </dxf>
    <dxf>
      <font/>
      <fill>
        <patternFill patternType="solid">
          <fgColor rgb="FF002147"/>
          <bgColor rgb="FF002147"/>
        </patternFill>
      </fill>
      <border/>
    </dxf>
    <dxf>
      <font/>
      <fill>
        <patternFill patternType="solid">
          <fgColor rgb="FF008E97"/>
          <bgColor rgb="FF008E97"/>
        </patternFill>
      </fill>
      <border/>
    </dxf>
    <dxf>
      <font/>
      <fill>
        <patternFill patternType="solid">
          <fgColor rgb="FF4F2683"/>
          <bgColor rgb="FF4F2683"/>
        </patternFill>
      </fill>
      <border/>
    </dxf>
    <dxf>
      <font/>
      <fill>
        <patternFill patternType="solid">
          <fgColor rgb="FF0A2342"/>
          <bgColor rgb="FF0A2342"/>
        </patternFill>
      </fill>
      <border/>
    </dxf>
    <dxf>
      <font/>
      <fill>
        <patternFill patternType="solid">
          <fgColor rgb="FFA08A58"/>
          <bgColor rgb="FFA08A58"/>
        </patternFill>
      </fill>
      <border/>
    </dxf>
    <dxf>
      <font/>
      <fill>
        <patternFill patternType="solid">
          <fgColor rgb="FF0B2265"/>
          <bgColor rgb="FF0B2265"/>
        </patternFill>
      </fill>
      <border/>
    </dxf>
    <dxf>
      <font/>
      <fill>
        <patternFill patternType="solid">
          <fgColor rgb="FF274E13"/>
          <bgColor rgb="FF274E13"/>
        </patternFill>
      </fill>
      <border/>
    </dxf>
    <dxf>
      <font/>
      <fill>
        <patternFill patternType="solid">
          <fgColor rgb="FFC4C9CC"/>
          <bgColor rgb="FFC4C9CC"/>
        </patternFill>
      </fill>
      <border/>
    </dxf>
    <dxf>
      <font/>
      <fill>
        <patternFill patternType="solid">
          <fgColor rgb="FF014A53"/>
          <bgColor rgb="FF014A53"/>
        </patternFill>
      </fill>
      <border/>
    </dxf>
    <dxf>
      <font/>
      <fill>
        <patternFill patternType="solid">
          <fgColor rgb="FFFFC20E"/>
          <bgColor rgb="FFFFC20E"/>
        </patternFill>
      </fill>
      <border/>
    </dxf>
    <dxf>
      <font/>
      <fill>
        <patternFill patternType="solid">
          <fgColor rgb="FFA6192E"/>
          <bgColor rgb="FFA6192E"/>
        </patternFill>
      </fill>
      <border/>
    </dxf>
    <dxf>
      <font/>
      <fill>
        <patternFill patternType="solid">
          <fgColor rgb="FF002A5C"/>
          <bgColor rgb="FF002A5C"/>
        </patternFill>
      </fill>
      <border/>
    </dxf>
    <dxf>
      <font/>
      <fill>
        <patternFill patternType="solid">
          <fgColor rgb="FFD40909"/>
          <bgColor rgb="FFD40909"/>
        </patternFill>
      </fill>
      <border/>
    </dxf>
    <dxf>
      <font/>
      <fill>
        <patternFill patternType="solid">
          <fgColor rgb="FF4B92DB"/>
          <bgColor rgb="FF4B92DB"/>
        </patternFill>
      </fill>
      <border/>
    </dxf>
    <dxf>
      <font/>
      <fill>
        <patternFill patternType="solid">
          <fgColor rgb="FF7C1415"/>
          <bgColor rgb="FF7C1415"/>
        </patternFill>
      </fill>
      <border/>
    </dxf>
    <dxf>
      <font>
        <b/>
      </font>
      <fill>
        <patternFill patternType="solid">
          <fgColor rgb="FFFF00FF"/>
          <bgColor rgb="FFFF00FF"/>
        </patternFill>
      </fill>
      <border/>
    </dxf>
    <dxf>
      <font>
        <b/>
      </font>
      <fill>
        <patternFill patternType="solid">
          <fgColor rgb="FFD5A6BD"/>
          <bgColor rgb="FFD5A6BD"/>
        </patternFill>
      </fill>
      <border/>
    </dxf>
    <dxf>
      <font>
        <b/>
      </font>
      <fill>
        <patternFill patternType="solid">
          <fgColor rgb="FF8E7CC3"/>
          <bgColor rgb="FF8E7CC3"/>
        </patternFill>
      </fill>
      <border/>
    </dxf>
    <dxf>
      <font>
        <b/>
      </font>
      <fill>
        <patternFill patternType="solid">
          <fgColor rgb="FFB4A7D6"/>
          <bgColor rgb="FFB4A7D6"/>
        </patternFill>
      </fill>
      <border/>
    </dxf>
    <dxf>
      <font>
        <b/>
      </font>
      <fill>
        <patternFill patternType="solid">
          <fgColor rgb="FFF9CB9C"/>
          <bgColor rgb="FFF9CB9C"/>
        </patternFill>
      </fill>
      <border/>
    </dxf>
    <dxf>
      <font>
        <b/>
      </font>
      <fill>
        <patternFill patternType="solid">
          <fgColor rgb="FF93C47D"/>
          <bgColor rgb="FF93C47D"/>
        </patternFill>
      </fill>
      <border/>
    </dxf>
    <dxf>
      <font>
        <b/>
      </font>
      <fill>
        <patternFill patternType="solid">
          <fgColor rgb="FFB6D7A8"/>
          <bgColor rgb="FFB6D7A8"/>
        </patternFill>
      </fill>
      <border/>
    </dxf>
    <dxf>
      <font>
        <b/>
      </font>
      <fill>
        <patternFill patternType="solid">
          <fgColor rgb="FFF6B26B"/>
          <bgColor rgb="FFF6B26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gsBtjhuYYhW7fpC0MdrSoM-8x0w5zndM1rr-M-FLa9c" TargetMode="External"/><Relationship Id="rId2" Type="http://schemas.openxmlformats.org/officeDocument/2006/relationships/hyperlink" Target="https://forms.gle/6FjbktP7ZeMaTDKM8"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16.63"/>
    <col customWidth="1" min="3" max="3" width="10.13"/>
    <col customWidth="1" min="6" max="6" width="22.5"/>
    <col customWidth="1" min="7" max="7" width="57.5"/>
    <col customWidth="1" min="8" max="8" width="4.5"/>
  </cols>
  <sheetData>
    <row r="1">
      <c r="A1" s="1" t="s">
        <v>0</v>
      </c>
    </row>
    <row r="2">
      <c r="A2" s="1"/>
      <c r="B2" s="1"/>
      <c r="C2" s="1"/>
      <c r="D2" s="1"/>
      <c r="E2" s="1"/>
      <c r="F2" s="1"/>
      <c r="G2" s="1"/>
      <c r="H2" s="1"/>
    </row>
    <row r="3">
      <c r="A3" s="2"/>
      <c r="B3" s="3" t="s">
        <v>1</v>
      </c>
      <c r="C3" s="4" t="s">
        <v>2</v>
      </c>
      <c r="D3" s="5"/>
      <c r="E3" s="5"/>
      <c r="F3" s="5"/>
      <c r="G3" s="5"/>
    </row>
    <row r="4">
      <c r="A4" s="2"/>
      <c r="B4" s="3" t="s">
        <v>3</v>
      </c>
      <c r="C4" s="4" t="s">
        <v>4</v>
      </c>
      <c r="D4" s="5"/>
      <c r="E4" s="5"/>
      <c r="F4" s="5"/>
      <c r="G4" s="5"/>
    </row>
    <row r="5">
      <c r="B5" s="3" t="s">
        <v>5</v>
      </c>
      <c r="C5" s="4" t="s">
        <v>6</v>
      </c>
      <c r="D5" s="5"/>
      <c r="E5" s="5"/>
      <c r="F5" s="5"/>
      <c r="G5" s="5"/>
    </row>
    <row r="7">
      <c r="B7" s="6" t="s">
        <v>7</v>
      </c>
    </row>
    <row r="9">
      <c r="A9" s="2"/>
      <c r="B9" s="7" t="s">
        <v>8</v>
      </c>
      <c r="H9" s="3"/>
    </row>
    <row r="10">
      <c r="A10" s="2"/>
      <c r="B10" s="3"/>
      <c r="C10" s="3"/>
      <c r="D10" s="3"/>
      <c r="E10" s="3"/>
      <c r="F10" s="3"/>
      <c r="G10" s="3"/>
      <c r="H10" s="3"/>
    </row>
    <row r="11">
      <c r="A11" s="2"/>
      <c r="B11" s="3"/>
      <c r="C11" s="3"/>
      <c r="D11" s="3"/>
      <c r="E11" s="3"/>
      <c r="F11" s="3"/>
      <c r="G11" s="3"/>
      <c r="H11" s="3"/>
    </row>
    <row r="12">
      <c r="A12" s="2"/>
      <c r="B12" s="2" t="s">
        <v>9</v>
      </c>
      <c r="H12" s="2"/>
    </row>
    <row r="13">
      <c r="B13" s="2"/>
      <c r="C13" s="2"/>
      <c r="D13" s="2"/>
      <c r="E13" s="2"/>
      <c r="F13" s="2"/>
      <c r="G13" s="2"/>
    </row>
    <row r="15">
      <c r="A15" s="2"/>
      <c r="B15" s="8" t="s">
        <v>10</v>
      </c>
      <c r="H15" s="3"/>
    </row>
    <row r="16">
      <c r="B16" s="2"/>
      <c r="C16" s="3"/>
      <c r="D16" s="3"/>
      <c r="E16" s="3"/>
      <c r="F16" s="3"/>
      <c r="G16" s="3"/>
      <c r="H16" s="3"/>
    </row>
    <row r="17">
      <c r="A17" s="9"/>
      <c r="B17" s="10"/>
      <c r="C17" s="9"/>
      <c r="D17" s="9"/>
      <c r="E17" s="9"/>
      <c r="F17" s="9"/>
      <c r="G17" s="9"/>
      <c r="H17" s="9"/>
    </row>
    <row r="18">
      <c r="A18" s="9"/>
      <c r="B18" s="10" t="s">
        <v>11</v>
      </c>
      <c r="C18" s="11" t="str">
        <f>IFERROR(__xludf.DUMMYFUNCTION("IF(IMPORTRANGE(""https://docs.google.com/spreadsheets/d/1gsBtjhuYYhW7fpC0MdrSoM-8x0w5zndM1rr-M-FLa9c/edit#gid=0"",""VersionCheck!B5"")=C4,""YOUR DOCUMENT VERSION IS UP TO DATE"",""NEW DOCUMENT VERSION AVAILABLE"")"),"NEW DOCUMENT VERSION AVAILABLE")</f>
        <v>NEW DOCUMENT VERSION AVAILABLE</v>
      </c>
      <c r="H18" s="9"/>
    </row>
    <row r="19">
      <c r="A19" s="9"/>
      <c r="B19" s="12" t="s">
        <v>12</v>
      </c>
      <c r="C19" s="11" t="str">
        <f>IFERROR(__xludf.DUMMYFUNCTION("IF(IMPORTRANGE(""https://docs.google.com/spreadsheets/d/1d4z9AxSQnJpejox7fbTfa7ArXQ6X_80pn45rZKeLPMs/edit?usp=sharing"",""Home!C5"")=C5,""YOUR ADPs ARE UP TO DATE"",""NEW ADPs AVAILABLE"")"),"YOUR ADPs ARE UP TO DATE")</f>
        <v>YOUR ADPs ARE UP TO DATE</v>
      </c>
      <c r="H19" s="9"/>
    </row>
    <row r="20">
      <c r="B20" s="3" t="s">
        <v>13</v>
      </c>
      <c r="C20" s="13" t="str">
        <f>IFERROR(__xludf.DUMMYFUNCTION("IMPORTRANGE(""https://docs.google.com/spreadsheets/d/1gsBtjhuYYhW7fpC0MdrSoM-8x0w5zndM1rr-M-FLa9c/edit#gid=0"",""VersionCheck!C5"")"),"https://docs.google.com/spreadsheets/d/1Wf2nrjGo4AQFKorb-gXA_c7V1V-vp1N-ehazda6UBqc")</f>
        <v>https://docs.google.com/spreadsheets/d/1Wf2nrjGo4AQFKorb-gXA_c7V1V-vp1N-ehazda6UBqc</v>
      </c>
    </row>
    <row r="21">
      <c r="B21" s="3"/>
      <c r="C21" s="14"/>
      <c r="D21" s="14"/>
      <c r="E21" s="14"/>
      <c r="F21" s="14"/>
      <c r="G21" s="14"/>
    </row>
    <row r="22">
      <c r="B22" s="3" t="s">
        <v>14</v>
      </c>
      <c r="C22" s="15" t="s">
        <v>15</v>
      </c>
    </row>
    <row r="24">
      <c r="B24" s="16"/>
      <c r="C24" s="16"/>
      <c r="D24" s="16"/>
      <c r="E24" s="16"/>
      <c r="F24" s="16"/>
      <c r="G24" s="16"/>
    </row>
    <row r="25">
      <c r="B25" s="16" t="s">
        <v>16</v>
      </c>
    </row>
    <row r="26">
      <c r="B26" s="17" t="s">
        <v>17</v>
      </c>
    </row>
    <row r="29">
      <c r="A29" s="16" t="s">
        <v>18</v>
      </c>
    </row>
    <row r="30">
      <c r="A30" s="6" t="s">
        <v>19</v>
      </c>
    </row>
    <row r="31">
      <c r="A31" s="18" t="s">
        <v>20</v>
      </c>
    </row>
    <row r="32">
      <c r="A32" s="6" t="s">
        <v>21</v>
      </c>
    </row>
    <row r="33">
      <c r="A33" s="6" t="s">
        <v>22</v>
      </c>
    </row>
    <row r="34">
      <c r="A34" s="6" t="s">
        <v>23</v>
      </c>
    </row>
    <row r="35">
      <c r="A35" s="6"/>
      <c r="B35" s="6"/>
      <c r="C35" s="6"/>
      <c r="D35" s="6"/>
      <c r="E35" s="6"/>
      <c r="F35" s="6"/>
      <c r="G35" s="6"/>
      <c r="H35" s="6"/>
    </row>
  </sheetData>
  <mergeCells count="17">
    <mergeCell ref="A1:H1"/>
    <mergeCell ref="B7:G7"/>
    <mergeCell ref="B9:G9"/>
    <mergeCell ref="B12:G12"/>
    <mergeCell ref="B15:G15"/>
    <mergeCell ref="C18:G18"/>
    <mergeCell ref="C19:G19"/>
    <mergeCell ref="A32:H32"/>
    <mergeCell ref="A33:H33"/>
    <mergeCell ref="A34:H34"/>
    <mergeCell ref="C20:G20"/>
    <mergeCell ref="C22:G22"/>
    <mergeCell ref="B25:G25"/>
    <mergeCell ref="B26:G26"/>
    <mergeCell ref="A29:H29"/>
    <mergeCell ref="A30:H30"/>
    <mergeCell ref="A31:H31"/>
  </mergeCells>
  <conditionalFormatting sqref="C17:F19">
    <cfRule type="endsWith" dxfId="0" priority="1" operator="endsWith" text="AVAILABLE">
      <formula>RIGHT((C17),LEN("AVAILABLE"))=("AVAILABLE")</formula>
    </cfRule>
  </conditionalFormatting>
  <conditionalFormatting sqref="C17:F19">
    <cfRule type="endsWith" dxfId="1" priority="2" operator="endsWith" text="UP TO DATE">
      <formula>RIGHT((C17),LEN("UP TO DATE"))=("UP TO DATE")</formula>
    </cfRule>
  </conditionalFormatting>
  <hyperlinks>
    <hyperlink r:id="rId1" ref="C22"/>
    <hyperlink r:id="rId2" ref="B2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8.25"/>
    <col customWidth="1" min="3" max="3" width="15.63"/>
    <col customWidth="1" min="6" max="6" width="7.38"/>
    <col customWidth="1" min="7" max="7" width="6.5"/>
    <col customWidth="1" min="8" max="8" width="43.5"/>
  </cols>
  <sheetData>
    <row r="1">
      <c r="A1" s="19"/>
      <c r="B1" s="19" t="s">
        <v>24</v>
      </c>
    </row>
    <row r="2">
      <c r="A2" s="20"/>
      <c r="B2" s="20"/>
      <c r="C2" s="20"/>
      <c r="D2" s="20"/>
      <c r="E2" s="20"/>
      <c r="F2" s="16"/>
      <c r="G2" s="16"/>
      <c r="H2" s="20"/>
    </row>
    <row r="3">
      <c r="A3" s="16"/>
      <c r="B3" s="16" t="s">
        <v>25</v>
      </c>
      <c r="E3" s="20"/>
      <c r="F3" s="16" t="s">
        <v>26</v>
      </c>
      <c r="H3" s="16"/>
    </row>
    <row r="4">
      <c r="A4" s="6"/>
      <c r="B4" s="6"/>
      <c r="C4" s="6"/>
      <c r="D4" s="20"/>
      <c r="E4" s="20"/>
      <c r="F4" s="6"/>
      <c r="G4" s="6"/>
      <c r="H4" s="20"/>
    </row>
    <row r="5">
      <c r="A5" s="6"/>
      <c r="B5" s="6" t="s">
        <v>27</v>
      </c>
      <c r="C5" s="6">
        <v>14.0</v>
      </c>
      <c r="D5" s="6"/>
      <c r="E5" s="20"/>
      <c r="F5" s="6" t="b">
        <v>1</v>
      </c>
      <c r="G5" s="6" t="s">
        <v>28</v>
      </c>
      <c r="H5" s="20"/>
    </row>
    <row r="6">
      <c r="A6" s="21"/>
      <c r="B6" s="6" t="s">
        <v>29</v>
      </c>
      <c r="C6" s="6" t="s">
        <v>30</v>
      </c>
      <c r="D6" s="6"/>
      <c r="E6" s="20"/>
      <c r="F6" s="6" t="b">
        <v>1</v>
      </c>
      <c r="G6" s="6" t="s">
        <v>31</v>
      </c>
      <c r="H6" s="20"/>
    </row>
    <row r="7">
      <c r="A7" s="21"/>
      <c r="B7" s="6" t="s">
        <v>32</v>
      </c>
      <c r="C7" s="6" t="s">
        <v>33</v>
      </c>
      <c r="D7" s="6" t="s">
        <v>34</v>
      </c>
      <c r="E7" s="20"/>
      <c r="F7" s="6" t="b">
        <v>1</v>
      </c>
      <c r="G7" s="6" t="s">
        <v>35</v>
      </c>
      <c r="H7" s="20"/>
    </row>
    <row r="8">
      <c r="A8" s="21"/>
      <c r="B8" s="6" t="s">
        <v>36</v>
      </c>
      <c r="C8" s="6" t="s">
        <v>37</v>
      </c>
      <c r="D8" s="6" t="s">
        <v>38</v>
      </c>
      <c r="E8" s="20"/>
      <c r="F8" s="6" t="b">
        <v>1</v>
      </c>
      <c r="G8" s="6" t="s">
        <v>39</v>
      </c>
      <c r="H8" s="20"/>
    </row>
    <row r="9">
      <c r="A9" s="21"/>
      <c r="B9" s="6"/>
      <c r="C9" s="22"/>
      <c r="D9" s="6"/>
      <c r="E9" s="20"/>
      <c r="F9" s="6" t="b">
        <v>1</v>
      </c>
      <c r="G9" s="6" t="s">
        <v>40</v>
      </c>
      <c r="H9" s="20"/>
    </row>
    <row r="10">
      <c r="A10" s="21"/>
      <c r="B10" s="6"/>
      <c r="C10" s="6"/>
      <c r="D10" s="6"/>
      <c r="E10" s="20"/>
      <c r="F10" s="6" t="b">
        <v>1</v>
      </c>
      <c r="G10" s="6" t="s">
        <v>41</v>
      </c>
      <c r="H10" s="20"/>
    </row>
    <row r="11">
      <c r="A11" s="20"/>
      <c r="B11" s="20"/>
      <c r="C11" s="20"/>
      <c r="D11" s="20"/>
      <c r="E11" s="20"/>
      <c r="F11" s="6" t="b">
        <v>0</v>
      </c>
      <c r="G11" s="6" t="s">
        <v>42</v>
      </c>
      <c r="H11" s="20"/>
    </row>
    <row r="12">
      <c r="A12" s="20"/>
      <c r="B12" s="20"/>
      <c r="C12" s="20"/>
      <c r="D12" s="20"/>
      <c r="E12" s="20"/>
      <c r="F12" s="6" t="b">
        <v>0</v>
      </c>
      <c r="G12" s="6" t="s">
        <v>43</v>
      </c>
      <c r="H12" s="20"/>
    </row>
    <row r="13">
      <c r="A13" s="20"/>
      <c r="B13" s="20"/>
      <c r="C13" s="20"/>
      <c r="D13" s="20"/>
      <c r="E13" s="20"/>
      <c r="F13" s="6" t="b">
        <v>0</v>
      </c>
      <c r="G13" s="6" t="s">
        <v>44</v>
      </c>
      <c r="H13" s="20"/>
    </row>
    <row r="14">
      <c r="A14" s="20"/>
      <c r="B14" s="20"/>
      <c r="C14" s="20"/>
      <c r="D14" s="20"/>
      <c r="E14" s="20"/>
      <c r="H14" s="20"/>
    </row>
    <row r="15">
      <c r="A15" s="3"/>
      <c r="B15" s="3"/>
    </row>
    <row r="16">
      <c r="A16" s="2"/>
      <c r="B16" s="2"/>
      <c r="C16" s="2"/>
      <c r="D16" s="2"/>
      <c r="E16" s="2"/>
      <c r="F16" s="2"/>
      <c r="G16" s="2"/>
      <c r="H16" s="2"/>
    </row>
  </sheetData>
  <mergeCells count="4">
    <mergeCell ref="B1:H1"/>
    <mergeCell ref="B3:D3"/>
    <mergeCell ref="F3:G3"/>
    <mergeCell ref="B15:H15"/>
  </mergeCells>
  <conditionalFormatting sqref="B7:D7">
    <cfRule type="expression" dxfId="2" priority="1">
      <formula>$C$6="Dynasty"</formula>
    </cfRule>
  </conditionalFormatting>
  <conditionalFormatting sqref="B8:D8">
    <cfRule type="expression" dxfId="2" priority="2">
      <formula>$C$6="Redraft"</formula>
    </cfRule>
  </conditionalFormatting>
  <dataValidations>
    <dataValidation type="list" allowBlank="1" showErrorMessage="1" sqref="C7">
      <formula1>"Standard,Half-PPR,PPR"</formula1>
    </dataValidation>
    <dataValidation type="list" allowBlank="1" showErrorMessage="1" sqref="C6">
      <formula1>"Redraft,Dynasty"</formula1>
    </dataValidation>
    <dataValidation type="list" allowBlank="1" showErrorMessage="1" sqref="C5">
      <formula1>"8,10,12,14"</formula1>
    </dataValidation>
    <dataValidation type="list" allowBlank="1" showErrorMessage="1" sqref="C8">
      <formula1>"1QB,2QB/SF"</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25"/>
    <col customWidth="1" min="3" max="3" width="24.88"/>
    <col customWidth="1" min="4" max="4" width="11.75"/>
    <col customWidth="1" min="6" max="6" width="2.75"/>
    <col customWidth="1" min="7" max="7" width="22.38"/>
    <col customWidth="1" min="8" max="8" width="14.5"/>
  </cols>
  <sheetData>
    <row r="1">
      <c r="A1" s="23"/>
      <c r="B1" s="23" t="s">
        <v>45</v>
      </c>
    </row>
    <row r="2">
      <c r="A2" s="24"/>
      <c r="B2" s="24">
        <f>Settings!C5</f>
        <v>14</v>
      </c>
      <c r="C2" s="16"/>
      <c r="D2" s="16"/>
      <c r="E2" s="20"/>
      <c r="F2" s="16"/>
      <c r="G2" s="16"/>
      <c r="H2" s="16"/>
    </row>
    <row r="3">
      <c r="A3" s="25"/>
      <c r="B3" s="25" t="s">
        <v>46</v>
      </c>
      <c r="F3" s="25" t="s">
        <v>47</v>
      </c>
    </row>
    <row r="4">
      <c r="A4" s="16"/>
      <c r="B4" s="16"/>
      <c r="C4" s="16"/>
      <c r="D4" s="16"/>
      <c r="F4" s="16"/>
      <c r="G4" s="6" t="str">
        <f>IF(ISBLANK(G6),"ENTER TEAMS HERE FIRST","")</f>
        <v/>
      </c>
    </row>
    <row r="5">
      <c r="A5" s="16"/>
      <c r="B5" s="16" t="s">
        <v>48</v>
      </c>
      <c r="C5" s="16" t="s">
        <v>49</v>
      </c>
      <c r="D5" s="16"/>
      <c r="G5" s="16" t="s">
        <v>49</v>
      </c>
      <c r="H5" s="16" t="s">
        <v>50</v>
      </c>
    </row>
    <row r="6">
      <c r="A6" s="16"/>
      <c r="B6" s="16" t="s">
        <v>51</v>
      </c>
      <c r="C6" s="26" t="s">
        <v>52</v>
      </c>
      <c r="D6" s="16"/>
      <c r="F6" s="16">
        <v>1.0</v>
      </c>
      <c r="G6" s="26" t="s">
        <v>52</v>
      </c>
      <c r="H6" s="6"/>
    </row>
    <row r="7">
      <c r="A7" s="16"/>
      <c r="B7" s="16" t="s">
        <v>53</v>
      </c>
      <c r="C7" s="26" t="s">
        <v>54</v>
      </c>
      <c r="D7" s="20"/>
      <c r="F7" s="16">
        <v>2.0</v>
      </c>
      <c r="G7" s="26" t="s">
        <v>54</v>
      </c>
      <c r="H7" s="20"/>
    </row>
    <row r="8">
      <c r="A8" s="16"/>
      <c r="B8" s="16" t="s">
        <v>55</v>
      </c>
      <c r="C8" s="26" t="s">
        <v>56</v>
      </c>
      <c r="D8" s="20"/>
      <c r="F8" s="16">
        <v>3.0</v>
      </c>
      <c r="G8" s="26" t="s">
        <v>56</v>
      </c>
      <c r="H8" s="20"/>
    </row>
    <row r="9">
      <c r="A9" s="16"/>
      <c r="B9" s="16" t="s">
        <v>57</v>
      </c>
      <c r="C9" s="26" t="s">
        <v>58</v>
      </c>
      <c r="D9" s="20"/>
      <c r="F9" s="16">
        <v>4.0</v>
      </c>
      <c r="G9" s="26" t="s">
        <v>58</v>
      </c>
      <c r="H9" s="20"/>
    </row>
    <row r="10">
      <c r="A10" s="16"/>
      <c r="B10" s="16" t="s">
        <v>59</v>
      </c>
      <c r="C10" s="26" t="s">
        <v>60</v>
      </c>
      <c r="D10" s="20"/>
      <c r="F10" s="16">
        <v>5.0</v>
      </c>
      <c r="G10" s="26" t="s">
        <v>60</v>
      </c>
      <c r="H10" s="20"/>
    </row>
    <row r="11">
      <c r="A11" s="16"/>
      <c r="B11" s="16" t="s">
        <v>61</v>
      </c>
      <c r="C11" s="26" t="s">
        <v>62</v>
      </c>
      <c r="D11" s="20"/>
      <c r="F11" s="16">
        <v>6.0</v>
      </c>
      <c r="G11" s="26" t="s">
        <v>62</v>
      </c>
      <c r="H11" s="20"/>
    </row>
    <row r="12">
      <c r="A12" s="16"/>
      <c r="B12" s="16" t="s">
        <v>63</v>
      </c>
      <c r="C12" s="26" t="s">
        <v>64</v>
      </c>
      <c r="D12" s="20"/>
      <c r="F12" s="16">
        <v>7.0</v>
      </c>
      <c r="G12" s="26" t="s">
        <v>64</v>
      </c>
      <c r="H12" s="20"/>
    </row>
    <row r="13">
      <c r="A13" s="16"/>
      <c r="B13" s="16" t="s">
        <v>65</v>
      </c>
      <c r="C13" s="26" t="s">
        <v>66</v>
      </c>
      <c r="D13" s="20"/>
      <c r="F13" s="16">
        <v>8.0</v>
      </c>
      <c r="G13" s="26" t="s">
        <v>66</v>
      </c>
      <c r="H13" s="20"/>
    </row>
    <row r="14">
      <c r="A14" s="16"/>
      <c r="B14" s="16" t="s">
        <v>67</v>
      </c>
      <c r="C14" s="26" t="s">
        <v>68</v>
      </c>
      <c r="D14" s="20"/>
      <c r="F14" s="16">
        <v>9.0</v>
      </c>
      <c r="G14" s="26" t="s">
        <v>68</v>
      </c>
      <c r="H14" s="20"/>
    </row>
    <row r="15">
      <c r="A15" s="16"/>
      <c r="B15" s="16" t="s">
        <v>69</v>
      </c>
      <c r="C15" s="26" t="s">
        <v>70</v>
      </c>
      <c r="D15" s="20"/>
      <c r="F15" s="16">
        <v>10.0</v>
      </c>
      <c r="G15" s="26" t="s">
        <v>70</v>
      </c>
      <c r="H15" s="20"/>
    </row>
    <row r="16">
      <c r="A16" s="16"/>
      <c r="B16" s="16" t="s">
        <v>71</v>
      </c>
      <c r="C16" s="26" t="s">
        <v>72</v>
      </c>
      <c r="D16" s="20"/>
      <c r="F16" s="16">
        <v>11.0</v>
      </c>
      <c r="G16" s="26" t="s">
        <v>72</v>
      </c>
      <c r="H16" s="20"/>
    </row>
    <row r="17">
      <c r="A17" s="16"/>
      <c r="B17" s="16" t="s">
        <v>73</v>
      </c>
      <c r="C17" s="26" t="s">
        <v>74</v>
      </c>
      <c r="D17" s="20"/>
      <c r="F17" s="16">
        <v>12.0</v>
      </c>
      <c r="G17" s="26" t="s">
        <v>74</v>
      </c>
      <c r="H17" s="20"/>
    </row>
    <row r="18">
      <c r="A18" s="16"/>
      <c r="B18" s="16" t="s">
        <v>75</v>
      </c>
      <c r="C18" s="26" t="s">
        <v>76</v>
      </c>
      <c r="D18" s="20"/>
      <c r="F18" s="16">
        <v>13.0</v>
      </c>
      <c r="G18" s="26" t="s">
        <v>76</v>
      </c>
      <c r="H18" s="20"/>
    </row>
    <row r="19">
      <c r="A19" s="16"/>
      <c r="B19" s="16" t="s">
        <v>77</v>
      </c>
      <c r="C19" s="26" t="s">
        <v>78</v>
      </c>
      <c r="D19" s="20"/>
      <c r="F19" s="16">
        <v>14.0</v>
      </c>
      <c r="G19" s="26" t="s">
        <v>78</v>
      </c>
      <c r="H19" s="20"/>
    </row>
    <row r="20">
      <c r="A20" s="20"/>
      <c r="B20" s="20"/>
      <c r="C20" s="20"/>
      <c r="D20" s="20"/>
      <c r="F20" s="27"/>
      <c r="G20" s="20"/>
      <c r="H20" s="20"/>
    </row>
  </sheetData>
  <mergeCells count="5">
    <mergeCell ref="B1:H1"/>
    <mergeCell ref="E2:E20"/>
    <mergeCell ref="B3:D3"/>
    <mergeCell ref="F3:H3"/>
    <mergeCell ref="G4:H4"/>
  </mergeCells>
  <conditionalFormatting sqref="G4:H4">
    <cfRule type="notContainsBlanks" dxfId="3" priority="1">
      <formula>LEN(TRIM(G4))&gt;0</formula>
    </cfRule>
  </conditionalFormatting>
  <conditionalFormatting sqref="A12:C13">
    <cfRule type="expression" dxfId="4" priority="2">
      <formula> $B$2 &lt;8</formula>
    </cfRule>
  </conditionalFormatting>
  <conditionalFormatting sqref="F12:H13">
    <cfRule type="expression" dxfId="4" priority="3">
      <formula> $B$2 &lt;8</formula>
    </cfRule>
  </conditionalFormatting>
  <conditionalFormatting sqref="A14:D15 F14:H15">
    <cfRule type="expression" dxfId="4" priority="4">
      <formula> $B$2 &lt;10</formula>
    </cfRule>
  </conditionalFormatting>
  <conditionalFormatting sqref="A18:D19 F18:H19">
    <cfRule type="expression" dxfId="4" priority="5">
      <formula> $B$2 &lt;14</formula>
    </cfRule>
  </conditionalFormatting>
  <conditionalFormatting sqref="A16:D17 F16:H17">
    <cfRule type="expression" dxfId="4" priority="6">
      <formula> $B$2 &lt;12</formula>
    </cfRule>
  </conditionalFormatting>
  <dataValidations>
    <dataValidation type="list" allowBlank="1" showErrorMessage="1" sqref="C6:C19">
      <formula1>'Teams &amp; Draft Order'!$G$6:$G$19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6.88"/>
    <col customWidth="1" min="3" max="3" width="22.25"/>
    <col customWidth="1" min="4" max="4" width="25.63"/>
    <col customWidth="1" min="5" max="5" width="7.63"/>
    <col customWidth="1" min="6" max="7" width="6.5"/>
    <col customWidth="1" min="8" max="8" width="4.5"/>
    <col customWidth="1" min="9" max="9" width="22.75"/>
    <col customWidth="1" hidden="1" min="10" max="10" width="10.63"/>
    <col customWidth="1" min="11" max="11" width="6.63"/>
    <col customWidth="1" min="12" max="12" width="20.75"/>
    <col customWidth="1" min="13" max="13" width="5.75"/>
    <col customWidth="1" min="14" max="14" width="6.5"/>
    <col customWidth="1" min="15" max="15" width="4.5"/>
    <col customWidth="1" min="16" max="16" width="20.63"/>
    <col customWidth="1" min="17" max="18" width="6.0"/>
  </cols>
  <sheetData>
    <row r="1">
      <c r="A1" s="28" t="s">
        <v>79</v>
      </c>
      <c r="B1" s="29" t="s">
        <v>80</v>
      </c>
      <c r="C1" s="29" t="str">
        <f>IF(C2="","ENTER TEAMS FIRST","Team")</f>
        <v>Team</v>
      </c>
      <c r="D1" s="29" t="str">
        <f>IF(C2="","SEE DRAFT ORDER TAB","Player")</f>
        <v>Player</v>
      </c>
      <c r="E1" s="29" t="s">
        <v>81</v>
      </c>
      <c r="F1" s="29" t="s">
        <v>82</v>
      </c>
      <c r="G1" s="29" t="s">
        <v>83</v>
      </c>
      <c r="H1" s="29"/>
      <c r="I1" s="30" t="str">
        <f>IFERROR(__xludf.DUMMYFUNCTION("JOIN("" | "",'Team Stats'!C$1:H$1)"),"QB | RB | WR | TE | K | D/ST")</f>
        <v>QB | RB | WR | TE | K | D/ST</v>
      </c>
      <c r="J1" s="31" t="str">
        <f>IFERROR(__xludf.DUMMYFUNCTION("JOIN("" | "",'Team Stats'!I$1:K$1)"),"DL | LB | DB")</f>
        <v>DL | LB | DB</v>
      </c>
      <c r="K1" s="32"/>
      <c r="L1" s="16" t="str">
        <f>"ADP (Fantasypros, "&amp; HOME!C5 &amp;")"</f>
        <v>ADP (Fantasypros, 28.08.2023)</v>
      </c>
      <c r="R1" s="16"/>
    </row>
    <row r="2">
      <c r="A2" s="33" t="s">
        <v>84</v>
      </c>
      <c r="B2" s="34">
        <v>1.0</v>
      </c>
      <c r="C2" s="34" t="str">
        <f>'Teams &amp; Draft Order'!$C$6</f>
        <v>Sleeper Cell </v>
      </c>
      <c r="D2" s="35"/>
      <c r="E2" s="36" t="str">
        <f>IFERROR(VLOOKUP($D2,PlayerDB!$F$2:$G209,2,FALSE),"")</f>
        <v/>
      </c>
      <c r="F2" s="36" t="str">
        <f>IFERROR(VLOOKUP($D2,PlayerDB!$F$2:$H209,3,FALSE),"")</f>
        <v/>
      </c>
      <c r="G2" s="37" t="str">
        <f>IFERROR(VLOOKUP($D2,PlayerDB!$F$2:$I209,4,FALSE),"")</f>
        <v/>
      </c>
      <c r="H2" s="38"/>
      <c r="I2" s="39" t="str">
        <f>IFERROR(__xludf.DUMMYFUNCTION("JOIN("" | "",'Team Stats'!C$2:H$2)"),"1 | 0 | 0 | 0 | 0 | 0")</f>
        <v>1 | 0 | 0 | 0 | 0 | 0</v>
      </c>
      <c r="J2" s="40" t="str">
        <f>IFERROR(__xludf.DUMMYFUNCTION("JOIN("" | "",'Team Stats'!I$2:K$2)"),"0 | 0 | 0")</f>
        <v>0 | 0 | 0</v>
      </c>
      <c r="K2" s="32"/>
      <c r="L2" s="41" t="s">
        <v>85</v>
      </c>
      <c r="O2" s="42"/>
      <c r="P2" s="43" t="s">
        <v>28</v>
      </c>
      <c r="Q2" s="44">
        <f>COUNTIF(F:F,"QB")</f>
        <v>0</v>
      </c>
      <c r="R2" s="44"/>
    </row>
    <row r="3">
      <c r="A3" s="45"/>
      <c r="B3" s="46">
        <v>2.0</v>
      </c>
      <c r="C3" s="46" t="str">
        <f>'Teams &amp; Draft Order'!$C$7</f>
        <v>Phantasm</v>
      </c>
      <c r="D3" s="47"/>
      <c r="E3" s="48" t="str">
        <f>IFERROR(VLOOKUP($D3,PlayerDB!$F$2:$G209,2,FALSE),"")</f>
        <v/>
      </c>
      <c r="F3" s="48" t="str">
        <f>IFERROR(VLOOKUP($D3,PlayerDB!$F$2:$H209,3,FALSE),"")</f>
        <v/>
      </c>
      <c r="G3" s="49" t="str">
        <f>IFERROR(VLOOKUP($D3,PlayerDB!$F$2:$I209,4,FALSE),"")</f>
        <v/>
      </c>
      <c r="H3" s="38"/>
      <c r="I3" s="50" t="str">
        <f>IFERROR(__xludf.DUMMYFUNCTION("JOIN("" | "",'Team Stats'!C$3:H$3)"),"0 | 0 | 0 | 0 | 0 | 0")</f>
        <v>0 | 0 | 0 | 0 | 0 | 0</v>
      </c>
      <c r="J3" s="51" t="str">
        <f>IFERROR(__xludf.DUMMYFUNCTION("JOIN("" | "",'Team Stats'!I$3:K$3)"),"0 | 0 | 0")</f>
        <v>0 | 0 | 0</v>
      </c>
      <c r="L3" s="42" t="str">
        <f>IFERROR(__xludf.DUMMYFUNCTION("QUERY(HELP_PlayersLeft!A2:B209, ""select A LIMIT 20"")"),"Ja'Marr Chase – CIN")</f>
        <v>Ja'Marr Chase – CIN</v>
      </c>
      <c r="M3" s="52">
        <f>IFERROR(VLOOKUP(L3,PlayerDB!$F$2:$G209,2,FALSE),"")</f>
        <v>231.2</v>
      </c>
      <c r="N3" s="53" t="str">
        <f>IFERROR(VLOOKUP($L3,PlayerDB!$F$2:$H209,3,FALSE),"")</f>
        <v>WR</v>
      </c>
      <c r="O3" s="42"/>
      <c r="P3" s="42" t="str">
        <f>IFERROR(__xludf.DUMMYFUNCTION("QUERY(HELP_PlayersLeft!A2:B209, ""select A where B ='QB' LIMIT 20"")"),"Lamar Jackson – BAL")</f>
        <v>Lamar Jackson – BAL</v>
      </c>
      <c r="Q3" s="52">
        <f>IFERROR(VLOOKUP(P3,PlayerDB!$F$2:$G209,2,FALSE),"")</f>
        <v>378.8</v>
      </c>
    </row>
    <row r="4">
      <c r="A4" s="33"/>
      <c r="B4" s="34">
        <v>3.0</v>
      </c>
      <c r="C4" s="34" t="str">
        <f>'Teams &amp; Draft Order'!$C$8</f>
        <v>Icelanders</v>
      </c>
      <c r="D4" s="35"/>
      <c r="E4" s="36" t="str">
        <f>IFERROR(VLOOKUP($D4,PlayerDB!$F$2:$G209,2,FALSE),"")</f>
        <v/>
      </c>
      <c r="F4" s="36" t="str">
        <f>IFERROR(VLOOKUP($D4,PlayerDB!$F$2:$H209,3,FALSE),"")</f>
        <v/>
      </c>
      <c r="G4" s="37" t="str">
        <f>IFERROR(VLOOKUP($D4,PlayerDB!$F$2:$I209,4,FALSE),"")</f>
        <v/>
      </c>
      <c r="H4" s="38"/>
      <c r="I4" s="39" t="str">
        <f>IFERROR(__xludf.DUMMYFUNCTION("JOIN("" | "",'Team Stats'!C$4:H$4)"),"0 | 0 | 0 | 0 | 0 | 0")</f>
        <v>0 | 0 | 0 | 0 | 0 | 0</v>
      </c>
      <c r="J4" s="40" t="str">
        <f>IFERROR(__xludf.DUMMYFUNCTION("JOIN("" | "",'Team Stats'!I$4:K$4)"),"0 | 0 | 0")</f>
        <v>0 | 0 | 0</v>
      </c>
      <c r="L4" s="20" t="str">
        <f>IFERROR(__xludf.DUMMYFUNCTION("""COMPUTED_VALUE"""),"Lamar Jackson – BAL")</f>
        <v>Lamar Jackson – BAL</v>
      </c>
      <c r="M4" s="52">
        <f>IFERROR(VLOOKUP(L4,PlayerDB!$F$2:$G209,2,FALSE),"")</f>
        <v>378.8</v>
      </c>
      <c r="N4" s="53" t="str">
        <f>IFERROR(VLOOKUP($L4,PlayerDB!$F$2:$H209,3,FALSE),"")</f>
        <v>QB</v>
      </c>
      <c r="O4" s="42"/>
      <c r="P4" s="20" t="str">
        <f>IFERROR(__xludf.DUMMYFUNCTION("""COMPUTED_VALUE"""),"Josh Allen – BUF")</f>
        <v>Josh Allen – BUF</v>
      </c>
      <c r="Q4" s="52">
        <f>IFERROR(VLOOKUP(P4,PlayerDB!$F$2:$G209,2,FALSE),"")</f>
        <v>376.7</v>
      </c>
    </row>
    <row r="5">
      <c r="A5" s="45"/>
      <c r="B5" s="46">
        <v>4.0</v>
      </c>
      <c r="C5" s="46" t="str">
        <f>'Teams &amp; Draft Order'!$C$9</f>
        <v>El Nino</v>
      </c>
      <c r="D5" s="47"/>
      <c r="E5" s="48" t="str">
        <f>IFERROR(VLOOKUP($D5,PlayerDB!$F$2:$G209,2,FALSE),"")</f>
        <v/>
      </c>
      <c r="F5" s="48" t="str">
        <f>IFERROR(VLOOKUP($D5,PlayerDB!$F$2:$H209,3,FALSE),"")</f>
        <v/>
      </c>
      <c r="G5" s="49" t="str">
        <f>IFERROR(VLOOKUP($D5,PlayerDB!$F$2:$I209,4,FALSE),"")</f>
        <v/>
      </c>
      <c r="H5" s="38"/>
      <c r="I5" s="50" t="str">
        <f>IFERROR(__xludf.DUMMYFUNCTION("JOIN("" | "",'Team Stats'!C$5:H$5)"),"0 | 0 | 0 | 0 | 0 | 0")</f>
        <v>0 | 0 | 0 | 0 | 0 | 0</v>
      </c>
      <c r="J5" s="51" t="str">
        <f>IFERROR(__xludf.DUMMYFUNCTION("JOIN("" | "",'Team Stats'!I$5:K$5)"),"0 | 0 | 0")</f>
        <v>0 | 0 | 0</v>
      </c>
      <c r="L5" s="42" t="str">
        <f>IFERROR(__xludf.DUMMYFUNCTION("""COMPUTED_VALUE"""),"Brock Bowers – LV")</f>
        <v>Brock Bowers – LV</v>
      </c>
      <c r="M5" s="52">
        <f>IFERROR(VLOOKUP(L5,PlayerDB!$F$2:$G209,2,FALSE),"")</f>
        <v>149.7</v>
      </c>
      <c r="N5" s="53" t="str">
        <f>IFERROR(VLOOKUP($L5,PlayerDB!$F$2:$H209,3,FALSE),"")</f>
        <v>TE</v>
      </c>
      <c r="O5" s="42"/>
      <c r="P5" s="42" t="str">
        <f>IFERROR(__xludf.DUMMYFUNCTION("""COMPUTED_VALUE"""),"Jalen Hurts – PHI")</f>
        <v>Jalen Hurts – PHI</v>
      </c>
      <c r="Q5" s="52">
        <f>IFERROR(VLOOKUP(P5,PlayerDB!$F$2:$G209,2,FALSE),"")</f>
        <v>356.6</v>
      </c>
    </row>
    <row r="6">
      <c r="A6" s="33"/>
      <c r="B6" s="34">
        <v>5.0</v>
      </c>
      <c r="C6" s="34" t="str">
        <f>'Teams &amp; Draft Order'!$C$10</f>
        <v>Buttheads</v>
      </c>
      <c r="D6" s="35"/>
      <c r="E6" s="36" t="str">
        <f>IFERROR(VLOOKUP($D6,PlayerDB!$F$2:$G209,2,FALSE),"")</f>
        <v/>
      </c>
      <c r="F6" s="36" t="str">
        <f>IFERROR(VLOOKUP($D6,PlayerDB!$F$2:$H209,3,FALSE),"")</f>
        <v/>
      </c>
      <c r="G6" s="37" t="str">
        <f>IFERROR(VLOOKUP($D6,PlayerDB!$F$2:$I209,4,FALSE),"")</f>
        <v/>
      </c>
      <c r="H6" s="38"/>
      <c r="I6" s="39" t="str">
        <f>IFERROR(__xludf.DUMMYFUNCTION("JOIN("" | "",'Team Stats'!C$6:H$6)"),"0 | 0 | 0 | 0 | 0 | 0")</f>
        <v>0 | 0 | 0 | 0 | 0 | 0</v>
      </c>
      <c r="J6" s="40" t="str">
        <f>IFERROR(__xludf.DUMMYFUNCTION("JOIN("" | "",'Team Stats'!I$6:K$6)"),"0 | 0 | 0")</f>
        <v>0 | 0 | 0</v>
      </c>
      <c r="L6" s="42" t="str">
        <f>IFERROR(__xludf.DUMMYFUNCTION("""COMPUTED_VALUE"""),"Brandon Aubrey – DAL")</f>
        <v>Brandon Aubrey – DAL</v>
      </c>
      <c r="M6" s="52">
        <f>IFERROR(VLOOKUP(L6,PlayerDB!$F$2:$G209,2,FALSE),"")</f>
        <v>140</v>
      </c>
      <c r="N6" s="53" t="str">
        <f>IFERROR(VLOOKUP($L6,PlayerDB!$F$2:$H209,3,FALSE),"")</f>
        <v>K</v>
      </c>
      <c r="O6" s="42"/>
      <c r="P6" s="42" t="str">
        <f>IFERROR(__xludf.DUMMYFUNCTION("""COMPUTED_VALUE"""),"Jayden Daniels – WAS")</f>
        <v>Jayden Daniels – WAS</v>
      </c>
      <c r="Q6" s="52">
        <f>IFERROR(VLOOKUP(P6,PlayerDB!$F$2:$G209,2,FALSE),"")</f>
        <v>355.8</v>
      </c>
    </row>
    <row r="7">
      <c r="A7" s="45"/>
      <c r="B7" s="46">
        <v>6.0</v>
      </c>
      <c r="C7" s="46" t="str">
        <f>'Teams &amp; Draft Order'!$C$11</f>
        <v>Big Boys Big Work</v>
      </c>
      <c r="D7" s="47"/>
      <c r="E7" s="48" t="str">
        <f>IFERROR(VLOOKUP($D7,PlayerDB!$F$2:$G209,2,FALSE),"")</f>
        <v/>
      </c>
      <c r="F7" s="48" t="str">
        <f>IFERROR(VLOOKUP($D7,PlayerDB!$F$2:$H209,3,FALSE),"")</f>
        <v/>
      </c>
      <c r="G7" s="49" t="str">
        <f>IFERROR(VLOOKUP($D7,PlayerDB!$F$2:$I209,4,FALSE),"")</f>
        <v/>
      </c>
      <c r="H7" s="38"/>
      <c r="I7" s="50" t="str">
        <f>IFERROR(__xludf.DUMMYFUNCTION("JOIN("" | "",'Team Stats'!C$7:H$7)"),"0 | 0 | 0 | 0 | 0 | 0")</f>
        <v>0 | 0 | 0 | 0 | 0 | 0</v>
      </c>
      <c r="J7" s="51" t="str">
        <f>IFERROR(__xludf.DUMMYFUNCTION("JOIN("" | "",'Team Stats'!I$7:K$7)"),"0 | 0 | 0")</f>
        <v>0 | 0 | 0</v>
      </c>
      <c r="L7" s="42" t="str">
        <f>IFERROR(__xludf.DUMMYFUNCTION("""COMPUTED_VALUE"""),"Christian McCaffrey – SF")</f>
        <v>Christian McCaffrey – SF</v>
      </c>
      <c r="M7" s="52">
        <f>IFERROR(VLOOKUP(L7,PlayerDB!$F$2:$G209,2,FALSE),"")</f>
        <v>254</v>
      </c>
      <c r="N7" s="53" t="str">
        <f>IFERROR(VLOOKUP($L7,PlayerDB!$F$2:$H209,3,FALSE),"")</f>
        <v>RB</v>
      </c>
      <c r="O7" s="42"/>
      <c r="P7" s="42" t="str">
        <f>IFERROR(__xludf.DUMMYFUNCTION("""COMPUTED_VALUE"""),"Joe Burrow – CIN")</f>
        <v>Joe Burrow – CIN</v>
      </c>
      <c r="Q7" s="52">
        <f>IFERROR(VLOOKUP(P7,PlayerDB!$F$2:$G209,2,FALSE),"")</f>
        <v>341.6</v>
      </c>
    </row>
    <row r="8">
      <c r="A8" s="33"/>
      <c r="B8" s="34">
        <v>7.0</v>
      </c>
      <c r="C8" s="34" t="str">
        <f>'Teams &amp; Draft Order'!$C$12</f>
        <v>Turbo-Ginz</v>
      </c>
      <c r="D8" s="35"/>
      <c r="E8" s="36" t="str">
        <f>IFERROR(VLOOKUP($D8,PlayerDB!$F$2:$G209,2,FALSE),"")</f>
        <v/>
      </c>
      <c r="F8" s="36" t="str">
        <f>IFERROR(VLOOKUP($D8,PlayerDB!$F$2:$H209,3,FALSE),"")</f>
        <v/>
      </c>
      <c r="G8" s="37" t="str">
        <f>IFERROR(VLOOKUP($D8,PlayerDB!$F$2:$I209,4,FALSE),"")</f>
        <v/>
      </c>
      <c r="H8" s="38"/>
      <c r="I8" s="39" t="str">
        <f>IFERROR(__xludf.DUMMYFUNCTION("JOIN("" | "",'Team Stats'!C$8:H$8)"),"0 | 0 | 0 | 0 | 0 | 0")</f>
        <v>0 | 0 | 0 | 0 | 0 | 0</v>
      </c>
      <c r="J8" s="40" t="str">
        <f>IFERROR(__xludf.DUMMYFUNCTION("JOIN("" | "",'Team Stats'!I$8:K$8)"),"0 | 0 | 0")</f>
        <v>0 | 0 | 0</v>
      </c>
      <c r="L8" s="42" t="str">
        <f>IFERROR(__xludf.DUMMYFUNCTION("""COMPUTED_VALUE"""),"Justin Jefferson – MIN")</f>
        <v>Justin Jefferson – MIN</v>
      </c>
      <c r="M8" s="52">
        <f>IFERROR(VLOOKUP(L8,PlayerDB!$F$2:$G209,2,FALSE),"")</f>
        <v>205.2</v>
      </c>
      <c r="N8" s="53" t="str">
        <f>IFERROR(VLOOKUP($L8,PlayerDB!$F$2:$H209,3,FALSE),"")</f>
        <v>WR</v>
      </c>
      <c r="O8" s="42"/>
      <c r="P8" s="42" t="str">
        <f>IFERROR(__xludf.DUMMYFUNCTION("""COMPUTED_VALUE"""),"Patrick Mahomes – KC")</f>
        <v>Patrick Mahomes – KC</v>
      </c>
      <c r="Q8" s="52">
        <f>IFERROR(VLOOKUP(P8,PlayerDB!$F$2:$G209,2,FALSE),"")</f>
        <v>327.1</v>
      </c>
    </row>
    <row r="9">
      <c r="A9" s="54"/>
      <c r="B9" s="55">
        <v>8.0</v>
      </c>
      <c r="C9" s="55" t="str">
        <f>'Teams &amp; Draft Order'!$C$13</f>
        <v>Luddite</v>
      </c>
      <c r="D9" s="56"/>
      <c r="E9" s="57" t="str">
        <f>IFERROR(VLOOKUP($D9,PlayerDB!$F$2:$G209,2,FALSE),"")</f>
        <v/>
      </c>
      <c r="F9" s="57" t="str">
        <f>IFERROR(VLOOKUP($D9,PlayerDB!$F$2:$H209,3,FALSE),"")</f>
        <v/>
      </c>
      <c r="G9" s="58" t="str">
        <f>IFERROR(VLOOKUP($D9,PlayerDB!$F$2:$I209,4,FALSE),"")</f>
        <v/>
      </c>
      <c r="H9" s="59"/>
      <c r="I9" s="60" t="str">
        <f>IFERROR(__xludf.DUMMYFUNCTION("JOIN("" | "",'Team Stats'!C$9:H$9)"),"0 | 0 | 0 | 0 | 0 | 0")</f>
        <v>0 | 0 | 0 | 0 | 0 | 0</v>
      </c>
      <c r="J9" s="51" t="str">
        <f>IFERROR(__xludf.DUMMYFUNCTION("JOIN("" | "",'Team Stats'!I$9:K$9)"),"0 | 0 | 0")</f>
        <v>0 | 0 | 0</v>
      </c>
      <c r="L9" s="42" t="str">
        <f>IFERROR(__xludf.DUMMYFUNCTION("""COMPUTED_VALUE"""),"Josh Allen – BUF")</f>
        <v>Josh Allen – BUF</v>
      </c>
      <c r="M9" s="52">
        <f>IFERROR(VLOOKUP(L9,PlayerDB!$F$2:$G209,2,FALSE),"")</f>
        <v>376.7</v>
      </c>
      <c r="N9" s="53" t="str">
        <f>IFERROR(VLOOKUP($L9,PlayerDB!$F$2:$H209,3,FALSE),"")</f>
        <v>QB</v>
      </c>
      <c r="O9" s="42"/>
      <c r="P9" s="42" t="str">
        <f>IFERROR(__xludf.DUMMYFUNCTION("""COMPUTED_VALUE"""),"Baker Mayfield – TB")</f>
        <v>Baker Mayfield – TB</v>
      </c>
      <c r="Q9" s="52">
        <f>IFERROR(VLOOKUP(P9,PlayerDB!$F$2:$G209,2,FALSE),"")</f>
        <v>321.6</v>
      </c>
    </row>
    <row r="10">
      <c r="A10" s="33" t="s">
        <v>86</v>
      </c>
      <c r="B10" s="34">
        <v>9.0</v>
      </c>
      <c r="C10" s="34" t="str">
        <f>'Teams &amp; Draft Order'!$C$13</f>
        <v>Luddite</v>
      </c>
      <c r="D10" s="35"/>
      <c r="E10" s="36" t="str">
        <f>IFERROR(VLOOKUP($D10,PlayerDB!$F$2:$G209,2,FALSE),"")</f>
        <v/>
      </c>
      <c r="F10" s="36" t="str">
        <f>IFERROR(VLOOKUP($D10,PlayerDB!$F$2:$H209,3,FALSE),"")</f>
        <v/>
      </c>
      <c r="G10" s="37" t="str">
        <f>IFERROR(VLOOKUP($D10,PlayerDB!$F$2:$I209,4,FALSE),"")</f>
        <v/>
      </c>
      <c r="H10" s="38"/>
      <c r="I10" s="39" t="str">
        <f>IFERROR(__xludf.DUMMYFUNCTION("JOIN("" | "",'Team Stats'!C$9:H$9)"),"0 | 0 | 0 | 0 | 0 | 0")</f>
        <v>0 | 0 | 0 | 0 | 0 | 0</v>
      </c>
      <c r="J10" s="40" t="str">
        <f>IFERROR(__xludf.DUMMYFUNCTION("JOIN("" | "",#REF!)"),"#REF!")</f>
        <v>#REF!</v>
      </c>
      <c r="L10" s="42" t="str">
        <f>IFERROR(__xludf.DUMMYFUNCTION("""COMPUTED_VALUE"""),"George Kittle – SF")</f>
        <v>George Kittle – SF</v>
      </c>
      <c r="M10" s="52">
        <f>IFERROR(VLOOKUP(L10,PlayerDB!$F$2:$G209,2,FALSE),"")</f>
        <v>147.6</v>
      </c>
      <c r="N10" s="53" t="str">
        <f>IFERROR(VLOOKUP($L10,PlayerDB!$F$2:$H209,3,FALSE),"")</f>
        <v>TE</v>
      </c>
      <c r="O10" s="42"/>
      <c r="P10" s="42" t="str">
        <f>IFERROR(__xludf.DUMMYFUNCTION("""COMPUTED_VALUE"""),"Kyler Murray – ARI")</f>
        <v>Kyler Murray – ARI</v>
      </c>
      <c r="Q10" s="52">
        <f>IFERROR(VLOOKUP(P10,PlayerDB!$F$2:$G209,2,FALSE),"")</f>
        <v>319</v>
      </c>
    </row>
    <row r="11">
      <c r="A11" s="45"/>
      <c r="B11" s="46">
        <v>10.0</v>
      </c>
      <c r="C11" s="46" t="str">
        <f>'Teams &amp; Draft Order'!$C$12</f>
        <v>Turbo-Ginz</v>
      </c>
      <c r="D11" s="47"/>
      <c r="E11" s="48" t="str">
        <f>IFERROR(VLOOKUP($D11,PlayerDB!$F$2:$G209,2,FALSE),"")</f>
        <v/>
      </c>
      <c r="F11" s="48" t="str">
        <f>IFERROR(VLOOKUP($D11,PlayerDB!$F$2:$H209,3,FALSE),"")</f>
        <v/>
      </c>
      <c r="G11" s="49" t="str">
        <f>IFERROR(VLOOKUP($D11,PlayerDB!$F$2:$I209,4,FALSE),"")</f>
        <v/>
      </c>
      <c r="H11" s="38"/>
      <c r="I11" s="50" t="str">
        <f>IFERROR(__xludf.DUMMYFUNCTION("JOIN("" | "",'Team Stats'!C$8:H$8)"),"0 | 0 | 0 | 0 | 0 | 0")</f>
        <v>0 | 0 | 0 | 0 | 0 | 0</v>
      </c>
      <c r="J11" s="51" t="str">
        <f>IFERROR(__xludf.DUMMYFUNCTION("JOIN("" | "",#REF!)"),"#REF!")</f>
        <v>#REF!</v>
      </c>
      <c r="L11" s="42" t="str">
        <f>IFERROR(__xludf.DUMMYFUNCTION("""COMPUTED_VALUE"""),"Chase McLaughlin – TB")</f>
        <v>Chase McLaughlin – TB</v>
      </c>
      <c r="M11" s="52">
        <f>IFERROR(VLOOKUP(L11,PlayerDB!$F$2:$G209,2,FALSE),"")</f>
        <v>136</v>
      </c>
      <c r="N11" s="53" t="str">
        <f>IFERROR(VLOOKUP($L11,PlayerDB!$F$2:$H209,3,FALSE),"")</f>
        <v>K</v>
      </c>
      <c r="O11" s="42"/>
      <c r="P11" s="42" t="str">
        <f>IFERROR(__xludf.DUMMYFUNCTION("""COMPUTED_VALUE"""),"Brock Purdy – SF")</f>
        <v>Brock Purdy – SF</v>
      </c>
      <c r="Q11" s="52">
        <f>IFERROR(VLOOKUP(P11,PlayerDB!$F$2:$G209,2,FALSE),"")</f>
        <v>309.6</v>
      </c>
    </row>
    <row r="12">
      <c r="A12" s="33"/>
      <c r="B12" s="34">
        <v>11.0</v>
      </c>
      <c r="C12" s="34" t="str">
        <f>'Teams &amp; Draft Order'!$C$11</f>
        <v>Big Boys Big Work</v>
      </c>
      <c r="D12" s="35"/>
      <c r="E12" s="36" t="str">
        <f>IFERROR(VLOOKUP($D12,PlayerDB!$F$2:$G209,2,FALSE),"")</f>
        <v/>
      </c>
      <c r="F12" s="36" t="str">
        <f>IFERROR(VLOOKUP($D12,PlayerDB!$F$2:$H209,3,FALSE),"")</f>
        <v/>
      </c>
      <c r="G12" s="37" t="str">
        <f>IFERROR(VLOOKUP($D12,PlayerDB!$F$2:$I209,4,FALSE),"")</f>
        <v/>
      </c>
      <c r="H12" s="38"/>
      <c r="I12" s="39" t="str">
        <f>IFERROR(__xludf.DUMMYFUNCTION("JOIN("" | "",'Team Stats'!C$7:H$7)"),"0 | 0 | 0 | 0 | 0 | 0")</f>
        <v>0 | 0 | 0 | 0 | 0 | 0</v>
      </c>
      <c r="J12" s="40" t="str">
        <f>IFERROR(__xludf.DUMMYFUNCTION("JOIN("" | "",#REF!)"),"#REF!")</f>
        <v>#REF!</v>
      </c>
      <c r="L12" s="42" t="str">
        <f>IFERROR(__xludf.DUMMYFUNCTION("""COMPUTED_VALUE"""),"Derrick Henry – BAL")</f>
        <v>Derrick Henry – BAL</v>
      </c>
      <c r="M12" s="52">
        <f>IFERROR(VLOOKUP(L12,PlayerDB!$F$2:$G209,2,FALSE),"")</f>
        <v>253</v>
      </c>
      <c r="N12" s="53" t="str">
        <f>IFERROR(VLOOKUP($L12,PlayerDB!$F$2:$H209,3,FALSE),"")</f>
        <v>RB</v>
      </c>
      <c r="O12" s="61"/>
      <c r="P12" s="42" t="str">
        <f>IFERROR(__xludf.DUMMYFUNCTION("""COMPUTED_VALUE"""),"Bo Nix – DEN")</f>
        <v>Bo Nix – DEN</v>
      </c>
      <c r="Q12" s="52">
        <f>IFERROR(VLOOKUP(P12,PlayerDB!$F$2:$G209,2,FALSE),"")</f>
        <v>308.8</v>
      </c>
    </row>
    <row r="13">
      <c r="A13" s="45"/>
      <c r="B13" s="46">
        <v>12.0</v>
      </c>
      <c r="C13" s="46" t="str">
        <f>'Teams &amp; Draft Order'!$C$10</f>
        <v>Buttheads</v>
      </c>
      <c r="D13" s="47"/>
      <c r="E13" s="48" t="str">
        <f>IFERROR(VLOOKUP($D13,PlayerDB!$F$2:$G209,2,FALSE),"")</f>
        <v/>
      </c>
      <c r="F13" s="48" t="str">
        <f>IFERROR(VLOOKUP($D13,PlayerDB!$F$2:$H209,3,FALSE),"")</f>
        <v/>
      </c>
      <c r="G13" s="49" t="str">
        <f>IFERROR(VLOOKUP($D13,PlayerDB!$F$2:$I209,4,FALSE),"")</f>
        <v/>
      </c>
      <c r="H13" s="38"/>
      <c r="I13" s="50" t="str">
        <f>IFERROR(__xludf.DUMMYFUNCTION("JOIN("" | "",'Team Stats'!C$6:H$6)"),"0 | 0 | 0 | 0 | 0 | 0")</f>
        <v>0 | 0 | 0 | 0 | 0 | 0</v>
      </c>
      <c r="J13" s="51" t="str">
        <f>IFERROR(__xludf.DUMMYFUNCTION("JOIN("" | "",#REF!)"),"#REF!")</f>
        <v>#REF!</v>
      </c>
      <c r="L13" s="42" t="str">
        <f>IFERROR(__xludf.DUMMYFUNCTION("""COMPUTED_VALUE"""),"CeeDee Lamb – DAL")</f>
        <v>CeeDee Lamb – DAL</v>
      </c>
      <c r="M13" s="52">
        <f>IFERROR(VLOOKUP(L13,PlayerDB!$F$2:$G209,2,FALSE),"")</f>
        <v>193</v>
      </c>
      <c r="N13" s="53" t="str">
        <f>IFERROR(VLOOKUP($L13,PlayerDB!$F$2:$H209,3,FALSE),"")</f>
        <v>WR</v>
      </c>
      <c r="O13" s="42"/>
      <c r="P13" s="42" t="str">
        <f>IFERROR(__xludf.DUMMYFUNCTION("""COMPUTED_VALUE"""),"Justin Fields – NYJ")</f>
        <v>Justin Fields – NYJ</v>
      </c>
      <c r="Q13" s="52">
        <f>IFERROR(VLOOKUP(P13,PlayerDB!$F$2:$G209,2,FALSE),"")</f>
        <v>300.9</v>
      </c>
    </row>
    <row r="14">
      <c r="A14" s="33"/>
      <c r="B14" s="34">
        <v>13.0</v>
      </c>
      <c r="C14" s="34" t="str">
        <f>'Teams &amp; Draft Order'!$C$9</f>
        <v>El Nino</v>
      </c>
      <c r="D14" s="35"/>
      <c r="E14" s="36" t="str">
        <f>IFERROR(VLOOKUP($D14,PlayerDB!$F$2:$G209,2,FALSE),"")</f>
        <v/>
      </c>
      <c r="F14" s="36" t="str">
        <f>IFERROR(VLOOKUP($D14,PlayerDB!$F$2:$H209,3,FALSE),"")</f>
        <v/>
      </c>
      <c r="G14" s="37" t="str">
        <f>IFERROR(VLOOKUP($D14,PlayerDB!$F$2:$I209,4,FALSE),"")</f>
        <v/>
      </c>
      <c r="H14" s="38"/>
      <c r="I14" s="39" t="str">
        <f>IFERROR(__xludf.DUMMYFUNCTION("JOIN("" | "",'Team Stats'!C$5:H$5)"),"0 | 0 | 0 | 0 | 0 | 0")</f>
        <v>0 | 0 | 0 | 0 | 0 | 0</v>
      </c>
      <c r="J14" s="62" t="str">
        <f>IFERROR(__xludf.DUMMYFUNCTION("JOIN("" | "",#REF!)"),"#REF!")</f>
        <v>#REF!</v>
      </c>
      <c r="L14" s="42" t="str">
        <f>IFERROR(__xludf.DUMMYFUNCTION("""COMPUTED_VALUE"""),"Jalen Hurts – PHI")</f>
        <v>Jalen Hurts – PHI</v>
      </c>
      <c r="M14" s="52">
        <f>IFERROR(VLOOKUP(L14,PlayerDB!$F$2:$G209,2,FALSE),"")</f>
        <v>356.6</v>
      </c>
      <c r="N14" s="53" t="str">
        <f>IFERROR(VLOOKUP($L14,PlayerDB!$F$2:$H209,3,FALSE),"")</f>
        <v>QB</v>
      </c>
      <c r="O14" s="42"/>
      <c r="P14" s="42" t="str">
        <f>IFERROR(__xludf.DUMMYFUNCTION("""COMPUTED_VALUE"""),"Justin Herbert – LAC")</f>
        <v>Justin Herbert – LAC</v>
      </c>
      <c r="Q14" s="52">
        <f>IFERROR(VLOOKUP(P14,PlayerDB!$F$2:$G209,2,FALSE),"")</f>
        <v>293.8</v>
      </c>
    </row>
    <row r="15">
      <c r="A15" s="45"/>
      <c r="B15" s="46">
        <v>14.0</v>
      </c>
      <c r="C15" s="46" t="str">
        <f>'Teams &amp; Draft Order'!$C$8</f>
        <v>Icelanders</v>
      </c>
      <c r="D15" s="47"/>
      <c r="E15" s="48" t="str">
        <f>IFERROR(VLOOKUP($D15,PlayerDB!$F$2:$G209,2,FALSE),"")</f>
        <v/>
      </c>
      <c r="F15" s="48" t="str">
        <f>IFERROR(VLOOKUP($D15,PlayerDB!$F$2:$H209,3,FALSE),"")</f>
        <v/>
      </c>
      <c r="G15" s="49" t="str">
        <f>IFERROR(VLOOKUP($D15,PlayerDB!$F$2:$I209,4,FALSE),"")</f>
        <v/>
      </c>
      <c r="H15" s="38"/>
      <c r="I15" s="50" t="str">
        <f>IFERROR(__xludf.DUMMYFUNCTION("JOIN("" | "",'Team Stats'!C$4:H$4)"),"0 | 0 | 0 | 0 | 0 | 0")</f>
        <v>0 | 0 | 0 | 0 | 0 | 0</v>
      </c>
      <c r="J15" s="51" t="str">
        <f>IFERROR(__xludf.DUMMYFUNCTION("JOIN("" | "",#REF!)"),"#REF!")</f>
        <v>#REF!</v>
      </c>
      <c r="L15" s="42" t="str">
        <f>IFERROR(__xludf.DUMMYFUNCTION("""COMPUTED_VALUE"""),"Trey McBride – ARI")</f>
        <v>Trey McBride – ARI</v>
      </c>
      <c r="M15" s="52">
        <f>IFERROR(VLOOKUP(L15,PlayerDB!$F$2:$G209,2,FALSE),"")</f>
        <v>139.4</v>
      </c>
      <c r="N15" s="53" t="str">
        <f>IFERROR(VLOOKUP($L15,PlayerDB!$F$2:$H209,3,FALSE),"")</f>
        <v>TE</v>
      </c>
      <c r="O15" s="42"/>
      <c r="P15" s="42" t="str">
        <f>IFERROR(__xludf.DUMMYFUNCTION("""COMPUTED_VALUE"""),"Jared Goff – DET")</f>
        <v>Jared Goff – DET</v>
      </c>
      <c r="Q15" s="52">
        <f>IFERROR(VLOOKUP(P15,PlayerDB!$F$2:$G209,2,FALSE),"")</f>
        <v>290</v>
      </c>
    </row>
    <row r="16">
      <c r="A16" s="33"/>
      <c r="B16" s="34">
        <v>15.0</v>
      </c>
      <c r="C16" s="34" t="str">
        <f>'Teams &amp; Draft Order'!$C$7</f>
        <v>Phantasm</v>
      </c>
      <c r="D16" s="35"/>
      <c r="E16" s="36" t="str">
        <f>IFERROR(VLOOKUP($D16,PlayerDB!$F$2:$G209,2,FALSE),"")</f>
        <v/>
      </c>
      <c r="F16" s="36" t="str">
        <f>IFERROR(VLOOKUP($D16,PlayerDB!$F$2:$H209,3,FALSE),"")</f>
        <v/>
      </c>
      <c r="G16" s="37" t="str">
        <f>IFERROR(VLOOKUP($D16,PlayerDB!$F$2:$I209,4,FALSE),"")</f>
        <v/>
      </c>
      <c r="H16" s="38"/>
      <c r="I16" s="39" t="str">
        <f>IFERROR(__xludf.DUMMYFUNCTION("JOIN("" | "",'Team Stats'!C$3:H$3)"),"0 | 0 | 0 | 0 | 0 | 0")</f>
        <v>0 | 0 | 0 | 0 | 0 | 0</v>
      </c>
      <c r="J16" s="40" t="str">
        <f>IFERROR(__xludf.DUMMYFUNCTION("JOIN("" | "",#REF!)"),"#REF!")</f>
        <v>#REF!</v>
      </c>
      <c r="L16" s="42" t="str">
        <f>IFERROR(__xludf.DUMMYFUNCTION("""COMPUTED_VALUE"""),"Cameron Dicker – LAC")</f>
        <v>Cameron Dicker – LAC</v>
      </c>
      <c r="M16" s="52">
        <f>IFERROR(VLOOKUP(L16,PlayerDB!$F$2:$G209,2,FALSE),"")</f>
        <v>135</v>
      </c>
      <c r="N16" s="53" t="str">
        <f>IFERROR(VLOOKUP($L16,PlayerDB!$F$2:$H209,3,FALSE),"")</f>
        <v>K</v>
      </c>
      <c r="O16" s="42"/>
      <c r="P16" s="42" t="str">
        <f>IFERROR(__xludf.DUMMYFUNCTION("""COMPUTED_VALUE"""),"Dak Prescott – DAL")</f>
        <v>Dak Prescott – DAL</v>
      </c>
      <c r="Q16" s="52">
        <f>IFERROR(VLOOKUP(P16,PlayerDB!$F$2:$G209,2,FALSE),"")</f>
        <v>290</v>
      </c>
    </row>
    <row r="17">
      <c r="A17" s="54"/>
      <c r="B17" s="55">
        <v>16.0</v>
      </c>
      <c r="C17" s="55" t="str">
        <f>'Teams &amp; Draft Order'!$C$6</f>
        <v>Sleeper Cell </v>
      </c>
      <c r="D17" s="56"/>
      <c r="E17" s="57" t="str">
        <f>IFERROR(VLOOKUP($D17,PlayerDB!$F$2:$G209,2,FALSE),"")</f>
        <v/>
      </c>
      <c r="F17" s="57" t="str">
        <f>IFERROR(VLOOKUP($D17,PlayerDB!$F$2:$H209,3,FALSE),"")</f>
        <v/>
      </c>
      <c r="G17" s="58" t="str">
        <f>IFERROR(VLOOKUP($D17,PlayerDB!$F$2:$I209,4,FALSE),"")</f>
        <v/>
      </c>
      <c r="H17" s="59"/>
      <c r="I17" s="60" t="str">
        <f>IFERROR(__xludf.DUMMYFUNCTION("JOIN("" | "",'Team Stats'!C$2:H$2)"),"1 | 0 | 0 | 0 | 0 | 0")</f>
        <v>1 | 0 | 0 | 0 | 0 | 0</v>
      </c>
      <c r="J17" s="51" t="str">
        <f>IFERROR(__xludf.DUMMYFUNCTION("JOIN("" | "",#REF!)"),"#REF!")</f>
        <v>#REF!</v>
      </c>
      <c r="L17" s="42" t="str">
        <f>IFERROR(__xludf.DUMMYFUNCTION("""COMPUTED_VALUE"""),"Saquon Barkley – PHI")</f>
        <v>Saquon Barkley – PHI</v>
      </c>
      <c r="M17" s="52">
        <f>IFERROR(VLOOKUP(L17,PlayerDB!$F$2:$G209,2,FALSE),"")</f>
        <v>231</v>
      </c>
      <c r="N17" s="53" t="str">
        <f>IFERROR(VLOOKUP($L17,PlayerDB!$F$2:$H209,3,FALSE),"")</f>
        <v>RB</v>
      </c>
      <c r="O17" s="42"/>
      <c r="P17" s="42" t="str">
        <f>IFERROR(__xludf.DUMMYFUNCTION("""COMPUTED_VALUE"""),"J.J. McCarthy – MIN")</f>
        <v>J.J. McCarthy – MIN</v>
      </c>
      <c r="Q17" s="52">
        <f>IFERROR(VLOOKUP(P17,PlayerDB!$F$2:$G209,2,FALSE),"")</f>
        <v>289.2</v>
      </c>
    </row>
    <row r="18">
      <c r="A18" s="33" t="s">
        <v>87</v>
      </c>
      <c r="B18" s="34">
        <v>17.0</v>
      </c>
      <c r="C18" s="34" t="str">
        <f>'Teams &amp; Draft Order'!$C$6</f>
        <v>Sleeper Cell </v>
      </c>
      <c r="D18" s="35"/>
      <c r="E18" s="36" t="str">
        <f>IFERROR(VLOOKUP($D18,PlayerDB!$F$2:$G209,2,FALSE),"")</f>
        <v/>
      </c>
      <c r="F18" s="36" t="str">
        <f>IFERROR(VLOOKUP($D18,PlayerDB!$F$2:$H209,3,FALSE),"")</f>
        <v/>
      </c>
      <c r="G18" s="37" t="str">
        <f>IFERROR(VLOOKUP($D18,PlayerDB!$F$2:$I209,4,FALSE),"")</f>
        <v/>
      </c>
      <c r="H18" s="38"/>
      <c r="I18" s="39" t="str">
        <f>IFERROR(__xludf.DUMMYFUNCTION("JOIN("" | "",'Team Stats'!C$2:H$2)"),"1 | 0 | 0 | 0 | 0 | 0")</f>
        <v>1 | 0 | 0 | 0 | 0 | 0</v>
      </c>
      <c r="J18" s="40" t="str">
        <f>IFERROR(__xludf.DUMMYFUNCTION("JOIN("" | "",'Team Stats'!I$9:K$9)"),"0 | 0 | 0")</f>
        <v>0 | 0 | 0</v>
      </c>
      <c r="L18" s="42" t="str">
        <f>IFERROR(__xludf.DUMMYFUNCTION("""COMPUTED_VALUE"""),"Puka Nacua – LAR")</f>
        <v>Puka Nacua – LAR</v>
      </c>
      <c r="M18" s="52">
        <f>IFERROR(VLOOKUP(L18,PlayerDB!$F$2:$G209,2,FALSE),"")</f>
        <v>187.7</v>
      </c>
      <c r="N18" s="53" t="str">
        <f>IFERROR(VLOOKUP($L18,PlayerDB!$F$2:$H209,3,FALSE),"")</f>
        <v>WR</v>
      </c>
      <c r="O18" s="42"/>
      <c r="P18" s="42" t="str">
        <f>IFERROR(__xludf.DUMMYFUNCTION("""COMPUTED_VALUE"""),"Caleb Williams – CHI")</f>
        <v>Caleb Williams – CHI</v>
      </c>
      <c r="Q18" s="52">
        <f>IFERROR(VLOOKUP(P18,PlayerDB!$F$2:$G209,2,FALSE),"")</f>
        <v>287.5</v>
      </c>
    </row>
    <row r="19">
      <c r="A19" s="45"/>
      <c r="B19" s="46">
        <v>18.0</v>
      </c>
      <c r="C19" s="46" t="str">
        <f>'Teams &amp; Draft Order'!$C$7</f>
        <v>Phantasm</v>
      </c>
      <c r="D19" s="47"/>
      <c r="E19" s="48" t="str">
        <f>IFERROR(VLOOKUP($D19,PlayerDB!$F$2:$G209,2,FALSE),"")</f>
        <v/>
      </c>
      <c r="F19" s="48" t="str">
        <f>IFERROR(VLOOKUP($D19,PlayerDB!$F$2:$H209,3,FALSE),"")</f>
        <v/>
      </c>
      <c r="G19" s="49" t="str">
        <f>IFERROR(VLOOKUP($D19,PlayerDB!$F$2:$I209,4,FALSE),"")</f>
        <v/>
      </c>
      <c r="H19" s="38"/>
      <c r="I19" s="50" t="str">
        <f>IFERROR(__xludf.DUMMYFUNCTION("JOIN("" | "",'Team Stats'!C$3:H$3)"),"0 | 0 | 0 | 0 | 0 | 0")</f>
        <v>0 | 0 | 0 | 0 | 0 | 0</v>
      </c>
      <c r="J19" s="51" t="str">
        <f>IFERROR(__xludf.DUMMYFUNCTION("JOIN("" | "",'Team Stats'!I$8:K$8)"),"0 | 0 | 0")</f>
        <v>0 | 0 | 0</v>
      </c>
      <c r="L19" s="42" t="str">
        <f>IFERROR(__xludf.DUMMYFUNCTION("""COMPUTED_VALUE"""),"Jayden Daniels – WAS")</f>
        <v>Jayden Daniels – WAS</v>
      </c>
      <c r="M19" s="52">
        <f>IFERROR(VLOOKUP(L19,PlayerDB!$F$2:$G209,2,FALSE),"")</f>
        <v>355.8</v>
      </c>
      <c r="N19" s="53" t="str">
        <f>IFERROR(VLOOKUP($L19,PlayerDB!$F$2:$H209,3,FALSE),"")</f>
        <v>QB</v>
      </c>
      <c r="O19" s="42"/>
      <c r="P19" s="42" t="str">
        <f>IFERROR(__xludf.DUMMYFUNCTION("""COMPUTED_VALUE"""),"C.J. Stroud – HOU")</f>
        <v>C.J. Stroud – HOU</v>
      </c>
      <c r="Q19" s="52">
        <f>IFERROR(VLOOKUP(P19,PlayerDB!$F$2:$G209,2,FALSE),"")</f>
        <v>279.8</v>
      </c>
    </row>
    <row r="20">
      <c r="A20" s="33"/>
      <c r="B20" s="34">
        <v>19.0</v>
      </c>
      <c r="C20" s="34" t="str">
        <f>'Teams &amp; Draft Order'!$C$8</f>
        <v>Icelanders</v>
      </c>
      <c r="D20" s="35"/>
      <c r="E20" s="36" t="str">
        <f>IFERROR(VLOOKUP($D20,PlayerDB!$F$2:$G209,2,FALSE),"")</f>
        <v/>
      </c>
      <c r="F20" s="36" t="str">
        <f>IFERROR(VLOOKUP($D20,PlayerDB!$F$2:$H209,3,FALSE),"")</f>
        <v/>
      </c>
      <c r="G20" s="37" t="str">
        <f>IFERROR(VLOOKUP($D20,PlayerDB!$F$2:$I209,4,FALSE),"")</f>
        <v/>
      </c>
      <c r="H20" s="38"/>
      <c r="I20" s="39" t="str">
        <f>IFERROR(__xludf.DUMMYFUNCTION("JOIN("" | "",'Team Stats'!C$4:H$4)"),"0 | 0 | 0 | 0 | 0 | 0")</f>
        <v>0 | 0 | 0 | 0 | 0 | 0</v>
      </c>
      <c r="J20" s="40" t="str">
        <f>IFERROR(__xludf.DUMMYFUNCTION("JOIN("" | "",'Team Stats'!I$7:K$7)"),"0 | 0 | 0")</f>
        <v>0 | 0 | 0</v>
      </c>
      <c r="L20" s="42" t="str">
        <f>IFERROR(__xludf.DUMMYFUNCTION("""COMPUTED_VALUE"""),"Mark Andrews – BAL")</f>
        <v>Mark Andrews – BAL</v>
      </c>
      <c r="M20" s="52">
        <f>IFERROR(VLOOKUP(L20,PlayerDB!$F$2:$G209,2,FALSE),"")</f>
        <v>117.3</v>
      </c>
      <c r="N20" s="53" t="str">
        <f>IFERROR(VLOOKUP($L20,PlayerDB!$F$2:$H209,3,FALSE),"")</f>
        <v>TE</v>
      </c>
      <c r="O20" s="42"/>
      <c r="P20" s="42" t="str">
        <f>IFERROR(__xludf.DUMMYFUNCTION("""COMPUTED_VALUE"""),"Jordan Love – GB")</f>
        <v>Jordan Love – GB</v>
      </c>
      <c r="Q20" s="52">
        <f>IFERROR(VLOOKUP(P20,PlayerDB!$F$2:$G209,2,FALSE),"")</f>
        <v>278.7</v>
      </c>
    </row>
    <row r="21">
      <c r="A21" s="45"/>
      <c r="B21" s="46">
        <v>20.0</v>
      </c>
      <c r="C21" s="46" t="str">
        <f>'Teams &amp; Draft Order'!$C$9</f>
        <v>El Nino</v>
      </c>
      <c r="D21" s="47"/>
      <c r="E21" s="48" t="str">
        <f>IFERROR(VLOOKUP($D21,PlayerDB!$F$2:$G209,2,FALSE),"")</f>
        <v/>
      </c>
      <c r="F21" s="48" t="str">
        <f>IFERROR(VLOOKUP($D21,PlayerDB!$F$2:$H209,3,FALSE),"")</f>
        <v/>
      </c>
      <c r="G21" s="49" t="str">
        <f>IFERROR(VLOOKUP($D21,PlayerDB!$F$2:$I209,4,FALSE),"")</f>
        <v/>
      </c>
      <c r="H21" s="38"/>
      <c r="I21" s="50" t="str">
        <f>IFERROR(__xludf.DUMMYFUNCTION("JOIN("" | "",'Team Stats'!C$5:H$5)"),"0 | 0 | 0 | 0 | 0 | 0")</f>
        <v>0 | 0 | 0 | 0 | 0 | 0</v>
      </c>
      <c r="J21" s="51" t="str">
        <f>IFERROR(__xludf.DUMMYFUNCTION("JOIN("" | "",'Team Stats'!I$6:K$6)"),"0 | 0 | 0")</f>
        <v>0 | 0 | 0</v>
      </c>
      <c r="L21" s="42" t="str">
        <f>IFERROR(__xludf.DUMMYFUNCTION("""COMPUTED_VALUE"""),"Jake Elliott – PHI")</f>
        <v>Jake Elliott – PHI</v>
      </c>
      <c r="M21" s="52">
        <f>IFERROR(VLOOKUP(L21,PlayerDB!$F$2:$G209,2,FALSE),"")</f>
        <v>134</v>
      </c>
      <c r="N21" s="53" t="str">
        <f>IFERROR(VLOOKUP($L21,PlayerDB!$F$2:$H209,3,FALSE),"")</f>
        <v>K</v>
      </c>
      <c r="O21" s="42"/>
      <c r="P21" s="42" t="str">
        <f>IFERROR(__xludf.DUMMYFUNCTION("""COMPUTED_VALUE"""),"Trevor Lawrence – JAX")</f>
        <v>Trevor Lawrence – JAX</v>
      </c>
      <c r="Q21" s="52">
        <f>IFERROR(VLOOKUP(P21,PlayerDB!$F$2:$G209,2,FALSE),"")</f>
        <v>273.8</v>
      </c>
    </row>
    <row r="22">
      <c r="A22" s="33"/>
      <c r="B22" s="34">
        <v>21.0</v>
      </c>
      <c r="C22" s="34" t="str">
        <f>'Teams &amp; Draft Order'!$C$10</f>
        <v>Buttheads</v>
      </c>
      <c r="D22" s="35"/>
      <c r="E22" s="36" t="str">
        <f>IFERROR(VLOOKUP($D22,PlayerDB!$F$2:$G209,2,FALSE),"")</f>
        <v/>
      </c>
      <c r="F22" s="36" t="str">
        <f>IFERROR(VLOOKUP($D22,PlayerDB!$F$2:$H209,3,FALSE),"")</f>
        <v/>
      </c>
      <c r="G22" s="37" t="str">
        <f>IFERROR(VLOOKUP($D22,PlayerDB!$F$2:$I209,4,FALSE),"")</f>
        <v/>
      </c>
      <c r="H22" s="38"/>
      <c r="I22" s="39" t="str">
        <f>IFERROR(__xludf.DUMMYFUNCTION("JOIN("" | "",'Team Stats'!C$6:H$6)"),"0 | 0 | 0 | 0 | 0 | 0")</f>
        <v>0 | 0 | 0 | 0 | 0 | 0</v>
      </c>
      <c r="J22" s="40" t="str">
        <f>IFERROR(__xludf.DUMMYFUNCTION("JOIN("" | "",'Team Stats'!I$5:K$5)"),"0 | 0 | 0")</f>
        <v>0 | 0 | 0</v>
      </c>
      <c r="L22" s="42" t="str">
        <f>IFERROR(__xludf.DUMMYFUNCTION("""COMPUTED_VALUE"""),"Jahmyr Gibbs – DET")</f>
        <v>Jahmyr Gibbs – DET</v>
      </c>
      <c r="M22" s="52">
        <f>IFERROR(VLOOKUP(L22,PlayerDB!$F$2:$G209,2,FALSE),"")</f>
        <v>244</v>
      </c>
      <c r="N22" s="53" t="str">
        <f>IFERROR(VLOOKUP($L22,PlayerDB!$F$2:$H209,3,FALSE),"")</f>
        <v>RB</v>
      </c>
      <c r="O22" s="42"/>
      <c r="P22" s="42" t="str">
        <f>IFERROR(__xludf.DUMMYFUNCTION("""COMPUTED_VALUE"""),"Drake Maye – NE")</f>
        <v>Drake Maye – NE</v>
      </c>
      <c r="Q22" s="52">
        <f>IFERROR(VLOOKUP(P22,PlayerDB!$F$2:$G209,2,FALSE),"")</f>
        <v>270.8</v>
      </c>
    </row>
    <row r="23">
      <c r="A23" s="45"/>
      <c r="B23" s="46">
        <v>22.0</v>
      </c>
      <c r="C23" s="46" t="str">
        <f>'Teams &amp; Draft Order'!$C$11</f>
        <v>Big Boys Big Work</v>
      </c>
      <c r="D23" s="47"/>
      <c r="E23" s="48" t="str">
        <f>IFERROR(VLOOKUP($D23,PlayerDB!$F$2:$G209,2,FALSE),"")</f>
        <v/>
      </c>
      <c r="F23" s="48" t="str">
        <f>IFERROR(VLOOKUP($D23,PlayerDB!$F$2:$H209,3,FALSE),"")</f>
        <v/>
      </c>
      <c r="G23" s="49" t="str">
        <f>IFERROR(VLOOKUP($D23,PlayerDB!$F$2:$I209,4,FALSE),"")</f>
        <v/>
      </c>
      <c r="H23" s="38"/>
      <c r="I23" s="50" t="str">
        <f>IFERROR(__xludf.DUMMYFUNCTION("JOIN("" | "",'Team Stats'!C$7:H$7)"),"0 | 0 | 0 | 0 | 0 | 0")</f>
        <v>0 | 0 | 0 | 0 | 0 | 0</v>
      </c>
      <c r="J23" s="51" t="str">
        <f>IFERROR(__xludf.DUMMYFUNCTION("JOIN("" | "",'Team Stats'!I$4:K$4)"),"0 | 0 | 0")</f>
        <v>0 | 0 | 0</v>
      </c>
      <c r="L23" s="42"/>
      <c r="M23" s="63"/>
      <c r="N23" s="42"/>
      <c r="O23" s="42"/>
      <c r="P23" s="42"/>
      <c r="Q23" s="63"/>
    </row>
    <row r="24">
      <c r="A24" s="33"/>
      <c r="B24" s="34">
        <v>23.0</v>
      </c>
      <c r="C24" s="34" t="str">
        <f>'Teams &amp; Draft Order'!$C$12</f>
        <v>Turbo-Ginz</v>
      </c>
      <c r="D24" s="35"/>
      <c r="E24" s="36" t="str">
        <f>IFERROR(VLOOKUP($D24,PlayerDB!$F$2:$G209,2,FALSE),"")</f>
        <v/>
      </c>
      <c r="F24" s="36" t="str">
        <f>IFERROR(VLOOKUP($D24,PlayerDB!$F$2:$H209,3,FALSE),"")</f>
        <v/>
      </c>
      <c r="G24" s="37" t="str">
        <f>IFERROR(VLOOKUP($D24,PlayerDB!$F$2:$I209,4,FALSE),"")</f>
        <v/>
      </c>
      <c r="H24" s="38"/>
      <c r="I24" s="39" t="str">
        <f>IFERROR(__xludf.DUMMYFUNCTION("JOIN("" | "",'Team Stats'!C$8:H$8)"),"0 | 0 | 0 | 0 | 0 | 0")</f>
        <v>0 | 0 | 0 | 0 | 0 | 0</v>
      </c>
      <c r="J24" s="40" t="str">
        <f>IFERROR(__xludf.DUMMYFUNCTION("JOIN("" | "",'Team Stats'!I$3:K$3)"),"0 | 0 | 0")</f>
        <v>0 | 0 | 0</v>
      </c>
      <c r="L24" s="42"/>
      <c r="M24" s="42"/>
      <c r="N24" s="42"/>
      <c r="O24" s="42"/>
      <c r="P24" s="42"/>
      <c r="Q24" s="42"/>
    </row>
    <row r="25">
      <c r="A25" s="54"/>
      <c r="B25" s="55">
        <v>24.0</v>
      </c>
      <c r="C25" s="55" t="str">
        <f>'Teams &amp; Draft Order'!$C$13</f>
        <v>Luddite</v>
      </c>
      <c r="D25" s="56"/>
      <c r="E25" s="57" t="str">
        <f>IFERROR(VLOOKUP($D25,PlayerDB!$F$2:$G209,2,FALSE),"")</f>
        <v/>
      </c>
      <c r="F25" s="57" t="str">
        <f>IFERROR(VLOOKUP($D25,PlayerDB!$F$2:$H209,3,FALSE),"")</f>
        <v/>
      </c>
      <c r="G25" s="58" t="str">
        <f>IFERROR(VLOOKUP($D25,PlayerDB!$F$2:$I209,4,FALSE),"")</f>
        <v/>
      </c>
      <c r="H25" s="59"/>
      <c r="I25" s="60" t="str">
        <f>IFERROR(__xludf.DUMMYFUNCTION("JOIN("" | "",'Team Stats'!C$9:H$9)"),"0 | 0 | 0 | 0 | 0 | 0")</f>
        <v>0 | 0 | 0 | 0 | 0 | 0</v>
      </c>
      <c r="J25" s="64" t="str">
        <f>IFERROR(__xludf.DUMMYFUNCTION("JOIN("" | "",'Team Stats'!I$2:K$2)"),"0 | 0 | 0")</f>
        <v>0 | 0 | 0</v>
      </c>
      <c r="L25" s="42"/>
      <c r="M25" s="42"/>
      <c r="N25" s="42"/>
      <c r="O25" s="42"/>
      <c r="P25" s="42"/>
      <c r="Q25" s="42"/>
    </row>
    <row r="26">
      <c r="A26" s="33" t="s">
        <v>88</v>
      </c>
      <c r="B26" s="34">
        <v>25.0</v>
      </c>
      <c r="C26" s="34" t="str">
        <f>'Teams &amp; Draft Order'!$C$13</f>
        <v>Luddite</v>
      </c>
      <c r="D26" s="35"/>
      <c r="E26" s="36" t="str">
        <f>IFERROR(VLOOKUP($D26,PlayerDB!$F$2:$G209,2,FALSE),"")</f>
        <v/>
      </c>
      <c r="F26" s="36" t="str">
        <f>IFERROR(VLOOKUP($D26,PlayerDB!$F$2:$H209,3,FALSE),"")</f>
        <v/>
      </c>
      <c r="G26" s="37" t="str">
        <f>IFERROR(VLOOKUP($D26,PlayerDB!$F$2:$I209,4,FALSE),"")</f>
        <v/>
      </c>
      <c r="H26" s="38"/>
      <c r="I26" s="39" t="str">
        <f>IFERROR(__xludf.DUMMYFUNCTION("JOIN("" | "",'Team Stats'!C$9:H$9)"),"0 | 0 | 0 | 0 | 0 | 0")</f>
        <v>0 | 0 | 0 | 0 | 0 | 0</v>
      </c>
      <c r="J26" s="40" t="str">
        <f>IFERROR(__xludf.DUMMYFUNCTION("JOIN("" | "",'Team Stats'!I$2:K$2)"),"0 | 0 | 0")</f>
        <v>0 | 0 | 0</v>
      </c>
      <c r="L26" s="65" t="s">
        <v>31</v>
      </c>
      <c r="M26" s="44">
        <f>COUNTIF(F:F,"RB")</f>
        <v>0</v>
      </c>
      <c r="N26" s="42"/>
      <c r="O26" s="42"/>
      <c r="P26" s="66" t="s">
        <v>35</v>
      </c>
      <c r="Q26" s="44">
        <f>COUNTIF(F:F,"WR")</f>
        <v>0</v>
      </c>
    </row>
    <row r="27">
      <c r="A27" s="45"/>
      <c r="B27" s="46">
        <v>26.0</v>
      </c>
      <c r="C27" s="46" t="str">
        <f>'Teams &amp; Draft Order'!$C$12</f>
        <v>Turbo-Ginz</v>
      </c>
      <c r="D27" s="47"/>
      <c r="E27" s="48" t="str">
        <f>IFERROR(VLOOKUP($D27,PlayerDB!$F$2:$G209,2,FALSE),"")</f>
        <v/>
      </c>
      <c r="F27" s="48" t="str">
        <f>IFERROR(VLOOKUP($D27,PlayerDB!$F$2:$H209,3,FALSE),"")</f>
        <v/>
      </c>
      <c r="G27" s="49" t="str">
        <f>IFERROR(VLOOKUP($D27,PlayerDB!$F$2:$I209,4,FALSE),"")</f>
        <v/>
      </c>
      <c r="H27" s="38"/>
      <c r="I27" s="50" t="str">
        <f>IFERROR(__xludf.DUMMYFUNCTION("JOIN("" | "",'Team Stats'!C$8:H$8)"),"0 | 0 | 0 | 0 | 0 | 0")</f>
        <v>0 | 0 | 0 | 0 | 0 | 0</v>
      </c>
      <c r="J27" s="51" t="str">
        <f>IFERROR(__xludf.DUMMYFUNCTION("JOIN("" | "",'Team Stats'!I$3:K$3)"),"0 | 0 | 0")</f>
        <v>0 | 0 | 0</v>
      </c>
      <c r="L27" s="67" t="str">
        <f>IFERROR(__xludf.DUMMYFUNCTION("QUERY(HELP_PlayersLeft!A2:B209, ""select A where B ='RB' LIMIT 20"")"),"Christian McCaffrey – SF")</f>
        <v>Christian McCaffrey – SF</v>
      </c>
      <c r="M27" s="52">
        <f>IFERROR(VLOOKUP(L27,PlayerDB!$F$2:$G209,2,FALSE),"")</f>
        <v>254</v>
      </c>
      <c r="N27" s="42"/>
      <c r="O27" s="42"/>
      <c r="P27" s="67" t="str">
        <f>IFERROR(__xludf.DUMMYFUNCTION("QUERY(HELP_PlayersLeft!A2:B209, ""select A where B ='WR' LIMIT 20"")"),"Ja'Marr Chase – CIN")</f>
        <v>Ja'Marr Chase – CIN</v>
      </c>
      <c r="Q27" s="52">
        <f>IFERROR(VLOOKUP(P27,PlayerDB!$F$2:$G209,2,FALSE),"")</f>
        <v>231.2</v>
      </c>
    </row>
    <row r="28">
      <c r="A28" s="33"/>
      <c r="B28" s="34">
        <v>27.0</v>
      </c>
      <c r="C28" s="34" t="str">
        <f>'Teams &amp; Draft Order'!$C$11</f>
        <v>Big Boys Big Work</v>
      </c>
      <c r="D28" s="35"/>
      <c r="E28" s="36" t="str">
        <f>IFERROR(VLOOKUP($D28,PlayerDB!$F$2:$G209,2,FALSE),"")</f>
        <v/>
      </c>
      <c r="F28" s="36" t="str">
        <f>IFERROR(VLOOKUP($D28,PlayerDB!$F$2:$H209,3,FALSE),"")</f>
        <v/>
      </c>
      <c r="G28" s="37" t="str">
        <f>IFERROR(VLOOKUP($D28,PlayerDB!$F$2:$I209,4,FALSE),"")</f>
        <v/>
      </c>
      <c r="H28" s="38"/>
      <c r="I28" s="39" t="str">
        <f>IFERROR(__xludf.DUMMYFUNCTION("JOIN("" | "",'Team Stats'!C$7:H$7)"),"0 | 0 | 0 | 0 | 0 | 0")</f>
        <v>0 | 0 | 0 | 0 | 0 | 0</v>
      </c>
      <c r="J28" s="40" t="str">
        <f>IFERROR(__xludf.DUMMYFUNCTION("JOIN("" | "",'Team Stats'!I$4:K$4)"),"0 | 0 | 0")</f>
        <v>0 | 0 | 0</v>
      </c>
      <c r="L28" s="20" t="str">
        <f>IFERROR(__xludf.DUMMYFUNCTION("""COMPUTED_VALUE"""),"Derrick Henry – BAL")</f>
        <v>Derrick Henry – BAL</v>
      </c>
      <c r="M28" s="52">
        <f>IFERROR(VLOOKUP(L28,PlayerDB!$F$2:$G209,2,FALSE),"")</f>
        <v>253</v>
      </c>
      <c r="N28" s="42"/>
      <c r="O28" s="42"/>
      <c r="P28" s="20" t="str">
        <f>IFERROR(__xludf.DUMMYFUNCTION("""COMPUTED_VALUE"""),"Justin Jefferson – MIN")</f>
        <v>Justin Jefferson – MIN</v>
      </c>
      <c r="Q28" s="52">
        <f>IFERROR(VLOOKUP(P28,PlayerDB!$F$2:$G209,2,FALSE),"")</f>
        <v>205.2</v>
      </c>
    </row>
    <row r="29">
      <c r="A29" s="45"/>
      <c r="B29" s="46">
        <v>28.0</v>
      </c>
      <c r="C29" s="46" t="str">
        <f>'Teams &amp; Draft Order'!$C$10</f>
        <v>Buttheads</v>
      </c>
      <c r="D29" s="47"/>
      <c r="E29" s="48" t="str">
        <f>IFERROR(VLOOKUP($D29,PlayerDB!$F$2:$G209,2,FALSE),"")</f>
        <v/>
      </c>
      <c r="F29" s="48" t="str">
        <f>IFERROR(VLOOKUP($D29,PlayerDB!$F$2:$H209,3,FALSE),"")</f>
        <v/>
      </c>
      <c r="G29" s="49" t="str">
        <f>IFERROR(VLOOKUP($D29,PlayerDB!$F$2:$I209,4,FALSE),"")</f>
        <v/>
      </c>
      <c r="H29" s="38"/>
      <c r="I29" s="50" t="str">
        <f>IFERROR(__xludf.DUMMYFUNCTION("JOIN("" | "",'Team Stats'!C$6:H$6)"),"0 | 0 | 0 | 0 | 0 | 0")</f>
        <v>0 | 0 | 0 | 0 | 0 | 0</v>
      </c>
      <c r="J29" s="51" t="str">
        <f>IFERROR(__xludf.DUMMYFUNCTION("JOIN("" | "",'Team Stats'!I$5:K$5)"),"0 | 0 | 0")</f>
        <v>0 | 0 | 0</v>
      </c>
      <c r="L29" s="42" t="str">
        <f>IFERROR(__xludf.DUMMYFUNCTION("""COMPUTED_VALUE"""),"Saquon Barkley – PHI")</f>
        <v>Saquon Barkley – PHI</v>
      </c>
      <c r="M29" s="52">
        <f>IFERROR(VLOOKUP(L29,PlayerDB!$F$2:$G209,2,FALSE),"")</f>
        <v>231</v>
      </c>
      <c r="N29" s="42"/>
      <c r="O29" s="42"/>
      <c r="P29" s="42" t="str">
        <f>IFERROR(__xludf.DUMMYFUNCTION("""COMPUTED_VALUE"""),"CeeDee Lamb – DAL")</f>
        <v>CeeDee Lamb – DAL</v>
      </c>
      <c r="Q29" s="52">
        <f>IFERROR(VLOOKUP(P29,PlayerDB!$F$2:$G209,2,FALSE),"")</f>
        <v>193</v>
      </c>
    </row>
    <row r="30">
      <c r="A30" s="33"/>
      <c r="B30" s="34">
        <v>29.0</v>
      </c>
      <c r="C30" s="34" t="str">
        <f>'Teams &amp; Draft Order'!$C$9</f>
        <v>El Nino</v>
      </c>
      <c r="D30" s="35"/>
      <c r="E30" s="36" t="str">
        <f>IFERROR(VLOOKUP($D30,PlayerDB!$F$2:$G209,2,FALSE),"")</f>
        <v/>
      </c>
      <c r="F30" s="36" t="str">
        <f>IFERROR(VLOOKUP($D30,PlayerDB!$F$2:$H209,3,FALSE),"")</f>
        <v/>
      </c>
      <c r="G30" s="37" t="str">
        <f>IFERROR(VLOOKUP($D30,PlayerDB!$F$2:$I209,4,FALSE),"")</f>
        <v/>
      </c>
      <c r="H30" s="38"/>
      <c r="I30" s="39" t="str">
        <f>IFERROR(__xludf.DUMMYFUNCTION("JOIN("" | "",'Team Stats'!C$5:H$5)"),"0 | 0 | 0 | 0 | 0 | 0")</f>
        <v>0 | 0 | 0 | 0 | 0 | 0</v>
      </c>
      <c r="J30" s="40" t="str">
        <f>IFERROR(__xludf.DUMMYFUNCTION("JOIN("" | "",'Team Stats'!I$6:K$6)"),"0 | 0 | 0")</f>
        <v>0 | 0 | 0</v>
      </c>
      <c r="L30" s="42" t="str">
        <f>IFERROR(__xludf.DUMMYFUNCTION("""COMPUTED_VALUE"""),"Jahmyr Gibbs – DET")</f>
        <v>Jahmyr Gibbs – DET</v>
      </c>
      <c r="M30" s="52">
        <f>IFERROR(VLOOKUP(L30,PlayerDB!$F$2:$G209,2,FALSE),"")</f>
        <v>244</v>
      </c>
      <c r="N30" s="42"/>
      <c r="O30" s="42"/>
      <c r="P30" s="42" t="str">
        <f>IFERROR(__xludf.DUMMYFUNCTION("""COMPUTED_VALUE"""),"Puka Nacua – LAR")</f>
        <v>Puka Nacua – LAR</v>
      </c>
      <c r="Q30" s="52">
        <f>IFERROR(VLOOKUP(P30,PlayerDB!$F$2:$G209,2,FALSE),"")</f>
        <v>187.7</v>
      </c>
    </row>
    <row r="31">
      <c r="A31" s="45"/>
      <c r="B31" s="46">
        <v>30.0</v>
      </c>
      <c r="C31" s="46" t="str">
        <f>'Teams &amp; Draft Order'!$C$8</f>
        <v>Icelanders</v>
      </c>
      <c r="D31" s="47"/>
      <c r="E31" s="48" t="str">
        <f>IFERROR(VLOOKUP($D31,PlayerDB!$F$2:$G209,2,FALSE),"")</f>
        <v/>
      </c>
      <c r="F31" s="48" t="str">
        <f>IFERROR(VLOOKUP($D31,PlayerDB!$F$2:$H209,3,FALSE),"")</f>
        <v/>
      </c>
      <c r="G31" s="49" t="str">
        <f>IFERROR(VLOOKUP($D31,PlayerDB!$F$2:$I209,4,FALSE),"")</f>
        <v/>
      </c>
      <c r="H31" s="38"/>
      <c r="I31" s="50" t="str">
        <f>IFERROR(__xludf.DUMMYFUNCTION("JOIN("" | "",'Team Stats'!C$4:H$4)"),"0 | 0 | 0 | 0 | 0 | 0")</f>
        <v>0 | 0 | 0 | 0 | 0 | 0</v>
      </c>
      <c r="J31" s="51" t="str">
        <f>IFERROR(__xludf.DUMMYFUNCTION("JOIN("" | "",'Team Stats'!I$7:K$7)"),"0 | 0 | 0")</f>
        <v>0 | 0 | 0</v>
      </c>
      <c r="L31" s="42" t="str">
        <f>IFERROR(__xludf.DUMMYFUNCTION("""COMPUTED_VALUE"""),"Jonathan Taylor – IND")</f>
        <v>Jonathan Taylor – IND</v>
      </c>
      <c r="M31" s="52">
        <f>IFERROR(VLOOKUP(L31,PlayerDB!$F$2:$G209,2,FALSE),"")</f>
        <v>224</v>
      </c>
      <c r="N31" s="42"/>
      <c r="O31" s="42"/>
      <c r="P31" s="42" t="str">
        <f>IFERROR(__xludf.DUMMYFUNCTION("""COMPUTED_VALUE"""),"Nico Collins – HOU")</f>
        <v>Nico Collins – HOU</v>
      </c>
      <c r="Q31" s="52">
        <f>IFERROR(VLOOKUP(P31,PlayerDB!$F$2:$G209,2,FALSE),"")</f>
        <v>183.6</v>
      </c>
    </row>
    <row r="32">
      <c r="A32" s="33"/>
      <c r="B32" s="34">
        <v>31.0</v>
      </c>
      <c r="C32" s="34" t="str">
        <f>'Teams &amp; Draft Order'!$C$7</f>
        <v>Phantasm</v>
      </c>
      <c r="D32" s="35"/>
      <c r="E32" s="36" t="str">
        <f>IFERROR(VLOOKUP($D32,PlayerDB!$F$2:$G209,2,FALSE),"")</f>
        <v/>
      </c>
      <c r="F32" s="36" t="str">
        <f>IFERROR(VLOOKUP($D32,PlayerDB!$F$2:$H209,3,FALSE),"")</f>
        <v/>
      </c>
      <c r="G32" s="37" t="str">
        <f>IFERROR(VLOOKUP($D32,PlayerDB!$F$2:$I209,4,FALSE),"")</f>
        <v/>
      </c>
      <c r="H32" s="38"/>
      <c r="I32" s="39" t="str">
        <f>IFERROR(__xludf.DUMMYFUNCTION("JOIN("" | "",'Team Stats'!C$3:H$3)"),"0 | 0 | 0 | 0 | 0 | 0")</f>
        <v>0 | 0 | 0 | 0 | 0 | 0</v>
      </c>
      <c r="J32" s="40" t="str">
        <f>IFERROR(__xludf.DUMMYFUNCTION("JOIN("" | "",'Team Stats'!I$8:K$8)"),"0 | 0 | 0")</f>
        <v>0 | 0 | 0</v>
      </c>
      <c r="L32" s="42" t="str">
        <f>IFERROR(__xludf.DUMMYFUNCTION("""COMPUTED_VALUE"""),"Josh Jacobs – GB")</f>
        <v>Josh Jacobs – GB</v>
      </c>
      <c r="M32" s="52">
        <f>IFERROR(VLOOKUP(L32,PlayerDB!$F$2:$G209,2,FALSE),"")</f>
        <v>224</v>
      </c>
      <c r="N32" s="42"/>
      <c r="O32" s="42"/>
      <c r="P32" s="42" t="str">
        <f>IFERROR(__xludf.DUMMYFUNCTION("""COMPUTED_VALUE"""),"Malik Nabers – NYG")</f>
        <v>Malik Nabers – NYG</v>
      </c>
      <c r="Q32" s="52">
        <f>IFERROR(VLOOKUP(P32,PlayerDB!$F$2:$G209,2,FALSE),"")</f>
        <v>183.3</v>
      </c>
    </row>
    <row r="33">
      <c r="A33" s="54"/>
      <c r="B33" s="55">
        <v>32.0</v>
      </c>
      <c r="C33" s="55" t="str">
        <f>'Teams &amp; Draft Order'!$C$6</f>
        <v>Sleeper Cell </v>
      </c>
      <c r="D33" s="56"/>
      <c r="E33" s="57" t="str">
        <f>IFERROR(VLOOKUP($D33,PlayerDB!$F$2:$G209,2,FALSE),"")</f>
        <v/>
      </c>
      <c r="F33" s="57" t="str">
        <f>IFERROR(VLOOKUP($D33,PlayerDB!$F$2:$H209,3,FALSE),"")</f>
        <v/>
      </c>
      <c r="G33" s="58" t="str">
        <f>IFERROR(VLOOKUP($D33,PlayerDB!$F$2:$I209,4,FALSE),"")</f>
        <v/>
      </c>
      <c r="H33" s="59"/>
      <c r="I33" s="60" t="str">
        <f>IFERROR(__xludf.DUMMYFUNCTION("JOIN("" | "",'Team Stats'!C$2:H$2)"),"1 | 0 | 0 | 0 | 0 | 0")</f>
        <v>1 | 0 | 0 | 0 | 0 | 0</v>
      </c>
      <c r="J33" s="51" t="str">
        <f>IFERROR(__xludf.DUMMYFUNCTION("JOIN("" | "",'Team Stats'!I$9:K$9)"),"0 | 0 | 0")</f>
        <v>0 | 0 | 0</v>
      </c>
      <c r="L33" s="42" t="str">
        <f>IFERROR(__xludf.DUMMYFUNCTION("""COMPUTED_VALUE"""),"Ashton Jeanty – LV")</f>
        <v>Ashton Jeanty – LV</v>
      </c>
      <c r="M33" s="52">
        <f>IFERROR(VLOOKUP(L33,PlayerDB!$F$2:$G209,2,FALSE),"")</f>
        <v>222</v>
      </c>
      <c r="N33" s="42"/>
      <c r="O33" s="42"/>
      <c r="P33" s="42" t="str">
        <f>IFERROR(__xludf.DUMMYFUNCTION("""COMPUTED_VALUE"""),"Brian Thomas Jr. – JAX")</f>
        <v>Brian Thomas Jr. – JAX</v>
      </c>
      <c r="Q33" s="52">
        <f>IFERROR(VLOOKUP(P33,PlayerDB!$F$2:$G209,2,FALSE),"")</f>
        <v>181.4</v>
      </c>
    </row>
    <row r="34">
      <c r="A34" s="33" t="s">
        <v>89</v>
      </c>
      <c r="B34" s="34">
        <v>33.0</v>
      </c>
      <c r="C34" s="34" t="str">
        <f>'Teams &amp; Draft Order'!$C$6</f>
        <v>Sleeper Cell </v>
      </c>
      <c r="D34" s="35"/>
      <c r="E34" s="36" t="str">
        <f>IFERROR(VLOOKUP($D34,PlayerDB!$F$2:$G209,2,FALSE),"")</f>
        <v/>
      </c>
      <c r="F34" s="36" t="str">
        <f>IFERROR(VLOOKUP($D34,PlayerDB!$F$2:$H209,3,FALSE),"")</f>
        <v/>
      </c>
      <c r="G34" s="37" t="str">
        <f>IFERROR(VLOOKUP($D34,PlayerDB!$F$2:$I209,4,FALSE),"")</f>
        <v/>
      </c>
      <c r="H34" s="38"/>
      <c r="I34" s="39" t="str">
        <f>IFERROR(__xludf.DUMMYFUNCTION("JOIN("" | "",'Team Stats'!C$2:H$2)"),"1 | 0 | 0 | 0 | 0 | 0")</f>
        <v>1 | 0 | 0 | 0 | 0 | 0</v>
      </c>
      <c r="J34" s="40" t="str">
        <f>IFERROR(__xludf.DUMMYFUNCTION("JOIN("" | "",#REF!)"),"#REF!")</f>
        <v>#REF!</v>
      </c>
      <c r="L34" s="42" t="str">
        <f>IFERROR(__xludf.DUMMYFUNCTION("""COMPUTED_VALUE"""),"Kyren Williams – LAR")</f>
        <v>Kyren Williams – LAR</v>
      </c>
      <c r="M34" s="52">
        <f>IFERROR(VLOOKUP(L34,PlayerDB!$F$2:$G209,2,FALSE),"")</f>
        <v>215</v>
      </c>
      <c r="N34" s="42"/>
      <c r="O34" s="42"/>
      <c r="P34" s="42" t="str">
        <f>IFERROR(__xludf.DUMMYFUNCTION("""COMPUTED_VALUE"""),"Amon-Ra St. Brown – DET")</f>
        <v>Amon-Ra St. Brown – DET</v>
      </c>
      <c r="Q34" s="52">
        <f>IFERROR(VLOOKUP(P34,PlayerDB!$F$2:$G209,2,FALSE),"")</f>
        <v>180.8</v>
      </c>
    </row>
    <row r="35">
      <c r="A35" s="45"/>
      <c r="B35" s="46">
        <v>34.0</v>
      </c>
      <c r="C35" s="46" t="str">
        <f>'Teams &amp; Draft Order'!$C$7</f>
        <v>Phantasm</v>
      </c>
      <c r="D35" s="47"/>
      <c r="E35" s="48" t="str">
        <f>IFERROR(VLOOKUP($D35,PlayerDB!$F$2:$G209,2,FALSE),"")</f>
        <v/>
      </c>
      <c r="F35" s="48" t="str">
        <f>IFERROR(VLOOKUP($D35,PlayerDB!$F$2:$H209,3,FALSE),"")</f>
        <v/>
      </c>
      <c r="G35" s="49" t="str">
        <f>IFERROR(VLOOKUP($D35,PlayerDB!$F$2:$I209,4,FALSE),"")</f>
        <v/>
      </c>
      <c r="H35" s="38"/>
      <c r="I35" s="50" t="str">
        <f>IFERROR(__xludf.DUMMYFUNCTION("JOIN("" | "",'Team Stats'!C$3:H$3)"),"0 | 0 | 0 | 0 | 0 | 0")</f>
        <v>0 | 0 | 0 | 0 | 0 | 0</v>
      </c>
      <c r="J35" s="51" t="str">
        <f>IFERROR(__xludf.DUMMYFUNCTION("JOIN("" | "",#REF!)"),"#REF!")</f>
        <v>#REF!</v>
      </c>
      <c r="L35" s="42" t="str">
        <f>IFERROR(__xludf.DUMMYFUNCTION("""COMPUTED_VALUE"""),"De'Von Achane – MIA")</f>
        <v>De'Von Achane – MIA</v>
      </c>
      <c r="M35" s="52">
        <f>IFERROR(VLOOKUP(L35,PlayerDB!$F$2:$G209,2,FALSE),"")</f>
        <v>212</v>
      </c>
      <c r="N35" s="42"/>
      <c r="O35" s="42"/>
      <c r="P35" s="42" t="str">
        <f>IFERROR(__xludf.DUMMYFUNCTION("""COMPUTED_VALUE"""),"A.J. Brown – PHI")</f>
        <v>A.J. Brown – PHI</v>
      </c>
      <c r="Q35" s="52">
        <f>IFERROR(VLOOKUP(P35,PlayerDB!$F$2:$G209,2,FALSE),"")</f>
        <v>172.8</v>
      </c>
    </row>
    <row r="36">
      <c r="A36" s="33"/>
      <c r="B36" s="34">
        <v>35.0</v>
      </c>
      <c r="C36" s="34" t="str">
        <f>'Teams &amp; Draft Order'!$C$8</f>
        <v>Icelanders</v>
      </c>
      <c r="D36" s="35"/>
      <c r="E36" s="36" t="str">
        <f>IFERROR(VLOOKUP($D36,PlayerDB!$F$2:$G209,2,FALSE),"")</f>
        <v/>
      </c>
      <c r="F36" s="36" t="str">
        <f>IFERROR(VLOOKUP($D36,PlayerDB!$F$2:$H209,3,FALSE),"")</f>
        <v/>
      </c>
      <c r="G36" s="37" t="str">
        <f>IFERROR(VLOOKUP($D36,PlayerDB!$F$2:$I209,4,FALSE),"")</f>
        <v/>
      </c>
      <c r="H36" s="38"/>
      <c r="I36" s="39" t="str">
        <f>IFERROR(__xludf.DUMMYFUNCTION("JOIN("" | "",'Team Stats'!C$4:H$4)"),"0 | 0 | 0 | 0 | 0 | 0")</f>
        <v>0 | 0 | 0 | 0 | 0 | 0</v>
      </c>
      <c r="J36" s="40" t="str">
        <f>IFERROR(__xludf.DUMMYFUNCTION("JOIN("" | "",#REF!)"),"#REF!")</f>
        <v>#REF!</v>
      </c>
      <c r="L36" s="42" t="str">
        <f>IFERROR(__xludf.DUMMYFUNCTION("""COMPUTED_VALUE"""),"Bucky Irving – TB")</f>
        <v>Bucky Irving – TB</v>
      </c>
      <c r="M36" s="52">
        <f>IFERROR(VLOOKUP(L36,PlayerDB!$F$2:$G209,2,FALSE),"")</f>
        <v>210</v>
      </c>
      <c r="N36" s="42"/>
      <c r="O36" s="42"/>
      <c r="P36" s="42" t="str">
        <f>IFERROR(__xludf.DUMMYFUNCTION("""COMPUTED_VALUE"""),"Tyreek Hill – MIA")</f>
        <v>Tyreek Hill – MIA</v>
      </c>
      <c r="Q36" s="52">
        <f>IFERROR(VLOOKUP(P36,PlayerDB!$F$2:$G209,2,FALSE),"")</f>
        <v>168.5</v>
      </c>
    </row>
    <row r="37">
      <c r="A37" s="45"/>
      <c r="B37" s="46">
        <v>36.0</v>
      </c>
      <c r="C37" s="46" t="str">
        <f>'Teams &amp; Draft Order'!$C$9</f>
        <v>El Nino</v>
      </c>
      <c r="D37" s="47"/>
      <c r="E37" s="48" t="str">
        <f>IFERROR(VLOOKUP($D37,PlayerDB!$F$2:$G209,2,FALSE),"")</f>
        <v/>
      </c>
      <c r="F37" s="48" t="str">
        <f>IFERROR(VLOOKUP($D37,PlayerDB!$F$2:$H209,3,FALSE),"")</f>
        <v/>
      </c>
      <c r="G37" s="49" t="str">
        <f>IFERROR(VLOOKUP($D37,PlayerDB!$F$2:$I209,4,FALSE),"")</f>
        <v/>
      </c>
      <c r="H37" s="38"/>
      <c r="I37" s="50" t="str">
        <f>IFERROR(__xludf.DUMMYFUNCTION("JOIN("" | "",'Team Stats'!C$5:H$5)"),"0 | 0 | 0 | 0 | 0 | 0")</f>
        <v>0 | 0 | 0 | 0 | 0 | 0</v>
      </c>
      <c r="J37" s="51" t="str">
        <f>IFERROR(__xludf.DUMMYFUNCTION("JOIN("" | "",#REF!)"),"#REF!")</f>
        <v>#REF!</v>
      </c>
      <c r="L37" s="42" t="str">
        <f>IFERROR(__xludf.DUMMYFUNCTION("""COMPUTED_VALUE"""),"James Cook – BUF")</f>
        <v>James Cook – BUF</v>
      </c>
      <c r="M37" s="52">
        <f>IFERROR(VLOOKUP(L37,PlayerDB!$F$2:$G209,2,FALSE),"")</f>
        <v>195</v>
      </c>
      <c r="N37" s="42"/>
      <c r="O37" s="42"/>
      <c r="P37" s="42" t="str">
        <f>IFERROR(__xludf.DUMMYFUNCTION("""COMPUTED_VALUE"""),"Drake London – ATL")</f>
        <v>Drake London – ATL</v>
      </c>
      <c r="Q37" s="52">
        <f>IFERROR(VLOOKUP(P37,PlayerDB!$F$2:$G209,2,FALSE),"")</f>
        <v>167.1</v>
      </c>
    </row>
    <row r="38">
      <c r="A38" s="33"/>
      <c r="B38" s="34">
        <v>37.0</v>
      </c>
      <c r="C38" s="34" t="str">
        <f>'Teams &amp; Draft Order'!$C$10</f>
        <v>Buttheads</v>
      </c>
      <c r="D38" s="35"/>
      <c r="E38" s="36" t="str">
        <f>IFERROR(VLOOKUP($D38,PlayerDB!$F$2:$G209,2,FALSE),"")</f>
        <v/>
      </c>
      <c r="F38" s="36" t="str">
        <f>IFERROR(VLOOKUP($D38,PlayerDB!$F$2:$H209,3,FALSE),"")</f>
        <v/>
      </c>
      <c r="G38" s="37" t="str">
        <f>IFERROR(VLOOKUP($D38,PlayerDB!$F$2:$I209,4,FALSE),"")</f>
        <v/>
      </c>
      <c r="H38" s="38"/>
      <c r="I38" s="39" t="str">
        <f>IFERROR(__xludf.DUMMYFUNCTION("JOIN("" | "",'Team Stats'!C$6:H$6)"),"0 | 0 | 0 | 0 | 0 | 0")</f>
        <v>0 | 0 | 0 | 0 | 0 | 0</v>
      </c>
      <c r="J38" s="62" t="str">
        <f>IFERROR(__xludf.DUMMYFUNCTION("JOIN("" | "",#REF!)"),"#REF!")</f>
        <v>#REF!</v>
      </c>
      <c r="L38" s="42" t="str">
        <f>IFERROR(__xludf.DUMMYFUNCTION("""COMPUTED_VALUE"""),"Chase Brown – CIN")</f>
        <v>Chase Brown – CIN</v>
      </c>
      <c r="M38" s="52">
        <f>IFERROR(VLOOKUP(L38,PlayerDB!$F$2:$G209,2,FALSE),"")</f>
        <v>186</v>
      </c>
      <c r="N38" s="42"/>
      <c r="O38" s="42"/>
      <c r="P38" s="42" t="str">
        <f>IFERROR(__xludf.DUMMYFUNCTION("""COMPUTED_VALUE"""),"Ladd McConkey – LAC")</f>
        <v>Ladd McConkey – LAC</v>
      </c>
      <c r="Q38" s="52">
        <f>IFERROR(VLOOKUP(P38,PlayerDB!$F$2:$G209,2,FALSE),"")</f>
        <v>165.4</v>
      </c>
    </row>
    <row r="39">
      <c r="A39" s="45"/>
      <c r="B39" s="46">
        <v>38.0</v>
      </c>
      <c r="C39" s="46" t="str">
        <f>'Teams &amp; Draft Order'!$C$11</f>
        <v>Big Boys Big Work</v>
      </c>
      <c r="D39" s="47"/>
      <c r="E39" s="48" t="str">
        <f>IFERROR(VLOOKUP($D39,PlayerDB!$F$2:$G209,2,FALSE),"")</f>
        <v/>
      </c>
      <c r="F39" s="48" t="str">
        <f>IFERROR(VLOOKUP($D39,PlayerDB!$F$2:$H209,3,FALSE),"")</f>
        <v/>
      </c>
      <c r="G39" s="49" t="str">
        <f>IFERROR(VLOOKUP($D39,PlayerDB!$F$2:$I209,4,FALSE),"")</f>
        <v/>
      </c>
      <c r="H39" s="38"/>
      <c r="I39" s="50" t="str">
        <f>IFERROR(__xludf.DUMMYFUNCTION("JOIN("" | "",'Team Stats'!C$7:H$7)"),"0 | 0 | 0 | 0 | 0 | 0")</f>
        <v>0 | 0 | 0 | 0 | 0 | 0</v>
      </c>
      <c r="J39" s="51" t="str">
        <f>IFERROR(__xludf.DUMMYFUNCTION("JOIN("" | "",#REF!)"),"#REF!")</f>
        <v>#REF!</v>
      </c>
      <c r="L39" s="42" t="str">
        <f>IFERROR(__xludf.DUMMYFUNCTION("""COMPUTED_VALUE"""),"Omarion Hampton – LAC")</f>
        <v>Omarion Hampton – LAC</v>
      </c>
      <c r="M39" s="52">
        <f>IFERROR(VLOOKUP(L39,PlayerDB!$F$2:$G209,2,FALSE),"")</f>
        <v>177</v>
      </c>
      <c r="N39" s="42"/>
      <c r="O39" s="42"/>
      <c r="P39" s="42" t="str">
        <f>IFERROR(__xludf.DUMMYFUNCTION("""COMPUTED_VALUE"""),"Mike Evans – TB")</f>
        <v>Mike Evans – TB</v>
      </c>
      <c r="Q39" s="52">
        <f>IFERROR(VLOOKUP(P39,PlayerDB!$F$2:$G209,2,FALSE),"")</f>
        <v>164.5</v>
      </c>
    </row>
    <row r="40">
      <c r="A40" s="33"/>
      <c r="B40" s="34">
        <v>39.0</v>
      </c>
      <c r="C40" s="34" t="str">
        <f>'Teams &amp; Draft Order'!$C$12</f>
        <v>Turbo-Ginz</v>
      </c>
      <c r="D40" s="35"/>
      <c r="E40" s="36" t="str">
        <f>IFERROR(VLOOKUP($D40,PlayerDB!$F$2:$G209,2,FALSE),"")</f>
        <v/>
      </c>
      <c r="F40" s="36" t="str">
        <f>IFERROR(VLOOKUP($D40,PlayerDB!$F$2:$H209,3,FALSE),"")</f>
        <v/>
      </c>
      <c r="G40" s="37" t="str">
        <f>IFERROR(VLOOKUP($D40,PlayerDB!$F$2:$I209,4,FALSE),"")</f>
        <v/>
      </c>
      <c r="H40" s="38"/>
      <c r="I40" s="39" t="str">
        <f>IFERROR(__xludf.DUMMYFUNCTION("JOIN("" | "",'Team Stats'!C$8:H$8)"),"0 | 0 | 0 | 0 | 0 | 0")</f>
        <v>0 | 0 | 0 | 0 | 0 | 0</v>
      </c>
      <c r="J40" s="40" t="str">
        <f>IFERROR(__xludf.DUMMYFUNCTION("JOIN("" | "",#REF!)"),"#REF!")</f>
        <v>#REF!</v>
      </c>
      <c r="L40" s="42" t="str">
        <f>IFERROR(__xludf.DUMMYFUNCTION("""COMPUTED_VALUE"""),"Kenneth Walker III – SEA")</f>
        <v>Kenneth Walker III – SEA</v>
      </c>
      <c r="M40" s="52">
        <f>IFERROR(VLOOKUP(L40,PlayerDB!$F$2:$G209,2,FALSE),"")</f>
        <v>180</v>
      </c>
      <c r="N40" s="42"/>
      <c r="O40" s="42"/>
      <c r="P40" s="42" t="str">
        <f>IFERROR(__xludf.DUMMYFUNCTION("""COMPUTED_VALUE"""),"Tee Higgins – CIN")</f>
        <v>Tee Higgins – CIN</v>
      </c>
      <c r="Q40" s="52">
        <f>IFERROR(VLOOKUP(P40,PlayerDB!$F$2:$G209,2,FALSE),"")</f>
        <v>161.1</v>
      </c>
    </row>
    <row r="41">
      <c r="A41" s="54"/>
      <c r="B41" s="55">
        <v>40.0</v>
      </c>
      <c r="C41" s="55" t="str">
        <f>'Teams &amp; Draft Order'!$C$13</f>
        <v>Luddite</v>
      </c>
      <c r="D41" s="56"/>
      <c r="E41" s="57" t="str">
        <f>IFERROR(VLOOKUP($D41,PlayerDB!$F$2:$G209,2,FALSE),"")</f>
        <v/>
      </c>
      <c r="F41" s="57" t="str">
        <f>IFERROR(VLOOKUP($D41,PlayerDB!$F$2:$H209,3,FALSE),"")</f>
        <v/>
      </c>
      <c r="G41" s="58" t="str">
        <f>IFERROR(VLOOKUP($D41,PlayerDB!$F$2:$I209,4,FALSE),"")</f>
        <v/>
      </c>
      <c r="H41" s="59"/>
      <c r="I41" s="60" t="str">
        <f>IFERROR(__xludf.DUMMYFUNCTION("JOIN("" | "",'Team Stats'!C$9:H$9)"),"0 | 0 | 0 | 0 | 0 | 0")</f>
        <v>0 | 0 | 0 | 0 | 0 | 0</v>
      </c>
      <c r="J41" s="51" t="str">
        <f>IFERROR(__xludf.DUMMYFUNCTION("JOIN("" | "",#REF!)"),"#REF!")</f>
        <v>#REF!</v>
      </c>
      <c r="L41" s="42" t="str">
        <f>IFERROR(__xludf.DUMMYFUNCTION("""COMPUTED_VALUE"""),"Breece Hall – NYJ")</f>
        <v>Breece Hall – NYJ</v>
      </c>
      <c r="M41" s="52">
        <f>IFERROR(VLOOKUP(L41,PlayerDB!$F$2:$G209,2,FALSE),"")</f>
        <v>183</v>
      </c>
      <c r="N41" s="42"/>
      <c r="O41" s="42"/>
      <c r="P41" s="42" t="str">
        <f>IFERROR(__xludf.DUMMYFUNCTION("""COMPUTED_VALUE"""),"Terry McLaurin – WAS")</f>
        <v>Terry McLaurin – WAS</v>
      </c>
      <c r="Q41" s="52">
        <f>IFERROR(VLOOKUP(P41,PlayerDB!$F$2:$G209,2,FALSE),"")</f>
        <v>160.9</v>
      </c>
    </row>
    <row r="42">
      <c r="A42" s="33" t="s">
        <v>90</v>
      </c>
      <c r="B42" s="34">
        <v>41.0</v>
      </c>
      <c r="C42" s="34" t="str">
        <f>'Teams &amp; Draft Order'!$C$13</f>
        <v>Luddite</v>
      </c>
      <c r="D42" s="35"/>
      <c r="E42" s="36" t="str">
        <f>IFERROR(VLOOKUP($D42,PlayerDB!$F$2:$G209,2,FALSE),"")</f>
        <v/>
      </c>
      <c r="F42" s="36" t="str">
        <f>IFERROR(VLOOKUP($D42,PlayerDB!$F$2:$H209,3,FALSE),"")</f>
        <v/>
      </c>
      <c r="G42" s="37" t="str">
        <f>IFERROR(VLOOKUP($D42,PlayerDB!$F$2:$I209,4,FALSE),"")</f>
        <v/>
      </c>
      <c r="H42" s="38"/>
      <c r="I42" s="39" t="str">
        <f>IFERROR(__xludf.DUMMYFUNCTION("JOIN("" | "",'Team Stats'!C$9:H$9)"),"0 | 0 | 0 | 0 | 0 | 0")</f>
        <v>0 | 0 | 0 | 0 | 0 | 0</v>
      </c>
      <c r="J42" s="40" t="str">
        <f>IFERROR(__xludf.DUMMYFUNCTION("JOIN("" | "",'Team Stats'!I$9:K$9)"),"0 | 0 | 0")</f>
        <v>0 | 0 | 0</v>
      </c>
      <c r="L42" s="42" t="str">
        <f>IFERROR(__xludf.DUMMYFUNCTION("""COMPUTED_VALUE"""),"Chuba Hubbard – CAR")</f>
        <v>Chuba Hubbard – CAR</v>
      </c>
      <c r="M42" s="52">
        <f>IFERROR(VLOOKUP(L42,PlayerDB!$F$2:$G209,2,FALSE),"")</f>
        <v>176</v>
      </c>
      <c r="N42" s="42"/>
      <c r="O42" s="42"/>
      <c r="P42" s="42" t="str">
        <f>IFERROR(__xludf.DUMMYFUNCTION("""COMPUTED_VALUE"""),"Davante Adams – LAR")</f>
        <v>Davante Adams – LAR</v>
      </c>
      <c r="Q42" s="52">
        <f>IFERROR(VLOOKUP(P42,PlayerDB!$F$2:$G209,2,FALSE),"")</f>
        <v>159.2</v>
      </c>
    </row>
    <row r="43">
      <c r="A43" s="45"/>
      <c r="B43" s="46">
        <v>42.0</v>
      </c>
      <c r="C43" s="46" t="str">
        <f>'Teams &amp; Draft Order'!$C$12</f>
        <v>Turbo-Ginz</v>
      </c>
      <c r="D43" s="47"/>
      <c r="E43" s="48" t="str">
        <f>IFERROR(VLOOKUP($D43,PlayerDB!$F$2:$G209,2,FALSE),"")</f>
        <v/>
      </c>
      <c r="F43" s="48" t="str">
        <f>IFERROR(VLOOKUP($D43,PlayerDB!$F$2:$H209,3,FALSE),"")</f>
        <v/>
      </c>
      <c r="G43" s="49" t="str">
        <f>IFERROR(VLOOKUP($D43,PlayerDB!$F$2:$I209,4,FALSE),"")</f>
        <v/>
      </c>
      <c r="H43" s="38"/>
      <c r="I43" s="50" t="str">
        <f>IFERROR(__xludf.DUMMYFUNCTION("JOIN("" | "",'Team Stats'!C$8:H$8)"),"0 | 0 | 0 | 0 | 0 | 0")</f>
        <v>0 | 0 | 0 | 0 | 0 | 0</v>
      </c>
      <c r="J43" s="51" t="str">
        <f>IFERROR(__xludf.DUMMYFUNCTION("JOIN("" | "",'Team Stats'!I$8:K$8)"),"0 | 0 | 0")</f>
        <v>0 | 0 | 0</v>
      </c>
      <c r="L43" s="42" t="str">
        <f>IFERROR(__xludf.DUMMYFUNCTION("""COMPUTED_VALUE"""),"James Conner – ARI")</f>
        <v>James Conner – ARI</v>
      </c>
      <c r="M43" s="52">
        <f>IFERROR(VLOOKUP(L43,PlayerDB!$F$2:$G209,2,FALSE),"")</f>
        <v>177</v>
      </c>
      <c r="N43" s="42"/>
      <c r="O43" s="42"/>
      <c r="P43" s="42" t="str">
        <f>IFERROR(__xludf.DUMMYFUNCTION("""COMPUTED_VALUE"""),"Marvin Harrison Jr. – ARI")</f>
        <v>Marvin Harrison Jr. – ARI</v>
      </c>
      <c r="Q43" s="52">
        <f>IFERROR(VLOOKUP(P43,PlayerDB!$F$2:$G209,2,FALSE),"")</f>
        <v>154.5</v>
      </c>
    </row>
    <row r="44">
      <c r="A44" s="33"/>
      <c r="B44" s="34">
        <v>43.0</v>
      </c>
      <c r="C44" s="34" t="str">
        <f>'Teams &amp; Draft Order'!$C$11</f>
        <v>Big Boys Big Work</v>
      </c>
      <c r="D44" s="35"/>
      <c r="E44" s="36" t="str">
        <f>IFERROR(VLOOKUP($D44,PlayerDB!$F$2:$G209,2,FALSE),"")</f>
        <v/>
      </c>
      <c r="F44" s="36" t="str">
        <f>IFERROR(VLOOKUP($D44,PlayerDB!$F$2:$H209,3,FALSE),"")</f>
        <v/>
      </c>
      <c r="G44" s="37" t="str">
        <f>IFERROR(VLOOKUP($D44,PlayerDB!$F$2:$I209,4,FALSE),"")</f>
        <v/>
      </c>
      <c r="H44" s="38"/>
      <c r="I44" s="39" t="str">
        <f>IFERROR(__xludf.DUMMYFUNCTION("JOIN("" | "",'Team Stats'!C$7:H$7)"),"0 | 0 | 0 | 0 | 0 | 0")</f>
        <v>0 | 0 | 0 | 0 | 0 | 0</v>
      </c>
      <c r="J44" s="40" t="str">
        <f>IFERROR(__xludf.DUMMYFUNCTION("JOIN("" | "",'Team Stats'!I$7:K$7)"),"0 | 0 | 0")</f>
        <v>0 | 0 | 0</v>
      </c>
      <c r="L44" s="42" t="str">
        <f>IFERROR(__xludf.DUMMYFUNCTION("""COMPUTED_VALUE"""),"Alvin Kamara – NO")</f>
        <v>Alvin Kamara – NO</v>
      </c>
      <c r="M44" s="52">
        <f>IFERROR(VLOOKUP(L44,PlayerDB!$F$2:$G209,2,FALSE),"")</f>
        <v>174</v>
      </c>
      <c r="N44" s="42"/>
      <c r="O44" s="42"/>
      <c r="P44" s="42" t="str">
        <f>IFERROR(__xludf.DUMMYFUNCTION("""COMPUTED_VALUE"""),"DK Metcalf – PIT")</f>
        <v>DK Metcalf – PIT</v>
      </c>
      <c r="Q44" s="52">
        <f>IFERROR(VLOOKUP(P44,PlayerDB!$F$2:$G209,2,FALSE),"")</f>
        <v>151.9</v>
      </c>
    </row>
    <row r="45">
      <c r="A45" s="45"/>
      <c r="B45" s="46">
        <v>44.0</v>
      </c>
      <c r="C45" s="46" t="str">
        <f>'Teams &amp; Draft Order'!$C$10</f>
        <v>Buttheads</v>
      </c>
      <c r="D45" s="47"/>
      <c r="E45" s="48" t="str">
        <f>IFERROR(VLOOKUP($D45,PlayerDB!$F$2:$G209,2,FALSE),"")</f>
        <v/>
      </c>
      <c r="F45" s="48" t="str">
        <f>IFERROR(VLOOKUP($D45,PlayerDB!$F$2:$H209,3,FALSE),"")</f>
        <v/>
      </c>
      <c r="G45" s="49" t="str">
        <f>IFERROR(VLOOKUP($D45,PlayerDB!$F$2:$I209,4,FALSE),"")</f>
        <v/>
      </c>
      <c r="H45" s="38"/>
      <c r="I45" s="50" t="str">
        <f>IFERROR(__xludf.DUMMYFUNCTION("JOIN("" | "",'Team Stats'!C$6:H$6)"),"0 | 0 | 0 | 0 | 0 | 0")</f>
        <v>0 | 0 | 0 | 0 | 0 | 0</v>
      </c>
      <c r="J45" s="51" t="str">
        <f>IFERROR(__xludf.DUMMYFUNCTION("JOIN("" | "",'Team Stats'!I$6:K$6)"),"0 | 0 | 0")</f>
        <v>0 | 0 | 0</v>
      </c>
      <c r="L45" s="42" t="str">
        <f>IFERROR(__xludf.DUMMYFUNCTION("""COMPUTED_VALUE"""),"David Montgomery – DET")</f>
        <v>David Montgomery – DET</v>
      </c>
      <c r="M45" s="52">
        <f>IFERROR(VLOOKUP(L45,PlayerDB!$F$2:$G209,2,FALSE),"")</f>
        <v>159</v>
      </c>
      <c r="N45" s="42"/>
      <c r="O45" s="42"/>
      <c r="P45" s="42" t="str">
        <f>IFERROR(__xludf.DUMMYFUNCTION("""COMPUTED_VALUE"""),"Jaxon Smith-Njigba – SEA")</f>
        <v>Jaxon Smith-Njigba – SEA</v>
      </c>
      <c r="Q45" s="52">
        <f>IFERROR(VLOOKUP(P45,PlayerDB!$F$2:$G209,2,FALSE),"")</f>
        <v>151.5</v>
      </c>
    </row>
    <row r="46">
      <c r="A46" s="33"/>
      <c r="B46" s="34">
        <v>45.0</v>
      </c>
      <c r="C46" s="34" t="str">
        <f>'Teams &amp; Draft Order'!$C$9</f>
        <v>El Nino</v>
      </c>
      <c r="D46" s="35"/>
      <c r="E46" s="36" t="str">
        <f>IFERROR(VLOOKUP($D46,PlayerDB!$F$2:$G209,2,FALSE),"")</f>
        <v/>
      </c>
      <c r="F46" s="36" t="str">
        <f>IFERROR(VLOOKUP($D46,PlayerDB!$F$2:$H209,3,FALSE),"")</f>
        <v/>
      </c>
      <c r="G46" s="37" t="str">
        <f>IFERROR(VLOOKUP($D46,PlayerDB!$F$2:$I209,4,FALSE),"")</f>
        <v/>
      </c>
      <c r="H46" s="38"/>
      <c r="I46" s="39" t="str">
        <f>IFERROR(__xludf.DUMMYFUNCTION("JOIN("" | "",'Team Stats'!C$5:H$5)"),"0 | 0 | 0 | 0 | 0 | 0")</f>
        <v>0 | 0 | 0 | 0 | 0 | 0</v>
      </c>
      <c r="J46" s="40" t="str">
        <f>IFERROR(__xludf.DUMMYFUNCTION("JOIN("" | "",'Team Stats'!I$5:K$5)"),"0 | 0 | 0")</f>
        <v>0 | 0 | 0</v>
      </c>
      <c r="L46" s="42" t="str">
        <f>IFERROR(__xludf.DUMMYFUNCTION("""COMPUTED_VALUE"""),"Isiah Pacheco – KC")</f>
        <v>Isiah Pacheco – KC</v>
      </c>
      <c r="M46" s="52">
        <f>IFERROR(VLOOKUP(L46,PlayerDB!$F$2:$G209,2,FALSE),"")</f>
        <v>146</v>
      </c>
      <c r="N46" s="42"/>
      <c r="O46" s="42"/>
      <c r="P46" s="42" t="str">
        <f>IFERROR(__xludf.DUMMYFUNCTION("""COMPUTED_VALUE"""),"Zay Flowers – BAL")</f>
        <v>Zay Flowers – BAL</v>
      </c>
      <c r="Q46" s="52">
        <f>IFERROR(VLOOKUP(P46,PlayerDB!$F$2:$G209,2,FALSE),"")</f>
        <v>145.2</v>
      </c>
    </row>
    <row r="47">
      <c r="A47" s="45"/>
      <c r="B47" s="46">
        <v>46.0</v>
      </c>
      <c r="C47" s="46" t="str">
        <f>'Teams &amp; Draft Order'!$C$8</f>
        <v>Icelanders</v>
      </c>
      <c r="D47" s="47"/>
      <c r="E47" s="48" t="str">
        <f>IFERROR(VLOOKUP($D47,PlayerDB!$F$2:$G209,2,FALSE),"")</f>
        <v/>
      </c>
      <c r="F47" s="48" t="str">
        <f>IFERROR(VLOOKUP($D47,PlayerDB!$F$2:$H209,3,FALSE),"")</f>
        <v/>
      </c>
      <c r="G47" s="49" t="str">
        <f>IFERROR(VLOOKUP($D47,PlayerDB!$F$2:$I209,4,FALSE),"")</f>
        <v/>
      </c>
      <c r="H47" s="38"/>
      <c r="I47" s="50" t="str">
        <f>IFERROR(__xludf.DUMMYFUNCTION("JOIN("" | "",'Team Stats'!C$4:H$4)"),"0 | 0 | 0 | 0 | 0 | 0")</f>
        <v>0 | 0 | 0 | 0 | 0 | 0</v>
      </c>
      <c r="J47" s="51" t="str">
        <f>IFERROR(__xludf.DUMMYFUNCTION("JOIN("" | "",'Team Stats'!I$4:K$4)"),"0 | 0 | 0")</f>
        <v>0 | 0 | 0</v>
      </c>
      <c r="L47" s="42"/>
      <c r="M47" s="63"/>
      <c r="N47" s="42"/>
      <c r="O47" s="42"/>
      <c r="P47" s="42"/>
      <c r="Q47" s="63"/>
    </row>
    <row r="48">
      <c r="A48" s="33"/>
      <c r="B48" s="34">
        <v>47.0</v>
      </c>
      <c r="C48" s="34" t="str">
        <f>'Teams &amp; Draft Order'!$C$7</f>
        <v>Phantasm</v>
      </c>
      <c r="D48" s="35"/>
      <c r="E48" s="36" t="str">
        <f>IFERROR(VLOOKUP($D48,PlayerDB!$F$2:$G209,2,FALSE),"")</f>
        <v/>
      </c>
      <c r="F48" s="36" t="str">
        <f>IFERROR(VLOOKUP($D48,PlayerDB!$F$2:$H209,3,FALSE),"")</f>
        <v/>
      </c>
      <c r="G48" s="37" t="str">
        <f>IFERROR(VLOOKUP($D48,PlayerDB!$F$2:$I209,4,FALSE),"")</f>
        <v/>
      </c>
      <c r="H48" s="38"/>
      <c r="I48" s="39" t="str">
        <f>IFERROR(__xludf.DUMMYFUNCTION("JOIN("" | "",'Team Stats'!C$3:H$3)"),"0 | 0 | 0 | 0 | 0 | 0")</f>
        <v>0 | 0 | 0 | 0 | 0 | 0</v>
      </c>
      <c r="J48" s="40" t="str">
        <f>IFERROR(__xludf.DUMMYFUNCTION("JOIN("" | "",'Team Stats'!I$3:K$3)"),"0 | 0 | 0")</f>
        <v>0 | 0 | 0</v>
      </c>
      <c r="L48" s="42"/>
      <c r="M48" s="42"/>
      <c r="N48" s="42"/>
      <c r="O48" s="42"/>
      <c r="P48" s="42"/>
      <c r="Q48" s="42"/>
    </row>
    <row r="49">
      <c r="A49" s="54"/>
      <c r="B49" s="55">
        <v>48.0</v>
      </c>
      <c r="C49" s="55" t="str">
        <f>'Teams &amp; Draft Order'!$C$6</f>
        <v>Sleeper Cell </v>
      </c>
      <c r="D49" s="56"/>
      <c r="E49" s="57" t="str">
        <f>IFERROR(VLOOKUP($D49,PlayerDB!$F$2:$G209,2,FALSE),"")</f>
        <v/>
      </c>
      <c r="F49" s="57" t="str">
        <f>IFERROR(VLOOKUP($D49,PlayerDB!$F$2:$H209,3,FALSE),"")</f>
        <v/>
      </c>
      <c r="G49" s="58" t="str">
        <f>IFERROR(VLOOKUP($D49,PlayerDB!$F$2:$I209,4,FALSE),"")</f>
        <v/>
      </c>
      <c r="H49" s="59"/>
      <c r="I49" s="60" t="str">
        <f>IFERROR(__xludf.DUMMYFUNCTION("JOIN("" | "",'Team Stats'!C$2:H$2)"),"1 | 0 | 0 | 0 | 0 | 0")</f>
        <v>1 | 0 | 0 | 0 | 0 | 0</v>
      </c>
      <c r="J49" s="64" t="str">
        <f>IFERROR(__xludf.DUMMYFUNCTION("JOIN("" | "",'Team Stats'!I$2:K$2)"),"0 | 0 | 0")</f>
        <v>0 | 0 | 0</v>
      </c>
      <c r="L49" s="42"/>
      <c r="M49" s="42"/>
      <c r="N49" s="42"/>
      <c r="O49" s="42"/>
      <c r="P49" s="42"/>
      <c r="Q49" s="42"/>
    </row>
    <row r="50">
      <c r="A50" s="33" t="s">
        <v>91</v>
      </c>
      <c r="B50" s="34">
        <v>49.0</v>
      </c>
      <c r="C50" s="34" t="str">
        <f>'Teams &amp; Draft Order'!$C$6</f>
        <v>Sleeper Cell </v>
      </c>
      <c r="D50" s="35"/>
      <c r="E50" s="36" t="str">
        <f>IFERROR(VLOOKUP($D50,PlayerDB!$F$2:$G209,2,FALSE),"")</f>
        <v/>
      </c>
      <c r="F50" s="36" t="str">
        <f>IFERROR(VLOOKUP($D50,PlayerDB!$F$2:$H209,3,FALSE),"")</f>
        <v/>
      </c>
      <c r="G50" s="37" t="str">
        <f>IFERROR(VLOOKUP($D50,PlayerDB!$F$2:$I209,4,FALSE),"")</f>
        <v/>
      </c>
      <c r="H50" s="38"/>
      <c r="I50" s="39" t="str">
        <f>IFERROR(__xludf.DUMMYFUNCTION("JOIN("" | "",'Team Stats'!C$2:H$2)"),"1 | 0 | 0 | 0 | 0 | 0")</f>
        <v>1 | 0 | 0 | 0 | 0 | 0</v>
      </c>
      <c r="J50" s="40" t="str">
        <f>IFERROR(__xludf.DUMMYFUNCTION("JOIN("" | "",'Team Stats'!I$2:K$2)"),"0 | 0 | 0")</f>
        <v>0 | 0 | 0</v>
      </c>
      <c r="L50" s="68" t="s">
        <v>39</v>
      </c>
      <c r="M50" s="44">
        <f>COUNTIF(F:F,"TE")</f>
        <v>0</v>
      </c>
      <c r="N50" s="42"/>
      <c r="O50" s="42"/>
      <c r="P50" s="69" t="s">
        <v>40</v>
      </c>
      <c r="Q50" s="44">
        <f>COUNTIF(F:F,"K")</f>
        <v>0</v>
      </c>
    </row>
    <row r="51">
      <c r="A51" s="45"/>
      <c r="B51" s="46">
        <v>50.0</v>
      </c>
      <c r="C51" s="46" t="str">
        <f>'Teams &amp; Draft Order'!$C$7</f>
        <v>Phantasm</v>
      </c>
      <c r="D51" s="47"/>
      <c r="E51" s="48" t="str">
        <f>IFERROR(VLOOKUP($D51,PlayerDB!$F$2:$G209,2,FALSE),"")</f>
        <v/>
      </c>
      <c r="F51" s="48" t="str">
        <f>IFERROR(VLOOKUP($D51,PlayerDB!$F$2:$H209,3,FALSE),"")</f>
        <v/>
      </c>
      <c r="G51" s="49" t="str">
        <f>IFERROR(VLOOKUP($D51,PlayerDB!$F$2:$I209,4,FALSE),"")</f>
        <v/>
      </c>
      <c r="H51" s="38"/>
      <c r="I51" s="50" t="str">
        <f>IFERROR(__xludf.DUMMYFUNCTION("JOIN("" | "",'Team Stats'!C$3:H$3)"),"0 | 0 | 0 | 0 | 0 | 0")</f>
        <v>0 | 0 | 0 | 0 | 0 | 0</v>
      </c>
      <c r="J51" s="51" t="str">
        <f>IFERROR(__xludf.DUMMYFUNCTION("JOIN("" | "",'Team Stats'!I$3:K$3)"),"0 | 0 | 0")</f>
        <v>0 | 0 | 0</v>
      </c>
      <c r="L51" s="67" t="str">
        <f>IFERROR(__xludf.DUMMYFUNCTION("QUERY(HELP_PlayersLeft!A2:B209, ""select A where B ='TE' LIMIT 20"")"),"Brock Bowers – LV")</f>
        <v>Brock Bowers – LV</v>
      </c>
      <c r="M51" s="52">
        <f>IFERROR(VLOOKUP(L51,PlayerDB!$F$2:$G209,2,FALSE),"")</f>
        <v>149.7</v>
      </c>
      <c r="N51" s="42"/>
      <c r="O51" s="42"/>
      <c r="P51" s="42" t="str">
        <f>IFERROR(__xludf.DUMMYFUNCTION("QUERY(HELP_PlayersLeft!A2:B209, ""select A where B ='K' LIMIT 20"")"),"Brandon Aubrey – DAL")</f>
        <v>Brandon Aubrey – DAL</v>
      </c>
      <c r="Q51" s="52">
        <f>IFERROR(VLOOKUP(P51,PlayerDB!$F$2:$G209,2,FALSE),"")</f>
        <v>140</v>
      </c>
    </row>
    <row r="52">
      <c r="A52" s="33"/>
      <c r="B52" s="34">
        <v>51.0</v>
      </c>
      <c r="C52" s="34" t="str">
        <f>'Teams &amp; Draft Order'!$C$8</f>
        <v>Icelanders</v>
      </c>
      <c r="D52" s="35"/>
      <c r="E52" s="36" t="str">
        <f>IFERROR(VLOOKUP($D52,PlayerDB!$F$2:$G209,2,FALSE),"")</f>
        <v/>
      </c>
      <c r="F52" s="36" t="str">
        <f>IFERROR(VLOOKUP($D52,PlayerDB!$F$2:$H209,3,FALSE),"")</f>
        <v/>
      </c>
      <c r="G52" s="37" t="str">
        <f>IFERROR(VLOOKUP($D52,PlayerDB!$F$2:$I209,4,FALSE),"")</f>
        <v/>
      </c>
      <c r="H52" s="38"/>
      <c r="I52" s="39" t="str">
        <f>IFERROR(__xludf.DUMMYFUNCTION("JOIN("" | "",'Team Stats'!C$4:H$4)"),"0 | 0 | 0 | 0 | 0 | 0")</f>
        <v>0 | 0 | 0 | 0 | 0 | 0</v>
      </c>
      <c r="J52" s="40" t="str">
        <f>IFERROR(__xludf.DUMMYFUNCTION("JOIN("" | "",'Team Stats'!I$4:K$4)"),"0 | 0 | 0")</f>
        <v>0 | 0 | 0</v>
      </c>
      <c r="L52" s="20" t="str">
        <f>IFERROR(__xludf.DUMMYFUNCTION("""COMPUTED_VALUE"""),"George Kittle – SF")</f>
        <v>George Kittle – SF</v>
      </c>
      <c r="M52" s="52">
        <f>IFERROR(VLOOKUP(L52,PlayerDB!$F$2:$G209,2,FALSE),"")</f>
        <v>147.6</v>
      </c>
      <c r="N52" s="42"/>
      <c r="O52" s="42"/>
      <c r="P52" s="20" t="str">
        <f>IFERROR(__xludf.DUMMYFUNCTION("""COMPUTED_VALUE"""),"Chase McLaughlin – TB")</f>
        <v>Chase McLaughlin – TB</v>
      </c>
      <c r="Q52" s="52">
        <f>IFERROR(VLOOKUP(P52,PlayerDB!$F$2:$G209,2,FALSE),"")</f>
        <v>136</v>
      </c>
    </row>
    <row r="53">
      <c r="A53" s="45"/>
      <c r="B53" s="46">
        <v>52.0</v>
      </c>
      <c r="C53" s="46" t="str">
        <f>'Teams &amp; Draft Order'!$C$9</f>
        <v>El Nino</v>
      </c>
      <c r="D53" s="47"/>
      <c r="E53" s="48" t="str">
        <f>IFERROR(VLOOKUP($D53,PlayerDB!$F$2:$G209,2,FALSE),"")</f>
        <v/>
      </c>
      <c r="F53" s="48" t="str">
        <f>IFERROR(VLOOKUP($D53,PlayerDB!$F$2:$H209,3,FALSE),"")</f>
        <v/>
      </c>
      <c r="G53" s="49" t="str">
        <f>IFERROR(VLOOKUP($D53,PlayerDB!$F$2:$I209,4,FALSE),"")</f>
        <v/>
      </c>
      <c r="H53" s="38"/>
      <c r="I53" s="50" t="str">
        <f>IFERROR(__xludf.DUMMYFUNCTION("JOIN("" | "",'Team Stats'!C$5:H$5)"),"0 | 0 | 0 | 0 | 0 | 0")</f>
        <v>0 | 0 | 0 | 0 | 0 | 0</v>
      </c>
      <c r="J53" s="51" t="str">
        <f>IFERROR(__xludf.DUMMYFUNCTION("JOIN("" | "",'Team Stats'!I$5:K$5)"),"0 | 0 | 0")</f>
        <v>0 | 0 | 0</v>
      </c>
      <c r="L53" s="42" t="str">
        <f>IFERROR(__xludf.DUMMYFUNCTION("""COMPUTED_VALUE"""),"Trey McBride – ARI")</f>
        <v>Trey McBride – ARI</v>
      </c>
      <c r="M53" s="52">
        <f>IFERROR(VLOOKUP(L53,PlayerDB!$F$2:$G209,2,FALSE),"")</f>
        <v>139.4</v>
      </c>
      <c r="N53" s="42"/>
      <c r="O53" s="42"/>
      <c r="P53" s="42" t="str">
        <f>IFERROR(__xludf.DUMMYFUNCTION("""COMPUTED_VALUE"""),"Cameron Dicker – LAC")</f>
        <v>Cameron Dicker – LAC</v>
      </c>
      <c r="Q53" s="52">
        <f>IFERROR(VLOOKUP(P53,PlayerDB!$F$2:$G209,2,FALSE),"")</f>
        <v>135</v>
      </c>
    </row>
    <row r="54">
      <c r="A54" s="33"/>
      <c r="B54" s="34">
        <v>53.0</v>
      </c>
      <c r="C54" s="34" t="str">
        <f>'Teams &amp; Draft Order'!$C$10</f>
        <v>Buttheads</v>
      </c>
      <c r="D54" s="35"/>
      <c r="E54" s="36" t="str">
        <f>IFERROR(VLOOKUP($D54,PlayerDB!$F$2:$G209,2,FALSE),"")</f>
        <v/>
      </c>
      <c r="F54" s="36" t="str">
        <f>IFERROR(VLOOKUP($D54,PlayerDB!$F$2:$H209,3,FALSE),"")</f>
        <v/>
      </c>
      <c r="G54" s="37" t="str">
        <f>IFERROR(VLOOKUP($D54,PlayerDB!$F$2:$I209,4,FALSE),"")</f>
        <v/>
      </c>
      <c r="H54" s="38"/>
      <c r="I54" s="39" t="str">
        <f>IFERROR(__xludf.DUMMYFUNCTION("JOIN("" | "",'Team Stats'!C$6:H$6)"),"0 | 0 | 0 | 0 | 0 | 0")</f>
        <v>0 | 0 | 0 | 0 | 0 | 0</v>
      </c>
      <c r="J54" s="40" t="str">
        <f>IFERROR(__xludf.DUMMYFUNCTION("JOIN("" | "",'Team Stats'!I$6:K$6)"),"0 | 0 | 0")</f>
        <v>0 | 0 | 0</v>
      </c>
      <c r="L54" s="42" t="str">
        <f>IFERROR(__xludf.DUMMYFUNCTION("""COMPUTED_VALUE"""),"Mark Andrews – BAL")</f>
        <v>Mark Andrews – BAL</v>
      </c>
      <c r="M54" s="52">
        <f>IFERROR(VLOOKUP(L54,PlayerDB!$F$2:$G209,2,FALSE),"")</f>
        <v>117.3</v>
      </c>
      <c r="N54" s="42"/>
      <c r="O54" s="42"/>
      <c r="P54" s="42" t="str">
        <f>IFERROR(__xludf.DUMMYFUNCTION("""COMPUTED_VALUE"""),"Jake Elliott – PHI")</f>
        <v>Jake Elliott – PHI</v>
      </c>
      <c r="Q54" s="52">
        <f>IFERROR(VLOOKUP(P54,PlayerDB!$F$2:$G209,2,FALSE),"")</f>
        <v>134</v>
      </c>
    </row>
    <row r="55">
      <c r="A55" s="45"/>
      <c r="B55" s="46">
        <v>54.0</v>
      </c>
      <c r="C55" s="46" t="str">
        <f>'Teams &amp; Draft Order'!$C$11</f>
        <v>Big Boys Big Work</v>
      </c>
      <c r="D55" s="47"/>
      <c r="E55" s="48" t="str">
        <f>IFERROR(VLOOKUP($D55,PlayerDB!$F$2:$G209,2,FALSE),"")</f>
        <v/>
      </c>
      <c r="F55" s="48" t="str">
        <f>IFERROR(VLOOKUP($D55,PlayerDB!$F$2:$H209,3,FALSE),"")</f>
        <v/>
      </c>
      <c r="G55" s="49" t="str">
        <f>IFERROR(VLOOKUP($D55,PlayerDB!$F$2:$I209,4,FALSE),"")</f>
        <v/>
      </c>
      <c r="H55" s="38"/>
      <c r="I55" s="50" t="str">
        <f>IFERROR(__xludf.DUMMYFUNCTION("JOIN("" | "",'Team Stats'!C$7:H$7)"),"0 | 0 | 0 | 0 | 0 | 0")</f>
        <v>0 | 0 | 0 | 0 | 0 | 0</v>
      </c>
      <c r="J55" s="51" t="str">
        <f>IFERROR(__xludf.DUMMYFUNCTION("JOIN("" | "",'Team Stats'!I$7:K$7)"),"0 | 0 | 0")</f>
        <v>0 | 0 | 0</v>
      </c>
      <c r="L55" s="42" t="str">
        <f>IFERROR(__xludf.DUMMYFUNCTION("""COMPUTED_VALUE"""),"Sam LaPorta – DET")</f>
        <v>Sam LaPorta – DET</v>
      </c>
      <c r="M55" s="52">
        <f>IFERROR(VLOOKUP(L55,PlayerDB!$F$2:$G209,2,FALSE),"")</f>
        <v>115.6</v>
      </c>
      <c r="N55" s="42"/>
      <c r="O55" s="42"/>
      <c r="P55" s="42" t="str">
        <f>IFERROR(__xludf.DUMMYFUNCTION("""COMPUTED_VALUE"""),"Matt Gay – WAS")</f>
        <v>Matt Gay – WAS</v>
      </c>
      <c r="Q55" s="52">
        <f>IFERROR(VLOOKUP(P55,PlayerDB!$F$2:$G209,2,FALSE),"")</f>
        <v>134</v>
      </c>
    </row>
    <row r="56">
      <c r="A56" s="33"/>
      <c r="B56" s="34">
        <v>55.0</v>
      </c>
      <c r="C56" s="34" t="str">
        <f>'Teams &amp; Draft Order'!$C$12</f>
        <v>Turbo-Ginz</v>
      </c>
      <c r="D56" s="35"/>
      <c r="E56" s="36" t="str">
        <f>IFERROR(VLOOKUP($D56,PlayerDB!$F$2:$G209,2,FALSE),"")</f>
        <v/>
      </c>
      <c r="F56" s="36" t="str">
        <f>IFERROR(VLOOKUP($D56,PlayerDB!$F$2:$H209,3,FALSE),"")</f>
        <v/>
      </c>
      <c r="G56" s="37" t="str">
        <f>IFERROR(VLOOKUP($D56,PlayerDB!$F$2:$I209,4,FALSE),"")</f>
        <v/>
      </c>
      <c r="H56" s="38"/>
      <c r="I56" s="39" t="str">
        <f>IFERROR(__xludf.DUMMYFUNCTION("JOIN("" | "",'Team Stats'!C$8:H$8)"),"0 | 0 | 0 | 0 | 0 | 0")</f>
        <v>0 | 0 | 0 | 0 | 0 | 0</v>
      </c>
      <c r="J56" s="40" t="str">
        <f>IFERROR(__xludf.DUMMYFUNCTION("JOIN("" | "",'Team Stats'!I$8:K$8)"),"0 | 0 | 0")</f>
        <v>0 | 0 | 0</v>
      </c>
      <c r="L56" s="42" t="str">
        <f>IFERROR(__xludf.DUMMYFUNCTION("""COMPUTED_VALUE"""),"T.J. Hockenson – MIN")</f>
        <v>T.J. Hockenson – MIN</v>
      </c>
      <c r="M56" s="52">
        <f>IFERROR(VLOOKUP(L56,PlayerDB!$F$2:$G209,2,FALSE),"")</f>
        <v>106.5</v>
      </c>
      <c r="N56" s="42"/>
      <c r="O56" s="42"/>
      <c r="P56" s="42" t="str">
        <f>IFERROR(__xludf.DUMMYFUNCTION("""COMPUTED_VALUE"""),"Jake Bates – DET")</f>
        <v>Jake Bates – DET</v>
      </c>
      <c r="Q56" s="52">
        <f>IFERROR(VLOOKUP(P56,PlayerDB!$F$2:$G209,2,FALSE),"")</f>
        <v>132</v>
      </c>
    </row>
    <row r="57">
      <c r="A57" s="54"/>
      <c r="B57" s="55">
        <v>56.0</v>
      </c>
      <c r="C57" s="55" t="str">
        <f>'Teams &amp; Draft Order'!$C$13</f>
        <v>Luddite</v>
      </c>
      <c r="D57" s="56"/>
      <c r="E57" s="57" t="str">
        <f>IFERROR(VLOOKUP($D57,PlayerDB!$F$2:$G209,2,FALSE),"")</f>
        <v/>
      </c>
      <c r="F57" s="57" t="str">
        <f>IFERROR(VLOOKUP($D57,PlayerDB!$F$2:$H209,3,FALSE),"")</f>
        <v/>
      </c>
      <c r="G57" s="58" t="str">
        <f>IFERROR(VLOOKUP($D57,PlayerDB!$F$2:$I209,4,FALSE),"")</f>
        <v/>
      </c>
      <c r="H57" s="59"/>
      <c r="I57" s="60" t="str">
        <f>IFERROR(__xludf.DUMMYFUNCTION("JOIN("" | "",'Team Stats'!C$9:H$9)"),"0 | 0 | 0 | 0 | 0 | 0")</f>
        <v>0 | 0 | 0 | 0 | 0 | 0</v>
      </c>
      <c r="J57" s="51" t="str">
        <f>IFERROR(__xludf.DUMMYFUNCTION("JOIN("" | "",'Team Stats'!I$9:K$9)"),"0 | 0 | 0")</f>
        <v>0 | 0 | 0</v>
      </c>
      <c r="L57" s="42" t="str">
        <f>IFERROR(__xludf.DUMMYFUNCTION("""COMPUTED_VALUE"""),"Travis Kelce – KC")</f>
        <v>Travis Kelce – KC</v>
      </c>
      <c r="M57" s="52">
        <f>IFERROR(VLOOKUP(L57,PlayerDB!$F$2:$G209,2,FALSE),"")</f>
        <v>105.9</v>
      </c>
      <c r="N57" s="42"/>
      <c r="O57" s="42"/>
      <c r="P57" s="42" t="str">
        <f>IFERROR(__xludf.DUMMYFUNCTION("""COMPUTED_VALUE"""),"Chris Boswell – PIT")</f>
        <v>Chris Boswell – PIT</v>
      </c>
      <c r="Q57" s="52">
        <f>IFERROR(VLOOKUP(P57,PlayerDB!$F$2:$G209,2,FALSE),"")</f>
        <v>132</v>
      </c>
    </row>
    <row r="58">
      <c r="A58" s="33" t="s">
        <v>92</v>
      </c>
      <c r="B58" s="34">
        <v>57.0</v>
      </c>
      <c r="C58" s="34" t="str">
        <f>'Teams &amp; Draft Order'!$C$13</f>
        <v>Luddite</v>
      </c>
      <c r="D58" s="35"/>
      <c r="E58" s="36" t="str">
        <f>IFERROR(VLOOKUP($D58,PlayerDB!$F$2:$G209,2,FALSE),"")</f>
        <v/>
      </c>
      <c r="F58" s="36" t="str">
        <f>IFERROR(VLOOKUP($D58,PlayerDB!$F$2:$H209,3,FALSE),"")</f>
        <v/>
      </c>
      <c r="G58" s="37" t="str">
        <f>IFERROR(VLOOKUP($D58,PlayerDB!$F$2:$I209,4,FALSE),"")</f>
        <v/>
      </c>
      <c r="H58" s="38"/>
      <c r="I58" s="39" t="str">
        <f>IFERROR(__xludf.DUMMYFUNCTION("JOIN("" | "",'Team Stats'!C$9:H$9)"),"0 | 0 | 0 | 0 | 0 | 0")</f>
        <v>0 | 0 | 0 | 0 | 0 | 0</v>
      </c>
      <c r="J58" s="40" t="str">
        <f>IFERROR(__xludf.DUMMYFUNCTION("JOIN("" | "",#REF!)"),"#REF!")</f>
        <v>#REF!</v>
      </c>
      <c r="L58" s="42" t="str">
        <f>IFERROR(__xludf.DUMMYFUNCTION("""COMPUTED_VALUE"""),"David Njoku – CLE")</f>
        <v>David Njoku – CLE</v>
      </c>
      <c r="M58" s="52">
        <f>IFERROR(VLOOKUP(L58,PlayerDB!$F$2:$G209,2,FALSE),"")</f>
        <v>101.1</v>
      </c>
      <c r="N58" s="42"/>
      <c r="O58" s="42"/>
      <c r="P58" s="42" t="str">
        <f>IFERROR(__xludf.DUMMYFUNCTION("""COMPUTED_VALUE"""),"Tyler Loop – BAL")</f>
        <v>Tyler Loop – BAL</v>
      </c>
      <c r="Q58" s="52">
        <f>IFERROR(VLOOKUP(P58,PlayerDB!$F$2:$G209,2,FALSE),"")</f>
        <v>130</v>
      </c>
    </row>
    <row r="59">
      <c r="A59" s="45"/>
      <c r="B59" s="46">
        <v>58.0</v>
      </c>
      <c r="C59" s="46" t="str">
        <f>'Teams &amp; Draft Order'!$C$12</f>
        <v>Turbo-Ginz</v>
      </c>
      <c r="D59" s="47"/>
      <c r="E59" s="48" t="str">
        <f>IFERROR(VLOOKUP($D59,PlayerDB!$F$2:$G209,2,FALSE),"")</f>
        <v/>
      </c>
      <c r="F59" s="48" t="str">
        <f>IFERROR(VLOOKUP($D59,PlayerDB!$F$2:$H209,3,FALSE),"")</f>
        <v/>
      </c>
      <c r="G59" s="49" t="str">
        <f>IFERROR(VLOOKUP($D59,PlayerDB!$F$2:$I209,4,FALSE),"")</f>
        <v/>
      </c>
      <c r="H59" s="38"/>
      <c r="I59" s="50" t="str">
        <f>IFERROR(__xludf.DUMMYFUNCTION("JOIN("" | "",'Team Stats'!C$8:H$8)"),"0 | 0 | 0 | 0 | 0 | 0")</f>
        <v>0 | 0 | 0 | 0 | 0 | 0</v>
      </c>
      <c r="J59" s="51" t="str">
        <f>IFERROR(__xludf.DUMMYFUNCTION("JOIN("" | "",#REF!)"),"#REF!")</f>
        <v>#REF!</v>
      </c>
      <c r="L59" s="42" t="str">
        <f>IFERROR(__xludf.DUMMYFUNCTION("""COMPUTED_VALUE"""),"Tucker Kraft – GB")</f>
        <v>Tucker Kraft – GB</v>
      </c>
      <c r="M59" s="52">
        <f>IFERROR(VLOOKUP(L59,PlayerDB!$F$2:$G209,2,FALSE),"")</f>
        <v>92.6</v>
      </c>
      <c r="N59" s="42"/>
      <c r="O59" s="42"/>
      <c r="P59" s="42" t="str">
        <f>IFERROR(__xludf.DUMMYFUNCTION("""COMPUTED_VALUE"""),"Daniel Carlson – LV")</f>
        <v>Daniel Carlson – LV</v>
      </c>
      <c r="Q59" s="52">
        <f>IFERROR(VLOOKUP(P59,PlayerDB!$F$2:$G209,2,FALSE),"")</f>
        <v>129</v>
      </c>
    </row>
    <row r="60">
      <c r="A60" s="33"/>
      <c r="B60" s="34">
        <v>59.0</v>
      </c>
      <c r="C60" s="34" t="str">
        <f>'Teams &amp; Draft Order'!$C$11</f>
        <v>Big Boys Big Work</v>
      </c>
      <c r="D60" s="35"/>
      <c r="E60" s="36" t="str">
        <f>IFERROR(VLOOKUP($D60,PlayerDB!$F$2:$G209,2,FALSE),"")</f>
        <v/>
      </c>
      <c r="F60" s="36" t="str">
        <f>IFERROR(VLOOKUP($D60,PlayerDB!$F$2:$H209,3,FALSE),"")</f>
        <v/>
      </c>
      <c r="G60" s="37" t="str">
        <f>IFERROR(VLOOKUP($D60,PlayerDB!$F$2:$I209,4,FALSE),"")</f>
        <v/>
      </c>
      <c r="H60" s="38"/>
      <c r="I60" s="39" t="str">
        <f>IFERROR(__xludf.DUMMYFUNCTION("JOIN("" | "",'Team Stats'!C$7:H$7)"),"0 | 0 | 0 | 0 | 0 | 0")</f>
        <v>0 | 0 | 0 | 0 | 0 | 0</v>
      </c>
      <c r="J60" s="40" t="str">
        <f>IFERROR(__xludf.DUMMYFUNCTION("JOIN("" | "",#REF!)"),"#REF!")</f>
        <v>#REF!</v>
      </c>
      <c r="L60" s="42" t="str">
        <f>IFERROR(__xludf.DUMMYFUNCTION("""COMPUTED_VALUE"""),"Tyler Warren – IND")</f>
        <v>Tyler Warren – IND</v>
      </c>
      <c r="M60" s="52">
        <f>IFERROR(VLOOKUP(L60,PlayerDB!$F$2:$G209,2,FALSE),"")</f>
        <v>88.7</v>
      </c>
      <c r="N60" s="42"/>
      <c r="O60" s="42"/>
      <c r="P60" s="42" t="str">
        <f>IFERROR(__xludf.DUMMYFUNCTION("""COMPUTED_VALUE"""),"Ka’imi Fairbairn – HOU")</f>
        <v>Ka’imi Fairbairn – HOU</v>
      </c>
      <c r="Q60" s="52">
        <f>IFERROR(VLOOKUP(P60,PlayerDB!$F$2:$G209,2,FALSE),"")</f>
        <v>128</v>
      </c>
    </row>
    <row r="61">
      <c r="A61" s="45"/>
      <c r="B61" s="46">
        <v>60.0</v>
      </c>
      <c r="C61" s="46" t="str">
        <f>'Teams &amp; Draft Order'!$C$10</f>
        <v>Buttheads</v>
      </c>
      <c r="D61" s="47"/>
      <c r="E61" s="48" t="str">
        <f>IFERROR(VLOOKUP($D61,PlayerDB!$F$2:$G209,2,FALSE),"")</f>
        <v/>
      </c>
      <c r="F61" s="48" t="str">
        <f>IFERROR(VLOOKUP($D61,PlayerDB!$F$2:$H209,3,FALSE),"")</f>
        <v/>
      </c>
      <c r="G61" s="49" t="str">
        <f>IFERROR(VLOOKUP($D61,PlayerDB!$F$2:$I209,4,FALSE),"")</f>
        <v/>
      </c>
      <c r="H61" s="38"/>
      <c r="I61" s="50" t="str">
        <f>IFERROR(__xludf.DUMMYFUNCTION("JOIN("" | "",'Team Stats'!C$6:H$6)"),"0 | 0 | 0 | 0 | 0 | 0")</f>
        <v>0 | 0 | 0 | 0 | 0 | 0</v>
      </c>
      <c r="J61" s="51" t="str">
        <f>IFERROR(__xludf.DUMMYFUNCTION("JOIN("" | "",#REF!)"),"#REF!")</f>
        <v>#REF!</v>
      </c>
      <c r="L61" s="42" t="str">
        <f>IFERROR(__xludf.DUMMYFUNCTION("""COMPUTED_VALUE"""),"Dallas Goedert – PHI")</f>
        <v>Dallas Goedert – PHI</v>
      </c>
      <c r="M61" s="52">
        <f>IFERROR(VLOOKUP(L61,PlayerDB!$F$2:$G209,2,FALSE),"")</f>
        <v>85.8</v>
      </c>
      <c r="N61" s="42"/>
      <c r="O61" s="42"/>
      <c r="P61" s="42" t="str">
        <f>IFERROR(__xludf.DUMMYFUNCTION("""COMPUTED_VALUE"""),"Evan McPherson – CIN")</f>
        <v>Evan McPherson – CIN</v>
      </c>
      <c r="Q61" s="52">
        <f>IFERROR(VLOOKUP(P61,PlayerDB!$F$2:$G209,2,FALSE),"")</f>
        <v>127</v>
      </c>
    </row>
    <row r="62">
      <c r="A62" s="33"/>
      <c r="B62" s="34">
        <v>61.0</v>
      </c>
      <c r="C62" s="34" t="str">
        <f>'Teams &amp; Draft Order'!$C$9</f>
        <v>El Nino</v>
      </c>
      <c r="D62" s="35"/>
      <c r="E62" s="36" t="str">
        <f>IFERROR(VLOOKUP($D62,PlayerDB!$F$2:$G209,2,FALSE),"")</f>
        <v/>
      </c>
      <c r="F62" s="36" t="str">
        <f>IFERROR(VLOOKUP($D62,PlayerDB!$F$2:$H209,3,FALSE),"")</f>
        <v/>
      </c>
      <c r="G62" s="37" t="str">
        <f>IFERROR(VLOOKUP($D62,PlayerDB!$F$2:$I209,4,FALSE),"")</f>
        <v/>
      </c>
      <c r="H62" s="38"/>
      <c r="I62" s="39" t="str">
        <f>IFERROR(__xludf.DUMMYFUNCTION("JOIN("" | "",'Team Stats'!C$5:H$5)"),"0 | 0 | 0 | 0 | 0 | 0")</f>
        <v>0 | 0 | 0 | 0 | 0 | 0</v>
      </c>
      <c r="J62" s="62" t="str">
        <f>IFERROR(__xludf.DUMMYFUNCTION("JOIN("" | "",#REF!)"),"#REF!")</f>
        <v>#REF!</v>
      </c>
      <c r="L62" s="42" t="str">
        <f>IFERROR(__xludf.DUMMYFUNCTION("""COMPUTED_VALUE"""),"Zach Ertz – WAS")</f>
        <v>Zach Ertz – WAS</v>
      </c>
      <c r="M62" s="52">
        <f>IFERROR(VLOOKUP(L62,PlayerDB!$F$2:$G209,2,FALSE),"")</f>
        <v>84.2</v>
      </c>
      <c r="N62" s="42"/>
      <c r="O62" s="42"/>
      <c r="P62" s="42" t="str">
        <f>IFERROR(__xludf.DUMMYFUNCTION("""COMPUTED_VALUE"""),"Tyler Bass – BUF")</f>
        <v>Tyler Bass – BUF</v>
      </c>
      <c r="Q62" s="52">
        <f>IFERROR(VLOOKUP(P62,PlayerDB!$F$2:$G209,2,FALSE),"")</f>
        <v>126</v>
      </c>
    </row>
    <row r="63">
      <c r="A63" s="45"/>
      <c r="B63" s="46">
        <v>62.0</v>
      </c>
      <c r="C63" s="46" t="str">
        <f>'Teams &amp; Draft Order'!$C$8</f>
        <v>Icelanders</v>
      </c>
      <c r="D63" s="47"/>
      <c r="E63" s="48" t="str">
        <f>IFERROR(VLOOKUP($D63,PlayerDB!$F$2:$G209,2,FALSE),"")</f>
        <v/>
      </c>
      <c r="F63" s="48" t="str">
        <f>IFERROR(VLOOKUP($D63,PlayerDB!$F$2:$H209,3,FALSE),"")</f>
        <v/>
      </c>
      <c r="G63" s="49" t="str">
        <f>IFERROR(VLOOKUP($D63,PlayerDB!$F$2:$I209,4,FALSE),"")</f>
        <v/>
      </c>
      <c r="H63" s="38"/>
      <c r="I63" s="50" t="str">
        <f>IFERROR(__xludf.DUMMYFUNCTION("JOIN("" | "",'Team Stats'!C$4:H$4)"),"0 | 0 | 0 | 0 | 0 | 0")</f>
        <v>0 | 0 | 0 | 0 | 0 | 0</v>
      </c>
      <c r="J63" s="51" t="str">
        <f>IFERROR(__xludf.DUMMYFUNCTION("JOIN("" | "",#REF!)"),"#REF!")</f>
        <v>#REF!</v>
      </c>
      <c r="L63" s="42" t="str">
        <f>IFERROR(__xludf.DUMMYFUNCTION("""COMPUTED_VALUE"""),"Dalton Kincaid – BUF")</f>
        <v>Dalton Kincaid – BUF</v>
      </c>
      <c r="M63" s="52">
        <f>IFERROR(VLOOKUP(L63,PlayerDB!$F$2:$G209,2,FALSE),"")</f>
        <v>83.6</v>
      </c>
      <c r="N63" s="42"/>
      <c r="O63" s="42"/>
      <c r="P63" s="42" t="str">
        <f>IFERROR(__xludf.DUMMYFUNCTION("""COMPUTED_VALUE"""),"Wil Lutz – DEN")</f>
        <v>Wil Lutz – DEN</v>
      </c>
      <c r="Q63" s="52">
        <f>IFERROR(VLOOKUP(P63,PlayerDB!$F$2:$G209,2,FALSE),"")</f>
        <v>126</v>
      </c>
    </row>
    <row r="64">
      <c r="A64" s="33"/>
      <c r="B64" s="34">
        <v>63.0</v>
      </c>
      <c r="C64" s="34" t="str">
        <f>'Teams &amp; Draft Order'!$C$7</f>
        <v>Phantasm</v>
      </c>
      <c r="D64" s="35"/>
      <c r="E64" s="36" t="str">
        <f>IFERROR(VLOOKUP($D64,PlayerDB!$F$2:$G209,2,FALSE),"")</f>
        <v/>
      </c>
      <c r="F64" s="36" t="str">
        <f>IFERROR(VLOOKUP($D64,PlayerDB!$F$2:$H209,3,FALSE),"")</f>
        <v/>
      </c>
      <c r="G64" s="37" t="str">
        <f>IFERROR(VLOOKUP($D64,PlayerDB!$F$2:$I209,4,FALSE),"")</f>
        <v/>
      </c>
      <c r="H64" s="38"/>
      <c r="I64" s="39" t="str">
        <f>IFERROR(__xludf.DUMMYFUNCTION("JOIN("" | "",'Team Stats'!C$3:H$3)"),"0 | 0 | 0 | 0 | 0 | 0")</f>
        <v>0 | 0 | 0 | 0 | 0 | 0</v>
      </c>
      <c r="J64" s="40" t="str">
        <f>IFERROR(__xludf.DUMMYFUNCTION("JOIN("" | "",#REF!)"),"#REF!")</f>
        <v>#REF!</v>
      </c>
      <c r="L64" s="42" t="str">
        <f>IFERROR(__xludf.DUMMYFUNCTION("""COMPUTED_VALUE"""),"Evan Engram – DEN")</f>
        <v>Evan Engram – DEN</v>
      </c>
      <c r="M64" s="52">
        <f>IFERROR(VLOOKUP(L64,PlayerDB!$F$2:$G209,2,FALSE),"")</f>
        <v>83.4</v>
      </c>
      <c r="N64" s="42"/>
      <c r="O64" s="42"/>
      <c r="P64" s="42" t="str">
        <f>IFERROR(__xludf.DUMMYFUNCTION("""COMPUTED_VALUE"""),"Jason Sanders – MIA")</f>
        <v>Jason Sanders – MIA</v>
      </c>
      <c r="Q64" s="52">
        <f>IFERROR(VLOOKUP(P64,PlayerDB!$F$2:$G209,2,FALSE),"")</f>
        <v>125</v>
      </c>
    </row>
    <row r="65">
      <c r="A65" s="54"/>
      <c r="B65" s="55">
        <v>64.0</v>
      </c>
      <c r="C65" s="55" t="str">
        <f>'Teams &amp; Draft Order'!$C$6</f>
        <v>Sleeper Cell </v>
      </c>
      <c r="D65" s="56"/>
      <c r="E65" s="57" t="str">
        <f>IFERROR(VLOOKUP($D65,PlayerDB!$F$2:$G209,2,FALSE),"")</f>
        <v/>
      </c>
      <c r="F65" s="57" t="str">
        <f>IFERROR(VLOOKUP($D65,PlayerDB!$F$2:$H209,3,FALSE),"")</f>
        <v/>
      </c>
      <c r="G65" s="58" t="str">
        <f>IFERROR(VLOOKUP($D65,PlayerDB!$F$2:$I209,4,FALSE),"")</f>
        <v/>
      </c>
      <c r="H65" s="59"/>
      <c r="I65" s="60" t="str">
        <f>IFERROR(__xludf.DUMMYFUNCTION("JOIN("" | "",'Team Stats'!C$2:H$2)"),"1 | 0 | 0 | 0 | 0 | 0")</f>
        <v>1 | 0 | 0 | 0 | 0 | 0</v>
      </c>
      <c r="J65" s="51" t="str">
        <f>IFERROR(__xludf.DUMMYFUNCTION("JOIN("" | "",#REF!)"),"#REF!")</f>
        <v>#REF!</v>
      </c>
      <c r="L65" s="42" t="str">
        <f>IFERROR(__xludf.DUMMYFUNCTION("""COMPUTED_VALUE"""),"Kyle Pitts – ATL")</f>
        <v>Kyle Pitts – ATL</v>
      </c>
      <c r="M65" s="52">
        <f>IFERROR(VLOOKUP(L65,PlayerDB!$F$2:$G209,2,FALSE),"")</f>
        <v>83.2</v>
      </c>
      <c r="N65" s="42"/>
      <c r="O65" s="42"/>
      <c r="P65" s="42" t="str">
        <f>IFERROR(__xludf.DUMMYFUNCTION("""COMPUTED_VALUE"""),"Jake Moody – SF")</f>
        <v>Jake Moody – SF</v>
      </c>
      <c r="Q65" s="52">
        <f>IFERROR(VLOOKUP(P65,PlayerDB!$F$2:$G209,2,FALSE),"")</f>
        <v>125</v>
      </c>
    </row>
    <row r="66">
      <c r="A66" s="33" t="s">
        <v>93</v>
      </c>
      <c r="B66" s="34">
        <v>65.0</v>
      </c>
      <c r="C66" s="34" t="str">
        <f>'Teams &amp; Draft Order'!$C$6</f>
        <v>Sleeper Cell </v>
      </c>
      <c r="D66" s="35"/>
      <c r="E66" s="36" t="str">
        <f>IFERROR(VLOOKUP($D66,PlayerDB!$F$2:$G209,2,FALSE),"")</f>
        <v/>
      </c>
      <c r="F66" s="36" t="str">
        <f>IFERROR(VLOOKUP($D66,PlayerDB!$F$2:$H209,3,FALSE),"")</f>
        <v/>
      </c>
      <c r="G66" s="37" t="str">
        <f>IFERROR(VLOOKUP($D66,PlayerDB!$F$2:$I209,4,FALSE),"")</f>
        <v/>
      </c>
      <c r="H66" s="38"/>
      <c r="I66" s="39" t="str">
        <f>IFERROR(__xludf.DUMMYFUNCTION("JOIN("" | "",'Team Stats'!C$2:H$2)"),"1 | 0 | 0 | 0 | 0 | 0")</f>
        <v>1 | 0 | 0 | 0 | 0 | 0</v>
      </c>
      <c r="J66" s="40" t="str">
        <f>IFERROR(__xludf.DUMMYFUNCTION("JOIN("" | "",'Team Stats'!I$9:K$9)"),"0 | 0 | 0")</f>
        <v>0 | 0 | 0</v>
      </c>
      <c r="L66" s="42" t="str">
        <f>IFERROR(__xludf.DUMMYFUNCTION("""COMPUTED_VALUE"""),"Jake Ferguson – DAL")</f>
        <v>Jake Ferguson – DAL</v>
      </c>
      <c r="M66" s="52">
        <f>IFERROR(VLOOKUP(L66,PlayerDB!$F$2:$G209,2,FALSE),"")</f>
        <v>82.5</v>
      </c>
      <c r="N66" s="42"/>
      <c r="O66" s="42"/>
      <c r="P66" s="42" t="str">
        <f>IFERROR(__xludf.DUMMYFUNCTION("""COMPUTED_VALUE"""),"Brandon McManus – GB")</f>
        <v>Brandon McManus – GB</v>
      </c>
      <c r="Q66" s="52">
        <f>IFERROR(VLOOKUP(P66,PlayerDB!$F$2:$G209,2,FALSE),"")</f>
        <v>123</v>
      </c>
    </row>
    <row r="67">
      <c r="A67" s="45"/>
      <c r="B67" s="46">
        <v>66.0</v>
      </c>
      <c r="C67" s="46" t="str">
        <f>'Teams &amp; Draft Order'!$C$7</f>
        <v>Phantasm</v>
      </c>
      <c r="D67" s="47"/>
      <c r="E67" s="48" t="str">
        <f>IFERROR(VLOOKUP($D67,PlayerDB!$F$2:$G209,2,FALSE),"")</f>
        <v/>
      </c>
      <c r="F67" s="48" t="str">
        <f>IFERROR(VLOOKUP($D67,PlayerDB!$F$2:$H209,3,FALSE),"")</f>
        <v/>
      </c>
      <c r="G67" s="49" t="str">
        <f>IFERROR(VLOOKUP($D67,PlayerDB!$F$2:$I209,4,FALSE),"")</f>
        <v/>
      </c>
      <c r="H67" s="38"/>
      <c r="I67" s="50" t="str">
        <f>IFERROR(__xludf.DUMMYFUNCTION("JOIN("" | "",'Team Stats'!C$3:H$3)"),"0 | 0 | 0 | 0 | 0 | 0")</f>
        <v>0 | 0 | 0 | 0 | 0 | 0</v>
      </c>
      <c r="J67" s="51" t="str">
        <f>IFERROR(__xludf.DUMMYFUNCTION("JOIN("" | "",'Team Stats'!I$8:K$8)"),"0 | 0 | 0")</f>
        <v>0 | 0 | 0</v>
      </c>
      <c r="L67" s="42" t="str">
        <f>IFERROR(__xludf.DUMMYFUNCTION("""COMPUTED_VALUE"""),"Hunter Henry – NE")</f>
        <v>Hunter Henry – NE</v>
      </c>
      <c r="M67" s="52">
        <f>IFERROR(VLOOKUP(L67,PlayerDB!$F$2:$G209,2,FALSE),"")</f>
        <v>78.5</v>
      </c>
      <c r="N67" s="42"/>
      <c r="O67" s="42"/>
      <c r="P67" s="42" t="str">
        <f>IFERROR(__xludf.DUMMYFUNCTION("""COMPUTED_VALUE"""),"Younghoe Koo – ATL")</f>
        <v>Younghoe Koo – ATL</v>
      </c>
      <c r="Q67" s="52">
        <f>IFERROR(VLOOKUP(P67,PlayerDB!$F$2:$G209,2,FALSE),"")</f>
        <v>122</v>
      </c>
    </row>
    <row r="68">
      <c r="A68" s="33"/>
      <c r="B68" s="34">
        <v>67.0</v>
      </c>
      <c r="C68" s="34" t="str">
        <f>'Teams &amp; Draft Order'!$C$8</f>
        <v>Icelanders</v>
      </c>
      <c r="D68" s="35"/>
      <c r="E68" s="36" t="str">
        <f>IFERROR(VLOOKUP($D68,PlayerDB!$F$2:$G209,2,FALSE),"")</f>
        <v/>
      </c>
      <c r="F68" s="36" t="str">
        <f>IFERROR(VLOOKUP($D68,PlayerDB!$F$2:$H209,3,FALSE),"")</f>
        <v/>
      </c>
      <c r="G68" s="37" t="str">
        <f>IFERROR(VLOOKUP($D68,PlayerDB!$F$2:$I209,4,FALSE),"")</f>
        <v/>
      </c>
      <c r="H68" s="38"/>
      <c r="I68" s="39" t="str">
        <f>IFERROR(__xludf.DUMMYFUNCTION("JOIN("" | "",'Team Stats'!C$4:H$4)"),"0 | 0 | 0 | 0 | 0 | 0")</f>
        <v>0 | 0 | 0 | 0 | 0 | 0</v>
      </c>
      <c r="J68" s="40" t="str">
        <f>IFERROR(__xludf.DUMMYFUNCTION("JOIN("" | "",'Team Stats'!I$7:K$7)"),"0 | 0 | 0")</f>
        <v>0 | 0 | 0</v>
      </c>
      <c r="L68" s="42" t="str">
        <f>IFERROR(__xludf.DUMMYFUNCTION("""COMPUTED_VALUE"""),"Darren Waller – MIA")</f>
        <v>Darren Waller – MIA</v>
      </c>
      <c r="M68" s="52">
        <f>IFERROR(VLOOKUP(L68,PlayerDB!$F$2:$G209,2,FALSE),"")</f>
        <v>77.9</v>
      </c>
      <c r="N68" s="42"/>
      <c r="O68" s="42"/>
      <c r="P68" s="42" t="str">
        <f>IFERROR(__xludf.DUMMYFUNCTION("""COMPUTED_VALUE"""),"Harrison Butker – KC")</f>
        <v>Harrison Butker – KC</v>
      </c>
      <c r="Q68" s="52">
        <f>IFERROR(VLOOKUP(P68,PlayerDB!$F$2:$G209,2,FALSE),"")</f>
        <v>122</v>
      </c>
    </row>
    <row r="69">
      <c r="A69" s="45"/>
      <c r="B69" s="46">
        <v>68.0</v>
      </c>
      <c r="C69" s="46" t="str">
        <f>'Teams &amp; Draft Order'!$C$9</f>
        <v>El Nino</v>
      </c>
      <c r="D69" s="47"/>
      <c r="E69" s="48" t="str">
        <f>IFERROR(VLOOKUP($D69,PlayerDB!$F$2:$G209,2,FALSE),"")</f>
        <v/>
      </c>
      <c r="F69" s="48" t="str">
        <f>IFERROR(VLOOKUP($D69,PlayerDB!$F$2:$H209,3,FALSE),"")</f>
        <v/>
      </c>
      <c r="G69" s="49" t="str">
        <f>IFERROR(VLOOKUP($D69,PlayerDB!$F$2:$I209,4,FALSE),"")</f>
        <v/>
      </c>
      <c r="H69" s="38"/>
      <c r="I69" s="50" t="str">
        <f>IFERROR(__xludf.DUMMYFUNCTION("JOIN("" | "",'Team Stats'!C$5:H$5)"),"0 | 0 | 0 | 0 | 0 | 0")</f>
        <v>0 | 0 | 0 | 0 | 0 | 0</v>
      </c>
      <c r="J69" s="51" t="str">
        <f>IFERROR(__xludf.DUMMYFUNCTION("JOIN("" | "",'Team Stats'!I$6:K$6)"),"0 | 0 | 0")</f>
        <v>0 | 0 | 0</v>
      </c>
      <c r="L69" s="42" t="str">
        <f>IFERROR(__xludf.DUMMYFUNCTION("""COMPUTED_VALUE"""),"Isaiah Likely – BAL")</f>
        <v>Isaiah Likely – BAL</v>
      </c>
      <c r="M69" s="52">
        <f>IFERROR(VLOOKUP(L69,PlayerDB!$F$2:$G209,2,FALSE),"")</f>
        <v>77</v>
      </c>
      <c r="N69" s="42"/>
      <c r="O69" s="42"/>
      <c r="P69" s="42" t="str">
        <f>IFERROR(__xludf.DUMMYFUNCTION("""COMPUTED_VALUE"""),"Jason Myers – SEA")</f>
        <v>Jason Myers – SEA</v>
      </c>
      <c r="Q69" s="52">
        <f>IFERROR(VLOOKUP(P69,PlayerDB!$F$2:$G209,2,FALSE),"")</f>
        <v>121</v>
      </c>
    </row>
    <row r="70">
      <c r="A70" s="33"/>
      <c r="B70" s="34">
        <v>69.0</v>
      </c>
      <c r="C70" s="34" t="str">
        <f>'Teams &amp; Draft Order'!$C$10</f>
        <v>Buttheads</v>
      </c>
      <c r="D70" s="35"/>
      <c r="E70" s="36" t="str">
        <f>IFERROR(VLOOKUP($D70,PlayerDB!$F$2:$G209,2,FALSE),"")</f>
        <v/>
      </c>
      <c r="F70" s="36" t="str">
        <f>IFERROR(VLOOKUP($D70,PlayerDB!$F$2:$H209,3,FALSE),"")</f>
        <v/>
      </c>
      <c r="G70" s="37" t="str">
        <f>IFERROR(VLOOKUP($D70,PlayerDB!$F$2:$I209,4,FALSE),"")</f>
        <v/>
      </c>
      <c r="H70" s="38"/>
      <c r="I70" s="39" t="str">
        <f>IFERROR(__xludf.DUMMYFUNCTION("JOIN("" | "",'Team Stats'!C$6:H$6)"),"0 | 0 | 0 | 0 | 0 | 0")</f>
        <v>0 | 0 | 0 | 0 | 0 | 0</v>
      </c>
      <c r="J70" s="40" t="str">
        <f>IFERROR(__xludf.DUMMYFUNCTION("JOIN("" | "",'Team Stats'!I$5:K$5)"),"0 | 0 | 0")</f>
        <v>0 | 0 | 0</v>
      </c>
      <c r="L70" s="42" t="str">
        <f>IFERROR(__xludf.DUMMYFUNCTION("""COMPUTED_VALUE"""),"Colston Loveland – CHI")</f>
        <v>Colston Loveland – CHI</v>
      </c>
      <c r="M70" s="52">
        <f>IFERROR(VLOOKUP(L70,PlayerDB!$F$2:$G209,2,FALSE),"")</f>
        <v>76.5</v>
      </c>
      <c r="N70" s="42"/>
      <c r="O70" s="42"/>
      <c r="P70" s="42" t="str">
        <f>IFERROR(__xludf.DUMMYFUNCTION("""COMPUTED_VALUE"""),"Joshua Karty – LAR")</f>
        <v>Joshua Karty – LAR</v>
      </c>
      <c r="Q70" s="52">
        <f>IFERROR(VLOOKUP(P70,PlayerDB!$F$2:$G209,2,FALSE),"")</f>
        <v>120</v>
      </c>
    </row>
    <row r="71">
      <c r="A71" s="45"/>
      <c r="B71" s="46">
        <v>70.0</v>
      </c>
      <c r="C71" s="46" t="str">
        <f>'Teams &amp; Draft Order'!$C$11</f>
        <v>Big Boys Big Work</v>
      </c>
      <c r="D71" s="47"/>
      <c r="E71" s="48" t="str">
        <f>IFERROR(VLOOKUP($D71,PlayerDB!$F$2:$G209,2,FALSE),"")</f>
        <v/>
      </c>
      <c r="F71" s="48" t="str">
        <f>IFERROR(VLOOKUP($D71,PlayerDB!$F$2:$H209,3,FALSE),"")</f>
        <v/>
      </c>
      <c r="G71" s="49" t="str">
        <f>IFERROR(VLOOKUP($D71,PlayerDB!$F$2:$I209,4,FALSE),"")</f>
        <v/>
      </c>
      <c r="H71" s="38"/>
      <c r="I71" s="50" t="str">
        <f>IFERROR(__xludf.DUMMYFUNCTION("JOIN("" | "",'Team Stats'!C$7:H$7)"),"0 | 0 | 0 | 0 | 0 | 0")</f>
        <v>0 | 0 | 0 | 0 | 0 | 0</v>
      </c>
      <c r="J71" s="51" t="str">
        <f>IFERROR(__xludf.DUMMYFUNCTION("JOIN("" | "",'Team Stats'!I$4:K$4)"),"0 | 0 | 0")</f>
        <v>0 | 0 | 0</v>
      </c>
      <c r="L71" s="42"/>
      <c r="M71" s="63"/>
      <c r="N71" s="42"/>
      <c r="O71" s="42"/>
      <c r="P71" s="42"/>
      <c r="Q71" s="63"/>
    </row>
    <row r="72">
      <c r="A72" s="33"/>
      <c r="B72" s="34">
        <v>71.0</v>
      </c>
      <c r="C72" s="34" t="str">
        <f>'Teams &amp; Draft Order'!$C$12</f>
        <v>Turbo-Ginz</v>
      </c>
      <c r="D72" s="35"/>
      <c r="E72" s="36" t="str">
        <f>IFERROR(VLOOKUP($D72,PlayerDB!$F$2:$G209,2,FALSE),"")</f>
        <v/>
      </c>
      <c r="F72" s="36" t="str">
        <f>IFERROR(VLOOKUP($D72,PlayerDB!$F$2:$H209,3,FALSE),"")</f>
        <v/>
      </c>
      <c r="G72" s="37" t="str">
        <f>IFERROR(VLOOKUP($D72,PlayerDB!$F$2:$I209,4,FALSE),"")</f>
        <v/>
      </c>
      <c r="H72" s="38"/>
      <c r="I72" s="39" t="str">
        <f>IFERROR(__xludf.DUMMYFUNCTION("JOIN("" | "",'Team Stats'!C$8:H$8)"),"0 | 0 | 0 | 0 | 0 | 0")</f>
        <v>0 | 0 | 0 | 0 | 0 | 0</v>
      </c>
      <c r="J72" s="40" t="str">
        <f>IFERROR(__xludf.DUMMYFUNCTION("JOIN("" | "",'Team Stats'!I$3:K$3)"),"0 | 0 | 0")</f>
        <v>0 | 0 | 0</v>
      </c>
      <c r="L72" s="42"/>
      <c r="M72" s="42"/>
      <c r="N72" s="42"/>
      <c r="O72" s="42"/>
      <c r="P72" s="42"/>
      <c r="Q72" s="42"/>
    </row>
    <row r="73">
      <c r="A73" s="54"/>
      <c r="B73" s="55">
        <v>72.0</v>
      </c>
      <c r="C73" s="55" t="str">
        <f>'Teams &amp; Draft Order'!$C$13</f>
        <v>Luddite</v>
      </c>
      <c r="D73" s="56"/>
      <c r="E73" s="57" t="str">
        <f>IFERROR(VLOOKUP($D73,PlayerDB!$F$2:$G209,2,FALSE),"")</f>
        <v/>
      </c>
      <c r="F73" s="57" t="str">
        <f>IFERROR(VLOOKUP($D73,PlayerDB!$F$2:$H209,3,FALSE),"")</f>
        <v/>
      </c>
      <c r="G73" s="58" t="str">
        <f>IFERROR(VLOOKUP($D73,PlayerDB!$F$2:$I209,4,FALSE),"")</f>
        <v/>
      </c>
      <c r="H73" s="59"/>
      <c r="I73" s="60" t="str">
        <f>IFERROR(__xludf.DUMMYFUNCTION("JOIN("" | "",'Team Stats'!C$9:H$9)"),"0 | 0 | 0 | 0 | 0 | 0")</f>
        <v>0 | 0 | 0 | 0 | 0 | 0</v>
      </c>
      <c r="J73" s="64" t="str">
        <f>IFERROR(__xludf.DUMMYFUNCTION("JOIN("" | "",'Team Stats'!I$2:K$2)"),"0 | 0 | 0")</f>
        <v>0 | 0 | 0</v>
      </c>
      <c r="L73" s="42"/>
      <c r="M73" s="42"/>
      <c r="N73" s="42"/>
      <c r="O73" s="42"/>
      <c r="P73" s="42"/>
      <c r="Q73" s="42"/>
    </row>
    <row r="74">
      <c r="A74" s="33" t="s">
        <v>94</v>
      </c>
      <c r="B74" s="34">
        <v>73.0</v>
      </c>
      <c r="C74" s="34" t="str">
        <f>'Teams &amp; Draft Order'!$C$13</f>
        <v>Luddite</v>
      </c>
      <c r="D74" s="35"/>
      <c r="E74" s="36" t="str">
        <f>IFERROR(VLOOKUP($D74,PlayerDB!$F$2:$G209,2,FALSE),"")</f>
        <v/>
      </c>
      <c r="F74" s="36" t="str">
        <f>IFERROR(VLOOKUP($D74,PlayerDB!$F$2:$H209,3,FALSE),"")</f>
        <v/>
      </c>
      <c r="G74" s="37" t="str">
        <f>IFERROR(VLOOKUP($D74,PlayerDB!$F$2:$I209,4,FALSE),"")</f>
        <v/>
      </c>
      <c r="H74" s="38"/>
      <c r="I74" s="39" t="str">
        <f>IFERROR(__xludf.DUMMYFUNCTION("JOIN("" | "",'Team Stats'!C$9:H$9)"),"0 | 0 | 0 | 0 | 0 | 0")</f>
        <v>0 | 0 | 0 | 0 | 0 | 0</v>
      </c>
      <c r="J74" s="40" t="str">
        <f>IFERROR(__xludf.DUMMYFUNCTION("JOIN("" | "",'Team Stats'!I$2:K$2)"),"0 | 0 | 0")</f>
        <v>0 | 0 | 0</v>
      </c>
      <c r="L74" s="70" t="s">
        <v>41</v>
      </c>
      <c r="M74" s="44">
        <f>COUNTIF(F:F,"D/ST")</f>
        <v>0</v>
      </c>
      <c r="N74" s="42"/>
      <c r="O74" s="42"/>
      <c r="P74" s="71"/>
      <c r="Q74" s="44"/>
    </row>
    <row r="75">
      <c r="A75" s="45"/>
      <c r="B75" s="46">
        <v>74.0</v>
      </c>
      <c r="C75" s="46" t="str">
        <f>'Teams &amp; Draft Order'!$C$12</f>
        <v>Turbo-Ginz</v>
      </c>
      <c r="D75" s="47"/>
      <c r="E75" s="48" t="str">
        <f>IFERROR(VLOOKUP($D75,PlayerDB!$F$2:$G209,2,FALSE),"")</f>
        <v/>
      </c>
      <c r="F75" s="48" t="str">
        <f>IFERROR(VLOOKUP($D75,PlayerDB!$F$2:$H209,3,FALSE),"")</f>
        <v/>
      </c>
      <c r="G75" s="49" t="str">
        <f>IFERROR(VLOOKUP($D75,PlayerDB!$F$2:$I209,4,FALSE),"")</f>
        <v/>
      </c>
      <c r="H75" s="38"/>
      <c r="I75" s="50" t="str">
        <f>IFERROR(__xludf.DUMMYFUNCTION("JOIN("" | "",'Team Stats'!C$8:H$8)"),"0 | 0 | 0 | 0 | 0 | 0")</f>
        <v>0 | 0 | 0 | 0 | 0 | 0</v>
      </c>
      <c r="J75" s="51" t="str">
        <f>IFERROR(__xludf.DUMMYFUNCTION("JOIN("" | "",'Team Stats'!I$3:K$3)"),"0 | 0 | 0")</f>
        <v>0 | 0 | 0</v>
      </c>
      <c r="L75" s="42" t="str">
        <f>IFERROR(__xludf.DUMMYFUNCTION("QUERY(HELP_PlayersLeft!A2:B209, ""select A where B ='D/ST' LIMIT 20"")"),"Denver Broncos – DEN")</f>
        <v>Denver Broncos – DEN</v>
      </c>
      <c r="M75" s="52">
        <f>IFERROR(VLOOKUP(L75,PlayerDB!$F$2:$G209,2,FALSE),"")</f>
        <v>142</v>
      </c>
      <c r="N75" s="42"/>
      <c r="O75" s="42"/>
      <c r="P75" s="42"/>
      <c r="Q75" s="52"/>
    </row>
    <row r="76">
      <c r="A76" s="33"/>
      <c r="B76" s="34">
        <v>75.0</v>
      </c>
      <c r="C76" s="34" t="str">
        <f>'Teams &amp; Draft Order'!$C$11</f>
        <v>Big Boys Big Work</v>
      </c>
      <c r="D76" s="35"/>
      <c r="E76" s="36" t="str">
        <f>IFERROR(VLOOKUP($D76,PlayerDB!$F$2:$G209,2,FALSE),"")</f>
        <v/>
      </c>
      <c r="F76" s="36" t="str">
        <f>IFERROR(VLOOKUP($D76,PlayerDB!$F$2:$H209,3,FALSE),"")</f>
        <v/>
      </c>
      <c r="G76" s="37" t="str">
        <f>IFERROR(VLOOKUP($D76,PlayerDB!$F$2:$I209,4,FALSE),"")</f>
        <v/>
      </c>
      <c r="H76" s="38"/>
      <c r="I76" s="39" t="str">
        <f>IFERROR(__xludf.DUMMYFUNCTION("JOIN("" | "",'Team Stats'!C$7:H$7)"),"0 | 0 | 0 | 0 | 0 | 0")</f>
        <v>0 | 0 | 0 | 0 | 0 | 0</v>
      </c>
      <c r="J76" s="40" t="str">
        <f>IFERROR(__xludf.DUMMYFUNCTION("JOIN("" | "",'Team Stats'!I$4:K$4)"),"0 | 0 | 0")</f>
        <v>0 | 0 | 0</v>
      </c>
      <c r="L76" s="20" t="str">
        <f>IFERROR(__xludf.DUMMYFUNCTION("""COMPUTED_VALUE"""),"Philadelphia Eagles – PHI")</f>
        <v>Philadelphia Eagles – PHI</v>
      </c>
      <c r="M76" s="52">
        <f>IFERROR(VLOOKUP(L76,PlayerDB!$F$2:$G209,2,FALSE),"")</f>
        <v>139</v>
      </c>
      <c r="N76" s="42"/>
      <c r="O76" s="42"/>
      <c r="P76" s="20"/>
      <c r="Q76" s="52"/>
    </row>
    <row r="77">
      <c r="A77" s="45"/>
      <c r="B77" s="46">
        <v>76.0</v>
      </c>
      <c r="C77" s="46" t="str">
        <f>'Teams &amp; Draft Order'!$C$10</f>
        <v>Buttheads</v>
      </c>
      <c r="D77" s="47"/>
      <c r="E77" s="48" t="str">
        <f>IFERROR(VLOOKUP($D77,PlayerDB!$F$2:$G209,2,FALSE),"")</f>
        <v/>
      </c>
      <c r="F77" s="48" t="str">
        <f>IFERROR(VLOOKUP($D77,PlayerDB!$F$2:$H209,3,FALSE),"")</f>
        <v/>
      </c>
      <c r="G77" s="49" t="str">
        <f>IFERROR(VLOOKUP($D77,PlayerDB!$F$2:$I209,4,FALSE),"")</f>
        <v/>
      </c>
      <c r="H77" s="38"/>
      <c r="I77" s="50" t="str">
        <f>IFERROR(__xludf.DUMMYFUNCTION("JOIN("" | "",'Team Stats'!C$6:H$6)"),"0 | 0 | 0 | 0 | 0 | 0")</f>
        <v>0 | 0 | 0 | 0 | 0 | 0</v>
      </c>
      <c r="J77" s="51" t="str">
        <f>IFERROR(__xludf.DUMMYFUNCTION("JOIN("" | "",'Team Stats'!I$5:K$5)"),"0 | 0 | 0")</f>
        <v>0 | 0 | 0</v>
      </c>
      <c r="L77" s="42" t="str">
        <f>IFERROR(__xludf.DUMMYFUNCTION("""COMPUTED_VALUE"""),"Pittsburgh Steelers – PIT")</f>
        <v>Pittsburgh Steelers – PIT</v>
      </c>
      <c r="M77" s="52">
        <f>IFERROR(VLOOKUP(L77,PlayerDB!$F$2:$G209,2,FALSE),"")</f>
        <v>137</v>
      </c>
      <c r="N77" s="42"/>
      <c r="O77" s="42"/>
      <c r="P77" s="42"/>
      <c r="Q77" s="52"/>
    </row>
    <row r="78">
      <c r="A78" s="33"/>
      <c r="B78" s="34">
        <v>77.0</v>
      </c>
      <c r="C78" s="34" t="str">
        <f>'Teams &amp; Draft Order'!$C$9</f>
        <v>El Nino</v>
      </c>
      <c r="D78" s="35"/>
      <c r="E78" s="36" t="str">
        <f>IFERROR(VLOOKUP($D78,PlayerDB!$F$2:$G209,2,FALSE),"")</f>
        <v/>
      </c>
      <c r="F78" s="36" t="str">
        <f>IFERROR(VLOOKUP($D78,PlayerDB!$F$2:$H209,3,FALSE),"")</f>
        <v/>
      </c>
      <c r="G78" s="37" t="str">
        <f>IFERROR(VLOOKUP($D78,PlayerDB!$F$2:$I209,4,FALSE),"")</f>
        <v/>
      </c>
      <c r="H78" s="38"/>
      <c r="I78" s="39" t="str">
        <f>IFERROR(__xludf.DUMMYFUNCTION("JOIN("" | "",'Team Stats'!C$5:H$5)"),"0 | 0 | 0 | 0 | 0 | 0")</f>
        <v>0 | 0 | 0 | 0 | 0 | 0</v>
      </c>
      <c r="J78" s="40" t="str">
        <f>IFERROR(__xludf.DUMMYFUNCTION("JOIN("" | "",'Team Stats'!I$6:K$6)"),"0 | 0 | 0")</f>
        <v>0 | 0 | 0</v>
      </c>
      <c r="L78" s="42" t="str">
        <f>IFERROR(__xludf.DUMMYFUNCTION("""COMPUTED_VALUE"""),"Baltimore Ravens – BAL")</f>
        <v>Baltimore Ravens – BAL</v>
      </c>
      <c r="M78" s="52">
        <f>IFERROR(VLOOKUP(L78,PlayerDB!$F$2:$G209,2,FALSE),"")</f>
        <v>135</v>
      </c>
      <c r="N78" s="42"/>
      <c r="O78" s="42"/>
      <c r="P78" s="42"/>
      <c r="Q78" s="52"/>
    </row>
    <row r="79">
      <c r="A79" s="45"/>
      <c r="B79" s="46">
        <v>78.0</v>
      </c>
      <c r="C79" s="46" t="str">
        <f>'Teams &amp; Draft Order'!$C$8</f>
        <v>Icelanders</v>
      </c>
      <c r="D79" s="47"/>
      <c r="E79" s="48" t="str">
        <f>IFERROR(VLOOKUP($D79,PlayerDB!$F$2:$G209,2,FALSE),"")</f>
        <v/>
      </c>
      <c r="F79" s="48" t="str">
        <f>IFERROR(VLOOKUP($D79,PlayerDB!$F$2:$H209,3,FALSE),"")</f>
        <v/>
      </c>
      <c r="G79" s="49" t="str">
        <f>IFERROR(VLOOKUP($D79,PlayerDB!$F$2:$I209,4,FALSE),"")</f>
        <v/>
      </c>
      <c r="H79" s="38"/>
      <c r="I79" s="50" t="str">
        <f>IFERROR(__xludf.DUMMYFUNCTION("JOIN("" | "",'Team Stats'!C$4:H$4)"),"0 | 0 | 0 | 0 | 0 | 0")</f>
        <v>0 | 0 | 0 | 0 | 0 | 0</v>
      </c>
      <c r="J79" s="51" t="str">
        <f>IFERROR(__xludf.DUMMYFUNCTION("JOIN("" | "",'Team Stats'!I$7:K$7)"),"0 | 0 | 0")</f>
        <v>0 | 0 | 0</v>
      </c>
      <c r="L79" s="42" t="str">
        <f>IFERROR(__xludf.DUMMYFUNCTION("""COMPUTED_VALUE"""),"Minnesota Vikings – MIN")</f>
        <v>Minnesota Vikings – MIN</v>
      </c>
      <c r="M79" s="52">
        <f>IFERROR(VLOOKUP(L79,PlayerDB!$F$2:$G209,2,FALSE),"")</f>
        <v>132</v>
      </c>
      <c r="N79" s="42"/>
      <c r="O79" s="42"/>
      <c r="P79" s="42"/>
      <c r="Q79" s="52"/>
    </row>
    <row r="80">
      <c r="A80" s="33"/>
      <c r="B80" s="34">
        <v>79.0</v>
      </c>
      <c r="C80" s="34" t="str">
        <f>'Teams &amp; Draft Order'!$C$7</f>
        <v>Phantasm</v>
      </c>
      <c r="D80" s="35"/>
      <c r="E80" s="36" t="str">
        <f>IFERROR(VLOOKUP($D80,PlayerDB!$F$2:$G209,2,FALSE),"")</f>
        <v/>
      </c>
      <c r="F80" s="36" t="str">
        <f>IFERROR(VLOOKUP($D80,PlayerDB!$F$2:$H209,3,FALSE),"")</f>
        <v/>
      </c>
      <c r="G80" s="37" t="str">
        <f>IFERROR(VLOOKUP($D80,PlayerDB!$F$2:$I209,4,FALSE),"")</f>
        <v/>
      </c>
      <c r="H80" s="38"/>
      <c r="I80" s="39" t="str">
        <f>IFERROR(__xludf.DUMMYFUNCTION("JOIN("" | "",'Team Stats'!C$3:H$3)"),"0 | 0 | 0 | 0 | 0 | 0")</f>
        <v>0 | 0 | 0 | 0 | 0 | 0</v>
      </c>
      <c r="J80" s="40" t="str">
        <f>IFERROR(__xludf.DUMMYFUNCTION("JOIN("" | "",'Team Stats'!I$8:K$8)"),"0 | 0 | 0")</f>
        <v>0 | 0 | 0</v>
      </c>
      <c r="L80" s="42" t="str">
        <f>IFERROR(__xludf.DUMMYFUNCTION("""COMPUTED_VALUE"""),"Kansas City Chiefs – KC")</f>
        <v>Kansas City Chiefs – KC</v>
      </c>
      <c r="M80" s="52">
        <f>IFERROR(VLOOKUP(L80,PlayerDB!$F$2:$G209,2,FALSE),"")</f>
        <v>130</v>
      </c>
      <c r="N80" s="42"/>
      <c r="O80" s="42"/>
      <c r="P80" s="42"/>
      <c r="Q80" s="52"/>
    </row>
    <row r="81">
      <c r="A81" s="54"/>
      <c r="B81" s="55">
        <v>80.0</v>
      </c>
      <c r="C81" s="55" t="str">
        <f>'Teams &amp; Draft Order'!$C$6</f>
        <v>Sleeper Cell </v>
      </c>
      <c r="D81" s="56"/>
      <c r="E81" s="57" t="str">
        <f>IFERROR(VLOOKUP($D81,PlayerDB!$F$2:$G209,2,FALSE),"")</f>
        <v/>
      </c>
      <c r="F81" s="57" t="str">
        <f>IFERROR(VLOOKUP($D81,PlayerDB!$F$2:$H209,3,FALSE),"")</f>
        <v/>
      </c>
      <c r="G81" s="58" t="str">
        <f>IFERROR(VLOOKUP($D81,PlayerDB!$F$2:$I209,4,FALSE),"")</f>
        <v/>
      </c>
      <c r="H81" s="59"/>
      <c r="I81" s="60" t="str">
        <f>IFERROR(__xludf.DUMMYFUNCTION("JOIN("" | "",'Team Stats'!C$2:H$2)"),"1 | 0 | 0 | 0 | 0 | 0")</f>
        <v>1 | 0 | 0 | 0 | 0 | 0</v>
      </c>
      <c r="J81" s="51" t="str">
        <f>IFERROR(__xludf.DUMMYFUNCTION("JOIN("" | "",'Team Stats'!I$9:K$9)"),"0 | 0 | 0")</f>
        <v>0 | 0 | 0</v>
      </c>
      <c r="L81" s="42" t="str">
        <f>IFERROR(__xludf.DUMMYFUNCTION("""COMPUTED_VALUE"""),"Detroit Lions – DET")</f>
        <v>Detroit Lions – DET</v>
      </c>
      <c r="M81" s="52">
        <f>IFERROR(VLOOKUP(L81,PlayerDB!$F$2:$G209,2,FALSE),"")</f>
        <v>129</v>
      </c>
      <c r="N81" s="42"/>
      <c r="O81" s="42"/>
      <c r="P81" s="42"/>
      <c r="Q81" s="52"/>
    </row>
    <row r="82">
      <c r="A82" s="33" t="s">
        <v>95</v>
      </c>
      <c r="B82" s="34">
        <v>81.0</v>
      </c>
      <c r="C82" s="34" t="str">
        <f>'Teams &amp; Draft Order'!$C$6</f>
        <v>Sleeper Cell </v>
      </c>
      <c r="D82" s="35"/>
      <c r="E82" s="36" t="str">
        <f>IFERROR(VLOOKUP($D82,PlayerDB!$F$2:$G209,2,FALSE),"")</f>
        <v/>
      </c>
      <c r="F82" s="36" t="str">
        <f>IFERROR(VLOOKUP($D82,PlayerDB!$F$2:$H209,3,FALSE),"")</f>
        <v/>
      </c>
      <c r="G82" s="37" t="str">
        <f>IFERROR(VLOOKUP($D82,PlayerDB!$F$2:$I209,4,FALSE),"")</f>
        <v/>
      </c>
      <c r="H82" s="38"/>
      <c r="I82" s="39" t="str">
        <f>IFERROR(__xludf.DUMMYFUNCTION("JOIN("" | "",'Team Stats'!C$2:H$2)"),"1 | 0 | 0 | 0 | 0 | 0")</f>
        <v>1 | 0 | 0 | 0 | 0 | 0</v>
      </c>
      <c r="J82" s="40" t="str">
        <f>IFERROR(__xludf.DUMMYFUNCTION("JOIN("" | "",#REF!)"),"#REF!")</f>
        <v>#REF!</v>
      </c>
      <c r="L82" s="42" t="str">
        <f>IFERROR(__xludf.DUMMYFUNCTION("""COMPUTED_VALUE"""),"New York Jets – NYJ")</f>
        <v>New York Jets – NYJ</v>
      </c>
      <c r="M82" s="52">
        <f>IFERROR(VLOOKUP(L82,PlayerDB!$F$2:$G209,2,FALSE),"")</f>
        <v>128</v>
      </c>
      <c r="N82" s="42"/>
      <c r="O82" s="42"/>
      <c r="P82" s="42"/>
      <c r="Q82" s="52"/>
    </row>
    <row r="83">
      <c r="A83" s="45"/>
      <c r="B83" s="46">
        <v>82.0</v>
      </c>
      <c r="C83" s="46" t="str">
        <f>'Teams &amp; Draft Order'!$C$7</f>
        <v>Phantasm</v>
      </c>
      <c r="D83" s="47"/>
      <c r="E83" s="48" t="str">
        <f>IFERROR(VLOOKUP($D83,PlayerDB!$F$2:$G209,2,FALSE),"")</f>
        <v/>
      </c>
      <c r="F83" s="48" t="str">
        <f>IFERROR(VLOOKUP($D83,PlayerDB!$F$2:$H209,3,FALSE),"")</f>
        <v/>
      </c>
      <c r="G83" s="49" t="str">
        <f>IFERROR(VLOOKUP($D83,PlayerDB!$F$2:$I209,4,FALSE),"")</f>
        <v/>
      </c>
      <c r="H83" s="38"/>
      <c r="I83" s="50" t="str">
        <f>IFERROR(__xludf.DUMMYFUNCTION("JOIN("" | "",'Team Stats'!C$3:H$3)"),"0 | 0 | 0 | 0 | 0 | 0")</f>
        <v>0 | 0 | 0 | 0 | 0 | 0</v>
      </c>
      <c r="J83" s="51" t="str">
        <f>IFERROR(__xludf.DUMMYFUNCTION("JOIN("" | "",#REF!)"),"#REF!")</f>
        <v>#REF!</v>
      </c>
      <c r="L83" s="42" t="str">
        <f>IFERROR(__xludf.DUMMYFUNCTION("""COMPUTED_VALUE"""),"Houston Texans – HOU")</f>
        <v>Houston Texans – HOU</v>
      </c>
      <c r="M83" s="52">
        <f>IFERROR(VLOOKUP(L83,PlayerDB!$F$2:$G209,2,FALSE),"")</f>
        <v>127</v>
      </c>
      <c r="N83" s="42"/>
      <c r="O83" s="42"/>
      <c r="P83" s="42"/>
      <c r="Q83" s="52"/>
    </row>
    <row r="84">
      <c r="A84" s="33"/>
      <c r="B84" s="34">
        <v>83.0</v>
      </c>
      <c r="C84" s="34" t="str">
        <f>'Teams &amp; Draft Order'!$C$8</f>
        <v>Icelanders</v>
      </c>
      <c r="D84" s="35"/>
      <c r="E84" s="36" t="str">
        <f>IFERROR(VLOOKUP($D84,PlayerDB!$F$2:$G209,2,FALSE),"")</f>
        <v/>
      </c>
      <c r="F84" s="36" t="str">
        <f>IFERROR(VLOOKUP($D84,PlayerDB!$F$2:$H209,3,FALSE),"")</f>
        <v/>
      </c>
      <c r="G84" s="37" t="str">
        <f>IFERROR(VLOOKUP($D84,PlayerDB!$F$2:$I209,4,FALSE),"")</f>
        <v/>
      </c>
      <c r="H84" s="38"/>
      <c r="I84" s="39" t="str">
        <f>IFERROR(__xludf.DUMMYFUNCTION("JOIN("" | "",'Team Stats'!C$4:H$4)"),"0 | 0 | 0 | 0 | 0 | 0")</f>
        <v>0 | 0 | 0 | 0 | 0 | 0</v>
      </c>
      <c r="J84" s="40" t="str">
        <f>IFERROR(__xludf.DUMMYFUNCTION("JOIN("" | "",#REF!)"),"#REF!")</f>
        <v>#REF!</v>
      </c>
      <c r="L84" s="42" t="str">
        <f>IFERROR(__xludf.DUMMYFUNCTION("""COMPUTED_VALUE"""),"Los Angeles Chargers – LAC")</f>
        <v>Los Angeles Chargers – LAC</v>
      </c>
      <c r="M84" s="52">
        <f>IFERROR(VLOOKUP(L84,PlayerDB!$F$2:$G209,2,FALSE),"")</f>
        <v>126</v>
      </c>
      <c r="N84" s="42"/>
      <c r="O84" s="42"/>
      <c r="P84" s="42"/>
      <c r="Q84" s="52"/>
    </row>
    <row r="85">
      <c r="A85" s="45"/>
      <c r="B85" s="46">
        <v>84.0</v>
      </c>
      <c r="C85" s="46" t="str">
        <f>'Teams &amp; Draft Order'!$C$9</f>
        <v>El Nino</v>
      </c>
      <c r="D85" s="47"/>
      <c r="E85" s="48" t="str">
        <f>IFERROR(VLOOKUP($D85,PlayerDB!$F$2:$G209,2,FALSE),"")</f>
        <v/>
      </c>
      <c r="F85" s="48" t="str">
        <f>IFERROR(VLOOKUP($D85,PlayerDB!$F$2:$H209,3,FALSE),"")</f>
        <v/>
      </c>
      <c r="G85" s="49" t="str">
        <f>IFERROR(VLOOKUP($D85,PlayerDB!$F$2:$I209,4,FALSE),"")</f>
        <v/>
      </c>
      <c r="H85" s="38"/>
      <c r="I85" s="50" t="str">
        <f>IFERROR(__xludf.DUMMYFUNCTION("JOIN("" | "",'Team Stats'!C$5:H$5)"),"0 | 0 | 0 | 0 | 0 | 0")</f>
        <v>0 | 0 | 0 | 0 | 0 | 0</v>
      </c>
      <c r="J85" s="51" t="str">
        <f>IFERROR(__xludf.DUMMYFUNCTION("JOIN("" | "",#REF!)"),"#REF!")</f>
        <v>#REF!</v>
      </c>
      <c r="L85" s="42" t="str">
        <f>IFERROR(__xludf.DUMMYFUNCTION("""COMPUTED_VALUE"""),"Buffalo Bills – BUF")</f>
        <v>Buffalo Bills – BUF</v>
      </c>
      <c r="M85" s="52">
        <f>IFERROR(VLOOKUP(L85,PlayerDB!$F$2:$G209,2,FALSE),"")</f>
        <v>125</v>
      </c>
      <c r="N85" s="42"/>
      <c r="O85" s="42"/>
      <c r="P85" s="42"/>
      <c r="Q85" s="52"/>
    </row>
    <row r="86">
      <c r="A86" s="33"/>
      <c r="B86" s="34">
        <v>85.0</v>
      </c>
      <c r="C86" s="34" t="str">
        <f>'Teams &amp; Draft Order'!$C$10</f>
        <v>Buttheads</v>
      </c>
      <c r="D86" s="35"/>
      <c r="E86" s="36" t="str">
        <f>IFERROR(VLOOKUP($D86,PlayerDB!$F$2:$G209,2,FALSE),"")</f>
        <v/>
      </c>
      <c r="F86" s="36" t="str">
        <f>IFERROR(VLOOKUP($D86,PlayerDB!$F$2:$H209,3,FALSE),"")</f>
        <v/>
      </c>
      <c r="G86" s="37" t="str">
        <f>IFERROR(VLOOKUP($D86,PlayerDB!$F$2:$I209,4,FALSE),"")</f>
        <v/>
      </c>
      <c r="H86" s="38"/>
      <c r="I86" s="39" t="str">
        <f>IFERROR(__xludf.DUMMYFUNCTION("JOIN("" | "",'Team Stats'!C$6:H$6)"),"0 | 0 | 0 | 0 | 0 | 0")</f>
        <v>0 | 0 | 0 | 0 | 0 | 0</v>
      </c>
      <c r="J86" s="62" t="str">
        <f>IFERROR(__xludf.DUMMYFUNCTION("JOIN("" | "",#REF!)"),"#REF!")</f>
        <v>#REF!</v>
      </c>
      <c r="L86" s="42" t="str">
        <f>IFERROR(__xludf.DUMMYFUNCTION("""COMPUTED_VALUE"""),"Seattle Seahawks – SEA")</f>
        <v>Seattle Seahawks – SEA</v>
      </c>
      <c r="M86" s="52">
        <f>IFERROR(VLOOKUP(L86,PlayerDB!$F$2:$G209,2,FALSE),"")</f>
        <v>124</v>
      </c>
      <c r="N86" s="42"/>
      <c r="O86" s="42"/>
      <c r="P86" s="42"/>
      <c r="Q86" s="52"/>
    </row>
    <row r="87">
      <c r="A87" s="45"/>
      <c r="B87" s="46">
        <v>86.0</v>
      </c>
      <c r="C87" s="46" t="str">
        <f>'Teams &amp; Draft Order'!$C$11</f>
        <v>Big Boys Big Work</v>
      </c>
      <c r="D87" s="47"/>
      <c r="E87" s="48" t="str">
        <f>IFERROR(VLOOKUP($D87,PlayerDB!$F$2:$G209,2,FALSE),"")</f>
        <v/>
      </c>
      <c r="F87" s="48" t="str">
        <f>IFERROR(VLOOKUP($D87,PlayerDB!$F$2:$H209,3,FALSE),"")</f>
        <v/>
      </c>
      <c r="G87" s="49" t="str">
        <f>IFERROR(VLOOKUP($D87,PlayerDB!$F$2:$I209,4,FALSE),"")</f>
        <v/>
      </c>
      <c r="H87" s="38"/>
      <c r="I87" s="50" t="str">
        <f>IFERROR(__xludf.DUMMYFUNCTION("JOIN("" | "",'Team Stats'!C$7:H$7)"),"0 | 0 | 0 | 0 | 0 | 0")</f>
        <v>0 | 0 | 0 | 0 | 0 | 0</v>
      </c>
      <c r="J87" s="51" t="str">
        <f>IFERROR(__xludf.DUMMYFUNCTION("JOIN("" | "",#REF!)"),"#REF!")</f>
        <v>#REF!</v>
      </c>
      <c r="L87" s="42" t="str">
        <f>IFERROR(__xludf.DUMMYFUNCTION("""COMPUTED_VALUE"""),"Los Angeles Rams – LAR")</f>
        <v>Los Angeles Rams – LAR</v>
      </c>
      <c r="M87" s="52">
        <f>IFERROR(VLOOKUP(L87,PlayerDB!$F$2:$G209,2,FALSE),"")</f>
        <v>122</v>
      </c>
      <c r="N87" s="42"/>
      <c r="O87" s="42"/>
      <c r="P87" s="42"/>
      <c r="Q87" s="52"/>
    </row>
    <row r="88">
      <c r="A88" s="33"/>
      <c r="B88" s="34">
        <v>87.0</v>
      </c>
      <c r="C88" s="34" t="str">
        <f>'Teams &amp; Draft Order'!$C$12</f>
        <v>Turbo-Ginz</v>
      </c>
      <c r="D88" s="35"/>
      <c r="E88" s="36" t="str">
        <f>IFERROR(VLOOKUP($D88,PlayerDB!$F$2:$G209,2,FALSE),"")</f>
        <v/>
      </c>
      <c r="F88" s="36" t="str">
        <f>IFERROR(VLOOKUP($D88,PlayerDB!$F$2:$H209,3,FALSE),"")</f>
        <v/>
      </c>
      <c r="G88" s="37" t="str">
        <f>IFERROR(VLOOKUP($D88,PlayerDB!$F$2:$I209,4,FALSE),"")</f>
        <v/>
      </c>
      <c r="H88" s="38"/>
      <c r="I88" s="39" t="str">
        <f>IFERROR(__xludf.DUMMYFUNCTION("JOIN("" | "",'Team Stats'!C$8:H$8)"),"0 | 0 | 0 | 0 | 0 | 0")</f>
        <v>0 | 0 | 0 | 0 | 0 | 0</v>
      </c>
      <c r="J88" s="40" t="str">
        <f>IFERROR(__xludf.DUMMYFUNCTION("JOIN("" | "",#REF!)"),"#REF!")</f>
        <v>#REF!</v>
      </c>
      <c r="L88" s="42" t="str">
        <f>IFERROR(__xludf.DUMMYFUNCTION("""COMPUTED_VALUE"""),"Green Bay Packers – GB")</f>
        <v>Green Bay Packers – GB</v>
      </c>
      <c r="M88" s="52">
        <f>IFERROR(VLOOKUP(L88,PlayerDB!$F$2:$G209,2,FALSE),"")</f>
        <v>121</v>
      </c>
      <c r="N88" s="42"/>
      <c r="O88" s="42"/>
      <c r="P88" s="42"/>
      <c r="Q88" s="52"/>
    </row>
    <row r="89">
      <c r="A89" s="54"/>
      <c r="B89" s="55">
        <v>88.0</v>
      </c>
      <c r="C89" s="55" t="str">
        <f>'Teams &amp; Draft Order'!$C$13</f>
        <v>Luddite</v>
      </c>
      <c r="D89" s="56"/>
      <c r="E89" s="57" t="str">
        <f>IFERROR(VLOOKUP($D89,PlayerDB!$F$2:$G209,2,FALSE),"")</f>
        <v/>
      </c>
      <c r="F89" s="57" t="str">
        <f>IFERROR(VLOOKUP($D89,PlayerDB!$F$2:$H209,3,FALSE),"")</f>
        <v/>
      </c>
      <c r="G89" s="58" t="str">
        <f>IFERROR(VLOOKUP($D89,PlayerDB!$F$2:$I209,4,FALSE),"")</f>
        <v/>
      </c>
      <c r="H89" s="59"/>
      <c r="I89" s="60" t="str">
        <f>IFERROR(__xludf.DUMMYFUNCTION("JOIN("" | "",'Team Stats'!C$9:H$9)"),"0 | 0 | 0 | 0 | 0 | 0")</f>
        <v>0 | 0 | 0 | 0 | 0 | 0</v>
      </c>
      <c r="J89" s="51" t="str">
        <f>IFERROR(__xludf.DUMMYFUNCTION("JOIN("" | "",#REF!)"),"#REF!")</f>
        <v>#REF!</v>
      </c>
      <c r="L89" s="42" t="str">
        <f>IFERROR(__xludf.DUMMYFUNCTION("""COMPUTED_VALUE"""),"Dallas Cowboys – DAL")</f>
        <v>Dallas Cowboys – DAL</v>
      </c>
      <c r="M89" s="52">
        <f>IFERROR(VLOOKUP(L89,PlayerDB!$F$2:$G209,2,FALSE),"")</f>
        <v>120</v>
      </c>
      <c r="N89" s="42"/>
      <c r="O89" s="42"/>
      <c r="P89" s="42"/>
      <c r="Q89" s="52"/>
    </row>
    <row r="90">
      <c r="A90" s="33" t="s">
        <v>96</v>
      </c>
      <c r="B90" s="34">
        <v>89.0</v>
      </c>
      <c r="C90" s="34" t="str">
        <f>'Teams &amp; Draft Order'!$C$13</f>
        <v>Luddite</v>
      </c>
      <c r="D90" s="35"/>
      <c r="E90" s="36" t="str">
        <f>IFERROR(VLOOKUP($D90,PlayerDB!$F$2:$G209,2,FALSE),"")</f>
        <v/>
      </c>
      <c r="F90" s="36" t="str">
        <f>IFERROR(VLOOKUP($D90,PlayerDB!$F$2:$H209,3,FALSE),"")</f>
        <v/>
      </c>
      <c r="G90" s="37" t="str">
        <f>IFERROR(VLOOKUP($D90,PlayerDB!$F$2:$I209,4,FALSE),"")</f>
        <v/>
      </c>
      <c r="H90" s="38"/>
      <c r="I90" s="39" t="str">
        <f>IFERROR(__xludf.DUMMYFUNCTION("JOIN("" | "",'Team Stats'!C$9:H$9)"),"0 | 0 | 0 | 0 | 0 | 0")</f>
        <v>0 | 0 | 0 | 0 | 0 | 0</v>
      </c>
      <c r="J90" s="40" t="str">
        <f>IFERROR(__xludf.DUMMYFUNCTION("JOIN("" | "",'Team Stats'!I$9:K$9)"),"0 | 0 | 0")</f>
        <v>0 | 0 | 0</v>
      </c>
      <c r="L90" s="42" t="str">
        <f>IFERROR(__xludf.DUMMYFUNCTION("""COMPUTED_VALUE"""),"New York Giants – NYG")</f>
        <v>New York Giants – NYG</v>
      </c>
      <c r="M90" s="52">
        <f>IFERROR(VLOOKUP(L90,PlayerDB!$F$2:$G209,2,FALSE),"")</f>
        <v>118</v>
      </c>
      <c r="N90" s="42"/>
      <c r="O90" s="42"/>
      <c r="P90" s="42"/>
      <c r="Q90" s="52"/>
    </row>
    <row r="91">
      <c r="A91" s="45"/>
      <c r="B91" s="46">
        <v>90.0</v>
      </c>
      <c r="C91" s="46" t="str">
        <f>'Teams &amp; Draft Order'!$C$12</f>
        <v>Turbo-Ginz</v>
      </c>
      <c r="D91" s="47"/>
      <c r="E91" s="48" t="str">
        <f>IFERROR(VLOOKUP($D91,PlayerDB!$F$2:$G209,2,FALSE),"")</f>
        <v/>
      </c>
      <c r="F91" s="48" t="str">
        <f>IFERROR(VLOOKUP($D91,PlayerDB!$F$2:$H209,3,FALSE),"")</f>
        <v/>
      </c>
      <c r="G91" s="49" t="str">
        <f>IFERROR(VLOOKUP($D91,PlayerDB!$F$2:$I209,4,FALSE),"")</f>
        <v/>
      </c>
      <c r="H91" s="38"/>
      <c r="I91" s="50" t="str">
        <f>IFERROR(__xludf.DUMMYFUNCTION("JOIN("" | "",'Team Stats'!C$8:H$8)"),"0 | 0 | 0 | 0 | 0 | 0")</f>
        <v>0 | 0 | 0 | 0 | 0 | 0</v>
      </c>
      <c r="J91" s="51" t="str">
        <f>IFERROR(__xludf.DUMMYFUNCTION("JOIN("" | "",'Team Stats'!I$8:K$8)"),"0 | 0 | 0")</f>
        <v>0 | 0 | 0</v>
      </c>
      <c r="L91" s="42" t="str">
        <f>IFERROR(__xludf.DUMMYFUNCTION("""COMPUTED_VALUE"""),"Cleveland Browns – CLE")</f>
        <v>Cleveland Browns – CLE</v>
      </c>
      <c r="M91" s="52">
        <f>IFERROR(VLOOKUP(L91,PlayerDB!$F$2:$G209,2,FALSE),"")</f>
        <v>117</v>
      </c>
      <c r="N91" s="42"/>
      <c r="O91" s="42"/>
      <c r="P91" s="42"/>
      <c r="Q91" s="52"/>
    </row>
    <row r="92">
      <c r="A92" s="33"/>
      <c r="B92" s="34">
        <v>91.0</v>
      </c>
      <c r="C92" s="34" t="str">
        <f>'Teams &amp; Draft Order'!$C$11</f>
        <v>Big Boys Big Work</v>
      </c>
      <c r="D92" s="35"/>
      <c r="E92" s="36" t="str">
        <f>IFERROR(VLOOKUP($D92,PlayerDB!$F$2:$G209,2,FALSE),"")</f>
        <v/>
      </c>
      <c r="F92" s="36" t="str">
        <f>IFERROR(VLOOKUP($D92,PlayerDB!$F$2:$H209,3,FALSE),"")</f>
        <v/>
      </c>
      <c r="G92" s="37" t="str">
        <f>IFERROR(VLOOKUP($D92,PlayerDB!$F$2:$I209,4,FALSE),"")</f>
        <v/>
      </c>
      <c r="H92" s="38"/>
      <c r="I92" s="39" t="str">
        <f>IFERROR(__xludf.DUMMYFUNCTION("JOIN("" | "",'Team Stats'!C$7:H$7)"),"0 | 0 | 0 | 0 | 0 | 0")</f>
        <v>0 | 0 | 0 | 0 | 0 | 0</v>
      </c>
      <c r="J92" s="40" t="str">
        <f>IFERROR(__xludf.DUMMYFUNCTION("JOIN("" | "",'Team Stats'!I$7:K$7)"),"0 | 0 | 0")</f>
        <v>0 | 0 | 0</v>
      </c>
      <c r="L92" s="42" t="str">
        <f>IFERROR(__xludf.DUMMYFUNCTION("""COMPUTED_VALUE"""),"San Francisco 49ers – SF")</f>
        <v>San Francisco 49ers – SF</v>
      </c>
      <c r="M92" s="52">
        <f>IFERROR(VLOOKUP(L92,PlayerDB!$F$2:$G209,2,FALSE),"")</f>
        <v>116</v>
      </c>
      <c r="N92" s="42"/>
      <c r="O92" s="42"/>
      <c r="P92" s="42"/>
      <c r="Q92" s="52"/>
    </row>
    <row r="93">
      <c r="A93" s="45"/>
      <c r="B93" s="46">
        <v>92.0</v>
      </c>
      <c r="C93" s="46" t="str">
        <f>'Teams &amp; Draft Order'!$C$10</f>
        <v>Buttheads</v>
      </c>
      <c r="D93" s="47"/>
      <c r="E93" s="48" t="str">
        <f>IFERROR(VLOOKUP($D93,PlayerDB!$F$2:$G209,2,FALSE),"")</f>
        <v/>
      </c>
      <c r="F93" s="48" t="str">
        <f>IFERROR(VLOOKUP($D93,PlayerDB!$F$2:$H209,3,FALSE),"")</f>
        <v/>
      </c>
      <c r="G93" s="49" t="str">
        <f>IFERROR(VLOOKUP($D93,PlayerDB!$F$2:$I209,4,FALSE),"")</f>
        <v/>
      </c>
      <c r="H93" s="38"/>
      <c r="I93" s="50" t="str">
        <f>IFERROR(__xludf.DUMMYFUNCTION("JOIN("" | "",'Team Stats'!C$6:H$6)"),"0 | 0 | 0 | 0 | 0 | 0")</f>
        <v>0 | 0 | 0 | 0 | 0 | 0</v>
      </c>
      <c r="J93" s="51" t="str">
        <f>IFERROR(__xludf.DUMMYFUNCTION("JOIN("" | "",'Team Stats'!I$6:K$6)"),"0 | 0 | 0")</f>
        <v>0 | 0 | 0</v>
      </c>
      <c r="L93" s="42" t="str">
        <f>IFERROR(__xludf.DUMMYFUNCTION("""COMPUTED_VALUE"""),"Tampa Bay Buccaneers – TB")</f>
        <v>Tampa Bay Buccaneers – TB</v>
      </c>
      <c r="M93" s="52">
        <f>IFERROR(VLOOKUP(L93,PlayerDB!$F$2:$G209,2,FALSE),"")</f>
        <v>115</v>
      </c>
      <c r="N93" s="42"/>
      <c r="O93" s="42"/>
      <c r="P93" s="42"/>
      <c r="Q93" s="52"/>
    </row>
    <row r="94">
      <c r="A94" s="33"/>
      <c r="B94" s="34">
        <v>93.0</v>
      </c>
      <c r="C94" s="34" t="str">
        <f>'Teams &amp; Draft Order'!$C$9</f>
        <v>El Nino</v>
      </c>
      <c r="D94" s="35"/>
      <c r="E94" s="36" t="str">
        <f>IFERROR(VLOOKUP($D94,PlayerDB!$F$2:$G209,2,FALSE),"")</f>
        <v/>
      </c>
      <c r="F94" s="36" t="str">
        <f>IFERROR(VLOOKUP($D94,PlayerDB!$F$2:$H209,3,FALSE),"")</f>
        <v/>
      </c>
      <c r="G94" s="37" t="str">
        <f>IFERROR(VLOOKUP($D94,PlayerDB!$F$2:$I209,4,FALSE),"")</f>
        <v/>
      </c>
      <c r="H94" s="38"/>
      <c r="I94" s="39" t="str">
        <f>IFERROR(__xludf.DUMMYFUNCTION("JOIN("" | "",'Team Stats'!C$5:H$5)"),"0 | 0 | 0 | 0 | 0 | 0")</f>
        <v>0 | 0 | 0 | 0 | 0 | 0</v>
      </c>
      <c r="J94" s="40" t="str">
        <f>IFERROR(__xludf.DUMMYFUNCTION("JOIN("" | "",'Team Stats'!I$5:K$5)"),"0 | 0 | 0")</f>
        <v>0 | 0 | 0</v>
      </c>
      <c r="L94" s="42" t="str">
        <f>IFERROR(__xludf.DUMMYFUNCTION("""COMPUTED_VALUE"""),"Miami Dolphins – MIA")</f>
        <v>Miami Dolphins – MIA</v>
      </c>
      <c r="M94" s="52">
        <f>IFERROR(VLOOKUP(L94,PlayerDB!$F$2:$G209,2,FALSE),"")</f>
        <v>114</v>
      </c>
      <c r="N94" s="42"/>
      <c r="O94" s="42"/>
      <c r="P94" s="42"/>
      <c r="Q94" s="52"/>
    </row>
    <row r="95">
      <c r="A95" s="45"/>
      <c r="B95" s="46">
        <v>94.0</v>
      </c>
      <c r="C95" s="46" t="str">
        <f>'Teams &amp; Draft Order'!$C$8</f>
        <v>Icelanders</v>
      </c>
      <c r="D95" s="47"/>
      <c r="E95" s="48" t="str">
        <f>IFERROR(VLOOKUP($D95,PlayerDB!$F$2:$G209,2,FALSE),"")</f>
        <v/>
      </c>
      <c r="F95" s="48" t="str">
        <f>IFERROR(VLOOKUP($D95,PlayerDB!$F$2:$H209,3,FALSE),"")</f>
        <v/>
      </c>
      <c r="G95" s="49" t="str">
        <f>IFERROR(VLOOKUP($D95,PlayerDB!$F$2:$I209,4,FALSE),"")</f>
        <v/>
      </c>
      <c r="H95" s="38"/>
      <c r="I95" s="50" t="str">
        <f>IFERROR(__xludf.DUMMYFUNCTION("JOIN("" | "",'Team Stats'!C$4:H$4)"),"0 | 0 | 0 | 0 | 0 | 0")</f>
        <v>0 | 0 | 0 | 0 | 0 | 0</v>
      </c>
      <c r="J95" s="51" t="str">
        <f>IFERROR(__xludf.DUMMYFUNCTION("JOIN("" | "",'Team Stats'!I$4:K$4)"),"0 | 0 | 0")</f>
        <v>0 | 0 | 0</v>
      </c>
      <c r="L95" s="20"/>
      <c r="M95" s="20"/>
      <c r="N95" s="20"/>
      <c r="O95" s="20"/>
      <c r="P95" s="20"/>
      <c r="Q95" s="20"/>
    </row>
    <row r="96">
      <c r="A96" s="33"/>
      <c r="B96" s="34">
        <v>95.0</v>
      </c>
      <c r="C96" s="34" t="str">
        <f>'Teams &amp; Draft Order'!$C$7</f>
        <v>Phantasm</v>
      </c>
      <c r="D96" s="35"/>
      <c r="E96" s="36" t="str">
        <f>IFERROR(VLOOKUP($D96,PlayerDB!$F$2:$G209,2,FALSE),"")</f>
        <v/>
      </c>
      <c r="F96" s="36" t="str">
        <f>IFERROR(VLOOKUP($D96,PlayerDB!$F$2:$H209,3,FALSE),"")</f>
        <v/>
      </c>
      <c r="G96" s="37" t="str">
        <f>IFERROR(VLOOKUP($D96,PlayerDB!$F$2:$I209,4,FALSE),"")</f>
        <v/>
      </c>
      <c r="H96" s="38"/>
      <c r="I96" s="39" t="str">
        <f>IFERROR(__xludf.DUMMYFUNCTION("JOIN("" | "",'Team Stats'!C$3:H$3)"),"0 | 0 | 0 | 0 | 0 | 0")</f>
        <v>0 | 0 | 0 | 0 | 0 | 0</v>
      </c>
      <c r="J96" s="40" t="str">
        <f>IFERROR(__xludf.DUMMYFUNCTION("JOIN("" | "",'Team Stats'!I$3:K$3)"),"0 | 0 | 0")</f>
        <v>0 | 0 | 0</v>
      </c>
      <c r="L96" s="42"/>
      <c r="M96" s="42"/>
      <c r="N96" s="42"/>
      <c r="O96" s="42"/>
      <c r="P96" s="42"/>
      <c r="Q96" s="42"/>
    </row>
    <row r="97">
      <c r="A97" s="54"/>
      <c r="B97" s="55">
        <v>96.0</v>
      </c>
      <c r="C97" s="55" t="str">
        <f>'Teams &amp; Draft Order'!$C$6</f>
        <v>Sleeper Cell </v>
      </c>
      <c r="D97" s="56"/>
      <c r="E97" s="57" t="str">
        <f>IFERROR(VLOOKUP($D97,PlayerDB!$F$2:$G209,2,FALSE),"")</f>
        <v/>
      </c>
      <c r="F97" s="57" t="str">
        <f>IFERROR(VLOOKUP($D97,PlayerDB!$F$2:$H209,3,FALSE),"")</f>
        <v/>
      </c>
      <c r="G97" s="58" t="str">
        <f>IFERROR(VLOOKUP($D97,PlayerDB!$F$2:$I209,4,FALSE),"")</f>
        <v/>
      </c>
      <c r="H97" s="59"/>
      <c r="I97" s="60" t="str">
        <f>IFERROR(__xludf.DUMMYFUNCTION("JOIN("" | "",'Team Stats'!C$2:H$2)"),"1 | 0 | 0 | 0 | 0 | 0")</f>
        <v>1 | 0 | 0 | 0 | 0 | 0</v>
      </c>
      <c r="J97" s="64" t="str">
        <f>IFERROR(__xludf.DUMMYFUNCTION("JOIN("" | "",'Team Stats'!I$2:K$2)"),"0 | 0 | 0")</f>
        <v>0 | 0 | 0</v>
      </c>
      <c r="L97" s="42"/>
      <c r="M97" s="42"/>
      <c r="N97" s="42"/>
      <c r="O97" s="42"/>
      <c r="P97" s="42"/>
      <c r="Q97" s="42"/>
    </row>
    <row r="98">
      <c r="A98" s="33" t="s">
        <v>97</v>
      </c>
      <c r="B98" s="34">
        <v>97.0</v>
      </c>
      <c r="C98" s="34" t="str">
        <f>'Teams &amp; Draft Order'!$C$6</f>
        <v>Sleeper Cell </v>
      </c>
      <c r="D98" s="35"/>
      <c r="E98" s="36" t="str">
        <f>IFERROR(VLOOKUP($D98,PlayerDB!$F$2:$G209,2,FALSE),"")</f>
        <v/>
      </c>
      <c r="F98" s="36" t="str">
        <f>IFERROR(VLOOKUP($D98,PlayerDB!$F$2:$H209,3,FALSE),"")</f>
        <v/>
      </c>
      <c r="G98" s="37" t="str">
        <f>IFERROR(VLOOKUP($D98,PlayerDB!$F$2:$I209,4,FALSE),"")</f>
        <v/>
      </c>
      <c r="H98" s="38"/>
      <c r="I98" s="39" t="str">
        <f>IFERROR(__xludf.DUMMYFUNCTION("JOIN("" | "",'Team Stats'!C$2:H$2)"),"1 | 0 | 0 | 0 | 0 | 0")</f>
        <v>1 | 0 | 0 | 0 | 0 | 0</v>
      </c>
      <c r="J98" s="40" t="str">
        <f>IFERROR(__xludf.DUMMYFUNCTION("JOIN("" | "",'Team Stats'!I$2:K$2)"),"0 | 0 | 0")</f>
        <v>0 | 0 | 0</v>
      </c>
      <c r="L98" s="71"/>
      <c r="M98" s="44"/>
      <c r="N98" s="42"/>
      <c r="O98" s="42"/>
      <c r="P98" s="71"/>
      <c r="Q98" s="44"/>
    </row>
    <row r="99">
      <c r="A99" s="45"/>
      <c r="B99" s="46">
        <v>98.0</v>
      </c>
      <c r="C99" s="46" t="str">
        <f>'Teams &amp; Draft Order'!$C$7</f>
        <v>Phantasm</v>
      </c>
      <c r="D99" s="47"/>
      <c r="E99" s="48" t="str">
        <f>IFERROR(VLOOKUP($D99,PlayerDB!$F$2:$G209,2,FALSE),"")</f>
        <v/>
      </c>
      <c r="F99" s="48" t="str">
        <f>IFERROR(VLOOKUP($D99,PlayerDB!$F$2:$H209,3,FALSE),"")</f>
        <v/>
      </c>
      <c r="G99" s="49" t="str">
        <f>IFERROR(VLOOKUP($D99,PlayerDB!$F$2:$I209,4,FALSE),"")</f>
        <v/>
      </c>
      <c r="H99" s="38"/>
      <c r="I99" s="50" t="str">
        <f>IFERROR(__xludf.DUMMYFUNCTION("JOIN("" | "",'Team Stats'!C$3:H$3)"),"0 | 0 | 0 | 0 | 0 | 0")</f>
        <v>0 | 0 | 0 | 0 | 0 | 0</v>
      </c>
      <c r="J99" s="51" t="str">
        <f>IFERROR(__xludf.DUMMYFUNCTION("JOIN("" | "",'Team Stats'!I$3:K$3)"),"0 | 0 | 0")</f>
        <v>0 | 0 | 0</v>
      </c>
      <c r="L99" s="42"/>
      <c r="M99" s="52"/>
      <c r="N99" s="42"/>
      <c r="O99" s="42"/>
      <c r="P99" s="42"/>
      <c r="Q99" s="52"/>
    </row>
    <row r="100">
      <c r="A100" s="33"/>
      <c r="B100" s="34">
        <v>99.0</v>
      </c>
      <c r="C100" s="34" t="str">
        <f>'Teams &amp; Draft Order'!$C$8</f>
        <v>Icelanders</v>
      </c>
      <c r="D100" s="35"/>
      <c r="E100" s="36" t="str">
        <f>IFERROR(VLOOKUP($D100,PlayerDB!$F$2:$G209,2,FALSE),"")</f>
        <v/>
      </c>
      <c r="F100" s="36" t="str">
        <f>IFERROR(VLOOKUP($D100,PlayerDB!$F$2:$H209,3,FALSE),"")</f>
        <v/>
      </c>
      <c r="G100" s="37" t="str">
        <f>IFERROR(VLOOKUP($D100,PlayerDB!$F$2:$I209,4,FALSE),"")</f>
        <v/>
      </c>
      <c r="H100" s="38"/>
      <c r="I100" s="39" t="str">
        <f>IFERROR(__xludf.DUMMYFUNCTION("JOIN("" | "",'Team Stats'!C$4:H$4)"),"0 | 0 | 0 | 0 | 0 | 0")</f>
        <v>0 | 0 | 0 | 0 | 0 | 0</v>
      </c>
      <c r="J100" s="40" t="str">
        <f>IFERROR(__xludf.DUMMYFUNCTION("JOIN("" | "",'Team Stats'!I$4:K$4)"),"0 | 0 | 0")</f>
        <v>0 | 0 | 0</v>
      </c>
      <c r="L100" s="42"/>
      <c r="M100" s="52"/>
      <c r="N100" s="42"/>
      <c r="O100" s="42"/>
      <c r="P100" s="42"/>
      <c r="Q100" s="52"/>
    </row>
    <row r="101">
      <c r="A101" s="45"/>
      <c r="B101" s="46">
        <v>100.0</v>
      </c>
      <c r="C101" s="46" t="str">
        <f>'Teams &amp; Draft Order'!$C$9</f>
        <v>El Nino</v>
      </c>
      <c r="D101" s="47"/>
      <c r="E101" s="48" t="str">
        <f>IFERROR(VLOOKUP($D101,PlayerDB!$F$2:$G209,2,FALSE),"")</f>
        <v/>
      </c>
      <c r="F101" s="48" t="str">
        <f>IFERROR(VLOOKUP($D101,PlayerDB!$F$2:$H209,3,FALSE),"")</f>
        <v/>
      </c>
      <c r="G101" s="49" t="str">
        <f>IFERROR(VLOOKUP($D101,PlayerDB!$F$2:$I209,4,FALSE),"")</f>
        <v/>
      </c>
      <c r="H101" s="38"/>
      <c r="I101" s="50" t="str">
        <f>IFERROR(__xludf.DUMMYFUNCTION("JOIN("" | "",'Team Stats'!C$5:H$5)"),"0 | 0 | 0 | 0 | 0 | 0")</f>
        <v>0 | 0 | 0 | 0 | 0 | 0</v>
      </c>
      <c r="J101" s="51" t="str">
        <f>IFERROR(__xludf.DUMMYFUNCTION("JOIN("" | "",'Team Stats'!I$5:K$5)"),"0 | 0 | 0")</f>
        <v>0 | 0 | 0</v>
      </c>
      <c r="L101" s="20"/>
      <c r="M101" s="52"/>
      <c r="N101" s="42"/>
      <c r="O101" s="42"/>
      <c r="P101" s="42"/>
      <c r="Q101" s="52"/>
    </row>
    <row r="102">
      <c r="A102" s="33"/>
      <c r="B102" s="34">
        <v>101.0</v>
      </c>
      <c r="C102" s="34" t="str">
        <f>'Teams &amp; Draft Order'!$C$10</f>
        <v>Buttheads</v>
      </c>
      <c r="D102" s="35"/>
      <c r="E102" s="36" t="str">
        <f>IFERROR(VLOOKUP($D102,PlayerDB!$F$2:$G209,2,FALSE),"")</f>
        <v/>
      </c>
      <c r="F102" s="36" t="str">
        <f>IFERROR(VLOOKUP($D102,PlayerDB!$F$2:$H209,3,FALSE),"")</f>
        <v/>
      </c>
      <c r="G102" s="37" t="str">
        <f>IFERROR(VLOOKUP($D102,PlayerDB!$F$2:$I209,4,FALSE),"")</f>
        <v/>
      </c>
      <c r="H102" s="38"/>
      <c r="I102" s="39" t="str">
        <f>IFERROR(__xludf.DUMMYFUNCTION("JOIN("" | "",'Team Stats'!C$6:H$6)"),"0 | 0 | 0 | 0 | 0 | 0")</f>
        <v>0 | 0 | 0 | 0 | 0 | 0</v>
      </c>
      <c r="J102" s="40" t="str">
        <f>IFERROR(__xludf.DUMMYFUNCTION("JOIN("" | "",'Team Stats'!I$6:K$6)"),"0 | 0 | 0")</f>
        <v>0 | 0 | 0</v>
      </c>
      <c r="L102" s="42"/>
      <c r="M102" s="52"/>
      <c r="N102" s="42"/>
      <c r="O102" s="42"/>
      <c r="P102" s="42"/>
      <c r="Q102" s="52"/>
    </row>
    <row r="103">
      <c r="A103" s="45"/>
      <c r="B103" s="46">
        <v>102.0</v>
      </c>
      <c r="C103" s="46" t="str">
        <f>'Teams &amp; Draft Order'!$C$11</f>
        <v>Big Boys Big Work</v>
      </c>
      <c r="D103" s="47"/>
      <c r="E103" s="48" t="str">
        <f>IFERROR(VLOOKUP($D103,PlayerDB!$F$2:$G209,2,FALSE),"")</f>
        <v/>
      </c>
      <c r="F103" s="48" t="str">
        <f>IFERROR(VLOOKUP($D103,PlayerDB!$F$2:$H209,3,FALSE),"")</f>
        <v/>
      </c>
      <c r="G103" s="49" t="str">
        <f>IFERROR(VLOOKUP($D103,PlayerDB!$F$2:$I209,4,FALSE),"")</f>
        <v/>
      </c>
      <c r="H103" s="38"/>
      <c r="I103" s="50" t="str">
        <f>IFERROR(__xludf.DUMMYFUNCTION("JOIN("" | "",'Team Stats'!C$7:H$7)"),"0 | 0 | 0 | 0 | 0 | 0")</f>
        <v>0 | 0 | 0 | 0 | 0 | 0</v>
      </c>
      <c r="J103" s="51" t="str">
        <f>IFERROR(__xludf.DUMMYFUNCTION("JOIN("" | "",'Team Stats'!I$7:K$7)"),"0 | 0 | 0")</f>
        <v>0 | 0 | 0</v>
      </c>
      <c r="L103" s="42"/>
      <c r="M103" s="52"/>
      <c r="N103" s="42"/>
      <c r="O103" s="42"/>
      <c r="P103" s="42"/>
      <c r="Q103" s="52"/>
    </row>
    <row r="104">
      <c r="A104" s="33"/>
      <c r="B104" s="34">
        <v>103.0</v>
      </c>
      <c r="C104" s="34" t="str">
        <f>'Teams &amp; Draft Order'!$C$12</f>
        <v>Turbo-Ginz</v>
      </c>
      <c r="D104" s="35"/>
      <c r="E104" s="36" t="str">
        <f>IFERROR(VLOOKUP($D104,PlayerDB!$F$2:$G209,2,FALSE),"")</f>
        <v/>
      </c>
      <c r="F104" s="36" t="str">
        <f>IFERROR(VLOOKUP($D104,PlayerDB!$F$2:$H209,3,FALSE),"")</f>
        <v/>
      </c>
      <c r="G104" s="37" t="str">
        <f>IFERROR(VLOOKUP($D104,PlayerDB!$F$2:$I209,4,FALSE),"")</f>
        <v/>
      </c>
      <c r="H104" s="38"/>
      <c r="I104" s="39" t="str">
        <f>IFERROR(__xludf.DUMMYFUNCTION("JOIN("" | "",'Team Stats'!C$8:H$8)"),"0 | 0 | 0 | 0 | 0 | 0")</f>
        <v>0 | 0 | 0 | 0 | 0 | 0</v>
      </c>
      <c r="J104" s="40" t="str">
        <f>IFERROR(__xludf.DUMMYFUNCTION("JOIN("" | "",'Team Stats'!I$8:K$8)"),"0 | 0 | 0")</f>
        <v>0 | 0 | 0</v>
      </c>
      <c r="L104" s="42"/>
      <c r="M104" s="52"/>
      <c r="N104" s="42"/>
      <c r="O104" s="42"/>
      <c r="P104" s="42"/>
      <c r="Q104" s="52"/>
    </row>
    <row r="105">
      <c r="A105" s="54"/>
      <c r="B105" s="55">
        <v>104.0</v>
      </c>
      <c r="C105" s="55" t="str">
        <f>'Teams &amp; Draft Order'!$C$13</f>
        <v>Luddite</v>
      </c>
      <c r="D105" s="56"/>
      <c r="E105" s="57" t="str">
        <f>IFERROR(VLOOKUP($D105,PlayerDB!$F$2:$G209,2,FALSE),"")</f>
        <v/>
      </c>
      <c r="F105" s="57" t="str">
        <f>IFERROR(VLOOKUP($D105,PlayerDB!$F$2:$H209,3,FALSE),"")</f>
        <v/>
      </c>
      <c r="G105" s="58" t="str">
        <f>IFERROR(VLOOKUP($D105,PlayerDB!$F$2:$I209,4,FALSE),"")</f>
        <v/>
      </c>
      <c r="H105" s="59"/>
      <c r="I105" s="60" t="str">
        <f>IFERROR(__xludf.DUMMYFUNCTION("JOIN("" | "",'Team Stats'!C$9:H$9)"),"0 | 0 | 0 | 0 | 0 | 0")</f>
        <v>0 | 0 | 0 | 0 | 0 | 0</v>
      </c>
      <c r="J105" s="51" t="str">
        <f>IFERROR(__xludf.DUMMYFUNCTION("JOIN("" | "",'Team Stats'!I$9:K$9)"),"0 | 0 | 0")</f>
        <v>0 | 0 | 0</v>
      </c>
      <c r="L105" s="42"/>
      <c r="M105" s="52"/>
      <c r="N105" s="42"/>
      <c r="O105" s="42"/>
      <c r="P105" s="42"/>
      <c r="Q105" s="52"/>
    </row>
    <row r="106">
      <c r="A106" s="33" t="s">
        <v>98</v>
      </c>
      <c r="B106" s="34">
        <v>105.0</v>
      </c>
      <c r="C106" s="34" t="str">
        <f>'Teams &amp; Draft Order'!$C$13</f>
        <v>Luddite</v>
      </c>
      <c r="D106" s="35"/>
      <c r="E106" s="36" t="str">
        <f>IFERROR(VLOOKUP($D106,PlayerDB!$F$2:$G209,2,FALSE),"")</f>
        <v/>
      </c>
      <c r="F106" s="36" t="str">
        <f>IFERROR(VLOOKUP($D106,PlayerDB!$F$2:$H209,3,FALSE),"")</f>
        <v/>
      </c>
      <c r="G106" s="37" t="str">
        <f>IFERROR(VLOOKUP($D106,PlayerDB!$F$2:$I209,4,FALSE),"")</f>
        <v/>
      </c>
      <c r="H106" s="38"/>
      <c r="I106" s="39" t="str">
        <f>IFERROR(__xludf.DUMMYFUNCTION("JOIN("" | "",'Team Stats'!C$9:H$9)"),"0 | 0 | 0 | 0 | 0 | 0")</f>
        <v>0 | 0 | 0 | 0 | 0 | 0</v>
      </c>
      <c r="J106" s="40" t="str">
        <f>IFERROR(__xludf.DUMMYFUNCTION("JOIN("" | "",#REF!)"),"#REF!")</f>
        <v>#REF!</v>
      </c>
      <c r="L106" s="42"/>
      <c r="M106" s="52"/>
      <c r="N106" s="42"/>
      <c r="O106" s="42"/>
      <c r="P106" s="42"/>
      <c r="Q106" s="52"/>
    </row>
    <row r="107">
      <c r="A107" s="45"/>
      <c r="B107" s="46">
        <v>106.0</v>
      </c>
      <c r="C107" s="46" t="str">
        <f>'Teams &amp; Draft Order'!$C$12</f>
        <v>Turbo-Ginz</v>
      </c>
      <c r="D107" s="47"/>
      <c r="E107" s="48" t="str">
        <f>IFERROR(VLOOKUP($D107,PlayerDB!$F$2:$G209,2,FALSE),"")</f>
        <v/>
      </c>
      <c r="F107" s="48" t="str">
        <f>IFERROR(VLOOKUP($D107,PlayerDB!$F$2:$H209,3,FALSE),"")</f>
        <v/>
      </c>
      <c r="G107" s="49" t="str">
        <f>IFERROR(VLOOKUP($D107,PlayerDB!$F$2:$I209,4,FALSE),"")</f>
        <v/>
      </c>
      <c r="H107" s="38"/>
      <c r="I107" s="50" t="str">
        <f>IFERROR(__xludf.DUMMYFUNCTION("JOIN("" | "",'Team Stats'!C$8:H$8)"),"0 | 0 | 0 | 0 | 0 | 0")</f>
        <v>0 | 0 | 0 | 0 | 0 | 0</v>
      </c>
      <c r="J107" s="51" t="str">
        <f>IFERROR(__xludf.DUMMYFUNCTION("JOIN("" | "",#REF!)"),"#REF!")</f>
        <v>#REF!</v>
      </c>
      <c r="L107" s="42"/>
      <c r="M107" s="52"/>
      <c r="N107" s="42"/>
      <c r="O107" s="42"/>
      <c r="P107" s="42"/>
      <c r="Q107" s="52"/>
    </row>
    <row r="108">
      <c r="A108" s="33"/>
      <c r="B108" s="34">
        <v>107.0</v>
      </c>
      <c r="C108" s="34" t="str">
        <f>'Teams &amp; Draft Order'!$C$11</f>
        <v>Big Boys Big Work</v>
      </c>
      <c r="D108" s="35"/>
      <c r="E108" s="36" t="str">
        <f>IFERROR(VLOOKUP($D108,PlayerDB!$F$2:$G209,2,FALSE),"")</f>
        <v/>
      </c>
      <c r="F108" s="36" t="str">
        <f>IFERROR(VLOOKUP($D108,PlayerDB!$F$2:$H209,3,FALSE),"")</f>
        <v/>
      </c>
      <c r="G108" s="37" t="str">
        <f>IFERROR(VLOOKUP($D108,PlayerDB!$F$2:$I209,4,FALSE),"")</f>
        <v/>
      </c>
      <c r="H108" s="38"/>
      <c r="I108" s="39" t="str">
        <f>IFERROR(__xludf.DUMMYFUNCTION("JOIN("" | "",'Team Stats'!C$7:H$7)"),"0 | 0 | 0 | 0 | 0 | 0")</f>
        <v>0 | 0 | 0 | 0 | 0 | 0</v>
      </c>
      <c r="J108" s="40" t="str">
        <f>IFERROR(__xludf.DUMMYFUNCTION("JOIN("" | "",#REF!)"),"#REF!")</f>
        <v>#REF!</v>
      </c>
      <c r="L108" s="42"/>
      <c r="M108" s="52"/>
      <c r="N108" s="42"/>
      <c r="O108" s="42"/>
      <c r="P108" s="42"/>
      <c r="Q108" s="52"/>
    </row>
    <row r="109">
      <c r="A109" s="45"/>
      <c r="B109" s="46">
        <v>108.0</v>
      </c>
      <c r="C109" s="46" t="str">
        <f>'Teams &amp; Draft Order'!$C$10</f>
        <v>Buttheads</v>
      </c>
      <c r="D109" s="47"/>
      <c r="E109" s="48" t="str">
        <f>IFERROR(VLOOKUP($D109,PlayerDB!$F$2:$G209,2,FALSE),"")</f>
        <v/>
      </c>
      <c r="F109" s="48" t="str">
        <f>IFERROR(VLOOKUP($D109,PlayerDB!$F$2:$H209,3,FALSE),"")</f>
        <v/>
      </c>
      <c r="G109" s="49" t="str">
        <f>IFERROR(VLOOKUP($D109,PlayerDB!$F$2:$I209,4,FALSE),"")</f>
        <v/>
      </c>
      <c r="H109" s="38"/>
      <c r="I109" s="50" t="str">
        <f>IFERROR(__xludf.DUMMYFUNCTION("JOIN("" | "",'Team Stats'!C$6:H$6)"),"0 | 0 | 0 | 0 | 0 | 0")</f>
        <v>0 | 0 | 0 | 0 | 0 | 0</v>
      </c>
      <c r="J109" s="51" t="str">
        <f>IFERROR(__xludf.DUMMYFUNCTION("JOIN("" | "",#REF!)"),"#REF!")</f>
        <v>#REF!</v>
      </c>
      <c r="L109" s="42"/>
      <c r="M109" s="52"/>
      <c r="N109" s="42"/>
      <c r="O109" s="42"/>
      <c r="P109" s="42"/>
      <c r="Q109" s="52"/>
    </row>
    <row r="110">
      <c r="A110" s="33"/>
      <c r="B110" s="34">
        <v>109.0</v>
      </c>
      <c r="C110" s="34" t="str">
        <f>'Teams &amp; Draft Order'!$C$9</f>
        <v>El Nino</v>
      </c>
      <c r="D110" s="35"/>
      <c r="E110" s="36" t="str">
        <f>IFERROR(VLOOKUP($D110,PlayerDB!$F$2:$G209,2,FALSE),"")</f>
        <v/>
      </c>
      <c r="F110" s="36" t="str">
        <f>IFERROR(VLOOKUP($D110,PlayerDB!$F$2:$H209,3,FALSE),"")</f>
        <v/>
      </c>
      <c r="G110" s="37" t="str">
        <f>IFERROR(VLOOKUP($D110,PlayerDB!$F$2:$I209,4,FALSE),"")</f>
        <v/>
      </c>
      <c r="H110" s="38"/>
      <c r="I110" s="39" t="str">
        <f>IFERROR(__xludf.DUMMYFUNCTION("JOIN("" | "",'Team Stats'!C$5:H$5)"),"0 | 0 | 0 | 0 | 0 | 0")</f>
        <v>0 | 0 | 0 | 0 | 0 | 0</v>
      </c>
      <c r="J110" s="62" t="str">
        <f>IFERROR(__xludf.DUMMYFUNCTION("JOIN("" | "",#REF!)"),"#REF!")</f>
        <v>#REF!</v>
      </c>
      <c r="L110" s="42"/>
      <c r="M110" s="52"/>
      <c r="N110" s="42"/>
      <c r="O110" s="42"/>
      <c r="P110" s="42"/>
      <c r="Q110" s="52"/>
    </row>
    <row r="111">
      <c r="A111" s="45"/>
      <c r="B111" s="46">
        <v>110.0</v>
      </c>
      <c r="C111" s="46" t="str">
        <f>'Teams &amp; Draft Order'!$C$8</f>
        <v>Icelanders</v>
      </c>
      <c r="D111" s="47"/>
      <c r="E111" s="48" t="str">
        <f>IFERROR(VLOOKUP($D111,PlayerDB!$F$2:$G209,2,FALSE),"")</f>
        <v/>
      </c>
      <c r="F111" s="48" t="str">
        <f>IFERROR(VLOOKUP($D111,PlayerDB!$F$2:$H209,3,FALSE),"")</f>
        <v/>
      </c>
      <c r="G111" s="49" t="str">
        <f>IFERROR(VLOOKUP($D111,PlayerDB!$F$2:$I209,4,FALSE),"")</f>
        <v/>
      </c>
      <c r="H111" s="38"/>
      <c r="I111" s="50" t="str">
        <f>IFERROR(__xludf.DUMMYFUNCTION("JOIN("" | "",'Team Stats'!C$4:H$4)"),"0 | 0 | 0 | 0 | 0 | 0")</f>
        <v>0 | 0 | 0 | 0 | 0 | 0</v>
      </c>
      <c r="J111" s="51" t="str">
        <f>IFERROR(__xludf.DUMMYFUNCTION("JOIN("" | "",#REF!)"),"#REF!")</f>
        <v>#REF!</v>
      </c>
      <c r="L111" s="42"/>
      <c r="M111" s="52"/>
      <c r="N111" s="42"/>
      <c r="O111" s="42"/>
      <c r="P111" s="42"/>
      <c r="Q111" s="52"/>
    </row>
    <row r="112">
      <c r="A112" s="33"/>
      <c r="B112" s="34">
        <v>111.0</v>
      </c>
      <c r="C112" s="34" t="str">
        <f>'Teams &amp; Draft Order'!$C$7</f>
        <v>Phantasm</v>
      </c>
      <c r="D112" s="35"/>
      <c r="E112" s="36" t="str">
        <f>IFERROR(VLOOKUP($D112,PlayerDB!$F$2:$G209,2,FALSE),"")</f>
        <v/>
      </c>
      <c r="F112" s="36" t="str">
        <f>IFERROR(VLOOKUP($D112,PlayerDB!$F$2:$H209,3,FALSE),"")</f>
        <v/>
      </c>
      <c r="G112" s="37" t="str">
        <f>IFERROR(VLOOKUP($D112,PlayerDB!$F$2:$I209,4,FALSE),"")</f>
        <v/>
      </c>
      <c r="H112" s="38"/>
      <c r="I112" s="39" t="str">
        <f>IFERROR(__xludf.DUMMYFUNCTION("JOIN("" | "",'Team Stats'!C$3:H$3)"),"0 | 0 | 0 | 0 | 0 | 0")</f>
        <v>0 | 0 | 0 | 0 | 0 | 0</v>
      </c>
      <c r="J112" s="40" t="str">
        <f>IFERROR(__xludf.DUMMYFUNCTION("JOIN("" | "",#REF!)"),"#REF!")</f>
        <v>#REF!</v>
      </c>
      <c r="L112" s="42"/>
      <c r="M112" s="52"/>
      <c r="N112" s="42"/>
      <c r="O112" s="42"/>
      <c r="P112" s="42"/>
      <c r="Q112" s="52"/>
    </row>
    <row r="113">
      <c r="A113" s="54"/>
      <c r="B113" s="55">
        <v>112.0</v>
      </c>
      <c r="C113" s="55" t="str">
        <f>'Teams &amp; Draft Order'!$C$6</f>
        <v>Sleeper Cell </v>
      </c>
      <c r="D113" s="56"/>
      <c r="E113" s="57" t="str">
        <f>IFERROR(VLOOKUP($D113,PlayerDB!$F$2:$G209,2,FALSE),"")</f>
        <v/>
      </c>
      <c r="F113" s="57" t="str">
        <f>IFERROR(VLOOKUP($D113,PlayerDB!$F$2:$H209,3,FALSE),"")</f>
        <v/>
      </c>
      <c r="G113" s="58" t="str">
        <f>IFERROR(VLOOKUP($D113,PlayerDB!$F$2:$I209,4,FALSE),"")</f>
        <v/>
      </c>
      <c r="H113" s="59"/>
      <c r="I113" s="60" t="str">
        <f>IFERROR(__xludf.DUMMYFUNCTION("JOIN("" | "",'Team Stats'!C$2:H$2)"),"1 | 0 | 0 | 0 | 0 | 0")</f>
        <v>1 | 0 | 0 | 0 | 0 | 0</v>
      </c>
      <c r="J113" s="51" t="str">
        <f>IFERROR(__xludf.DUMMYFUNCTION("JOIN("" | "",#REF!)"),"#REF!")</f>
        <v>#REF!</v>
      </c>
      <c r="L113" s="42"/>
      <c r="M113" s="52"/>
      <c r="N113" s="42"/>
      <c r="O113" s="42"/>
      <c r="P113" s="42"/>
      <c r="Q113" s="52"/>
    </row>
    <row r="114">
      <c r="A114" s="33" t="s">
        <v>99</v>
      </c>
      <c r="B114" s="34">
        <v>113.0</v>
      </c>
      <c r="C114" s="34" t="str">
        <f>'Teams &amp; Draft Order'!$C$6</f>
        <v>Sleeper Cell </v>
      </c>
      <c r="D114" s="35"/>
      <c r="E114" s="36" t="str">
        <f>IFERROR(VLOOKUP($D114,PlayerDB!$F$2:$G209,2,FALSE),"")</f>
        <v/>
      </c>
      <c r="F114" s="36" t="str">
        <f>IFERROR(VLOOKUP($D114,PlayerDB!$F$2:$H209,3,FALSE),"")</f>
        <v/>
      </c>
      <c r="G114" s="37" t="str">
        <f>IFERROR(VLOOKUP($D114,PlayerDB!$F$2:$I209,4,FALSE),"")</f>
        <v/>
      </c>
      <c r="H114" s="38"/>
      <c r="I114" s="39" t="str">
        <f>IFERROR(__xludf.DUMMYFUNCTION("JOIN("" | "",'Team Stats'!C$2:H$2)"),"1 | 0 | 0 | 0 | 0 | 0")</f>
        <v>1 | 0 | 0 | 0 | 0 | 0</v>
      </c>
      <c r="J114" s="40" t="str">
        <f>IFERROR(__xludf.DUMMYFUNCTION("JOIN("" | "",'Team Stats'!I$9:K$9)"),"0 | 0 | 0")</f>
        <v>0 | 0 | 0</v>
      </c>
      <c r="L114" s="42"/>
      <c r="M114" s="52"/>
      <c r="N114" s="42"/>
      <c r="O114" s="42"/>
      <c r="P114" s="42"/>
      <c r="Q114" s="52"/>
    </row>
    <row r="115">
      <c r="A115" s="45"/>
      <c r="B115" s="46">
        <v>114.0</v>
      </c>
      <c r="C115" s="46" t="str">
        <f>'Teams &amp; Draft Order'!$C$7</f>
        <v>Phantasm</v>
      </c>
      <c r="D115" s="47"/>
      <c r="E115" s="48" t="str">
        <f>IFERROR(VLOOKUP($D115,PlayerDB!$F$2:$G209,2,FALSE),"")</f>
        <v/>
      </c>
      <c r="F115" s="48" t="str">
        <f>IFERROR(VLOOKUP($D115,PlayerDB!$F$2:$H209,3,FALSE),"")</f>
        <v/>
      </c>
      <c r="G115" s="49" t="str">
        <f>IFERROR(VLOOKUP($D115,PlayerDB!$F$2:$I209,4,FALSE),"")</f>
        <v/>
      </c>
      <c r="H115" s="38"/>
      <c r="I115" s="50" t="str">
        <f>IFERROR(__xludf.DUMMYFUNCTION("JOIN("" | "",'Team Stats'!C$3:H$3)"),"0 | 0 | 0 | 0 | 0 | 0")</f>
        <v>0 | 0 | 0 | 0 | 0 | 0</v>
      </c>
      <c r="J115" s="51" t="str">
        <f>IFERROR(__xludf.DUMMYFUNCTION("JOIN("" | "",'Team Stats'!I$8:K$8)"),"0 | 0 | 0")</f>
        <v>0 | 0 | 0</v>
      </c>
      <c r="L115" s="42"/>
      <c r="M115" s="52"/>
      <c r="N115" s="42"/>
      <c r="O115" s="42"/>
      <c r="P115" s="42"/>
      <c r="Q115" s="52"/>
    </row>
    <row r="116">
      <c r="A116" s="33"/>
      <c r="B116" s="34">
        <v>115.0</v>
      </c>
      <c r="C116" s="34" t="str">
        <f>'Teams &amp; Draft Order'!$C$8</f>
        <v>Icelanders</v>
      </c>
      <c r="D116" s="35"/>
      <c r="E116" s="36" t="str">
        <f>IFERROR(VLOOKUP($D116,PlayerDB!$F$2:$G209,2,FALSE),"")</f>
        <v/>
      </c>
      <c r="F116" s="36" t="str">
        <f>IFERROR(VLOOKUP($D116,PlayerDB!$F$2:$H209,3,FALSE),"")</f>
        <v/>
      </c>
      <c r="G116" s="37" t="str">
        <f>IFERROR(VLOOKUP($D116,PlayerDB!$F$2:$I209,4,FALSE),"")</f>
        <v/>
      </c>
      <c r="H116" s="38"/>
      <c r="I116" s="39" t="str">
        <f>IFERROR(__xludf.DUMMYFUNCTION("JOIN("" | "",'Team Stats'!C$4:H$4)"),"0 | 0 | 0 | 0 | 0 | 0")</f>
        <v>0 | 0 | 0 | 0 | 0 | 0</v>
      </c>
      <c r="J116" s="40" t="str">
        <f>IFERROR(__xludf.DUMMYFUNCTION("JOIN("" | "",'Team Stats'!I$7:K$7)"),"0 | 0 | 0")</f>
        <v>0 | 0 | 0</v>
      </c>
      <c r="L116" s="42"/>
      <c r="M116" s="52"/>
      <c r="N116" s="42"/>
      <c r="O116" s="42"/>
      <c r="P116" s="42"/>
      <c r="Q116" s="52"/>
    </row>
    <row r="117">
      <c r="A117" s="45"/>
      <c r="B117" s="46">
        <v>116.0</v>
      </c>
      <c r="C117" s="46" t="str">
        <f>'Teams &amp; Draft Order'!$C$9</f>
        <v>El Nino</v>
      </c>
      <c r="D117" s="47"/>
      <c r="E117" s="48" t="str">
        <f>IFERROR(VLOOKUP($D117,PlayerDB!$F$2:$G209,2,FALSE),"")</f>
        <v/>
      </c>
      <c r="F117" s="48" t="str">
        <f>IFERROR(VLOOKUP($D117,PlayerDB!$F$2:$H209,3,FALSE),"")</f>
        <v/>
      </c>
      <c r="G117" s="49" t="str">
        <f>IFERROR(VLOOKUP($D117,PlayerDB!$F$2:$I209,4,FALSE),"")</f>
        <v/>
      </c>
      <c r="H117" s="38"/>
      <c r="I117" s="50" t="str">
        <f>IFERROR(__xludf.DUMMYFUNCTION("JOIN("" | "",'Team Stats'!C$5:H$5)"),"0 | 0 | 0 | 0 | 0 | 0")</f>
        <v>0 | 0 | 0 | 0 | 0 | 0</v>
      </c>
      <c r="J117" s="51" t="str">
        <f>IFERROR(__xludf.DUMMYFUNCTION("JOIN("" | "",'Team Stats'!I$6:K$6)"),"0 | 0 | 0")</f>
        <v>0 | 0 | 0</v>
      </c>
      <c r="L117" s="42"/>
      <c r="M117" s="52"/>
      <c r="N117" s="42"/>
      <c r="O117" s="42"/>
      <c r="P117" s="42"/>
      <c r="Q117" s="52"/>
    </row>
    <row r="118">
      <c r="A118" s="33"/>
      <c r="B118" s="34">
        <v>117.0</v>
      </c>
      <c r="C118" s="34" t="str">
        <f>'Teams &amp; Draft Order'!$C$10</f>
        <v>Buttheads</v>
      </c>
      <c r="D118" s="35"/>
      <c r="E118" s="36" t="str">
        <f>IFERROR(VLOOKUP($D118,PlayerDB!$F$2:$G209,2,FALSE),"")</f>
        <v/>
      </c>
      <c r="F118" s="36" t="str">
        <f>IFERROR(VLOOKUP($D118,PlayerDB!$F$2:$H209,3,FALSE),"")</f>
        <v/>
      </c>
      <c r="G118" s="37" t="str">
        <f>IFERROR(VLOOKUP($D118,PlayerDB!$F$2:$I209,4,FALSE),"")</f>
        <v/>
      </c>
      <c r="H118" s="38"/>
      <c r="I118" s="39" t="str">
        <f>IFERROR(__xludf.DUMMYFUNCTION("JOIN("" | "",'Team Stats'!C$6:H$6)"),"0 | 0 | 0 | 0 | 0 | 0")</f>
        <v>0 | 0 | 0 | 0 | 0 | 0</v>
      </c>
      <c r="J118" s="40" t="str">
        <f>IFERROR(__xludf.DUMMYFUNCTION("JOIN("" | "",'Team Stats'!I$5:K$5)"),"0 | 0 | 0")</f>
        <v>0 | 0 | 0</v>
      </c>
      <c r="L118" s="42"/>
      <c r="M118" s="52"/>
      <c r="N118" s="42"/>
      <c r="O118" s="42"/>
      <c r="P118" s="42"/>
      <c r="Q118" s="52"/>
    </row>
    <row r="119">
      <c r="A119" s="45"/>
      <c r="B119" s="46">
        <v>118.0</v>
      </c>
      <c r="C119" s="46" t="str">
        <f>'Teams &amp; Draft Order'!$C$11</f>
        <v>Big Boys Big Work</v>
      </c>
      <c r="D119" s="47"/>
      <c r="E119" s="48" t="str">
        <f>IFERROR(VLOOKUP($D119,PlayerDB!$F$2:$G209,2,FALSE),"")</f>
        <v/>
      </c>
      <c r="F119" s="48" t="str">
        <f>IFERROR(VLOOKUP($D119,PlayerDB!$F$2:$H209,3,FALSE),"")</f>
        <v/>
      </c>
      <c r="G119" s="49" t="str">
        <f>IFERROR(VLOOKUP($D119,PlayerDB!$F$2:$I209,4,FALSE),"")</f>
        <v/>
      </c>
      <c r="H119" s="38"/>
      <c r="I119" s="50" t="str">
        <f>IFERROR(__xludf.DUMMYFUNCTION("JOIN("" | "",'Team Stats'!C$7:H$7)"),"0 | 0 | 0 | 0 | 0 | 0")</f>
        <v>0 | 0 | 0 | 0 | 0 | 0</v>
      </c>
      <c r="J119" s="51" t="str">
        <f>IFERROR(__xludf.DUMMYFUNCTION("JOIN("" | "",'Team Stats'!I$4:K$4)"),"0 | 0 | 0")</f>
        <v>0 | 0 | 0</v>
      </c>
      <c r="L119" s="42"/>
      <c r="M119" s="42"/>
      <c r="N119" s="42"/>
      <c r="O119" s="42"/>
      <c r="P119" s="42"/>
      <c r="Q119" s="42"/>
    </row>
    <row r="120">
      <c r="A120" s="33"/>
      <c r="B120" s="34">
        <v>119.0</v>
      </c>
      <c r="C120" s="34" t="str">
        <f>'Teams &amp; Draft Order'!$C$12</f>
        <v>Turbo-Ginz</v>
      </c>
      <c r="D120" s="35"/>
      <c r="E120" s="36" t="str">
        <f>IFERROR(VLOOKUP($D120,PlayerDB!$F$2:$G209,2,FALSE),"")</f>
        <v/>
      </c>
      <c r="F120" s="36" t="str">
        <f>IFERROR(VLOOKUP($D120,PlayerDB!$F$2:$H209,3,FALSE),"")</f>
        <v/>
      </c>
      <c r="G120" s="37" t="str">
        <f>IFERROR(VLOOKUP($D120,PlayerDB!$F$2:$I209,4,FALSE),"")</f>
        <v/>
      </c>
      <c r="H120" s="38"/>
      <c r="I120" s="39" t="str">
        <f>IFERROR(__xludf.DUMMYFUNCTION("JOIN("" | "",'Team Stats'!C$8:H$8)"),"0 | 0 | 0 | 0 | 0 | 0")</f>
        <v>0 | 0 | 0 | 0 | 0 | 0</v>
      </c>
      <c r="J120" s="40" t="str">
        <f>IFERROR(__xludf.DUMMYFUNCTION("JOIN("" | "",'Team Stats'!I$3:K$3)"),"0 | 0 | 0")</f>
        <v>0 | 0 | 0</v>
      </c>
      <c r="L120" s="42"/>
      <c r="M120" s="42"/>
      <c r="N120" s="42"/>
      <c r="O120" s="42"/>
      <c r="P120" s="42"/>
      <c r="Q120" s="42"/>
    </row>
    <row r="121">
      <c r="A121" s="54"/>
      <c r="B121" s="55">
        <v>120.0</v>
      </c>
      <c r="C121" s="55" t="str">
        <f>'Teams &amp; Draft Order'!$C$13</f>
        <v>Luddite</v>
      </c>
      <c r="D121" s="56"/>
      <c r="E121" s="57" t="str">
        <f>IFERROR(VLOOKUP($D121,PlayerDB!$F$2:$G209,2,FALSE),"")</f>
        <v/>
      </c>
      <c r="F121" s="57" t="str">
        <f>IFERROR(VLOOKUP($D121,PlayerDB!$F$2:$H209,3,FALSE),"")</f>
        <v/>
      </c>
      <c r="G121" s="58" t="str">
        <f>IFERROR(VLOOKUP($D121,PlayerDB!$F$2:$I209,4,FALSE),"")</f>
        <v/>
      </c>
      <c r="H121" s="59"/>
      <c r="I121" s="60" t="str">
        <f>IFERROR(__xludf.DUMMYFUNCTION("JOIN("" | "",'Team Stats'!C$9:H$9)"),"0 | 0 | 0 | 0 | 0 | 0")</f>
        <v>0 | 0 | 0 | 0 | 0 | 0</v>
      </c>
      <c r="J121" s="64" t="str">
        <f>IFERROR(__xludf.DUMMYFUNCTION("JOIN("" | "",'Team Stats'!I$2:K$2)"),"0 | 0 | 0")</f>
        <v>0 | 0 | 0</v>
      </c>
      <c r="L121" s="42"/>
      <c r="M121" s="42"/>
      <c r="N121" s="42"/>
      <c r="O121" s="42"/>
      <c r="P121" s="42"/>
      <c r="Q121" s="42"/>
    </row>
    <row r="122">
      <c r="A122" s="33" t="s">
        <v>100</v>
      </c>
      <c r="B122" s="34">
        <v>121.0</v>
      </c>
      <c r="C122" s="34" t="str">
        <f>'Teams &amp; Draft Order'!$C$13</f>
        <v>Luddite</v>
      </c>
      <c r="D122" s="35"/>
      <c r="E122" s="36" t="str">
        <f>IFERROR(VLOOKUP($D122,PlayerDB!$F$2:$G209,2,FALSE),"")</f>
        <v/>
      </c>
      <c r="F122" s="36" t="str">
        <f>IFERROR(VLOOKUP($D122,PlayerDB!$F$2:$H209,3,FALSE),"")</f>
        <v/>
      </c>
      <c r="G122" s="37" t="str">
        <f>IFERROR(VLOOKUP($D122,PlayerDB!$F$2:$I209,4,FALSE),"")</f>
        <v/>
      </c>
      <c r="H122" s="38"/>
      <c r="I122" s="39" t="str">
        <f>IFERROR(__xludf.DUMMYFUNCTION("JOIN("" | "",'Team Stats'!C$9:H$9)"),"0 | 0 | 0 | 0 | 0 | 0")</f>
        <v>0 | 0 | 0 | 0 | 0 | 0</v>
      </c>
      <c r="J122" s="40" t="str">
        <f>IFERROR(__xludf.DUMMYFUNCTION("JOIN("" | "",'Team Stats'!I$2:K$2)"),"0 | 0 | 0")</f>
        <v>0 | 0 | 0</v>
      </c>
      <c r="L122" s="71"/>
      <c r="M122" s="44"/>
      <c r="N122" s="42"/>
      <c r="O122" s="42"/>
      <c r="P122" s="71"/>
      <c r="Q122" s="44"/>
    </row>
    <row r="123">
      <c r="A123" s="45"/>
      <c r="B123" s="46">
        <v>122.0</v>
      </c>
      <c r="C123" s="46" t="str">
        <f>'Teams &amp; Draft Order'!$C$12</f>
        <v>Turbo-Ginz</v>
      </c>
      <c r="D123" s="47"/>
      <c r="E123" s="48" t="str">
        <f>IFERROR(VLOOKUP($D123,PlayerDB!$F$2:$G209,2,FALSE),"")</f>
        <v/>
      </c>
      <c r="F123" s="48" t="str">
        <f>IFERROR(VLOOKUP($D123,PlayerDB!$F$2:$H209,3,FALSE),"")</f>
        <v/>
      </c>
      <c r="G123" s="49" t="str">
        <f>IFERROR(VLOOKUP($D123,PlayerDB!$F$2:$I209,4,FALSE),"")</f>
        <v/>
      </c>
      <c r="H123" s="38"/>
      <c r="I123" s="50" t="str">
        <f>IFERROR(__xludf.DUMMYFUNCTION("JOIN("" | "",'Team Stats'!C$8:H$8)"),"0 | 0 | 0 | 0 | 0 | 0")</f>
        <v>0 | 0 | 0 | 0 | 0 | 0</v>
      </c>
      <c r="J123" s="51" t="str">
        <f>IFERROR(__xludf.DUMMYFUNCTION("JOIN("" | "",'Team Stats'!I$3:K$3)"),"0 | 0 | 0")</f>
        <v>0 | 0 | 0</v>
      </c>
      <c r="L123" s="42"/>
      <c r="M123" s="52"/>
      <c r="N123" s="42"/>
      <c r="O123" s="42"/>
      <c r="P123" s="42"/>
      <c r="Q123" s="52"/>
    </row>
    <row r="124">
      <c r="A124" s="33"/>
      <c r="B124" s="34">
        <v>123.0</v>
      </c>
      <c r="C124" s="34" t="str">
        <f>'Teams &amp; Draft Order'!$C$11</f>
        <v>Big Boys Big Work</v>
      </c>
      <c r="D124" s="35"/>
      <c r="E124" s="36" t="str">
        <f>IFERROR(VLOOKUP($D124,PlayerDB!$F$2:$G209,2,FALSE),"")</f>
        <v/>
      </c>
      <c r="F124" s="36" t="str">
        <f>IFERROR(VLOOKUP($D124,PlayerDB!$F$2:$H209,3,FALSE),"")</f>
        <v/>
      </c>
      <c r="G124" s="37" t="str">
        <f>IFERROR(VLOOKUP($D124,PlayerDB!$F$2:$I209,4,FALSE),"")</f>
        <v/>
      </c>
      <c r="H124" s="38"/>
      <c r="I124" s="39" t="str">
        <f>IFERROR(__xludf.DUMMYFUNCTION("JOIN("" | "",'Team Stats'!C$7:H$7)"),"0 | 0 | 0 | 0 | 0 | 0")</f>
        <v>0 | 0 | 0 | 0 | 0 | 0</v>
      </c>
      <c r="J124" s="40" t="str">
        <f>IFERROR(__xludf.DUMMYFUNCTION("JOIN("" | "",'Team Stats'!I$4:K$4)"),"0 | 0 | 0")</f>
        <v>0 | 0 | 0</v>
      </c>
      <c r="L124" s="42"/>
      <c r="M124" s="52"/>
      <c r="N124" s="42"/>
      <c r="O124" s="42"/>
      <c r="P124" s="42"/>
      <c r="Q124" s="52"/>
    </row>
    <row r="125">
      <c r="A125" s="45"/>
      <c r="B125" s="46">
        <v>124.0</v>
      </c>
      <c r="C125" s="46" t="str">
        <f>'Teams &amp; Draft Order'!$C$10</f>
        <v>Buttheads</v>
      </c>
      <c r="D125" s="47"/>
      <c r="E125" s="48" t="str">
        <f>IFERROR(VLOOKUP($D125,PlayerDB!$F$2:$G209,2,FALSE),"")</f>
        <v/>
      </c>
      <c r="F125" s="48" t="str">
        <f>IFERROR(VLOOKUP($D125,PlayerDB!$F$2:$H209,3,FALSE),"")</f>
        <v/>
      </c>
      <c r="G125" s="49" t="str">
        <f>IFERROR(VLOOKUP($D125,PlayerDB!$F$2:$I209,4,FALSE),"")</f>
        <v/>
      </c>
      <c r="H125" s="38"/>
      <c r="I125" s="50" t="str">
        <f>IFERROR(__xludf.DUMMYFUNCTION("JOIN("" | "",'Team Stats'!C$6:H$6)"),"0 | 0 | 0 | 0 | 0 | 0")</f>
        <v>0 | 0 | 0 | 0 | 0 | 0</v>
      </c>
      <c r="J125" s="51" t="str">
        <f>IFERROR(__xludf.DUMMYFUNCTION("JOIN("" | "",'Team Stats'!I$5:K$5)"),"0 | 0 | 0")</f>
        <v>0 | 0 | 0</v>
      </c>
      <c r="L125" s="42"/>
      <c r="M125" s="52"/>
      <c r="N125" s="42"/>
      <c r="O125" s="42"/>
      <c r="P125" s="42"/>
      <c r="Q125" s="52"/>
    </row>
    <row r="126">
      <c r="A126" s="33"/>
      <c r="B126" s="34">
        <v>125.0</v>
      </c>
      <c r="C126" s="34" t="str">
        <f>'Teams &amp; Draft Order'!$C$9</f>
        <v>El Nino</v>
      </c>
      <c r="D126" s="35"/>
      <c r="E126" s="36" t="str">
        <f>IFERROR(VLOOKUP($D126,PlayerDB!$F$2:$G209,2,FALSE),"")</f>
        <v/>
      </c>
      <c r="F126" s="36" t="str">
        <f>IFERROR(VLOOKUP($D126,PlayerDB!$F$2:$H209,3,FALSE),"")</f>
        <v/>
      </c>
      <c r="G126" s="37" t="str">
        <f>IFERROR(VLOOKUP($D126,PlayerDB!$F$2:$I209,4,FALSE),"")</f>
        <v/>
      </c>
      <c r="H126" s="38"/>
      <c r="I126" s="39" t="str">
        <f>IFERROR(__xludf.DUMMYFUNCTION("JOIN("" | "",'Team Stats'!C$5:H$5)"),"0 | 0 | 0 | 0 | 0 | 0")</f>
        <v>0 | 0 | 0 | 0 | 0 | 0</v>
      </c>
      <c r="J126" s="40" t="str">
        <f>IFERROR(__xludf.DUMMYFUNCTION("JOIN("" | "",'Team Stats'!I$6:K$6)"),"0 | 0 | 0")</f>
        <v>0 | 0 | 0</v>
      </c>
      <c r="L126" s="42"/>
      <c r="M126" s="52"/>
      <c r="N126" s="42"/>
      <c r="O126" s="42"/>
      <c r="P126" s="42"/>
      <c r="Q126" s="52"/>
    </row>
    <row r="127">
      <c r="A127" s="45"/>
      <c r="B127" s="46">
        <v>126.0</v>
      </c>
      <c r="C127" s="46" t="str">
        <f>'Teams &amp; Draft Order'!$C$8</f>
        <v>Icelanders</v>
      </c>
      <c r="D127" s="47"/>
      <c r="E127" s="48" t="str">
        <f>IFERROR(VLOOKUP($D127,PlayerDB!$F$2:$G209,2,FALSE),"")</f>
        <v/>
      </c>
      <c r="F127" s="48" t="str">
        <f>IFERROR(VLOOKUP($D127,PlayerDB!$F$2:$H209,3,FALSE),"")</f>
        <v/>
      </c>
      <c r="G127" s="49" t="str">
        <f>IFERROR(VLOOKUP($D127,PlayerDB!$F$2:$I209,4,FALSE),"")</f>
        <v/>
      </c>
      <c r="H127" s="38"/>
      <c r="I127" s="50" t="str">
        <f>IFERROR(__xludf.DUMMYFUNCTION("JOIN("" | "",'Team Stats'!C$4:H$4)"),"0 | 0 | 0 | 0 | 0 | 0")</f>
        <v>0 | 0 | 0 | 0 | 0 | 0</v>
      </c>
      <c r="J127" s="51" t="str">
        <f>IFERROR(__xludf.DUMMYFUNCTION("JOIN("" | "",'Team Stats'!I$7:K$7)"),"0 | 0 | 0")</f>
        <v>0 | 0 | 0</v>
      </c>
      <c r="L127" s="42"/>
      <c r="M127" s="52"/>
      <c r="N127" s="42"/>
      <c r="O127" s="42"/>
      <c r="P127" s="42"/>
      <c r="Q127" s="52"/>
    </row>
    <row r="128">
      <c r="A128" s="33"/>
      <c r="B128" s="34">
        <v>127.0</v>
      </c>
      <c r="C128" s="34" t="str">
        <f>'Teams &amp; Draft Order'!$C$7</f>
        <v>Phantasm</v>
      </c>
      <c r="D128" s="35"/>
      <c r="E128" s="36" t="str">
        <f>IFERROR(VLOOKUP($D128,PlayerDB!$F$2:$G209,2,FALSE),"")</f>
        <v/>
      </c>
      <c r="F128" s="36" t="str">
        <f>IFERROR(VLOOKUP($D128,PlayerDB!$F$2:$H209,3,FALSE),"")</f>
        <v/>
      </c>
      <c r="G128" s="37" t="str">
        <f>IFERROR(VLOOKUP($D128,PlayerDB!$F$2:$I209,4,FALSE),"")</f>
        <v/>
      </c>
      <c r="H128" s="38"/>
      <c r="I128" s="39" t="str">
        <f>IFERROR(__xludf.DUMMYFUNCTION("JOIN("" | "",'Team Stats'!C$3:H$3)"),"0 | 0 | 0 | 0 | 0 | 0")</f>
        <v>0 | 0 | 0 | 0 | 0 | 0</v>
      </c>
      <c r="J128" s="40" t="str">
        <f>IFERROR(__xludf.DUMMYFUNCTION("JOIN("" | "",'Team Stats'!I$8:K$8)"),"0 | 0 | 0")</f>
        <v>0 | 0 | 0</v>
      </c>
      <c r="L128" s="42"/>
      <c r="M128" s="52"/>
      <c r="N128" s="42"/>
      <c r="O128" s="42"/>
      <c r="P128" s="42"/>
      <c r="Q128" s="52"/>
    </row>
    <row r="129">
      <c r="A129" s="54"/>
      <c r="B129" s="55">
        <v>128.0</v>
      </c>
      <c r="C129" s="55" t="str">
        <f>'Teams &amp; Draft Order'!$C$6</f>
        <v>Sleeper Cell </v>
      </c>
      <c r="D129" s="56"/>
      <c r="E129" s="57" t="str">
        <f>IFERROR(VLOOKUP($D129,PlayerDB!$F$2:$G209,2,FALSE),"")</f>
        <v/>
      </c>
      <c r="F129" s="57" t="str">
        <f>IFERROR(VLOOKUP($D129,PlayerDB!$F$2:$H209,3,FALSE),"")</f>
        <v/>
      </c>
      <c r="G129" s="58" t="str">
        <f>IFERROR(VLOOKUP($D129,PlayerDB!$F$2:$I209,4,FALSE),"")</f>
        <v/>
      </c>
      <c r="H129" s="59"/>
      <c r="I129" s="60" t="str">
        <f>IFERROR(__xludf.DUMMYFUNCTION("JOIN("" | "",'Team Stats'!C$2:H$2)"),"1 | 0 | 0 | 0 | 0 | 0")</f>
        <v>1 | 0 | 0 | 0 | 0 | 0</v>
      </c>
      <c r="J129" s="51" t="str">
        <f>IFERROR(__xludf.DUMMYFUNCTION("JOIN("" | "",'Team Stats'!I$9:K$9)"),"0 | 0 | 0")</f>
        <v>0 | 0 | 0</v>
      </c>
      <c r="L129" s="42"/>
      <c r="M129" s="52"/>
      <c r="N129" s="42"/>
      <c r="O129" s="42"/>
      <c r="P129" s="42"/>
      <c r="Q129" s="52"/>
    </row>
    <row r="130">
      <c r="A130" s="33" t="s">
        <v>101</v>
      </c>
      <c r="B130" s="34">
        <v>129.0</v>
      </c>
      <c r="C130" s="34" t="str">
        <f>'Teams &amp; Draft Order'!$C$6</f>
        <v>Sleeper Cell </v>
      </c>
      <c r="D130" s="35"/>
      <c r="E130" s="36" t="str">
        <f>IFERROR(VLOOKUP($D130,PlayerDB!$F$2:$G209,2,FALSE),"")</f>
        <v/>
      </c>
      <c r="F130" s="36" t="str">
        <f>IFERROR(VLOOKUP($D130,PlayerDB!$F$2:$H209,3,FALSE),"")</f>
        <v/>
      </c>
      <c r="G130" s="37" t="str">
        <f>IFERROR(VLOOKUP($D130,PlayerDB!$F$2:$I209,4,FALSE),"")</f>
        <v/>
      </c>
      <c r="H130" s="38"/>
      <c r="I130" s="39" t="str">
        <f>IFERROR(__xludf.DUMMYFUNCTION("JOIN("" | "",'Team Stats'!C$2:H$2)"),"1 | 0 | 0 | 0 | 0 | 0")</f>
        <v>1 | 0 | 0 | 0 | 0 | 0</v>
      </c>
      <c r="J130" s="40" t="str">
        <f>IFERROR(__xludf.DUMMYFUNCTION("JOIN("" | "",#REF!)"),"#REF!")</f>
        <v>#REF!</v>
      </c>
      <c r="L130" s="42"/>
      <c r="M130" s="52"/>
      <c r="N130" s="42"/>
      <c r="O130" s="42"/>
      <c r="P130" s="42"/>
      <c r="Q130" s="52"/>
    </row>
    <row r="131">
      <c r="A131" s="45"/>
      <c r="B131" s="46">
        <v>130.0</v>
      </c>
      <c r="C131" s="46" t="str">
        <f>'Teams &amp; Draft Order'!$C$7</f>
        <v>Phantasm</v>
      </c>
      <c r="D131" s="47"/>
      <c r="E131" s="48" t="str">
        <f>IFERROR(VLOOKUP($D131,PlayerDB!$F$2:$G209,2,FALSE),"")</f>
        <v/>
      </c>
      <c r="F131" s="48" t="str">
        <f>IFERROR(VLOOKUP($D131,PlayerDB!$F$2:$H209,3,FALSE),"")</f>
        <v/>
      </c>
      <c r="G131" s="49" t="str">
        <f>IFERROR(VLOOKUP($D131,PlayerDB!$F$2:$I209,4,FALSE),"")</f>
        <v/>
      </c>
      <c r="H131" s="38"/>
      <c r="I131" s="50" t="str">
        <f>IFERROR(__xludf.DUMMYFUNCTION("JOIN("" | "",'Team Stats'!C$3:H$3)"),"0 | 0 | 0 | 0 | 0 | 0")</f>
        <v>0 | 0 | 0 | 0 | 0 | 0</v>
      </c>
      <c r="J131" s="51" t="str">
        <f>IFERROR(__xludf.DUMMYFUNCTION("JOIN("" | "",#REF!)"),"#REF!")</f>
        <v>#REF!</v>
      </c>
      <c r="L131" s="42"/>
      <c r="M131" s="52"/>
      <c r="N131" s="42"/>
      <c r="O131" s="42"/>
      <c r="P131" s="42"/>
      <c r="Q131" s="52"/>
    </row>
    <row r="132">
      <c r="A132" s="33"/>
      <c r="B132" s="34">
        <v>131.0</v>
      </c>
      <c r="C132" s="34" t="str">
        <f>'Teams &amp; Draft Order'!$C$8</f>
        <v>Icelanders</v>
      </c>
      <c r="D132" s="35"/>
      <c r="E132" s="36" t="str">
        <f>IFERROR(VLOOKUP($D132,PlayerDB!$F$2:$G209,2,FALSE),"")</f>
        <v/>
      </c>
      <c r="F132" s="36" t="str">
        <f>IFERROR(VLOOKUP($D132,PlayerDB!$F$2:$H209,3,FALSE),"")</f>
        <v/>
      </c>
      <c r="G132" s="37" t="str">
        <f>IFERROR(VLOOKUP($D132,PlayerDB!$F$2:$I209,4,FALSE),"")</f>
        <v/>
      </c>
      <c r="H132" s="38"/>
      <c r="I132" s="39" t="str">
        <f>IFERROR(__xludf.DUMMYFUNCTION("JOIN("" | "",'Team Stats'!C$4:H$4)"),"0 | 0 | 0 | 0 | 0 | 0")</f>
        <v>0 | 0 | 0 | 0 | 0 | 0</v>
      </c>
      <c r="J132" s="40" t="str">
        <f>IFERROR(__xludf.DUMMYFUNCTION("JOIN("" | "",#REF!)"),"#REF!")</f>
        <v>#REF!</v>
      </c>
      <c r="L132" s="42"/>
      <c r="M132" s="52"/>
      <c r="N132" s="42"/>
      <c r="O132" s="42"/>
      <c r="P132" s="42"/>
      <c r="Q132" s="52"/>
    </row>
    <row r="133">
      <c r="A133" s="45"/>
      <c r="B133" s="46">
        <v>132.0</v>
      </c>
      <c r="C133" s="46" t="str">
        <f>'Teams &amp; Draft Order'!$C$9</f>
        <v>El Nino</v>
      </c>
      <c r="D133" s="47"/>
      <c r="E133" s="48" t="str">
        <f>IFERROR(VLOOKUP($D133,PlayerDB!$F$2:$G209,2,FALSE),"")</f>
        <v/>
      </c>
      <c r="F133" s="48" t="str">
        <f>IFERROR(VLOOKUP($D133,PlayerDB!$F$2:$H209,3,FALSE),"")</f>
        <v/>
      </c>
      <c r="G133" s="49" t="str">
        <f>IFERROR(VLOOKUP($D133,PlayerDB!$F$2:$I209,4,FALSE),"")</f>
        <v/>
      </c>
      <c r="H133" s="38"/>
      <c r="I133" s="50" t="str">
        <f>IFERROR(__xludf.DUMMYFUNCTION("JOIN("" | "",'Team Stats'!C$5:H$5)"),"0 | 0 | 0 | 0 | 0 | 0")</f>
        <v>0 | 0 | 0 | 0 | 0 | 0</v>
      </c>
      <c r="J133" s="51" t="str">
        <f>IFERROR(__xludf.DUMMYFUNCTION("JOIN("" | "",#REF!)"),"#REF!")</f>
        <v>#REF!</v>
      </c>
      <c r="L133" s="42"/>
      <c r="M133" s="52"/>
      <c r="N133" s="42"/>
      <c r="O133" s="42"/>
      <c r="P133" s="42"/>
      <c r="Q133" s="52"/>
    </row>
    <row r="134">
      <c r="A134" s="33"/>
      <c r="B134" s="34">
        <v>133.0</v>
      </c>
      <c r="C134" s="34" t="str">
        <f>'Teams &amp; Draft Order'!$C$10</f>
        <v>Buttheads</v>
      </c>
      <c r="D134" s="35"/>
      <c r="E134" s="36" t="str">
        <f>IFERROR(VLOOKUP($D134,PlayerDB!$F$2:$G209,2,FALSE),"")</f>
        <v/>
      </c>
      <c r="F134" s="36" t="str">
        <f>IFERROR(VLOOKUP($D134,PlayerDB!$F$2:$H209,3,FALSE),"")</f>
        <v/>
      </c>
      <c r="G134" s="37" t="str">
        <f>IFERROR(VLOOKUP($D134,PlayerDB!$F$2:$I209,4,FALSE),"")</f>
        <v/>
      </c>
      <c r="H134" s="38"/>
      <c r="I134" s="39" t="str">
        <f>IFERROR(__xludf.DUMMYFUNCTION("JOIN("" | "",'Team Stats'!C$6:H$6)"),"0 | 0 | 0 | 0 | 0 | 0")</f>
        <v>0 | 0 | 0 | 0 | 0 | 0</v>
      </c>
      <c r="J134" s="62" t="str">
        <f>IFERROR(__xludf.DUMMYFUNCTION("JOIN("" | "",#REF!)"),"#REF!")</f>
        <v>#REF!</v>
      </c>
      <c r="L134" s="42"/>
      <c r="M134" s="52"/>
      <c r="N134" s="42"/>
      <c r="O134" s="42"/>
      <c r="P134" s="42"/>
      <c r="Q134" s="52"/>
    </row>
    <row r="135">
      <c r="A135" s="45"/>
      <c r="B135" s="46">
        <v>134.0</v>
      </c>
      <c r="C135" s="46" t="str">
        <f>'Teams &amp; Draft Order'!$C$11</f>
        <v>Big Boys Big Work</v>
      </c>
      <c r="D135" s="47"/>
      <c r="E135" s="48" t="str">
        <f>IFERROR(VLOOKUP($D135,PlayerDB!$F$2:$G209,2,FALSE),"")</f>
        <v/>
      </c>
      <c r="F135" s="48" t="str">
        <f>IFERROR(VLOOKUP($D135,PlayerDB!$F$2:$H209,3,FALSE),"")</f>
        <v/>
      </c>
      <c r="G135" s="49" t="str">
        <f>IFERROR(VLOOKUP($D135,PlayerDB!$F$2:$I209,4,FALSE),"")</f>
        <v/>
      </c>
      <c r="H135" s="38"/>
      <c r="I135" s="50" t="str">
        <f>IFERROR(__xludf.DUMMYFUNCTION("JOIN("" | "",'Team Stats'!C$7:H$7)"),"0 | 0 | 0 | 0 | 0 | 0")</f>
        <v>0 | 0 | 0 | 0 | 0 | 0</v>
      </c>
      <c r="J135" s="51" t="str">
        <f>IFERROR(__xludf.DUMMYFUNCTION("JOIN("" | "",#REF!)"),"#REF!")</f>
        <v>#REF!</v>
      </c>
      <c r="L135" s="42"/>
      <c r="M135" s="52"/>
      <c r="N135" s="42"/>
      <c r="O135" s="42"/>
      <c r="P135" s="42"/>
      <c r="Q135" s="52"/>
    </row>
    <row r="136">
      <c r="A136" s="33"/>
      <c r="B136" s="34">
        <v>135.0</v>
      </c>
      <c r="C136" s="34" t="str">
        <f>'Teams &amp; Draft Order'!$C$12</f>
        <v>Turbo-Ginz</v>
      </c>
      <c r="D136" s="35"/>
      <c r="E136" s="36" t="str">
        <f>IFERROR(VLOOKUP($D136,PlayerDB!$F$2:$G209,2,FALSE),"")</f>
        <v/>
      </c>
      <c r="F136" s="36" t="str">
        <f>IFERROR(VLOOKUP($D136,PlayerDB!$F$2:$H209,3,FALSE),"")</f>
        <v/>
      </c>
      <c r="G136" s="37" t="str">
        <f>IFERROR(VLOOKUP($D136,PlayerDB!$F$2:$I209,4,FALSE),"")</f>
        <v/>
      </c>
      <c r="H136" s="38"/>
      <c r="I136" s="39" t="str">
        <f>IFERROR(__xludf.DUMMYFUNCTION("JOIN("" | "",'Team Stats'!C$8:H$8)"),"0 | 0 | 0 | 0 | 0 | 0")</f>
        <v>0 | 0 | 0 | 0 | 0 | 0</v>
      </c>
      <c r="J136" s="40" t="str">
        <f>IFERROR(__xludf.DUMMYFUNCTION("JOIN("" | "",#REF!)"),"#REF!")</f>
        <v>#REF!</v>
      </c>
      <c r="L136" s="42"/>
      <c r="M136" s="52"/>
      <c r="N136" s="42"/>
      <c r="O136" s="42"/>
      <c r="P136" s="42"/>
      <c r="Q136" s="52"/>
    </row>
    <row r="137">
      <c r="A137" s="54"/>
      <c r="B137" s="55">
        <v>136.0</v>
      </c>
      <c r="C137" s="55" t="str">
        <f>'Teams &amp; Draft Order'!$C$13</f>
        <v>Luddite</v>
      </c>
      <c r="D137" s="56"/>
      <c r="E137" s="57" t="str">
        <f>IFERROR(VLOOKUP($D137,PlayerDB!$F$2:$G209,2,FALSE),"")</f>
        <v/>
      </c>
      <c r="F137" s="57" t="str">
        <f>IFERROR(VLOOKUP($D137,PlayerDB!$F$2:$H209,3,FALSE),"")</f>
        <v/>
      </c>
      <c r="G137" s="58" t="str">
        <f>IFERROR(VLOOKUP($D137,PlayerDB!$F$2:$I209,4,FALSE),"")</f>
        <v/>
      </c>
      <c r="H137" s="59"/>
      <c r="I137" s="60" t="str">
        <f>IFERROR(__xludf.DUMMYFUNCTION("JOIN("" | "",'Team Stats'!C$9:H$9)"),"0 | 0 | 0 | 0 | 0 | 0")</f>
        <v>0 | 0 | 0 | 0 | 0 | 0</v>
      </c>
      <c r="J137" s="51" t="str">
        <f>IFERROR(__xludf.DUMMYFUNCTION("JOIN("" | "",#REF!)"),"#REF!")</f>
        <v>#REF!</v>
      </c>
      <c r="L137" s="42"/>
      <c r="M137" s="52"/>
      <c r="N137" s="42"/>
      <c r="O137" s="42"/>
      <c r="P137" s="42"/>
      <c r="Q137" s="52"/>
    </row>
    <row r="138">
      <c r="A138" s="33" t="s">
        <v>102</v>
      </c>
      <c r="B138" s="34">
        <v>137.0</v>
      </c>
      <c r="C138" s="34" t="str">
        <f>'Teams &amp; Draft Order'!$C$13</f>
        <v>Luddite</v>
      </c>
      <c r="D138" s="35"/>
      <c r="E138" s="36" t="str">
        <f>IFERROR(VLOOKUP($D138,PlayerDB!$F$2:$G209,2,FALSE),"")</f>
        <v/>
      </c>
      <c r="F138" s="36" t="str">
        <f>IFERROR(VLOOKUP($D138,PlayerDB!$F$2:$H209,3,FALSE),"")</f>
        <v/>
      </c>
      <c r="G138" s="37" t="str">
        <f>IFERROR(VLOOKUP($D138,PlayerDB!$F$2:$I209,4,FALSE),"")</f>
        <v/>
      </c>
      <c r="H138" s="38"/>
      <c r="I138" s="39" t="str">
        <f>IFERROR(__xludf.DUMMYFUNCTION("JOIN("" | "",'Team Stats'!C$9:H$9)"),"0 | 0 | 0 | 0 | 0 | 0")</f>
        <v>0 | 0 | 0 | 0 | 0 | 0</v>
      </c>
      <c r="J138" s="40" t="str">
        <f>IFERROR(__xludf.DUMMYFUNCTION("JOIN("" | "",'Team Stats'!I$9:K$9)"),"0 | 0 | 0")</f>
        <v>0 | 0 | 0</v>
      </c>
      <c r="L138" s="42"/>
      <c r="M138" s="52"/>
      <c r="N138" s="42"/>
      <c r="O138" s="42"/>
      <c r="P138" s="42"/>
      <c r="Q138" s="52"/>
    </row>
    <row r="139">
      <c r="A139" s="45"/>
      <c r="B139" s="46">
        <v>138.0</v>
      </c>
      <c r="C139" s="46" t="str">
        <f>'Teams &amp; Draft Order'!$C$12</f>
        <v>Turbo-Ginz</v>
      </c>
      <c r="D139" s="47"/>
      <c r="E139" s="48" t="str">
        <f>IFERROR(VLOOKUP($D139,PlayerDB!$F$2:$G209,2,FALSE),"")</f>
        <v/>
      </c>
      <c r="F139" s="48" t="str">
        <f>IFERROR(VLOOKUP($D139,PlayerDB!$F$2:$H209,3,FALSE),"")</f>
        <v/>
      </c>
      <c r="G139" s="49" t="str">
        <f>IFERROR(VLOOKUP($D139,PlayerDB!$F$2:$I209,4,FALSE),"")</f>
        <v/>
      </c>
      <c r="H139" s="38"/>
      <c r="I139" s="50" t="str">
        <f>IFERROR(__xludf.DUMMYFUNCTION("JOIN("" | "",'Team Stats'!C$8:H$8)"),"0 | 0 | 0 | 0 | 0 | 0")</f>
        <v>0 | 0 | 0 | 0 | 0 | 0</v>
      </c>
      <c r="J139" s="51" t="str">
        <f>IFERROR(__xludf.DUMMYFUNCTION("JOIN("" | "",'Team Stats'!I$8:K$8)"),"0 | 0 | 0")</f>
        <v>0 | 0 | 0</v>
      </c>
      <c r="L139" s="42"/>
      <c r="M139" s="52"/>
      <c r="N139" s="42"/>
      <c r="O139" s="42"/>
      <c r="P139" s="42"/>
      <c r="Q139" s="52"/>
    </row>
    <row r="140">
      <c r="A140" s="33"/>
      <c r="B140" s="34">
        <v>139.0</v>
      </c>
      <c r="C140" s="34" t="str">
        <f>'Teams &amp; Draft Order'!$C$11</f>
        <v>Big Boys Big Work</v>
      </c>
      <c r="D140" s="35"/>
      <c r="E140" s="36" t="str">
        <f>IFERROR(VLOOKUP($D140,PlayerDB!$F$2:$G209,2,FALSE),"")</f>
        <v/>
      </c>
      <c r="F140" s="36" t="str">
        <f>IFERROR(VLOOKUP($D140,PlayerDB!$F$2:$H209,3,FALSE),"")</f>
        <v/>
      </c>
      <c r="G140" s="37" t="str">
        <f>IFERROR(VLOOKUP($D140,PlayerDB!$F$2:$I209,4,FALSE),"")</f>
        <v/>
      </c>
      <c r="H140" s="38"/>
      <c r="I140" s="39" t="str">
        <f>IFERROR(__xludf.DUMMYFUNCTION("JOIN("" | "",'Team Stats'!C$7:H$7)"),"0 | 0 | 0 | 0 | 0 | 0")</f>
        <v>0 | 0 | 0 | 0 | 0 | 0</v>
      </c>
      <c r="J140" s="40" t="str">
        <f>IFERROR(__xludf.DUMMYFUNCTION("JOIN("" | "",'Team Stats'!I$7:K$7)"),"0 | 0 | 0")</f>
        <v>0 | 0 | 0</v>
      </c>
      <c r="L140" s="42"/>
      <c r="M140" s="52"/>
      <c r="N140" s="42"/>
      <c r="O140" s="42"/>
      <c r="P140" s="42"/>
      <c r="Q140" s="52"/>
    </row>
    <row r="141">
      <c r="A141" s="45"/>
      <c r="B141" s="46">
        <v>140.0</v>
      </c>
      <c r="C141" s="46" t="str">
        <f>'Teams &amp; Draft Order'!$C$10</f>
        <v>Buttheads</v>
      </c>
      <c r="D141" s="47"/>
      <c r="E141" s="48" t="str">
        <f>IFERROR(VLOOKUP($D141,PlayerDB!$F$2:$G209,2,FALSE),"")</f>
        <v/>
      </c>
      <c r="F141" s="48" t="str">
        <f>IFERROR(VLOOKUP($D141,PlayerDB!$F$2:$H209,3,FALSE),"")</f>
        <v/>
      </c>
      <c r="G141" s="49" t="str">
        <f>IFERROR(VLOOKUP($D141,PlayerDB!$F$2:$I209,4,FALSE),"")</f>
        <v/>
      </c>
      <c r="H141" s="38"/>
      <c r="I141" s="50" t="str">
        <f>IFERROR(__xludf.DUMMYFUNCTION("JOIN("" | "",'Team Stats'!C$6:H$6)"),"0 | 0 | 0 | 0 | 0 | 0")</f>
        <v>0 | 0 | 0 | 0 | 0 | 0</v>
      </c>
      <c r="J141" s="51" t="str">
        <f>IFERROR(__xludf.DUMMYFUNCTION("JOIN("" | "",'Team Stats'!I$6:K$6)"),"0 | 0 | 0")</f>
        <v>0 | 0 | 0</v>
      </c>
      <c r="L141" s="42"/>
      <c r="M141" s="52"/>
      <c r="N141" s="42"/>
      <c r="O141" s="42"/>
      <c r="P141" s="42"/>
      <c r="Q141" s="52"/>
    </row>
    <row r="142">
      <c r="A142" s="33"/>
      <c r="B142" s="34">
        <v>141.0</v>
      </c>
      <c r="C142" s="34" t="str">
        <f>'Teams &amp; Draft Order'!$C$9</f>
        <v>El Nino</v>
      </c>
      <c r="D142" s="35"/>
      <c r="E142" s="36" t="str">
        <f>IFERROR(VLOOKUP($D142,PlayerDB!$F$2:$G209,2,FALSE),"")</f>
        <v/>
      </c>
      <c r="F142" s="36" t="str">
        <f>IFERROR(VLOOKUP($D142,PlayerDB!$F$2:$H209,3,FALSE),"")</f>
        <v/>
      </c>
      <c r="G142" s="37" t="str">
        <f>IFERROR(VLOOKUP($D142,PlayerDB!$F$2:$I209,4,FALSE),"")</f>
        <v/>
      </c>
      <c r="H142" s="38"/>
      <c r="I142" s="39" t="str">
        <f>IFERROR(__xludf.DUMMYFUNCTION("JOIN("" | "",'Team Stats'!C$5:H$5)"),"0 | 0 | 0 | 0 | 0 | 0")</f>
        <v>0 | 0 | 0 | 0 | 0 | 0</v>
      </c>
      <c r="J142" s="40" t="str">
        <f>IFERROR(__xludf.DUMMYFUNCTION("JOIN("" | "",'Team Stats'!I$5:K$5)"),"0 | 0 | 0")</f>
        <v>0 | 0 | 0</v>
      </c>
      <c r="L142" s="42"/>
      <c r="M142" s="52"/>
      <c r="N142" s="42"/>
      <c r="O142" s="42"/>
      <c r="P142" s="42"/>
      <c r="Q142" s="52"/>
    </row>
    <row r="143">
      <c r="A143" s="45"/>
      <c r="B143" s="46">
        <v>142.0</v>
      </c>
      <c r="C143" s="46" t="str">
        <f>'Teams &amp; Draft Order'!$C$8</f>
        <v>Icelanders</v>
      </c>
      <c r="D143" s="47"/>
      <c r="E143" s="48" t="str">
        <f>IFERROR(VLOOKUP($D143,PlayerDB!$F$2:$G209,2,FALSE),"")</f>
        <v/>
      </c>
      <c r="F143" s="48" t="str">
        <f>IFERROR(VLOOKUP($D143,PlayerDB!$F$2:$H209,3,FALSE),"")</f>
        <v/>
      </c>
      <c r="G143" s="49" t="str">
        <f>IFERROR(VLOOKUP($D143,PlayerDB!$F$2:$I209,4,FALSE),"")</f>
        <v/>
      </c>
      <c r="H143" s="38"/>
      <c r="I143" s="50" t="str">
        <f>IFERROR(__xludf.DUMMYFUNCTION("JOIN("" | "",'Team Stats'!C$4:H$4)"),"0 | 0 | 0 | 0 | 0 | 0")</f>
        <v>0 | 0 | 0 | 0 | 0 | 0</v>
      </c>
      <c r="J143" s="51" t="str">
        <f>IFERROR(__xludf.DUMMYFUNCTION("JOIN("" | "",'Team Stats'!I$4:K$4)"),"0 | 0 | 0")</f>
        <v>0 | 0 | 0</v>
      </c>
      <c r="L143" s="42"/>
      <c r="M143" s="42"/>
      <c r="N143" s="42"/>
      <c r="O143" s="42"/>
      <c r="P143" s="42"/>
      <c r="Q143" s="42"/>
    </row>
    <row r="144">
      <c r="A144" s="33"/>
      <c r="B144" s="34">
        <v>143.0</v>
      </c>
      <c r="C144" s="34" t="str">
        <f>'Teams &amp; Draft Order'!$C$7</f>
        <v>Phantasm</v>
      </c>
      <c r="D144" s="35"/>
      <c r="E144" s="36" t="str">
        <f>IFERROR(VLOOKUP($D144,PlayerDB!$F$2:$G209,2,FALSE),"")</f>
        <v/>
      </c>
      <c r="F144" s="36" t="str">
        <f>IFERROR(VLOOKUP($D144,PlayerDB!$F$2:$H209,3,FALSE),"")</f>
        <v/>
      </c>
      <c r="G144" s="37" t="str">
        <f>IFERROR(VLOOKUP($D144,PlayerDB!$F$2:$I209,4,FALSE),"")</f>
        <v/>
      </c>
      <c r="H144" s="38"/>
      <c r="I144" s="39" t="str">
        <f>IFERROR(__xludf.DUMMYFUNCTION("JOIN("" | "",'Team Stats'!C$3:H$3)"),"0 | 0 | 0 | 0 | 0 | 0")</f>
        <v>0 | 0 | 0 | 0 | 0 | 0</v>
      </c>
      <c r="J144" s="40" t="str">
        <f>IFERROR(__xludf.DUMMYFUNCTION("JOIN("" | "",'Team Stats'!I$3:K$3)"),"0 | 0 | 0")</f>
        <v>0 | 0 | 0</v>
      </c>
      <c r="L144" s="42"/>
      <c r="M144" s="42"/>
      <c r="N144" s="42"/>
      <c r="O144" s="42"/>
      <c r="P144" s="42"/>
      <c r="Q144" s="42"/>
    </row>
    <row r="145">
      <c r="A145" s="54"/>
      <c r="B145" s="55">
        <v>144.0</v>
      </c>
      <c r="C145" s="55" t="str">
        <f>'Teams &amp; Draft Order'!$C$6</f>
        <v>Sleeper Cell </v>
      </c>
      <c r="D145" s="56"/>
      <c r="E145" s="57" t="str">
        <f>IFERROR(VLOOKUP($D145,PlayerDB!$F$2:$G209,2,FALSE),"")</f>
        <v/>
      </c>
      <c r="F145" s="57" t="str">
        <f>IFERROR(VLOOKUP($D145,PlayerDB!$F$2:$H209,3,FALSE),"")</f>
        <v/>
      </c>
      <c r="G145" s="58" t="str">
        <f>IFERROR(VLOOKUP($D145,PlayerDB!$F$2:$I209,4,FALSE),"")</f>
        <v/>
      </c>
      <c r="H145" s="59"/>
      <c r="I145" s="60" t="str">
        <f>IFERROR(__xludf.DUMMYFUNCTION("JOIN("" | "",'Team Stats'!C$2:H$2)"),"1 | 0 | 0 | 0 | 0 | 0")</f>
        <v>1 | 0 | 0 | 0 | 0 | 0</v>
      </c>
      <c r="J145" s="64" t="str">
        <f>IFERROR(__xludf.DUMMYFUNCTION("JOIN("" | "",'Team Stats'!I$2:K$2)"),"0 | 0 | 0")</f>
        <v>0 | 0 | 0</v>
      </c>
      <c r="L145" s="42"/>
      <c r="M145" s="42"/>
      <c r="N145" s="42"/>
      <c r="O145" s="42"/>
      <c r="P145" s="42"/>
      <c r="Q145" s="42"/>
    </row>
    <row r="146">
      <c r="A146" s="33" t="s">
        <v>103</v>
      </c>
      <c r="B146" s="34">
        <v>145.0</v>
      </c>
      <c r="C146" s="34" t="str">
        <f>'Teams &amp; Draft Order'!$C$6</f>
        <v>Sleeper Cell </v>
      </c>
      <c r="D146" s="35"/>
      <c r="E146" s="36" t="str">
        <f>IFERROR(VLOOKUP($D146,PlayerDB!$F$2:$G209,2,FALSE),"")</f>
        <v/>
      </c>
      <c r="F146" s="36" t="str">
        <f>IFERROR(VLOOKUP($D146,PlayerDB!$F$2:$H209,3,FALSE),"")</f>
        <v/>
      </c>
      <c r="G146" s="37" t="str">
        <f>IFERROR(VLOOKUP($D146,PlayerDB!$F$2:$I209,4,FALSE),"")</f>
        <v/>
      </c>
      <c r="H146" s="38"/>
      <c r="I146" s="39" t="str">
        <f>IFERROR(__xludf.DUMMYFUNCTION("JOIN("" | "",'Team Stats'!C$2:H$2)"),"1 | 0 | 0 | 0 | 0 | 0")</f>
        <v>1 | 0 | 0 | 0 | 0 | 0</v>
      </c>
      <c r="J146" s="40" t="str">
        <f>IFERROR(__xludf.DUMMYFUNCTION("JOIN("" | "",'Team Stats'!I$2:K$2)"),"0 | 0 | 0")</f>
        <v>0 | 0 | 0</v>
      </c>
      <c r="L146" s="71"/>
      <c r="M146" s="44"/>
      <c r="N146" s="42"/>
      <c r="O146" s="42"/>
      <c r="P146" s="71"/>
      <c r="Q146" s="44"/>
    </row>
    <row r="147">
      <c r="A147" s="45"/>
      <c r="B147" s="46">
        <v>146.0</v>
      </c>
      <c r="C147" s="46" t="str">
        <f>'Teams &amp; Draft Order'!$C$7</f>
        <v>Phantasm</v>
      </c>
      <c r="D147" s="47"/>
      <c r="E147" s="48" t="str">
        <f>IFERROR(VLOOKUP($D147,PlayerDB!$F$2:$G209,2,FALSE),"")</f>
        <v/>
      </c>
      <c r="F147" s="48" t="str">
        <f>IFERROR(VLOOKUP($D147,PlayerDB!$F$2:$H209,3,FALSE),"")</f>
        <v/>
      </c>
      <c r="G147" s="49" t="str">
        <f>IFERROR(VLOOKUP($D147,PlayerDB!$F$2:$I209,4,FALSE),"")</f>
        <v/>
      </c>
      <c r="H147" s="38"/>
      <c r="I147" s="50" t="str">
        <f>IFERROR(__xludf.DUMMYFUNCTION("JOIN("" | "",'Team Stats'!C$3:H$3)"),"0 | 0 | 0 | 0 | 0 | 0")</f>
        <v>0 | 0 | 0 | 0 | 0 | 0</v>
      </c>
      <c r="J147" s="51" t="str">
        <f>IFERROR(__xludf.DUMMYFUNCTION("JOIN("" | "",'Team Stats'!I$3:K$3)"),"0 | 0 | 0")</f>
        <v>0 | 0 | 0</v>
      </c>
      <c r="L147" s="42"/>
      <c r="M147" s="52"/>
      <c r="N147" s="42"/>
      <c r="O147" s="42"/>
      <c r="P147" s="42"/>
      <c r="Q147" s="52"/>
    </row>
    <row r="148">
      <c r="A148" s="33"/>
      <c r="B148" s="34">
        <v>147.0</v>
      </c>
      <c r="C148" s="34" t="str">
        <f>'Teams &amp; Draft Order'!$C$8</f>
        <v>Icelanders</v>
      </c>
      <c r="D148" s="35"/>
      <c r="E148" s="36" t="str">
        <f>IFERROR(VLOOKUP($D148,PlayerDB!$F$2:$G209,2,FALSE),"")</f>
        <v/>
      </c>
      <c r="F148" s="36" t="str">
        <f>IFERROR(VLOOKUP($D148,PlayerDB!$F$2:$H209,3,FALSE),"")</f>
        <v/>
      </c>
      <c r="G148" s="37" t="str">
        <f>IFERROR(VLOOKUP($D148,PlayerDB!$F$2:$I209,4,FALSE),"")</f>
        <v/>
      </c>
      <c r="H148" s="38"/>
      <c r="I148" s="39" t="str">
        <f>IFERROR(__xludf.DUMMYFUNCTION("JOIN("" | "",'Team Stats'!C$4:H$4)"),"0 | 0 | 0 | 0 | 0 | 0")</f>
        <v>0 | 0 | 0 | 0 | 0 | 0</v>
      </c>
      <c r="J148" s="40" t="str">
        <f>IFERROR(__xludf.DUMMYFUNCTION("JOIN("" | "",'Team Stats'!I$4:K$4)"),"0 | 0 | 0")</f>
        <v>0 | 0 | 0</v>
      </c>
      <c r="L148" s="42"/>
      <c r="M148" s="52"/>
      <c r="N148" s="42"/>
      <c r="O148" s="42"/>
      <c r="P148" s="42"/>
      <c r="Q148" s="52"/>
    </row>
    <row r="149">
      <c r="A149" s="45"/>
      <c r="B149" s="46">
        <v>148.0</v>
      </c>
      <c r="C149" s="46" t="str">
        <f>'Teams &amp; Draft Order'!$C$9</f>
        <v>El Nino</v>
      </c>
      <c r="D149" s="47"/>
      <c r="E149" s="48" t="str">
        <f>IFERROR(VLOOKUP($D149,PlayerDB!$F$2:$G209,2,FALSE),"")</f>
        <v/>
      </c>
      <c r="F149" s="48" t="str">
        <f>IFERROR(VLOOKUP($D149,PlayerDB!$F$2:$H209,3,FALSE),"")</f>
        <v/>
      </c>
      <c r="G149" s="49" t="str">
        <f>IFERROR(VLOOKUP($D149,PlayerDB!$F$2:$I209,4,FALSE),"")</f>
        <v/>
      </c>
      <c r="H149" s="38"/>
      <c r="I149" s="50" t="str">
        <f>IFERROR(__xludf.DUMMYFUNCTION("JOIN("" | "",'Team Stats'!C$5:H$5)"),"0 | 0 | 0 | 0 | 0 | 0")</f>
        <v>0 | 0 | 0 | 0 | 0 | 0</v>
      </c>
      <c r="J149" s="51" t="str">
        <f>IFERROR(__xludf.DUMMYFUNCTION("JOIN("" | "",'Team Stats'!I$5:K$5)"),"0 | 0 | 0")</f>
        <v>0 | 0 | 0</v>
      </c>
      <c r="L149" s="42"/>
      <c r="M149" s="52"/>
      <c r="N149" s="42"/>
      <c r="O149" s="42"/>
      <c r="P149" s="42"/>
      <c r="Q149" s="52"/>
    </row>
    <row r="150">
      <c r="A150" s="33"/>
      <c r="B150" s="34">
        <v>149.0</v>
      </c>
      <c r="C150" s="34" t="str">
        <f>'Teams &amp; Draft Order'!$C$10</f>
        <v>Buttheads</v>
      </c>
      <c r="D150" s="35"/>
      <c r="E150" s="36" t="str">
        <f>IFERROR(VLOOKUP($D150,PlayerDB!$F$2:$G209,2,FALSE),"")</f>
        <v/>
      </c>
      <c r="F150" s="36" t="str">
        <f>IFERROR(VLOOKUP($D150,PlayerDB!$F$2:$H209,3,FALSE),"")</f>
        <v/>
      </c>
      <c r="G150" s="37" t="str">
        <f>IFERROR(VLOOKUP($D150,PlayerDB!$F$2:$I209,4,FALSE),"")</f>
        <v/>
      </c>
      <c r="H150" s="38"/>
      <c r="I150" s="39" t="str">
        <f>IFERROR(__xludf.DUMMYFUNCTION("JOIN("" | "",'Team Stats'!C$6:H$6)"),"0 | 0 | 0 | 0 | 0 | 0")</f>
        <v>0 | 0 | 0 | 0 | 0 | 0</v>
      </c>
      <c r="J150" s="40" t="str">
        <f>IFERROR(__xludf.DUMMYFUNCTION("JOIN("" | "",'Team Stats'!I$6:K$6)"),"0 | 0 | 0")</f>
        <v>0 | 0 | 0</v>
      </c>
      <c r="L150" s="42"/>
      <c r="M150" s="52"/>
      <c r="N150" s="42"/>
      <c r="O150" s="42"/>
      <c r="P150" s="42"/>
      <c r="Q150" s="52"/>
    </row>
    <row r="151">
      <c r="A151" s="45"/>
      <c r="B151" s="46">
        <v>150.0</v>
      </c>
      <c r="C151" s="46" t="str">
        <f>'Teams &amp; Draft Order'!$C$11</f>
        <v>Big Boys Big Work</v>
      </c>
      <c r="D151" s="47"/>
      <c r="E151" s="48" t="str">
        <f>IFERROR(VLOOKUP($D151,PlayerDB!$F$2:$G209,2,FALSE),"")</f>
        <v/>
      </c>
      <c r="F151" s="48" t="str">
        <f>IFERROR(VLOOKUP($D151,PlayerDB!$F$2:$H209,3,FALSE),"")</f>
        <v/>
      </c>
      <c r="G151" s="49" t="str">
        <f>IFERROR(VLOOKUP($D151,PlayerDB!$F$2:$I209,4,FALSE),"")</f>
        <v/>
      </c>
      <c r="H151" s="38"/>
      <c r="I151" s="50" t="str">
        <f>IFERROR(__xludf.DUMMYFUNCTION("JOIN("" | "",'Team Stats'!C$7:H$7)"),"0 | 0 | 0 | 0 | 0 | 0")</f>
        <v>0 | 0 | 0 | 0 | 0 | 0</v>
      </c>
      <c r="J151" s="51" t="str">
        <f>IFERROR(__xludf.DUMMYFUNCTION("JOIN("" | "",'Team Stats'!I$7:K$7)"),"0 | 0 | 0")</f>
        <v>0 | 0 | 0</v>
      </c>
      <c r="L151" s="42"/>
      <c r="M151" s="52"/>
      <c r="N151" s="42"/>
      <c r="O151" s="42"/>
      <c r="P151" s="42"/>
      <c r="Q151" s="52"/>
    </row>
    <row r="152">
      <c r="A152" s="33"/>
      <c r="B152" s="34">
        <v>151.0</v>
      </c>
      <c r="C152" s="34" t="str">
        <f>'Teams &amp; Draft Order'!$C$12</f>
        <v>Turbo-Ginz</v>
      </c>
      <c r="D152" s="35"/>
      <c r="E152" s="36" t="str">
        <f>IFERROR(VLOOKUP($D152,PlayerDB!$F$2:$G209,2,FALSE),"")</f>
        <v/>
      </c>
      <c r="F152" s="36" t="str">
        <f>IFERROR(VLOOKUP($D152,PlayerDB!$F$2:$H209,3,FALSE),"")</f>
        <v/>
      </c>
      <c r="G152" s="37" t="str">
        <f>IFERROR(VLOOKUP($D152,PlayerDB!$F$2:$I209,4,FALSE),"")</f>
        <v/>
      </c>
      <c r="H152" s="38"/>
      <c r="I152" s="39" t="str">
        <f>IFERROR(__xludf.DUMMYFUNCTION("JOIN("" | "",'Team Stats'!C$8:H$8)"),"0 | 0 | 0 | 0 | 0 | 0")</f>
        <v>0 | 0 | 0 | 0 | 0 | 0</v>
      </c>
      <c r="J152" s="40" t="str">
        <f>IFERROR(__xludf.DUMMYFUNCTION("JOIN("" | "",'Team Stats'!I$8:K$8)"),"0 | 0 | 0")</f>
        <v>0 | 0 | 0</v>
      </c>
      <c r="L152" s="42"/>
      <c r="M152" s="52"/>
      <c r="N152" s="42"/>
      <c r="O152" s="42"/>
      <c r="P152" s="42"/>
      <c r="Q152" s="52"/>
    </row>
    <row r="153">
      <c r="A153" s="54"/>
      <c r="B153" s="55">
        <v>152.0</v>
      </c>
      <c r="C153" s="55" t="str">
        <f>'Teams &amp; Draft Order'!$C$13</f>
        <v>Luddite</v>
      </c>
      <c r="D153" s="56"/>
      <c r="E153" s="57" t="str">
        <f>IFERROR(VLOOKUP($D153,PlayerDB!$F$2:$G209,2,FALSE),"")</f>
        <v/>
      </c>
      <c r="F153" s="57" t="str">
        <f>IFERROR(VLOOKUP($D153,PlayerDB!$F$2:$H209,3,FALSE),"")</f>
        <v/>
      </c>
      <c r="G153" s="58" t="str">
        <f>IFERROR(VLOOKUP($D153,PlayerDB!$F$2:$I209,4,FALSE),"")</f>
        <v/>
      </c>
      <c r="H153" s="59"/>
      <c r="I153" s="60" t="str">
        <f>IFERROR(__xludf.DUMMYFUNCTION("JOIN("" | "",'Team Stats'!C$9:H$9)"),"0 | 0 | 0 | 0 | 0 | 0")</f>
        <v>0 | 0 | 0 | 0 | 0 | 0</v>
      </c>
      <c r="J153" s="51" t="str">
        <f>IFERROR(__xludf.DUMMYFUNCTION("JOIN("" | "",'Team Stats'!I$9:K$9)"),"0 | 0 | 0")</f>
        <v>0 | 0 | 0</v>
      </c>
      <c r="L153" s="42"/>
      <c r="M153" s="52"/>
      <c r="N153" s="42"/>
      <c r="O153" s="42"/>
      <c r="P153" s="42"/>
      <c r="Q153" s="52"/>
    </row>
    <row r="154">
      <c r="A154" s="33" t="s">
        <v>104</v>
      </c>
      <c r="B154" s="34">
        <v>153.0</v>
      </c>
      <c r="C154" s="34" t="str">
        <f>'Teams &amp; Draft Order'!$C$13</f>
        <v>Luddite</v>
      </c>
      <c r="D154" s="35"/>
      <c r="E154" s="36" t="str">
        <f>IFERROR(VLOOKUP($D154,PlayerDB!$F$2:$G209,2,FALSE),"")</f>
        <v/>
      </c>
      <c r="F154" s="36" t="str">
        <f>IFERROR(VLOOKUP($D154,PlayerDB!$F$2:$H209,3,FALSE),"")</f>
        <v/>
      </c>
      <c r="G154" s="37" t="str">
        <f>IFERROR(VLOOKUP($D154,PlayerDB!$F$2:$I209,4,FALSE),"")</f>
        <v/>
      </c>
      <c r="H154" s="38"/>
      <c r="I154" s="39" t="str">
        <f>IFERROR(__xludf.DUMMYFUNCTION("JOIN("" | "",'Team Stats'!C$9:H$9)"),"0 | 0 | 0 | 0 | 0 | 0")</f>
        <v>0 | 0 | 0 | 0 | 0 | 0</v>
      </c>
      <c r="J154" s="40" t="str">
        <f>IFERROR(__xludf.DUMMYFUNCTION("JOIN("" | "",#REF!)"),"#REF!")</f>
        <v>#REF!</v>
      </c>
      <c r="L154" s="42"/>
      <c r="M154" s="52"/>
      <c r="N154" s="42"/>
      <c r="O154" s="42"/>
      <c r="P154" s="42"/>
      <c r="Q154" s="52"/>
    </row>
    <row r="155">
      <c r="A155" s="45"/>
      <c r="B155" s="46">
        <v>154.0</v>
      </c>
      <c r="C155" s="46" t="str">
        <f>'Teams &amp; Draft Order'!$C$12</f>
        <v>Turbo-Ginz</v>
      </c>
      <c r="D155" s="47"/>
      <c r="E155" s="48" t="str">
        <f>IFERROR(VLOOKUP($D155,PlayerDB!$F$2:$G209,2,FALSE),"")</f>
        <v/>
      </c>
      <c r="F155" s="48" t="str">
        <f>IFERROR(VLOOKUP($D155,PlayerDB!$F$2:$H209,3,FALSE),"")</f>
        <v/>
      </c>
      <c r="G155" s="49" t="str">
        <f>IFERROR(VLOOKUP($D155,PlayerDB!$F$2:$I209,4,FALSE),"")</f>
        <v/>
      </c>
      <c r="H155" s="38"/>
      <c r="I155" s="50" t="str">
        <f>IFERROR(__xludf.DUMMYFUNCTION("JOIN("" | "",'Team Stats'!C$8:H$8)"),"0 | 0 | 0 | 0 | 0 | 0")</f>
        <v>0 | 0 | 0 | 0 | 0 | 0</v>
      </c>
      <c r="J155" s="51" t="str">
        <f>IFERROR(__xludf.DUMMYFUNCTION("JOIN("" | "",#REF!)"),"#REF!")</f>
        <v>#REF!</v>
      </c>
      <c r="L155" s="42"/>
      <c r="M155" s="52"/>
      <c r="N155" s="42"/>
      <c r="O155" s="42"/>
      <c r="P155" s="42"/>
      <c r="Q155" s="52"/>
    </row>
    <row r="156">
      <c r="A156" s="33"/>
      <c r="B156" s="34">
        <v>155.0</v>
      </c>
      <c r="C156" s="34" t="str">
        <f>'Teams &amp; Draft Order'!$C$11</f>
        <v>Big Boys Big Work</v>
      </c>
      <c r="D156" s="35"/>
      <c r="E156" s="36" t="str">
        <f>IFERROR(VLOOKUP($D156,PlayerDB!$F$2:$G209,2,FALSE),"")</f>
        <v/>
      </c>
      <c r="F156" s="36" t="str">
        <f>IFERROR(VLOOKUP($D156,PlayerDB!$F$2:$H209,3,FALSE),"")</f>
        <v/>
      </c>
      <c r="G156" s="37" t="str">
        <f>IFERROR(VLOOKUP($D156,PlayerDB!$F$2:$I209,4,FALSE),"")</f>
        <v/>
      </c>
      <c r="H156" s="38"/>
      <c r="I156" s="39" t="str">
        <f>IFERROR(__xludf.DUMMYFUNCTION("JOIN("" | "",'Team Stats'!C$7:H$7)"),"0 | 0 | 0 | 0 | 0 | 0")</f>
        <v>0 | 0 | 0 | 0 | 0 | 0</v>
      </c>
      <c r="J156" s="40" t="str">
        <f>IFERROR(__xludf.DUMMYFUNCTION("JOIN("" | "",#REF!)"),"#REF!")</f>
        <v>#REF!</v>
      </c>
      <c r="L156" s="42"/>
      <c r="M156" s="52"/>
      <c r="N156" s="42"/>
      <c r="O156" s="42"/>
      <c r="P156" s="42"/>
      <c r="Q156" s="52"/>
    </row>
    <row r="157">
      <c r="A157" s="45"/>
      <c r="B157" s="46">
        <v>156.0</v>
      </c>
      <c r="C157" s="46" t="str">
        <f>'Teams &amp; Draft Order'!$C$10</f>
        <v>Buttheads</v>
      </c>
      <c r="D157" s="47"/>
      <c r="E157" s="48" t="str">
        <f>IFERROR(VLOOKUP($D157,PlayerDB!$F$2:$G209,2,FALSE),"")</f>
        <v/>
      </c>
      <c r="F157" s="48" t="str">
        <f>IFERROR(VLOOKUP($D157,PlayerDB!$F$2:$H209,3,FALSE),"")</f>
        <v/>
      </c>
      <c r="G157" s="49" t="str">
        <f>IFERROR(VLOOKUP($D157,PlayerDB!$F$2:$I209,4,FALSE),"")</f>
        <v/>
      </c>
      <c r="H157" s="38"/>
      <c r="I157" s="50" t="str">
        <f>IFERROR(__xludf.DUMMYFUNCTION("JOIN("" | "",'Team Stats'!C$6:H$6)"),"0 | 0 | 0 | 0 | 0 | 0")</f>
        <v>0 | 0 | 0 | 0 | 0 | 0</v>
      </c>
      <c r="J157" s="51" t="str">
        <f>IFERROR(__xludf.DUMMYFUNCTION("JOIN("" | "",#REF!)"),"#REF!")</f>
        <v>#REF!</v>
      </c>
      <c r="L157" s="42"/>
      <c r="M157" s="52"/>
      <c r="N157" s="42"/>
      <c r="O157" s="42"/>
      <c r="P157" s="42"/>
      <c r="Q157" s="52"/>
    </row>
    <row r="158">
      <c r="A158" s="33"/>
      <c r="B158" s="34">
        <v>157.0</v>
      </c>
      <c r="C158" s="34" t="str">
        <f>'Teams &amp; Draft Order'!$C$9</f>
        <v>El Nino</v>
      </c>
      <c r="D158" s="35"/>
      <c r="E158" s="36" t="str">
        <f>IFERROR(VLOOKUP($D158,PlayerDB!$F$2:$G209,2,FALSE),"")</f>
        <v/>
      </c>
      <c r="F158" s="36" t="str">
        <f>IFERROR(VLOOKUP($D158,PlayerDB!$F$2:$H209,3,FALSE),"")</f>
        <v/>
      </c>
      <c r="G158" s="37" t="str">
        <f>IFERROR(VLOOKUP($D158,PlayerDB!$F$2:$I209,4,FALSE),"")</f>
        <v/>
      </c>
      <c r="H158" s="38"/>
      <c r="I158" s="39" t="str">
        <f>IFERROR(__xludf.DUMMYFUNCTION("JOIN("" | "",'Team Stats'!C$5:H$5)"),"0 | 0 | 0 | 0 | 0 | 0")</f>
        <v>0 | 0 | 0 | 0 | 0 | 0</v>
      </c>
      <c r="J158" s="62" t="str">
        <f>IFERROR(__xludf.DUMMYFUNCTION("JOIN("" | "",#REF!)"),"#REF!")</f>
        <v>#REF!</v>
      </c>
      <c r="L158" s="42"/>
      <c r="M158" s="52"/>
      <c r="N158" s="42"/>
      <c r="O158" s="42"/>
      <c r="P158" s="42"/>
      <c r="Q158" s="52"/>
    </row>
    <row r="159">
      <c r="A159" s="45"/>
      <c r="B159" s="46">
        <v>158.0</v>
      </c>
      <c r="C159" s="46" t="str">
        <f>'Teams &amp; Draft Order'!$C$8</f>
        <v>Icelanders</v>
      </c>
      <c r="D159" s="47"/>
      <c r="E159" s="48" t="str">
        <f>IFERROR(VLOOKUP($D159,PlayerDB!$F$2:$G209,2,FALSE),"")</f>
        <v/>
      </c>
      <c r="F159" s="48" t="str">
        <f>IFERROR(VLOOKUP($D159,PlayerDB!$F$2:$H209,3,FALSE),"")</f>
        <v/>
      </c>
      <c r="G159" s="49" t="str">
        <f>IFERROR(VLOOKUP($D159,PlayerDB!$F$2:$I209,4,FALSE),"")</f>
        <v/>
      </c>
      <c r="H159" s="38"/>
      <c r="I159" s="50" t="str">
        <f>IFERROR(__xludf.DUMMYFUNCTION("JOIN("" | "",'Team Stats'!C$4:H$4)"),"0 | 0 | 0 | 0 | 0 | 0")</f>
        <v>0 | 0 | 0 | 0 | 0 | 0</v>
      </c>
      <c r="J159" s="51" t="str">
        <f>IFERROR(__xludf.DUMMYFUNCTION("JOIN("" | "",#REF!)"),"#REF!")</f>
        <v>#REF!</v>
      </c>
      <c r="L159" s="42"/>
      <c r="M159" s="52"/>
      <c r="N159" s="42"/>
      <c r="O159" s="42"/>
      <c r="P159" s="42"/>
      <c r="Q159" s="52"/>
    </row>
    <row r="160">
      <c r="A160" s="33"/>
      <c r="B160" s="34">
        <v>159.0</v>
      </c>
      <c r="C160" s="34" t="str">
        <f>'Teams &amp; Draft Order'!$C$7</f>
        <v>Phantasm</v>
      </c>
      <c r="D160" s="35"/>
      <c r="E160" s="36" t="str">
        <f>IFERROR(VLOOKUP($D160,PlayerDB!$F$2:$G209,2,FALSE),"")</f>
        <v/>
      </c>
      <c r="F160" s="36" t="str">
        <f>IFERROR(VLOOKUP($D160,PlayerDB!$F$2:$H209,3,FALSE),"")</f>
        <v/>
      </c>
      <c r="G160" s="37" t="str">
        <f>IFERROR(VLOOKUP($D160,PlayerDB!$F$2:$I209,4,FALSE),"")</f>
        <v/>
      </c>
      <c r="H160" s="38"/>
      <c r="I160" s="39" t="str">
        <f>IFERROR(__xludf.DUMMYFUNCTION("JOIN("" | "",'Team Stats'!C$3:H$3)"),"0 | 0 | 0 | 0 | 0 | 0")</f>
        <v>0 | 0 | 0 | 0 | 0 | 0</v>
      </c>
      <c r="J160" s="40" t="str">
        <f>IFERROR(__xludf.DUMMYFUNCTION("JOIN("" | "",#REF!)"),"#REF!")</f>
        <v>#REF!</v>
      </c>
      <c r="L160" s="42"/>
      <c r="M160" s="52"/>
      <c r="N160" s="42"/>
      <c r="O160" s="42"/>
      <c r="P160" s="42"/>
      <c r="Q160" s="52"/>
    </row>
    <row r="161">
      <c r="A161" s="54"/>
      <c r="B161" s="55">
        <v>160.0</v>
      </c>
      <c r="C161" s="55" t="str">
        <f>'Teams &amp; Draft Order'!$C$6</f>
        <v>Sleeper Cell </v>
      </c>
      <c r="D161" s="56"/>
      <c r="E161" s="57" t="str">
        <f>IFERROR(VLOOKUP($D161,PlayerDB!$F$2:$G209,2,FALSE),"")</f>
        <v/>
      </c>
      <c r="F161" s="57" t="str">
        <f>IFERROR(VLOOKUP($D161,PlayerDB!$F$2:$H209,3,FALSE),"")</f>
        <v/>
      </c>
      <c r="G161" s="58" t="str">
        <f>IFERROR(VLOOKUP($D161,PlayerDB!$F$2:$I209,4,FALSE),"")</f>
        <v/>
      </c>
      <c r="H161" s="59"/>
      <c r="I161" s="60" t="str">
        <f>IFERROR(__xludf.DUMMYFUNCTION("JOIN("" | "",'Team Stats'!C$2:H$2)"),"1 | 0 | 0 | 0 | 0 | 0")</f>
        <v>1 | 0 | 0 | 0 | 0 | 0</v>
      </c>
      <c r="J161" s="51" t="str">
        <f>IFERROR(__xludf.DUMMYFUNCTION("JOIN("" | "",#REF!)"),"#REF!")</f>
        <v>#REF!</v>
      </c>
      <c r="L161" s="42"/>
      <c r="M161" s="52"/>
      <c r="N161" s="42"/>
      <c r="O161" s="42"/>
      <c r="P161" s="42"/>
      <c r="Q161" s="52"/>
    </row>
    <row r="162">
      <c r="A162" s="33" t="s">
        <v>105</v>
      </c>
      <c r="B162" s="34">
        <v>161.0</v>
      </c>
      <c r="C162" s="34" t="str">
        <f>'Teams &amp; Draft Order'!$C$6</f>
        <v>Sleeper Cell </v>
      </c>
      <c r="D162" s="35"/>
      <c r="E162" s="36" t="str">
        <f>IFERROR(VLOOKUP($D162,PlayerDB!$F$2:$G209,2,FALSE),"")</f>
        <v/>
      </c>
      <c r="F162" s="36" t="str">
        <f>IFERROR(VLOOKUP($D162,PlayerDB!$F$2:$H209,3,FALSE),"")</f>
        <v/>
      </c>
      <c r="G162" s="37" t="str">
        <f>IFERROR(VLOOKUP($D162,PlayerDB!$F$2:$I209,4,FALSE),"")</f>
        <v/>
      </c>
      <c r="H162" s="38"/>
      <c r="I162" s="39" t="str">
        <f>IFERROR(__xludf.DUMMYFUNCTION("JOIN("" | "",'Team Stats'!C$2:H$2)"),"1 | 0 | 0 | 0 | 0 | 0")</f>
        <v>1 | 0 | 0 | 0 | 0 | 0</v>
      </c>
      <c r="J162" s="40" t="str">
        <f>IFERROR(__xludf.DUMMYFUNCTION("JOIN("" | "",'Team Stats'!I$9:K$9)"),"0 | 0 | 0")</f>
        <v>0 | 0 | 0</v>
      </c>
      <c r="L162" s="42"/>
      <c r="M162" s="52"/>
      <c r="N162" s="42"/>
      <c r="O162" s="42"/>
      <c r="P162" s="42"/>
      <c r="Q162" s="52"/>
    </row>
    <row r="163">
      <c r="A163" s="45"/>
      <c r="B163" s="46">
        <v>162.0</v>
      </c>
      <c r="C163" s="46" t="str">
        <f>'Teams &amp; Draft Order'!$C$7</f>
        <v>Phantasm</v>
      </c>
      <c r="D163" s="47"/>
      <c r="E163" s="48" t="str">
        <f>IFERROR(VLOOKUP($D163,PlayerDB!$F$2:$G209,2,FALSE),"")</f>
        <v/>
      </c>
      <c r="F163" s="48" t="str">
        <f>IFERROR(VLOOKUP($D163,PlayerDB!$F$2:$H209,3,FALSE),"")</f>
        <v/>
      </c>
      <c r="G163" s="49" t="str">
        <f>IFERROR(VLOOKUP($D163,PlayerDB!$F$2:$I209,4,FALSE),"")</f>
        <v/>
      </c>
      <c r="H163" s="38"/>
      <c r="I163" s="50" t="str">
        <f>IFERROR(__xludf.DUMMYFUNCTION("JOIN("" | "",'Team Stats'!C$3:H$3)"),"0 | 0 | 0 | 0 | 0 | 0")</f>
        <v>0 | 0 | 0 | 0 | 0 | 0</v>
      </c>
      <c r="J163" s="51" t="str">
        <f>IFERROR(__xludf.DUMMYFUNCTION("JOIN("" | "",'Team Stats'!I$8:K$8)"),"0 | 0 | 0")</f>
        <v>0 | 0 | 0</v>
      </c>
      <c r="L163" s="42"/>
      <c r="M163" s="52"/>
      <c r="N163" s="42"/>
      <c r="O163" s="42"/>
      <c r="P163" s="42"/>
      <c r="Q163" s="52"/>
    </row>
    <row r="164">
      <c r="A164" s="33"/>
      <c r="B164" s="34">
        <v>163.0</v>
      </c>
      <c r="C164" s="34" t="str">
        <f>'Teams &amp; Draft Order'!$C$8</f>
        <v>Icelanders</v>
      </c>
      <c r="D164" s="35"/>
      <c r="E164" s="36" t="str">
        <f>IFERROR(VLOOKUP($D164,PlayerDB!$F$2:$G209,2,FALSE),"")</f>
        <v/>
      </c>
      <c r="F164" s="36" t="str">
        <f>IFERROR(VLOOKUP($D164,PlayerDB!$F$2:$H209,3,FALSE),"")</f>
        <v/>
      </c>
      <c r="G164" s="37" t="str">
        <f>IFERROR(VLOOKUP($D164,PlayerDB!$F$2:$I209,4,FALSE),"")</f>
        <v/>
      </c>
      <c r="H164" s="38"/>
      <c r="I164" s="39" t="str">
        <f>IFERROR(__xludf.DUMMYFUNCTION("JOIN("" | "",'Team Stats'!C$4:H$4)"),"0 | 0 | 0 | 0 | 0 | 0")</f>
        <v>0 | 0 | 0 | 0 | 0 | 0</v>
      </c>
      <c r="J164" s="40" t="str">
        <f>IFERROR(__xludf.DUMMYFUNCTION("JOIN("" | "",'Team Stats'!I$7:K$7)"),"0 | 0 | 0")</f>
        <v>0 | 0 | 0</v>
      </c>
      <c r="L164" s="42"/>
      <c r="M164" s="52"/>
      <c r="N164" s="42"/>
      <c r="O164" s="42"/>
      <c r="P164" s="42"/>
      <c r="Q164" s="52"/>
    </row>
    <row r="165">
      <c r="A165" s="45"/>
      <c r="B165" s="46">
        <v>164.0</v>
      </c>
      <c r="C165" s="46" t="str">
        <f>'Teams &amp; Draft Order'!$C$9</f>
        <v>El Nino</v>
      </c>
      <c r="D165" s="47"/>
      <c r="E165" s="48" t="str">
        <f>IFERROR(VLOOKUP($D165,PlayerDB!$F$2:$G209,2,FALSE),"")</f>
        <v/>
      </c>
      <c r="F165" s="48" t="str">
        <f>IFERROR(VLOOKUP($D165,PlayerDB!$F$2:$H209,3,FALSE),"")</f>
        <v/>
      </c>
      <c r="G165" s="49" t="str">
        <f>IFERROR(VLOOKUP($D165,PlayerDB!$F$2:$I209,4,FALSE),"")</f>
        <v/>
      </c>
      <c r="H165" s="38"/>
      <c r="I165" s="50" t="str">
        <f>IFERROR(__xludf.DUMMYFUNCTION("JOIN("" | "",'Team Stats'!C$5:H$5)"),"0 | 0 | 0 | 0 | 0 | 0")</f>
        <v>0 | 0 | 0 | 0 | 0 | 0</v>
      </c>
      <c r="J165" s="51" t="str">
        <f>IFERROR(__xludf.DUMMYFUNCTION("JOIN("" | "",'Team Stats'!I$6:K$6)"),"0 | 0 | 0")</f>
        <v>0 | 0 | 0</v>
      </c>
      <c r="L165" s="42"/>
      <c r="M165" s="52"/>
      <c r="N165" s="42"/>
      <c r="O165" s="42"/>
      <c r="P165" s="42"/>
      <c r="Q165" s="52"/>
    </row>
    <row r="166">
      <c r="A166" s="33"/>
      <c r="B166" s="34">
        <v>165.0</v>
      </c>
      <c r="C166" s="34" t="str">
        <f>'Teams &amp; Draft Order'!$C$10</f>
        <v>Buttheads</v>
      </c>
      <c r="D166" s="35"/>
      <c r="E166" s="36" t="str">
        <f>IFERROR(VLOOKUP($D166,PlayerDB!$F$2:$G209,2,FALSE),"")</f>
        <v/>
      </c>
      <c r="F166" s="36" t="str">
        <f>IFERROR(VLOOKUP($D166,PlayerDB!$F$2:$H209,3,FALSE),"")</f>
        <v/>
      </c>
      <c r="G166" s="37" t="str">
        <f>IFERROR(VLOOKUP($D166,PlayerDB!$F$2:$I209,4,FALSE),"")</f>
        <v/>
      </c>
      <c r="H166" s="38"/>
      <c r="I166" s="39" t="str">
        <f>IFERROR(__xludf.DUMMYFUNCTION("JOIN("" | "",'Team Stats'!C$6:H$6)"),"0 | 0 | 0 | 0 | 0 | 0")</f>
        <v>0 | 0 | 0 | 0 | 0 | 0</v>
      </c>
      <c r="J166" s="40" t="str">
        <f>IFERROR(__xludf.DUMMYFUNCTION("JOIN("" | "",'Team Stats'!I$5:K$5)"),"0 | 0 | 0")</f>
        <v>0 | 0 | 0</v>
      </c>
      <c r="L166" s="42"/>
      <c r="M166" s="52"/>
      <c r="N166" s="42"/>
      <c r="O166" s="42"/>
      <c r="P166" s="42"/>
      <c r="Q166" s="52"/>
    </row>
    <row r="167">
      <c r="A167" s="45"/>
      <c r="B167" s="46">
        <v>166.0</v>
      </c>
      <c r="C167" s="46" t="str">
        <f>'Teams &amp; Draft Order'!$C$11</f>
        <v>Big Boys Big Work</v>
      </c>
      <c r="D167" s="47"/>
      <c r="E167" s="48" t="str">
        <f>IFERROR(VLOOKUP($D167,PlayerDB!$F$2:$G209,2,FALSE),"")</f>
        <v/>
      </c>
      <c r="F167" s="48" t="str">
        <f>IFERROR(VLOOKUP($D167,PlayerDB!$F$2:$H209,3,FALSE),"")</f>
        <v/>
      </c>
      <c r="G167" s="49" t="str">
        <f>IFERROR(VLOOKUP($D167,PlayerDB!$F$2:$I209,4,FALSE),"")</f>
        <v/>
      </c>
      <c r="H167" s="38"/>
      <c r="I167" s="50" t="str">
        <f>IFERROR(__xludf.DUMMYFUNCTION("JOIN("" | "",'Team Stats'!C$7:H$7)"),"0 | 0 | 0 | 0 | 0 | 0")</f>
        <v>0 | 0 | 0 | 0 | 0 | 0</v>
      </c>
      <c r="J167" s="51" t="str">
        <f>IFERROR(__xludf.DUMMYFUNCTION("JOIN("" | "",'Team Stats'!I$4:K$4)"),"0 | 0 | 0")</f>
        <v>0 | 0 | 0</v>
      </c>
      <c r="L167" s="42"/>
      <c r="M167" s="42"/>
      <c r="N167" s="42"/>
      <c r="O167" s="42"/>
      <c r="P167" s="42"/>
      <c r="Q167" s="42"/>
    </row>
    <row r="168">
      <c r="A168" s="33"/>
      <c r="B168" s="34">
        <v>167.0</v>
      </c>
      <c r="C168" s="34" t="str">
        <f>'Teams &amp; Draft Order'!$C$12</f>
        <v>Turbo-Ginz</v>
      </c>
      <c r="D168" s="35"/>
      <c r="E168" s="36" t="str">
        <f>IFERROR(VLOOKUP($D168,PlayerDB!$F$2:$G209,2,FALSE),"")</f>
        <v/>
      </c>
      <c r="F168" s="36" t="str">
        <f>IFERROR(VLOOKUP($D168,PlayerDB!$F$2:$H209,3,FALSE),"")</f>
        <v/>
      </c>
      <c r="G168" s="37" t="str">
        <f>IFERROR(VLOOKUP($D168,PlayerDB!$F$2:$I209,4,FALSE),"")</f>
        <v/>
      </c>
      <c r="H168" s="38"/>
      <c r="I168" s="39" t="str">
        <f>IFERROR(__xludf.DUMMYFUNCTION("JOIN("" | "",'Team Stats'!C$8:H$8)"),"0 | 0 | 0 | 0 | 0 | 0")</f>
        <v>0 | 0 | 0 | 0 | 0 | 0</v>
      </c>
      <c r="J168" s="40" t="str">
        <f>IFERROR(__xludf.DUMMYFUNCTION("JOIN("" | "",'Team Stats'!I$3:K$3)"),"0 | 0 | 0")</f>
        <v>0 | 0 | 0</v>
      </c>
      <c r="L168" s="42"/>
      <c r="M168" s="42"/>
      <c r="N168" s="42"/>
      <c r="O168" s="42"/>
      <c r="P168" s="42"/>
      <c r="Q168" s="42"/>
    </row>
    <row r="169">
      <c r="A169" s="54"/>
      <c r="B169" s="55">
        <v>168.0</v>
      </c>
      <c r="C169" s="55" t="str">
        <f>'Teams &amp; Draft Order'!$C$13</f>
        <v>Luddite</v>
      </c>
      <c r="D169" s="56"/>
      <c r="E169" s="57" t="str">
        <f>IFERROR(VLOOKUP($D169,PlayerDB!$F$2:$G209,2,FALSE),"")</f>
        <v/>
      </c>
      <c r="F169" s="57" t="str">
        <f>IFERROR(VLOOKUP($D169,PlayerDB!$F$2:$H209,3,FALSE),"")</f>
        <v/>
      </c>
      <c r="G169" s="58" t="str">
        <f>IFERROR(VLOOKUP($D169,PlayerDB!$F$2:$I209,4,FALSE),"")</f>
        <v/>
      </c>
      <c r="H169" s="59"/>
      <c r="I169" s="60" t="str">
        <f>IFERROR(__xludf.DUMMYFUNCTION("JOIN("" | "",'Team Stats'!C$9:H$9)"),"0 | 0 | 0 | 0 | 0 | 0")</f>
        <v>0 | 0 | 0 | 0 | 0 | 0</v>
      </c>
      <c r="J169" s="64" t="str">
        <f>IFERROR(__xludf.DUMMYFUNCTION("JOIN("" | "",'Team Stats'!I$2:K$2)"),"0 | 0 | 0")</f>
        <v>0 | 0 | 0</v>
      </c>
      <c r="L169" s="42"/>
      <c r="M169" s="42"/>
      <c r="N169" s="42"/>
      <c r="O169" s="42"/>
      <c r="P169" s="42"/>
      <c r="Q169" s="42"/>
    </row>
    <row r="170">
      <c r="A170" s="33" t="s">
        <v>106</v>
      </c>
      <c r="B170" s="34">
        <v>169.0</v>
      </c>
      <c r="C170" s="34" t="str">
        <f>'Teams &amp; Draft Order'!$C$13</f>
        <v>Luddite</v>
      </c>
      <c r="D170" s="35"/>
      <c r="E170" s="36" t="str">
        <f>IFERROR(VLOOKUP($D170,PlayerDB!$F$2:$G209,2,FALSE),"")</f>
        <v/>
      </c>
      <c r="F170" s="36" t="str">
        <f>IFERROR(VLOOKUP($D170,PlayerDB!$F$2:$H209,3,FALSE),"")</f>
        <v/>
      </c>
      <c r="G170" s="37" t="str">
        <f>IFERROR(VLOOKUP($D170,PlayerDB!$F$2:$I209,4,FALSE),"")</f>
        <v/>
      </c>
      <c r="H170" s="38"/>
      <c r="I170" s="39" t="str">
        <f>IFERROR(__xludf.DUMMYFUNCTION("JOIN("" | "",'Team Stats'!C$9:H$9)"),"0 | 0 | 0 | 0 | 0 | 0")</f>
        <v>0 | 0 | 0 | 0 | 0 | 0</v>
      </c>
      <c r="J170" s="40" t="str">
        <f>IFERROR(__xludf.DUMMYFUNCTION("JOIN("" | "",'Team Stats'!I$2:K$2)"),"0 | 0 | 0")</f>
        <v>0 | 0 | 0</v>
      </c>
      <c r="L170" s="71"/>
      <c r="M170" s="44"/>
      <c r="N170" s="42"/>
      <c r="O170" s="42"/>
      <c r="P170" s="42"/>
      <c r="Q170" s="42"/>
    </row>
    <row r="171">
      <c r="A171" s="45"/>
      <c r="B171" s="46">
        <v>170.0</v>
      </c>
      <c r="C171" s="46" t="str">
        <f>'Teams &amp; Draft Order'!$C$12</f>
        <v>Turbo-Ginz</v>
      </c>
      <c r="D171" s="47"/>
      <c r="E171" s="48" t="str">
        <f>IFERROR(VLOOKUP($D171,PlayerDB!$F$2:$G209,2,FALSE),"")</f>
        <v/>
      </c>
      <c r="F171" s="48" t="str">
        <f>IFERROR(VLOOKUP($D171,PlayerDB!$F$2:$H209,3,FALSE),"")</f>
        <v/>
      </c>
      <c r="G171" s="49" t="str">
        <f>IFERROR(VLOOKUP($D171,PlayerDB!$F$2:$I209,4,FALSE),"")</f>
        <v/>
      </c>
      <c r="H171" s="38"/>
      <c r="I171" s="50" t="str">
        <f>IFERROR(__xludf.DUMMYFUNCTION("JOIN("" | "",'Team Stats'!C$8:H$8)"),"0 | 0 | 0 | 0 | 0 | 0")</f>
        <v>0 | 0 | 0 | 0 | 0 | 0</v>
      </c>
      <c r="J171" s="51" t="str">
        <f>IFERROR(__xludf.DUMMYFUNCTION("JOIN("" | "",'Team Stats'!I$3:K$3)"),"0 | 0 | 0")</f>
        <v>0 | 0 | 0</v>
      </c>
      <c r="L171" s="42"/>
      <c r="M171" s="52"/>
      <c r="N171" s="42"/>
      <c r="O171" s="42"/>
      <c r="P171" s="42"/>
      <c r="Q171" s="42"/>
    </row>
    <row r="172">
      <c r="A172" s="33"/>
      <c r="B172" s="34">
        <v>171.0</v>
      </c>
      <c r="C172" s="34" t="str">
        <f>'Teams &amp; Draft Order'!$C$11</f>
        <v>Big Boys Big Work</v>
      </c>
      <c r="D172" s="35"/>
      <c r="E172" s="36" t="str">
        <f>IFERROR(VLOOKUP($D172,PlayerDB!$F$2:$G209,2,FALSE),"")</f>
        <v/>
      </c>
      <c r="F172" s="36" t="str">
        <f>IFERROR(VLOOKUP($D172,PlayerDB!$F$2:$H209,3,FALSE),"")</f>
        <v/>
      </c>
      <c r="G172" s="37" t="str">
        <f>IFERROR(VLOOKUP($D172,PlayerDB!$F$2:$I209,4,FALSE),"")</f>
        <v/>
      </c>
      <c r="H172" s="38"/>
      <c r="I172" s="39" t="str">
        <f>IFERROR(__xludf.DUMMYFUNCTION("JOIN("" | "",'Team Stats'!C$7:H$7)"),"0 | 0 | 0 | 0 | 0 | 0")</f>
        <v>0 | 0 | 0 | 0 | 0 | 0</v>
      </c>
      <c r="J172" s="40" t="str">
        <f>IFERROR(__xludf.DUMMYFUNCTION("JOIN("" | "",'Team Stats'!I$4:K$4)"),"0 | 0 | 0")</f>
        <v>0 | 0 | 0</v>
      </c>
      <c r="L172" s="42"/>
      <c r="M172" s="52"/>
      <c r="N172" s="42"/>
      <c r="O172" s="42"/>
      <c r="P172" s="42"/>
      <c r="Q172" s="42"/>
    </row>
    <row r="173">
      <c r="A173" s="45"/>
      <c r="B173" s="46">
        <v>172.0</v>
      </c>
      <c r="C173" s="46" t="str">
        <f>'Teams &amp; Draft Order'!$C$10</f>
        <v>Buttheads</v>
      </c>
      <c r="D173" s="47"/>
      <c r="E173" s="48" t="str">
        <f>IFERROR(VLOOKUP($D173,PlayerDB!$F$2:$G209,2,FALSE),"")</f>
        <v/>
      </c>
      <c r="F173" s="48" t="str">
        <f>IFERROR(VLOOKUP($D173,PlayerDB!$F$2:$H209,3,FALSE),"")</f>
        <v/>
      </c>
      <c r="G173" s="49" t="str">
        <f>IFERROR(VLOOKUP($D173,PlayerDB!$F$2:$I209,4,FALSE),"")</f>
        <v/>
      </c>
      <c r="H173" s="38"/>
      <c r="I173" s="50" t="str">
        <f>IFERROR(__xludf.DUMMYFUNCTION("JOIN("" | "",'Team Stats'!C$6:H$6)"),"0 | 0 | 0 | 0 | 0 | 0")</f>
        <v>0 | 0 | 0 | 0 | 0 | 0</v>
      </c>
      <c r="J173" s="51" t="str">
        <f>IFERROR(__xludf.DUMMYFUNCTION("JOIN("" | "",'Team Stats'!I$5:K$5)"),"0 | 0 | 0")</f>
        <v>0 | 0 | 0</v>
      </c>
      <c r="L173" s="42"/>
      <c r="M173" s="52"/>
      <c r="N173" s="42"/>
      <c r="O173" s="42"/>
      <c r="P173" s="42"/>
      <c r="Q173" s="42"/>
    </row>
    <row r="174">
      <c r="A174" s="33"/>
      <c r="B174" s="34">
        <v>173.0</v>
      </c>
      <c r="C174" s="34" t="str">
        <f>'Teams &amp; Draft Order'!$C$9</f>
        <v>El Nino</v>
      </c>
      <c r="D174" s="35"/>
      <c r="E174" s="36" t="str">
        <f>IFERROR(VLOOKUP($D174,PlayerDB!$F$2:$G209,2,FALSE),"")</f>
        <v/>
      </c>
      <c r="F174" s="36" t="str">
        <f>IFERROR(VLOOKUP($D174,PlayerDB!$F$2:$H209,3,FALSE),"")</f>
        <v/>
      </c>
      <c r="G174" s="37" t="str">
        <f>IFERROR(VLOOKUP($D174,PlayerDB!$F$2:$I209,4,FALSE),"")</f>
        <v/>
      </c>
      <c r="H174" s="38"/>
      <c r="I174" s="39" t="str">
        <f>IFERROR(__xludf.DUMMYFUNCTION("JOIN("" | "",'Team Stats'!C$5:H$5)"),"0 | 0 | 0 | 0 | 0 | 0")</f>
        <v>0 | 0 | 0 | 0 | 0 | 0</v>
      </c>
      <c r="J174" s="40" t="str">
        <f>IFERROR(__xludf.DUMMYFUNCTION("JOIN("" | "",'Team Stats'!I$6:K$6)"),"0 | 0 | 0")</f>
        <v>0 | 0 | 0</v>
      </c>
      <c r="L174" s="42"/>
      <c r="M174" s="52"/>
      <c r="N174" s="42"/>
      <c r="O174" s="42"/>
      <c r="P174" s="42"/>
      <c r="Q174" s="42"/>
    </row>
    <row r="175">
      <c r="A175" s="45"/>
      <c r="B175" s="46">
        <v>174.0</v>
      </c>
      <c r="C175" s="46" t="str">
        <f>'Teams &amp; Draft Order'!$C$8</f>
        <v>Icelanders</v>
      </c>
      <c r="D175" s="47"/>
      <c r="E175" s="48" t="str">
        <f>IFERROR(VLOOKUP($D175,PlayerDB!$F$2:$G209,2,FALSE),"")</f>
        <v/>
      </c>
      <c r="F175" s="48" t="str">
        <f>IFERROR(VLOOKUP($D175,PlayerDB!$F$2:$H209,3,FALSE),"")</f>
        <v/>
      </c>
      <c r="G175" s="49" t="str">
        <f>IFERROR(VLOOKUP($D175,PlayerDB!$F$2:$I209,4,FALSE),"")</f>
        <v/>
      </c>
      <c r="H175" s="38"/>
      <c r="I175" s="50" t="str">
        <f>IFERROR(__xludf.DUMMYFUNCTION("JOIN("" | "",'Team Stats'!C$4:H$4)"),"0 | 0 | 0 | 0 | 0 | 0")</f>
        <v>0 | 0 | 0 | 0 | 0 | 0</v>
      </c>
      <c r="J175" s="51" t="str">
        <f>IFERROR(__xludf.DUMMYFUNCTION("JOIN("" | "",'Team Stats'!I$7:K$7)"),"0 | 0 | 0")</f>
        <v>0 | 0 | 0</v>
      </c>
      <c r="L175" s="42"/>
      <c r="M175" s="52"/>
      <c r="N175" s="42"/>
      <c r="O175" s="42"/>
      <c r="P175" s="42"/>
      <c r="Q175" s="42"/>
    </row>
    <row r="176">
      <c r="A176" s="33"/>
      <c r="B176" s="34">
        <v>175.0</v>
      </c>
      <c r="C176" s="34" t="str">
        <f>'Teams &amp; Draft Order'!$C$7</f>
        <v>Phantasm</v>
      </c>
      <c r="D176" s="35"/>
      <c r="E176" s="36" t="str">
        <f>IFERROR(VLOOKUP($D176,PlayerDB!$F$2:$G209,2,FALSE),"")</f>
        <v/>
      </c>
      <c r="F176" s="36" t="str">
        <f>IFERROR(VLOOKUP($D176,PlayerDB!$F$2:$H209,3,FALSE),"")</f>
        <v/>
      </c>
      <c r="G176" s="37" t="str">
        <f>IFERROR(VLOOKUP($D176,PlayerDB!$F$2:$I209,4,FALSE),"")</f>
        <v/>
      </c>
      <c r="H176" s="38"/>
      <c r="I176" s="39" t="str">
        <f>IFERROR(__xludf.DUMMYFUNCTION("JOIN("" | "",'Team Stats'!C$3:H$3)"),"0 | 0 | 0 | 0 | 0 | 0")</f>
        <v>0 | 0 | 0 | 0 | 0 | 0</v>
      </c>
      <c r="J176" s="40" t="str">
        <f>IFERROR(__xludf.DUMMYFUNCTION("JOIN("" | "",'Team Stats'!I$8:K$8)"),"0 | 0 | 0")</f>
        <v>0 | 0 | 0</v>
      </c>
      <c r="L176" s="42"/>
      <c r="M176" s="52"/>
      <c r="N176" s="42"/>
      <c r="O176" s="42"/>
      <c r="P176" s="42"/>
      <c r="Q176" s="42"/>
    </row>
    <row r="177">
      <c r="A177" s="54"/>
      <c r="B177" s="55">
        <v>176.0</v>
      </c>
      <c r="C177" s="55" t="str">
        <f>'Teams &amp; Draft Order'!$C$6</f>
        <v>Sleeper Cell </v>
      </c>
      <c r="D177" s="56"/>
      <c r="E177" s="57" t="str">
        <f>IFERROR(VLOOKUP($D177,PlayerDB!$F$2:$G209,2,FALSE),"")</f>
        <v/>
      </c>
      <c r="F177" s="57" t="str">
        <f>IFERROR(VLOOKUP($D177,PlayerDB!$F$2:$H209,3,FALSE),"")</f>
        <v/>
      </c>
      <c r="G177" s="58" t="str">
        <f>IFERROR(VLOOKUP($D177,PlayerDB!$F$2:$I209,4,FALSE),"")</f>
        <v/>
      </c>
      <c r="H177" s="59"/>
      <c r="I177" s="60" t="str">
        <f>IFERROR(__xludf.DUMMYFUNCTION("JOIN("" | "",'Team Stats'!C$2:H$2)"),"1 | 0 | 0 | 0 | 0 | 0")</f>
        <v>1 | 0 | 0 | 0 | 0 | 0</v>
      </c>
      <c r="J177" s="51" t="str">
        <f>IFERROR(__xludf.DUMMYFUNCTION("JOIN("" | "",'Team Stats'!I$9:K$9)"),"0 | 0 | 0")</f>
        <v>0 | 0 | 0</v>
      </c>
      <c r="L177" s="42"/>
      <c r="M177" s="52"/>
      <c r="N177" s="42"/>
      <c r="O177" s="42"/>
      <c r="P177" s="42"/>
      <c r="Q177" s="42"/>
    </row>
    <row r="178">
      <c r="A178" s="33" t="s">
        <v>107</v>
      </c>
      <c r="B178" s="34">
        <v>177.0</v>
      </c>
      <c r="C178" s="34" t="str">
        <f>'Teams &amp; Draft Order'!$C$6</f>
        <v>Sleeper Cell </v>
      </c>
      <c r="D178" s="35"/>
      <c r="E178" s="36" t="str">
        <f>IFERROR(VLOOKUP($D178,PlayerDB!$F$2:$G209,2,FALSE),"")</f>
        <v/>
      </c>
      <c r="F178" s="36" t="str">
        <f>IFERROR(VLOOKUP($D178,PlayerDB!$F$2:$H209,3,FALSE),"")</f>
        <v/>
      </c>
      <c r="G178" s="37" t="str">
        <f>IFERROR(VLOOKUP($D178,PlayerDB!$F$2:$I209,4,FALSE),"")</f>
        <v/>
      </c>
      <c r="H178" s="38"/>
      <c r="I178" s="39" t="str">
        <f>IFERROR(__xludf.DUMMYFUNCTION("JOIN("" | "",'Team Stats'!C$2:H$2)"),"1 | 0 | 0 | 0 | 0 | 0")</f>
        <v>1 | 0 | 0 | 0 | 0 | 0</v>
      </c>
      <c r="J178" s="40" t="str">
        <f>IFERROR(__xludf.DUMMYFUNCTION("JOIN("" | "",#REF!)"),"#REF!")</f>
        <v>#REF!</v>
      </c>
      <c r="L178" s="42"/>
      <c r="M178" s="52"/>
      <c r="N178" s="42"/>
      <c r="O178" s="42"/>
      <c r="P178" s="42"/>
      <c r="Q178" s="42"/>
    </row>
    <row r="179">
      <c r="A179" s="45"/>
      <c r="B179" s="46">
        <v>178.0</v>
      </c>
      <c r="C179" s="46" t="str">
        <f>'Teams &amp; Draft Order'!$C$7</f>
        <v>Phantasm</v>
      </c>
      <c r="D179" s="47"/>
      <c r="E179" s="48" t="str">
        <f>IFERROR(VLOOKUP($D179,PlayerDB!$F$2:$G209,2,FALSE),"")</f>
        <v/>
      </c>
      <c r="F179" s="48" t="str">
        <f>IFERROR(VLOOKUP($D179,PlayerDB!$F$2:$H209,3,FALSE),"")</f>
        <v/>
      </c>
      <c r="G179" s="49" t="str">
        <f>IFERROR(VLOOKUP($D179,PlayerDB!$F$2:$I209,4,FALSE),"")</f>
        <v/>
      </c>
      <c r="H179" s="38"/>
      <c r="I179" s="50" t="str">
        <f>IFERROR(__xludf.DUMMYFUNCTION("JOIN("" | "",'Team Stats'!C$3:H$3)"),"0 | 0 | 0 | 0 | 0 | 0")</f>
        <v>0 | 0 | 0 | 0 | 0 | 0</v>
      </c>
      <c r="J179" s="51" t="str">
        <f>IFERROR(__xludf.DUMMYFUNCTION("JOIN("" | "",#REF!)"),"#REF!")</f>
        <v>#REF!</v>
      </c>
      <c r="L179" s="42"/>
      <c r="M179" s="52"/>
      <c r="N179" s="42"/>
      <c r="O179" s="42"/>
      <c r="P179" s="42"/>
      <c r="Q179" s="42"/>
    </row>
    <row r="180">
      <c r="A180" s="33"/>
      <c r="B180" s="34">
        <v>179.0</v>
      </c>
      <c r="C180" s="34" t="str">
        <f>'Teams &amp; Draft Order'!$C$8</f>
        <v>Icelanders</v>
      </c>
      <c r="D180" s="35"/>
      <c r="E180" s="36" t="str">
        <f>IFERROR(VLOOKUP($D180,PlayerDB!$F$2:$G209,2,FALSE),"")</f>
        <v/>
      </c>
      <c r="F180" s="36" t="str">
        <f>IFERROR(VLOOKUP($D180,PlayerDB!$F$2:$H209,3,FALSE),"")</f>
        <v/>
      </c>
      <c r="G180" s="37" t="str">
        <f>IFERROR(VLOOKUP($D180,PlayerDB!$F$2:$I209,4,FALSE),"")</f>
        <v/>
      </c>
      <c r="H180" s="38"/>
      <c r="I180" s="39" t="str">
        <f>IFERROR(__xludf.DUMMYFUNCTION("JOIN("" | "",'Team Stats'!C$4:H$4)"),"0 | 0 | 0 | 0 | 0 | 0")</f>
        <v>0 | 0 | 0 | 0 | 0 | 0</v>
      </c>
      <c r="J180" s="40" t="str">
        <f>IFERROR(__xludf.DUMMYFUNCTION("JOIN("" | "",#REF!)"),"#REF!")</f>
        <v>#REF!</v>
      </c>
      <c r="L180" s="42"/>
      <c r="M180" s="52"/>
      <c r="N180" s="42"/>
      <c r="O180" s="42"/>
      <c r="P180" s="42"/>
      <c r="Q180" s="42"/>
    </row>
    <row r="181">
      <c r="A181" s="45"/>
      <c r="B181" s="46">
        <v>180.0</v>
      </c>
      <c r="C181" s="46" t="str">
        <f>'Teams &amp; Draft Order'!$C$9</f>
        <v>El Nino</v>
      </c>
      <c r="D181" s="47"/>
      <c r="E181" s="48" t="str">
        <f>IFERROR(VLOOKUP($D181,PlayerDB!$F$2:$G209,2,FALSE),"")</f>
        <v/>
      </c>
      <c r="F181" s="48" t="str">
        <f>IFERROR(VLOOKUP($D181,PlayerDB!$F$2:$H209,3,FALSE),"")</f>
        <v/>
      </c>
      <c r="G181" s="49" t="str">
        <f>IFERROR(VLOOKUP($D181,PlayerDB!$F$2:$I209,4,FALSE),"")</f>
        <v/>
      </c>
      <c r="H181" s="38"/>
      <c r="I181" s="50" t="str">
        <f>IFERROR(__xludf.DUMMYFUNCTION("JOIN("" | "",'Team Stats'!C$5:H$5)"),"0 | 0 | 0 | 0 | 0 | 0")</f>
        <v>0 | 0 | 0 | 0 | 0 | 0</v>
      </c>
      <c r="J181" s="51" t="str">
        <f>IFERROR(__xludf.DUMMYFUNCTION("JOIN("" | "",#REF!)"),"#REF!")</f>
        <v>#REF!</v>
      </c>
      <c r="L181" s="42"/>
      <c r="M181" s="52"/>
      <c r="N181" s="42"/>
      <c r="O181" s="42"/>
      <c r="P181" s="42"/>
      <c r="Q181" s="42"/>
    </row>
    <row r="182">
      <c r="A182" s="33"/>
      <c r="B182" s="34">
        <v>181.0</v>
      </c>
      <c r="C182" s="34" t="str">
        <f>'Teams &amp; Draft Order'!$C$10</f>
        <v>Buttheads</v>
      </c>
      <c r="D182" s="35"/>
      <c r="E182" s="36" t="str">
        <f>IFERROR(VLOOKUP($D182,PlayerDB!$F$2:$G209,2,FALSE),"")</f>
        <v/>
      </c>
      <c r="F182" s="36" t="str">
        <f>IFERROR(VLOOKUP($D182,PlayerDB!$F$2:$H209,3,FALSE),"")</f>
        <v/>
      </c>
      <c r="G182" s="37" t="str">
        <f>IFERROR(VLOOKUP($D182,PlayerDB!$F$2:$I209,4,FALSE),"")</f>
        <v/>
      </c>
      <c r="H182" s="38"/>
      <c r="I182" s="39" t="str">
        <f>IFERROR(__xludf.DUMMYFUNCTION("JOIN("" | "",'Team Stats'!C$6:H$6)"),"0 | 0 | 0 | 0 | 0 | 0")</f>
        <v>0 | 0 | 0 | 0 | 0 | 0</v>
      </c>
      <c r="J182" s="62" t="str">
        <f>IFERROR(__xludf.DUMMYFUNCTION("JOIN("" | "",#REF!)"),"#REF!")</f>
        <v>#REF!</v>
      </c>
      <c r="L182" s="42"/>
      <c r="M182" s="52"/>
      <c r="N182" s="42"/>
      <c r="O182" s="42"/>
      <c r="P182" s="42"/>
      <c r="Q182" s="42"/>
    </row>
    <row r="183">
      <c r="A183" s="45"/>
      <c r="B183" s="46">
        <v>182.0</v>
      </c>
      <c r="C183" s="46" t="str">
        <f>'Teams &amp; Draft Order'!$C$11</f>
        <v>Big Boys Big Work</v>
      </c>
      <c r="D183" s="47"/>
      <c r="E183" s="48" t="str">
        <f>IFERROR(VLOOKUP($D183,PlayerDB!$F$2:$G209,2,FALSE),"")</f>
        <v/>
      </c>
      <c r="F183" s="48" t="str">
        <f>IFERROR(VLOOKUP($D183,PlayerDB!$F$2:$H209,3,FALSE),"")</f>
        <v/>
      </c>
      <c r="G183" s="49" t="str">
        <f>IFERROR(VLOOKUP($D183,PlayerDB!$F$2:$I209,4,FALSE),"")</f>
        <v/>
      </c>
      <c r="H183" s="38"/>
      <c r="I183" s="50" t="str">
        <f>IFERROR(__xludf.DUMMYFUNCTION("JOIN("" | "",'Team Stats'!C$7:H$7)"),"0 | 0 | 0 | 0 | 0 | 0")</f>
        <v>0 | 0 | 0 | 0 | 0 | 0</v>
      </c>
      <c r="J183" s="51" t="str">
        <f>IFERROR(__xludf.DUMMYFUNCTION("JOIN("" | "",#REF!)"),"#REF!")</f>
        <v>#REF!</v>
      </c>
      <c r="L183" s="42"/>
      <c r="M183" s="52"/>
      <c r="N183" s="42"/>
      <c r="O183" s="42"/>
      <c r="P183" s="42"/>
      <c r="Q183" s="42"/>
    </row>
    <row r="184">
      <c r="A184" s="33"/>
      <c r="B184" s="34">
        <v>183.0</v>
      </c>
      <c r="C184" s="34" t="str">
        <f>'Teams &amp; Draft Order'!$C$12</f>
        <v>Turbo-Ginz</v>
      </c>
      <c r="D184" s="35"/>
      <c r="E184" s="36" t="str">
        <f>IFERROR(VLOOKUP($D184,PlayerDB!$F$2:$G209,2,FALSE),"")</f>
        <v/>
      </c>
      <c r="F184" s="36" t="str">
        <f>IFERROR(VLOOKUP($D184,PlayerDB!$F$2:$H209,3,FALSE),"")</f>
        <v/>
      </c>
      <c r="G184" s="37" t="str">
        <f>IFERROR(VLOOKUP($D184,PlayerDB!$F$2:$I209,4,FALSE),"")</f>
        <v/>
      </c>
      <c r="H184" s="38"/>
      <c r="I184" s="39" t="str">
        <f>IFERROR(__xludf.DUMMYFUNCTION("JOIN("" | "",'Team Stats'!C$8:H$8)"),"0 | 0 | 0 | 0 | 0 | 0")</f>
        <v>0 | 0 | 0 | 0 | 0 | 0</v>
      </c>
      <c r="J184" s="40" t="str">
        <f>IFERROR(__xludf.DUMMYFUNCTION("JOIN("" | "",#REF!)"),"#REF!")</f>
        <v>#REF!</v>
      </c>
      <c r="L184" s="42"/>
      <c r="M184" s="52"/>
      <c r="N184" s="42"/>
      <c r="O184" s="42"/>
      <c r="P184" s="42"/>
      <c r="Q184" s="42"/>
    </row>
    <row r="185">
      <c r="A185" s="54"/>
      <c r="B185" s="55">
        <v>184.0</v>
      </c>
      <c r="C185" s="55" t="str">
        <f>'Teams &amp; Draft Order'!$C$13</f>
        <v>Luddite</v>
      </c>
      <c r="D185" s="56"/>
      <c r="E185" s="57" t="str">
        <f>IFERROR(VLOOKUP($D185,PlayerDB!$F$2:$G209,2,FALSE),"")</f>
        <v/>
      </c>
      <c r="F185" s="57" t="str">
        <f>IFERROR(VLOOKUP($D185,PlayerDB!$F$2:$H209,3,FALSE),"")</f>
        <v/>
      </c>
      <c r="G185" s="58" t="str">
        <f>IFERROR(VLOOKUP($D185,PlayerDB!$F$2:$I209,4,FALSE),"")</f>
        <v/>
      </c>
      <c r="H185" s="59"/>
      <c r="I185" s="60" t="str">
        <f>IFERROR(__xludf.DUMMYFUNCTION("JOIN("" | "",'Team Stats'!C$9:H$9)"),"0 | 0 | 0 | 0 | 0 | 0")</f>
        <v>0 | 0 | 0 | 0 | 0 | 0</v>
      </c>
      <c r="J185" s="51" t="str">
        <f>IFERROR(__xludf.DUMMYFUNCTION("JOIN("" | "",#REF!)"),"#REF!")</f>
        <v>#REF!</v>
      </c>
      <c r="L185" s="42"/>
      <c r="M185" s="52"/>
      <c r="N185" s="42"/>
      <c r="O185" s="42"/>
      <c r="P185" s="42"/>
      <c r="Q185" s="42"/>
    </row>
    <row r="186">
      <c r="A186" s="33" t="s">
        <v>108</v>
      </c>
      <c r="B186" s="34">
        <v>185.0</v>
      </c>
      <c r="C186" s="34" t="str">
        <f>'Teams &amp; Draft Order'!$C$13</f>
        <v>Luddite</v>
      </c>
      <c r="D186" s="35"/>
      <c r="E186" s="36" t="str">
        <f>IFERROR(VLOOKUP($D186,PlayerDB!$F$2:$G209,2,FALSE),"")</f>
        <v/>
      </c>
      <c r="F186" s="36" t="str">
        <f>IFERROR(VLOOKUP($D186,PlayerDB!$F$2:$H209,3,FALSE),"")</f>
        <v/>
      </c>
      <c r="G186" s="37" t="str">
        <f>IFERROR(VLOOKUP($D186,PlayerDB!$F$2:$I209,4,FALSE),"")</f>
        <v/>
      </c>
      <c r="H186" s="38"/>
      <c r="I186" s="39" t="str">
        <f>IFERROR(__xludf.DUMMYFUNCTION("JOIN("" | "",'Team Stats'!C$9:H$9)"),"0 | 0 | 0 | 0 | 0 | 0")</f>
        <v>0 | 0 | 0 | 0 | 0 | 0</v>
      </c>
      <c r="J186" s="40" t="str">
        <f>IFERROR(__xludf.DUMMYFUNCTION("JOIN("" | "",'Team Stats'!I$9:K$9)"),"0 | 0 | 0")</f>
        <v>0 | 0 | 0</v>
      </c>
      <c r="L186" s="42"/>
      <c r="M186" s="52"/>
      <c r="N186" s="42"/>
      <c r="O186" s="42"/>
      <c r="P186" s="42"/>
      <c r="Q186" s="42"/>
    </row>
    <row r="187">
      <c r="A187" s="45"/>
      <c r="B187" s="46">
        <v>186.0</v>
      </c>
      <c r="C187" s="46" t="str">
        <f>'Teams &amp; Draft Order'!$C$12</f>
        <v>Turbo-Ginz</v>
      </c>
      <c r="D187" s="47"/>
      <c r="E187" s="48" t="str">
        <f>IFERROR(VLOOKUP($D187,PlayerDB!$F$2:$G209,2,FALSE),"")</f>
        <v/>
      </c>
      <c r="F187" s="48" t="str">
        <f>IFERROR(VLOOKUP($D187,PlayerDB!$F$2:$H209,3,FALSE),"")</f>
        <v/>
      </c>
      <c r="G187" s="49" t="str">
        <f>IFERROR(VLOOKUP($D187,PlayerDB!$F$2:$I209,4,FALSE),"")</f>
        <v/>
      </c>
      <c r="H187" s="38"/>
      <c r="I187" s="50" t="str">
        <f>IFERROR(__xludf.DUMMYFUNCTION("JOIN("" | "",'Team Stats'!C$8:H$8)"),"0 | 0 | 0 | 0 | 0 | 0")</f>
        <v>0 | 0 | 0 | 0 | 0 | 0</v>
      </c>
      <c r="J187" s="51" t="str">
        <f>IFERROR(__xludf.DUMMYFUNCTION("JOIN("" | "",'Team Stats'!I$8:K$8)"),"0 | 0 | 0")</f>
        <v>0 | 0 | 0</v>
      </c>
      <c r="L187" s="42"/>
      <c r="M187" s="52"/>
      <c r="N187" s="42"/>
      <c r="O187" s="42"/>
      <c r="P187" s="42"/>
      <c r="Q187" s="42"/>
    </row>
    <row r="188">
      <c r="A188" s="33"/>
      <c r="B188" s="34">
        <v>187.0</v>
      </c>
      <c r="C188" s="34" t="str">
        <f>'Teams &amp; Draft Order'!$C$11</f>
        <v>Big Boys Big Work</v>
      </c>
      <c r="D188" s="35"/>
      <c r="E188" s="36" t="str">
        <f>IFERROR(VLOOKUP($D188,PlayerDB!$F$2:$G209,2,FALSE),"")</f>
        <v/>
      </c>
      <c r="F188" s="36" t="str">
        <f>IFERROR(VLOOKUP($D188,PlayerDB!$F$2:$H209,3,FALSE),"")</f>
        <v/>
      </c>
      <c r="G188" s="37" t="str">
        <f>IFERROR(VLOOKUP($D188,PlayerDB!$F$2:$I209,4,FALSE),"")</f>
        <v/>
      </c>
      <c r="H188" s="38"/>
      <c r="I188" s="39" t="str">
        <f>IFERROR(__xludf.DUMMYFUNCTION("JOIN("" | "",'Team Stats'!C$7:H$7)"),"0 | 0 | 0 | 0 | 0 | 0")</f>
        <v>0 | 0 | 0 | 0 | 0 | 0</v>
      </c>
      <c r="J188" s="40" t="str">
        <f>IFERROR(__xludf.DUMMYFUNCTION("JOIN("" | "",'Team Stats'!I$7:K$7)"),"0 | 0 | 0")</f>
        <v>0 | 0 | 0</v>
      </c>
      <c r="L188" s="42"/>
      <c r="M188" s="52"/>
      <c r="N188" s="42"/>
      <c r="O188" s="42"/>
      <c r="P188" s="42"/>
      <c r="Q188" s="42"/>
    </row>
    <row r="189">
      <c r="A189" s="45"/>
      <c r="B189" s="46">
        <v>188.0</v>
      </c>
      <c r="C189" s="46" t="str">
        <f>'Teams &amp; Draft Order'!$C$10</f>
        <v>Buttheads</v>
      </c>
      <c r="D189" s="47"/>
      <c r="E189" s="48" t="str">
        <f>IFERROR(VLOOKUP($D189,PlayerDB!$F$2:$G209,2,FALSE),"")</f>
        <v/>
      </c>
      <c r="F189" s="48" t="str">
        <f>IFERROR(VLOOKUP($D189,PlayerDB!$F$2:$H209,3,FALSE),"")</f>
        <v/>
      </c>
      <c r="G189" s="49" t="str">
        <f>IFERROR(VLOOKUP($D189,PlayerDB!$F$2:$I209,4,FALSE),"")</f>
        <v/>
      </c>
      <c r="H189" s="38"/>
      <c r="I189" s="50" t="str">
        <f>IFERROR(__xludf.DUMMYFUNCTION("JOIN("" | "",'Team Stats'!C$6:H$6)"),"0 | 0 | 0 | 0 | 0 | 0")</f>
        <v>0 | 0 | 0 | 0 | 0 | 0</v>
      </c>
      <c r="J189" s="51" t="str">
        <f>IFERROR(__xludf.DUMMYFUNCTION("JOIN("" | "",'Team Stats'!I$6:K$6)"),"0 | 0 | 0")</f>
        <v>0 | 0 | 0</v>
      </c>
      <c r="L189" s="42"/>
      <c r="M189" s="52"/>
      <c r="N189" s="42"/>
      <c r="O189" s="42"/>
      <c r="P189" s="42"/>
      <c r="Q189" s="42"/>
    </row>
    <row r="190">
      <c r="A190" s="33"/>
      <c r="B190" s="34">
        <v>189.0</v>
      </c>
      <c r="C190" s="34" t="str">
        <f>'Teams &amp; Draft Order'!$C$9</f>
        <v>El Nino</v>
      </c>
      <c r="D190" s="35"/>
      <c r="E190" s="36" t="str">
        <f>IFERROR(VLOOKUP($D190,PlayerDB!$F$2:$G209,2,FALSE),"")</f>
        <v/>
      </c>
      <c r="F190" s="36" t="str">
        <f>IFERROR(VLOOKUP($D190,PlayerDB!$F$2:$H209,3,FALSE),"")</f>
        <v/>
      </c>
      <c r="G190" s="37" t="str">
        <f>IFERROR(VLOOKUP($D190,PlayerDB!$F$2:$I209,4,FALSE),"")</f>
        <v/>
      </c>
      <c r="H190" s="38"/>
      <c r="I190" s="39" t="str">
        <f>IFERROR(__xludf.DUMMYFUNCTION("JOIN("" | "",'Team Stats'!C$5:H$5)"),"0 | 0 | 0 | 0 | 0 | 0")</f>
        <v>0 | 0 | 0 | 0 | 0 | 0</v>
      </c>
      <c r="J190" s="40" t="str">
        <f>IFERROR(__xludf.DUMMYFUNCTION("JOIN("" | "",'Team Stats'!I$5:K$5)"),"0 | 0 | 0")</f>
        <v>0 | 0 | 0</v>
      </c>
      <c r="L190" s="42"/>
      <c r="M190" s="52"/>
      <c r="N190" s="42"/>
      <c r="O190" s="42"/>
      <c r="P190" s="42"/>
      <c r="Q190" s="42"/>
    </row>
    <row r="191">
      <c r="A191" s="45"/>
      <c r="B191" s="46">
        <v>190.0</v>
      </c>
      <c r="C191" s="46" t="str">
        <f>'Teams &amp; Draft Order'!$C$8</f>
        <v>Icelanders</v>
      </c>
      <c r="D191" s="47"/>
      <c r="E191" s="48" t="str">
        <f>IFERROR(VLOOKUP($D191,PlayerDB!$F$2:$G209,2,FALSE),"")</f>
        <v/>
      </c>
      <c r="F191" s="48" t="str">
        <f>IFERROR(VLOOKUP($D191,PlayerDB!$F$2:$H209,3,FALSE),"")</f>
        <v/>
      </c>
      <c r="G191" s="49" t="str">
        <f>IFERROR(VLOOKUP($D191,PlayerDB!$F$2:$I209,4,FALSE),"")</f>
        <v/>
      </c>
      <c r="H191" s="38"/>
      <c r="I191" s="50" t="str">
        <f>IFERROR(__xludf.DUMMYFUNCTION("JOIN("" | "",'Team Stats'!C$4:H$4)"),"0 | 0 | 0 | 0 | 0 | 0")</f>
        <v>0 | 0 | 0 | 0 | 0 | 0</v>
      </c>
      <c r="J191" s="51" t="str">
        <f>IFERROR(__xludf.DUMMYFUNCTION("JOIN("" | "",'Team Stats'!I$4:K$4)"),"0 | 0 | 0")</f>
        <v>0 | 0 | 0</v>
      </c>
      <c r="L191" s="42"/>
      <c r="M191" s="42"/>
      <c r="N191" s="42"/>
      <c r="O191" s="42"/>
      <c r="P191" s="42"/>
      <c r="Q191" s="42"/>
    </row>
    <row r="192">
      <c r="A192" s="33"/>
      <c r="B192" s="34">
        <v>191.0</v>
      </c>
      <c r="C192" s="34" t="str">
        <f>'Teams &amp; Draft Order'!$C$7</f>
        <v>Phantasm</v>
      </c>
      <c r="D192" s="35"/>
      <c r="E192" s="36" t="str">
        <f>IFERROR(VLOOKUP($D192,PlayerDB!$F$2:$G209,2,FALSE),"")</f>
        <v/>
      </c>
      <c r="F192" s="36" t="str">
        <f>IFERROR(VLOOKUP($D192,PlayerDB!$F$2:$H209,3,FALSE),"")</f>
        <v/>
      </c>
      <c r="G192" s="37" t="str">
        <f>IFERROR(VLOOKUP($D192,PlayerDB!$F$2:$I209,4,FALSE),"")</f>
        <v/>
      </c>
      <c r="H192" s="38"/>
      <c r="I192" s="39" t="str">
        <f>IFERROR(__xludf.DUMMYFUNCTION("JOIN("" | "",'Team Stats'!C$3:H$3)"),"0 | 0 | 0 | 0 | 0 | 0")</f>
        <v>0 | 0 | 0 | 0 | 0 | 0</v>
      </c>
      <c r="J192" s="40" t="str">
        <f>IFERROR(__xludf.DUMMYFUNCTION("JOIN("" | "",'Team Stats'!I$3:K$3)"),"0 | 0 | 0")</f>
        <v>0 | 0 | 0</v>
      </c>
      <c r="L192" s="42"/>
      <c r="M192" s="42"/>
      <c r="N192" s="42"/>
      <c r="O192" s="42"/>
      <c r="P192" s="42"/>
      <c r="Q192" s="42"/>
    </row>
    <row r="193">
      <c r="A193" s="54"/>
      <c r="B193" s="55">
        <v>192.0</v>
      </c>
      <c r="C193" s="55" t="str">
        <f>'Teams &amp; Draft Order'!$C$6</f>
        <v>Sleeper Cell </v>
      </c>
      <c r="D193" s="56"/>
      <c r="E193" s="57" t="str">
        <f>IFERROR(VLOOKUP($D193,PlayerDB!$F$2:$G209,2,FALSE),"")</f>
        <v/>
      </c>
      <c r="F193" s="57" t="str">
        <f>IFERROR(VLOOKUP($D193,PlayerDB!$F$2:$H209,3,FALSE),"")</f>
        <v/>
      </c>
      <c r="G193" s="58" t="str">
        <f>IFERROR(VLOOKUP($D193,PlayerDB!$F$2:$I209,4,FALSE),"")</f>
        <v/>
      </c>
      <c r="H193" s="59"/>
      <c r="I193" s="60" t="str">
        <f>IFERROR(__xludf.DUMMYFUNCTION("JOIN("" | "",'Team Stats'!C$2:H$2)"),"1 | 0 | 0 | 0 | 0 | 0")</f>
        <v>1 | 0 | 0 | 0 | 0 | 0</v>
      </c>
      <c r="J193" s="64" t="str">
        <f>IFERROR(__xludf.DUMMYFUNCTION("JOIN("" | "",'Team Stats'!I$2:K$2)"),"0 | 0 | 0")</f>
        <v>0 | 0 | 0</v>
      </c>
      <c r="L193" s="42"/>
      <c r="M193" s="42"/>
      <c r="N193" s="42"/>
      <c r="O193" s="42"/>
      <c r="P193" s="42"/>
      <c r="Q193" s="42"/>
    </row>
    <row r="194">
      <c r="A194" s="33" t="s">
        <v>109</v>
      </c>
      <c r="B194" s="34">
        <v>193.0</v>
      </c>
      <c r="C194" s="34" t="str">
        <f>'Teams &amp; Draft Order'!$C$6</f>
        <v>Sleeper Cell </v>
      </c>
      <c r="D194" s="35"/>
      <c r="E194" s="36" t="str">
        <f>IFERROR(VLOOKUP($D194,PlayerDB!$F$2:$G209,2,FALSE),"")</f>
        <v/>
      </c>
      <c r="F194" s="36" t="str">
        <f>IFERROR(VLOOKUP($D194,PlayerDB!$F$2:$H209,3,FALSE),"")</f>
        <v/>
      </c>
      <c r="G194" s="37" t="str">
        <f>IFERROR(VLOOKUP($D194,PlayerDB!$F$2:$I209,4,FALSE),"")</f>
        <v/>
      </c>
      <c r="H194" s="38"/>
      <c r="I194" s="39" t="str">
        <f>IFERROR(__xludf.DUMMYFUNCTION("JOIN("" | "",'Team Stats'!C$2:H$2)"),"1 | 0 | 0 | 0 | 0 | 0")</f>
        <v>1 | 0 | 0 | 0 | 0 | 0</v>
      </c>
      <c r="J194" s="40" t="str">
        <f>IFERROR(__xludf.DUMMYFUNCTION("JOIN("" | "",'Team Stats'!I$2:K$2)"),"0 | 0 | 0")</f>
        <v>0 | 0 | 0</v>
      </c>
      <c r="L194" s="42"/>
      <c r="M194" s="42"/>
      <c r="N194" s="42"/>
      <c r="O194" s="42"/>
      <c r="P194" s="42"/>
      <c r="Q194" s="42"/>
    </row>
    <row r="195">
      <c r="A195" s="45"/>
      <c r="B195" s="46">
        <v>194.0</v>
      </c>
      <c r="C195" s="46" t="str">
        <f>'Teams &amp; Draft Order'!$C$7</f>
        <v>Phantasm</v>
      </c>
      <c r="D195" s="47"/>
      <c r="E195" s="48" t="str">
        <f>IFERROR(VLOOKUP($D195,PlayerDB!$F$2:$G209,2,FALSE),"")</f>
        <v/>
      </c>
      <c r="F195" s="48" t="str">
        <f>IFERROR(VLOOKUP($D195,PlayerDB!$F$2:$H209,3,FALSE),"")</f>
        <v/>
      </c>
      <c r="G195" s="49" t="str">
        <f>IFERROR(VLOOKUP($D195,PlayerDB!$F$2:$I209,4,FALSE),"")</f>
        <v/>
      </c>
      <c r="H195" s="38"/>
      <c r="I195" s="50" t="str">
        <f>IFERROR(__xludf.DUMMYFUNCTION("JOIN("" | "",'Team Stats'!C$3:H$3)"),"0 | 0 | 0 | 0 | 0 | 0")</f>
        <v>0 | 0 | 0 | 0 | 0 | 0</v>
      </c>
      <c r="J195" s="51" t="str">
        <f>IFERROR(__xludf.DUMMYFUNCTION("JOIN("" | "",'Team Stats'!I$3:K$3)"),"0 | 0 | 0")</f>
        <v>0 | 0 | 0</v>
      </c>
      <c r="L195" s="42"/>
      <c r="M195" s="42"/>
      <c r="N195" s="42"/>
      <c r="O195" s="42"/>
      <c r="P195" s="42"/>
      <c r="Q195" s="42"/>
    </row>
    <row r="196">
      <c r="A196" s="33"/>
      <c r="B196" s="34">
        <v>195.0</v>
      </c>
      <c r="C196" s="34" t="str">
        <f>'Teams &amp; Draft Order'!$C$8</f>
        <v>Icelanders</v>
      </c>
      <c r="D196" s="35"/>
      <c r="E196" s="36" t="str">
        <f>IFERROR(VLOOKUP($D196,PlayerDB!$F$2:$G209,2,FALSE),"")</f>
        <v/>
      </c>
      <c r="F196" s="36" t="str">
        <f>IFERROR(VLOOKUP($D196,PlayerDB!$F$2:$H209,3,FALSE),"")</f>
        <v/>
      </c>
      <c r="G196" s="37" t="str">
        <f>IFERROR(VLOOKUP($D196,PlayerDB!$F$2:$I209,4,FALSE),"")</f>
        <v/>
      </c>
      <c r="H196" s="38"/>
      <c r="I196" s="39" t="str">
        <f>IFERROR(__xludf.DUMMYFUNCTION("JOIN("" | "",'Team Stats'!C$4:H$4)"),"0 | 0 | 0 | 0 | 0 | 0")</f>
        <v>0 | 0 | 0 | 0 | 0 | 0</v>
      </c>
      <c r="J196" s="40" t="str">
        <f>IFERROR(__xludf.DUMMYFUNCTION("JOIN("" | "",'Team Stats'!I$4:K$4)"),"0 | 0 | 0")</f>
        <v>0 | 0 | 0</v>
      </c>
      <c r="L196" s="42"/>
      <c r="M196" s="42"/>
      <c r="N196" s="42"/>
      <c r="O196" s="42"/>
      <c r="P196" s="42"/>
      <c r="Q196" s="42"/>
    </row>
    <row r="197">
      <c r="A197" s="45"/>
      <c r="B197" s="46">
        <v>196.0</v>
      </c>
      <c r="C197" s="46" t="str">
        <f>'Teams &amp; Draft Order'!$C$9</f>
        <v>El Nino</v>
      </c>
      <c r="D197" s="47"/>
      <c r="E197" s="48" t="str">
        <f>IFERROR(VLOOKUP($D197,PlayerDB!$F$2:$G209,2,FALSE),"")</f>
        <v/>
      </c>
      <c r="F197" s="48" t="str">
        <f>IFERROR(VLOOKUP($D197,PlayerDB!$F$2:$H209,3,FALSE),"")</f>
        <v/>
      </c>
      <c r="G197" s="49" t="str">
        <f>IFERROR(VLOOKUP($D197,PlayerDB!$F$2:$I209,4,FALSE),"")</f>
        <v/>
      </c>
      <c r="H197" s="38"/>
      <c r="I197" s="50" t="str">
        <f>IFERROR(__xludf.DUMMYFUNCTION("JOIN("" | "",'Team Stats'!C$5:H$5)"),"0 | 0 | 0 | 0 | 0 | 0")</f>
        <v>0 | 0 | 0 | 0 | 0 | 0</v>
      </c>
      <c r="J197" s="51" t="str">
        <f>IFERROR(__xludf.DUMMYFUNCTION("JOIN("" | "",'Team Stats'!I$5:K$5)"),"0 | 0 | 0")</f>
        <v>0 | 0 | 0</v>
      </c>
      <c r="L197" s="42"/>
      <c r="M197" s="42"/>
      <c r="N197" s="42"/>
      <c r="O197" s="42"/>
      <c r="P197" s="42"/>
      <c r="Q197" s="42"/>
    </row>
    <row r="198">
      <c r="A198" s="33"/>
      <c r="B198" s="34">
        <v>197.0</v>
      </c>
      <c r="C198" s="34" t="str">
        <f>'Teams &amp; Draft Order'!$C$10</f>
        <v>Buttheads</v>
      </c>
      <c r="D198" s="35"/>
      <c r="E198" s="36" t="str">
        <f>IFERROR(VLOOKUP($D198,PlayerDB!$F$2:$G209,2,FALSE),"")</f>
        <v/>
      </c>
      <c r="F198" s="36" t="str">
        <f>IFERROR(VLOOKUP($D198,PlayerDB!$F$2:$H209,3,FALSE),"")</f>
        <v/>
      </c>
      <c r="G198" s="37" t="str">
        <f>IFERROR(VLOOKUP($D198,PlayerDB!$F$2:$I209,4,FALSE),"")</f>
        <v/>
      </c>
      <c r="H198" s="38"/>
      <c r="I198" s="39" t="str">
        <f>IFERROR(__xludf.DUMMYFUNCTION("JOIN("" | "",'Team Stats'!C$6:H$6)"),"0 | 0 | 0 | 0 | 0 | 0")</f>
        <v>0 | 0 | 0 | 0 | 0 | 0</v>
      </c>
      <c r="J198" s="40" t="str">
        <f>IFERROR(__xludf.DUMMYFUNCTION("JOIN("" | "",'Team Stats'!I$6:K$6)"),"0 | 0 | 0")</f>
        <v>0 | 0 | 0</v>
      </c>
      <c r="L198" s="42"/>
      <c r="M198" s="42"/>
      <c r="N198" s="42"/>
      <c r="O198" s="42"/>
      <c r="P198" s="42"/>
      <c r="Q198" s="42"/>
    </row>
    <row r="199">
      <c r="A199" s="45"/>
      <c r="B199" s="46">
        <v>198.0</v>
      </c>
      <c r="C199" s="46" t="str">
        <f>'Teams &amp; Draft Order'!$C$11</f>
        <v>Big Boys Big Work</v>
      </c>
      <c r="D199" s="47"/>
      <c r="E199" s="48" t="str">
        <f>IFERROR(VLOOKUP($D199,PlayerDB!$F$2:$G209,2,FALSE),"")</f>
        <v/>
      </c>
      <c r="F199" s="48" t="str">
        <f>IFERROR(VLOOKUP($D199,PlayerDB!$F$2:$H209,3,FALSE),"")</f>
        <v/>
      </c>
      <c r="G199" s="49" t="str">
        <f>IFERROR(VLOOKUP($D199,PlayerDB!$F$2:$I209,4,FALSE),"")</f>
        <v/>
      </c>
      <c r="H199" s="38"/>
      <c r="I199" s="50" t="str">
        <f>IFERROR(__xludf.DUMMYFUNCTION("JOIN("" | "",'Team Stats'!C$7:H$7)"),"0 | 0 | 0 | 0 | 0 | 0")</f>
        <v>0 | 0 | 0 | 0 | 0 | 0</v>
      </c>
      <c r="J199" s="51" t="str">
        <f>IFERROR(__xludf.DUMMYFUNCTION("JOIN("" | "",'Team Stats'!I$7:K$7)"),"0 | 0 | 0")</f>
        <v>0 | 0 | 0</v>
      </c>
      <c r="L199" s="42"/>
      <c r="M199" s="42"/>
      <c r="N199" s="42"/>
      <c r="O199" s="42"/>
      <c r="P199" s="42"/>
      <c r="Q199" s="42"/>
    </row>
    <row r="200">
      <c r="A200" s="33"/>
      <c r="B200" s="34">
        <v>199.0</v>
      </c>
      <c r="C200" s="34" t="str">
        <f>'Teams &amp; Draft Order'!$C$12</f>
        <v>Turbo-Ginz</v>
      </c>
      <c r="D200" s="35"/>
      <c r="E200" s="36" t="str">
        <f>IFERROR(VLOOKUP($D200,PlayerDB!$F$2:$G209,2,FALSE),"")</f>
        <v/>
      </c>
      <c r="F200" s="36" t="str">
        <f>IFERROR(VLOOKUP($D200,PlayerDB!$F$2:$H209,3,FALSE),"")</f>
        <v/>
      </c>
      <c r="G200" s="37" t="str">
        <f>IFERROR(VLOOKUP($D200,PlayerDB!$F$2:$I209,4,FALSE),"")</f>
        <v/>
      </c>
      <c r="H200" s="38"/>
      <c r="I200" s="39" t="str">
        <f>IFERROR(__xludf.DUMMYFUNCTION("JOIN("" | "",'Team Stats'!C$8:H$8)"),"0 | 0 | 0 | 0 | 0 | 0")</f>
        <v>0 | 0 | 0 | 0 | 0 | 0</v>
      </c>
      <c r="J200" s="40" t="str">
        <f>IFERROR(__xludf.DUMMYFUNCTION("JOIN("" | "",'Team Stats'!I$8:K$8)"),"0 | 0 | 0")</f>
        <v>0 | 0 | 0</v>
      </c>
      <c r="L200" s="42"/>
      <c r="M200" s="42"/>
      <c r="N200" s="42"/>
      <c r="O200" s="42"/>
      <c r="P200" s="42"/>
      <c r="Q200" s="42"/>
    </row>
    <row r="201">
      <c r="A201" s="54"/>
      <c r="B201" s="55">
        <v>200.0</v>
      </c>
      <c r="C201" s="55" t="str">
        <f>'Teams &amp; Draft Order'!$C$13</f>
        <v>Luddite</v>
      </c>
      <c r="D201" s="56"/>
      <c r="E201" s="57" t="str">
        <f>IFERROR(VLOOKUP($D201,PlayerDB!$F$2:$G209,2,FALSE),"")</f>
        <v/>
      </c>
      <c r="F201" s="57" t="str">
        <f>IFERROR(VLOOKUP($D201,PlayerDB!$F$2:$H209,3,FALSE),"")</f>
        <v/>
      </c>
      <c r="G201" s="58" t="str">
        <f>IFERROR(VLOOKUP($D201,PlayerDB!$F$2:$I209,4,FALSE),"")</f>
        <v/>
      </c>
      <c r="H201" s="59"/>
      <c r="I201" s="60" t="str">
        <f>IFERROR(__xludf.DUMMYFUNCTION("JOIN("" | "",'Team Stats'!C$9:H$9)"),"0 | 0 | 0 | 0 | 0 | 0")</f>
        <v>0 | 0 | 0 | 0 | 0 | 0</v>
      </c>
      <c r="J201" s="51" t="str">
        <f>IFERROR(__xludf.DUMMYFUNCTION("JOIN("" | "",'Team Stats'!I$9:K$9)"),"0 | 0 | 0")</f>
        <v>0 | 0 | 0</v>
      </c>
      <c r="L201" s="42"/>
      <c r="M201" s="42"/>
      <c r="N201" s="42"/>
      <c r="O201" s="42"/>
      <c r="P201" s="42"/>
      <c r="Q201" s="42"/>
    </row>
    <row r="202">
      <c r="A202" s="33" t="s">
        <v>110</v>
      </c>
      <c r="B202" s="34">
        <v>201.0</v>
      </c>
      <c r="C202" s="34" t="str">
        <f>'Teams &amp; Draft Order'!$C$13</f>
        <v>Luddite</v>
      </c>
      <c r="D202" s="35"/>
      <c r="E202" s="36" t="str">
        <f>IFERROR(VLOOKUP($D202,PlayerDB!$F$2:$G209,2,FALSE),"")</f>
        <v/>
      </c>
      <c r="F202" s="36" t="str">
        <f>IFERROR(VLOOKUP($D202,PlayerDB!$F$2:$H209,3,FALSE),"")</f>
        <v/>
      </c>
      <c r="G202" s="37" t="str">
        <f>IFERROR(VLOOKUP($D202,PlayerDB!$F$2:$I209,4,FALSE),"")</f>
        <v/>
      </c>
      <c r="H202" s="38"/>
      <c r="I202" s="39" t="str">
        <f>IFERROR(__xludf.DUMMYFUNCTION("JOIN("" | "",'Team Stats'!C$9:H$9)"),"0 | 0 | 0 | 0 | 0 | 0")</f>
        <v>0 | 0 | 0 | 0 | 0 | 0</v>
      </c>
      <c r="J202" s="40" t="str">
        <f>IFERROR(__xludf.DUMMYFUNCTION("JOIN("" | "",#REF!)"),"#REF!")</f>
        <v>#REF!</v>
      </c>
      <c r="L202" s="42"/>
      <c r="M202" s="42"/>
      <c r="N202" s="42"/>
      <c r="O202" s="42"/>
      <c r="P202" s="42"/>
      <c r="Q202" s="42"/>
    </row>
    <row r="203">
      <c r="A203" s="45"/>
      <c r="B203" s="46">
        <v>202.0</v>
      </c>
      <c r="C203" s="46" t="str">
        <f>'Teams &amp; Draft Order'!$C$12</f>
        <v>Turbo-Ginz</v>
      </c>
      <c r="D203" s="47"/>
      <c r="E203" s="48" t="str">
        <f>IFERROR(VLOOKUP($D203,PlayerDB!$F$2:$G209,2,FALSE),"")</f>
        <v/>
      </c>
      <c r="F203" s="48" t="str">
        <f>IFERROR(VLOOKUP($D203,PlayerDB!$F$2:$H209,3,FALSE),"")</f>
        <v/>
      </c>
      <c r="G203" s="49" t="str">
        <f>IFERROR(VLOOKUP($D203,PlayerDB!$F$2:$I209,4,FALSE),"")</f>
        <v/>
      </c>
      <c r="H203" s="38"/>
      <c r="I203" s="50" t="str">
        <f>IFERROR(__xludf.DUMMYFUNCTION("JOIN("" | "",'Team Stats'!C$8:H$8)"),"0 | 0 | 0 | 0 | 0 | 0")</f>
        <v>0 | 0 | 0 | 0 | 0 | 0</v>
      </c>
      <c r="J203" s="51" t="str">
        <f>IFERROR(__xludf.DUMMYFUNCTION("JOIN("" | "",#REF!)"),"#REF!")</f>
        <v>#REF!</v>
      </c>
      <c r="L203" s="42"/>
      <c r="M203" s="42"/>
      <c r="N203" s="42"/>
      <c r="O203" s="42"/>
      <c r="P203" s="42"/>
      <c r="Q203" s="42"/>
    </row>
    <row r="204">
      <c r="A204" s="33"/>
      <c r="B204" s="34">
        <v>203.0</v>
      </c>
      <c r="C204" s="34" t="str">
        <f>'Teams &amp; Draft Order'!$C$11</f>
        <v>Big Boys Big Work</v>
      </c>
      <c r="D204" s="35"/>
      <c r="E204" s="36" t="str">
        <f>IFERROR(VLOOKUP($D204,PlayerDB!$F$2:$G209,2,FALSE),"")</f>
        <v/>
      </c>
      <c r="F204" s="36" t="str">
        <f>IFERROR(VLOOKUP($D204,PlayerDB!$F$2:$H209,3,FALSE),"")</f>
        <v/>
      </c>
      <c r="G204" s="37" t="str">
        <f>IFERROR(VLOOKUP($D204,PlayerDB!$F$2:$I209,4,FALSE),"")</f>
        <v/>
      </c>
      <c r="H204" s="38"/>
      <c r="I204" s="39" t="str">
        <f>IFERROR(__xludf.DUMMYFUNCTION("JOIN("" | "",'Team Stats'!C$7:H$7)"),"0 | 0 | 0 | 0 | 0 | 0")</f>
        <v>0 | 0 | 0 | 0 | 0 | 0</v>
      </c>
      <c r="J204" s="40" t="str">
        <f>IFERROR(__xludf.DUMMYFUNCTION("JOIN("" | "",#REF!)"),"#REF!")</f>
        <v>#REF!</v>
      </c>
      <c r="L204" s="42"/>
      <c r="M204" s="42"/>
      <c r="N204" s="42"/>
      <c r="O204" s="42"/>
      <c r="P204" s="42"/>
      <c r="Q204" s="42"/>
    </row>
    <row r="205">
      <c r="A205" s="45"/>
      <c r="B205" s="46">
        <v>204.0</v>
      </c>
      <c r="C205" s="46" t="str">
        <f>'Teams &amp; Draft Order'!$C$10</f>
        <v>Buttheads</v>
      </c>
      <c r="D205" s="47"/>
      <c r="E205" s="48" t="str">
        <f>IFERROR(VLOOKUP($D205,PlayerDB!$F$2:$G209,2,FALSE),"")</f>
        <v/>
      </c>
      <c r="F205" s="48" t="str">
        <f>IFERROR(VLOOKUP($D205,PlayerDB!$F$2:$H209,3,FALSE),"")</f>
        <v/>
      </c>
      <c r="G205" s="49" t="str">
        <f>IFERROR(VLOOKUP($D205,PlayerDB!$F$2:$I209,4,FALSE),"")</f>
        <v/>
      </c>
      <c r="H205" s="38"/>
      <c r="I205" s="50" t="str">
        <f>IFERROR(__xludf.DUMMYFUNCTION("JOIN("" | "",'Team Stats'!C$6:H$6)"),"0 | 0 | 0 | 0 | 0 | 0")</f>
        <v>0 | 0 | 0 | 0 | 0 | 0</v>
      </c>
      <c r="J205" s="51" t="str">
        <f>IFERROR(__xludf.DUMMYFUNCTION("JOIN("" | "",#REF!)"),"#REF!")</f>
        <v>#REF!</v>
      </c>
      <c r="L205" s="42"/>
      <c r="M205" s="42"/>
      <c r="N205" s="42"/>
      <c r="O205" s="42"/>
      <c r="P205" s="42"/>
      <c r="Q205" s="42"/>
    </row>
    <row r="206">
      <c r="A206" s="33"/>
      <c r="B206" s="34">
        <v>205.0</v>
      </c>
      <c r="C206" s="34" t="str">
        <f>'Teams &amp; Draft Order'!$C$9</f>
        <v>El Nino</v>
      </c>
      <c r="D206" s="35"/>
      <c r="E206" s="36" t="str">
        <f>IFERROR(VLOOKUP($D206,PlayerDB!$F$2:$G209,2,FALSE),"")</f>
        <v/>
      </c>
      <c r="F206" s="36" t="str">
        <f>IFERROR(VLOOKUP($D206,PlayerDB!$F$2:$H209,3,FALSE),"")</f>
        <v/>
      </c>
      <c r="G206" s="37" t="str">
        <f>IFERROR(VLOOKUP($D206,PlayerDB!$F$2:$I209,4,FALSE),"")</f>
        <v/>
      </c>
      <c r="H206" s="38"/>
      <c r="I206" s="39" t="str">
        <f>IFERROR(__xludf.DUMMYFUNCTION("JOIN("" | "",'Team Stats'!C$5:H$5)"),"0 | 0 | 0 | 0 | 0 | 0")</f>
        <v>0 | 0 | 0 | 0 | 0 | 0</v>
      </c>
      <c r="J206" s="62" t="str">
        <f>IFERROR(__xludf.DUMMYFUNCTION("JOIN("" | "",#REF!)"),"#REF!")</f>
        <v>#REF!</v>
      </c>
      <c r="L206" s="42"/>
      <c r="M206" s="42"/>
      <c r="N206" s="42"/>
      <c r="O206" s="42"/>
      <c r="P206" s="42"/>
      <c r="Q206" s="42"/>
    </row>
    <row r="207">
      <c r="A207" s="45"/>
      <c r="B207" s="46">
        <v>206.0</v>
      </c>
      <c r="C207" s="46" t="str">
        <f>'Teams &amp; Draft Order'!$C$8</f>
        <v>Icelanders</v>
      </c>
      <c r="D207" s="47"/>
      <c r="E207" s="48" t="str">
        <f>IFERROR(VLOOKUP($D207,PlayerDB!$F$2:$G209,2,FALSE),"")</f>
        <v/>
      </c>
      <c r="F207" s="48" t="str">
        <f>IFERROR(VLOOKUP($D207,PlayerDB!$F$2:$H209,3,FALSE),"")</f>
        <v/>
      </c>
      <c r="G207" s="49" t="str">
        <f>IFERROR(VLOOKUP($D207,PlayerDB!$F$2:$I209,4,FALSE),"")</f>
        <v/>
      </c>
      <c r="H207" s="38"/>
      <c r="I207" s="50" t="str">
        <f>IFERROR(__xludf.DUMMYFUNCTION("JOIN("" | "",'Team Stats'!C$4:H$4)"),"0 | 0 | 0 | 0 | 0 | 0")</f>
        <v>0 | 0 | 0 | 0 | 0 | 0</v>
      </c>
      <c r="J207" s="51" t="str">
        <f>IFERROR(__xludf.DUMMYFUNCTION("JOIN("" | "",#REF!)"),"#REF!")</f>
        <v>#REF!</v>
      </c>
      <c r="L207" s="42"/>
      <c r="M207" s="42"/>
      <c r="N207" s="42"/>
      <c r="O207" s="42"/>
      <c r="P207" s="42"/>
      <c r="Q207" s="42"/>
    </row>
    <row r="208">
      <c r="A208" s="33"/>
      <c r="B208" s="34">
        <v>207.0</v>
      </c>
      <c r="C208" s="34" t="str">
        <f>'Teams &amp; Draft Order'!$C$7</f>
        <v>Phantasm</v>
      </c>
      <c r="D208" s="35"/>
      <c r="E208" s="36" t="str">
        <f>IFERROR(VLOOKUP($D208,PlayerDB!$F$2:$G209,2,FALSE),"")</f>
        <v/>
      </c>
      <c r="F208" s="36" t="str">
        <f>IFERROR(VLOOKUP($D208,PlayerDB!$F$2:$H209,3,FALSE),"")</f>
        <v/>
      </c>
      <c r="G208" s="37" t="str">
        <f>IFERROR(VLOOKUP($D208,PlayerDB!$F$2:$I209,4,FALSE),"")</f>
        <v/>
      </c>
      <c r="H208" s="38"/>
      <c r="I208" s="39" t="str">
        <f>IFERROR(__xludf.DUMMYFUNCTION("JOIN("" | "",'Team Stats'!C$3:H$3)"),"0 | 0 | 0 | 0 | 0 | 0")</f>
        <v>0 | 0 | 0 | 0 | 0 | 0</v>
      </c>
      <c r="J208" s="40" t="str">
        <f>IFERROR(__xludf.DUMMYFUNCTION("JOIN("" | "",#REF!)"),"#REF!")</f>
        <v>#REF!</v>
      </c>
      <c r="L208" s="42"/>
      <c r="M208" s="42"/>
      <c r="N208" s="42"/>
      <c r="O208" s="42"/>
      <c r="P208" s="42"/>
      <c r="Q208" s="42"/>
    </row>
    <row r="209">
      <c r="A209" s="54"/>
      <c r="B209" s="55">
        <v>208.0</v>
      </c>
      <c r="C209" s="55" t="str">
        <f>'Teams &amp; Draft Order'!$C$6</f>
        <v>Sleeper Cell </v>
      </c>
      <c r="D209" s="56"/>
      <c r="E209" s="57" t="str">
        <f>IFERROR(VLOOKUP($D209,PlayerDB!$F$2:$G209,2,FALSE),"")</f>
        <v/>
      </c>
      <c r="F209" s="57" t="str">
        <f>IFERROR(VLOOKUP($D209,PlayerDB!$F$2:$H209,3,FALSE),"")</f>
        <v/>
      </c>
      <c r="G209" s="58" t="str">
        <f>IFERROR(VLOOKUP($D209,PlayerDB!$F$2:$I209,4,FALSE),"")</f>
        <v/>
      </c>
      <c r="H209" s="59"/>
      <c r="I209" s="60" t="str">
        <f>IFERROR(__xludf.DUMMYFUNCTION("JOIN("" | "",'Team Stats'!C$2:H$2)"),"1 | 0 | 0 | 0 | 0 | 0")</f>
        <v>1 | 0 | 0 | 0 | 0 | 0</v>
      </c>
      <c r="J209" s="51" t="str">
        <f>IFERROR(__xludf.DUMMYFUNCTION("JOIN("" | "",#REF!)"),"#REF!")</f>
        <v>#REF!</v>
      </c>
      <c r="L209" s="42"/>
      <c r="M209" s="42"/>
      <c r="N209" s="42"/>
      <c r="O209" s="42"/>
      <c r="P209" s="42"/>
      <c r="Q209" s="42"/>
    </row>
  </sheetData>
  <autoFilter ref="$B$1:$G$209"/>
  <mergeCells count="4">
    <mergeCell ref="L1:Q1"/>
    <mergeCell ref="K2:K209"/>
    <mergeCell ref="L2:N2"/>
    <mergeCell ref="R2:R209"/>
  </mergeCells>
  <conditionalFormatting sqref="G2:G209">
    <cfRule type="notContainsBlanks" dxfId="6" priority="1">
      <formula>LEN(TRIM(G2))&gt;0</formula>
    </cfRule>
  </conditionalFormatting>
  <conditionalFormatting sqref="A1:R209">
    <cfRule type="cellIs" dxfId="7" priority="2" operator="equal">
      <formula>"FA"</formula>
    </cfRule>
  </conditionalFormatting>
  <conditionalFormatting sqref="A1:R209">
    <cfRule type="cellIs" dxfId="8" priority="3" operator="equal">
      <formula>"ARI"</formula>
    </cfRule>
  </conditionalFormatting>
  <conditionalFormatting sqref="A1:R209">
    <cfRule type="cellIs" dxfId="9" priority="4" operator="equal">
      <formula>"ATL"</formula>
    </cfRule>
  </conditionalFormatting>
  <conditionalFormatting sqref="A1:R209">
    <cfRule type="cellIs" dxfId="10" priority="5" operator="equal">
      <formula>"BAL"</formula>
    </cfRule>
  </conditionalFormatting>
  <conditionalFormatting sqref="A1:R209">
    <cfRule type="cellIs" dxfId="11" priority="6" operator="equal">
      <formula>"BUF"</formula>
    </cfRule>
  </conditionalFormatting>
  <conditionalFormatting sqref="A1:R209">
    <cfRule type="cellIs" dxfId="12" priority="7" operator="equal">
      <formula>"CAR"</formula>
    </cfRule>
  </conditionalFormatting>
  <conditionalFormatting sqref="A1:R209">
    <cfRule type="cellIs" dxfId="13" priority="8" operator="equal">
      <formula>"CHI"</formula>
    </cfRule>
  </conditionalFormatting>
  <conditionalFormatting sqref="A1:R209">
    <cfRule type="cellIs" dxfId="14" priority="9" operator="equal">
      <formula>"CIN"</formula>
    </cfRule>
  </conditionalFormatting>
  <conditionalFormatting sqref="A1:R209">
    <cfRule type="cellIs" dxfId="15" priority="10" operator="equal">
      <formula>"CLE"</formula>
    </cfRule>
  </conditionalFormatting>
  <conditionalFormatting sqref="A1:R209">
    <cfRule type="cellIs" dxfId="16" priority="11" operator="equal">
      <formula>"DAL"</formula>
    </cfRule>
  </conditionalFormatting>
  <conditionalFormatting sqref="A1:R209">
    <cfRule type="cellIs" dxfId="17" priority="12" operator="equal">
      <formula>"DEN"</formula>
    </cfRule>
  </conditionalFormatting>
  <conditionalFormatting sqref="A1:R209">
    <cfRule type="cellIs" dxfId="18" priority="13" operator="equal">
      <formula>"DET"</formula>
    </cfRule>
  </conditionalFormatting>
  <conditionalFormatting sqref="A1:R209">
    <cfRule type="cellIs" dxfId="19" priority="14" operator="equal">
      <formula>"GBP"</formula>
    </cfRule>
  </conditionalFormatting>
  <conditionalFormatting sqref="A1:R209">
    <cfRule type="cellIs" dxfId="20" priority="15" operator="equal">
      <formula>"HOU"</formula>
    </cfRule>
  </conditionalFormatting>
  <conditionalFormatting sqref="A1:R209">
    <cfRule type="cellIs" dxfId="21" priority="16" operator="equal">
      <formula>"IND"</formula>
    </cfRule>
  </conditionalFormatting>
  <conditionalFormatting sqref="A1:R209">
    <cfRule type="cellIs" dxfId="22" priority="17" operator="equal">
      <formula>"JAC"</formula>
    </cfRule>
  </conditionalFormatting>
  <conditionalFormatting sqref="A1:R209">
    <cfRule type="cellIs" dxfId="23" priority="18" operator="equal">
      <formula>"KCC"</formula>
    </cfRule>
  </conditionalFormatting>
  <conditionalFormatting sqref="A1:R209">
    <cfRule type="cellIs" dxfId="24" priority="19" operator="equal">
      <formula>"LAC"</formula>
    </cfRule>
  </conditionalFormatting>
  <conditionalFormatting sqref="A1:R209">
    <cfRule type="cellIs" dxfId="25" priority="20" operator="equal">
      <formula>"LAR"</formula>
    </cfRule>
  </conditionalFormatting>
  <conditionalFormatting sqref="A1:R209">
    <cfRule type="cellIs" dxfId="26" priority="21" operator="equal">
      <formula>"MIA"</formula>
    </cfRule>
  </conditionalFormatting>
  <conditionalFormatting sqref="A1:R209">
    <cfRule type="cellIs" dxfId="27" priority="22" operator="equal">
      <formula>"MIN"</formula>
    </cfRule>
  </conditionalFormatting>
  <conditionalFormatting sqref="A1:R209">
    <cfRule type="cellIs" dxfId="28" priority="23" operator="equal">
      <formula>"NEP"</formula>
    </cfRule>
  </conditionalFormatting>
  <conditionalFormatting sqref="A1:R209">
    <cfRule type="cellIs" dxfId="29" priority="24" operator="equal">
      <formula>"NOS"</formula>
    </cfRule>
  </conditionalFormatting>
  <conditionalFormatting sqref="A1:R209">
    <cfRule type="cellIs" dxfId="30" priority="25" operator="equal">
      <formula>"NYG"</formula>
    </cfRule>
  </conditionalFormatting>
  <conditionalFormatting sqref="A1:R209">
    <cfRule type="cellIs" dxfId="31" priority="26" operator="equal">
      <formula>"NYJ"</formula>
    </cfRule>
  </conditionalFormatting>
  <conditionalFormatting sqref="A1:R209">
    <cfRule type="cellIs" dxfId="32" priority="27" operator="equal">
      <formula>"LVR"</formula>
    </cfRule>
  </conditionalFormatting>
  <conditionalFormatting sqref="A1:R209">
    <cfRule type="cellIs" dxfId="33" priority="28" operator="equal">
      <formula>"PHI"</formula>
    </cfRule>
  </conditionalFormatting>
  <conditionalFormatting sqref="A1:R209">
    <cfRule type="cellIs" dxfId="34" priority="29" operator="equal">
      <formula>"PIT"</formula>
    </cfRule>
  </conditionalFormatting>
  <conditionalFormatting sqref="A1:R209">
    <cfRule type="cellIs" dxfId="35" priority="30" operator="equal">
      <formula>"SFO"</formula>
    </cfRule>
  </conditionalFormatting>
  <conditionalFormatting sqref="A1:R209">
    <cfRule type="cellIs" dxfId="36" priority="31" operator="equal">
      <formula>"SEA"</formula>
    </cfRule>
  </conditionalFormatting>
  <conditionalFormatting sqref="A1:R209">
    <cfRule type="cellIs" dxfId="37" priority="32" operator="equal">
      <formula>"TBB"</formula>
    </cfRule>
  </conditionalFormatting>
  <conditionalFormatting sqref="A1:R209">
    <cfRule type="cellIs" dxfId="38" priority="33" operator="equal">
      <formula>"TEN"</formula>
    </cfRule>
  </conditionalFormatting>
  <conditionalFormatting sqref="A1:R209">
    <cfRule type="cellIs" dxfId="39" priority="34" operator="equal">
      <formula>"WAS"</formula>
    </cfRule>
  </conditionalFormatting>
  <conditionalFormatting sqref="A1:R209">
    <cfRule type="cellIs" dxfId="40" priority="35" operator="equal">
      <formula>"QB"</formula>
    </cfRule>
  </conditionalFormatting>
  <conditionalFormatting sqref="A1:R209">
    <cfRule type="cellIs" dxfId="41" priority="36" operator="equal">
      <formula>"WR"</formula>
    </cfRule>
  </conditionalFormatting>
  <conditionalFormatting sqref="A1:R209">
    <cfRule type="cellIs" dxfId="1" priority="37" operator="equal">
      <formula>"RB"</formula>
    </cfRule>
  </conditionalFormatting>
  <conditionalFormatting sqref="A1:R209">
    <cfRule type="cellIs" dxfId="0" priority="38" operator="equal">
      <formula>"TE"</formula>
    </cfRule>
  </conditionalFormatting>
  <conditionalFormatting sqref="E1:E209 F2:G209 N3:N22">
    <cfRule type="cellIs" dxfId="42" priority="39" operator="equal">
      <formula>"Draft"</formula>
    </cfRule>
  </conditionalFormatting>
  <conditionalFormatting sqref="A1:R209">
    <cfRule type="cellIs" dxfId="43" priority="40" operator="equal">
      <formula>"DL"</formula>
    </cfRule>
  </conditionalFormatting>
  <conditionalFormatting sqref="A1:R209">
    <cfRule type="cellIs" dxfId="44" priority="41" operator="equal">
      <formula>"LB"</formula>
    </cfRule>
  </conditionalFormatting>
  <conditionalFormatting sqref="A1:R209">
    <cfRule type="cellIs" dxfId="45" priority="42" operator="equal">
      <formula>"DB"</formula>
    </cfRule>
  </conditionalFormatting>
  <conditionalFormatting sqref="A1:R209">
    <cfRule type="cellIs" dxfId="46" priority="43" operator="equal">
      <formula>"K"</formula>
    </cfRule>
  </conditionalFormatting>
  <conditionalFormatting sqref="C1">
    <cfRule type="cellIs" dxfId="47" priority="44" operator="equal">
      <formula>"ENTER TEAMS FIRST"</formula>
    </cfRule>
  </conditionalFormatting>
  <conditionalFormatting sqref="D1">
    <cfRule type="cellIs" dxfId="3" priority="45" operator="equal">
      <formula>"SEE DRAFT ORDER TAB"</formula>
    </cfRule>
  </conditionalFormatting>
  <conditionalFormatting sqref="A1:R209">
    <cfRule type="cellIs" dxfId="48" priority="46" operator="equal">
      <formula>"D/ST"</formula>
    </cfRule>
  </conditionalFormatting>
  <dataValidations>
    <dataValidation type="list" allowBlank="1" sqref="D2:D209">
      <formula1>HELP_PlayersLeft!$A$2:$A209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6.88"/>
    <col customWidth="1" min="3" max="3" width="22.25"/>
    <col customWidth="1" min="4" max="4" width="25.63"/>
    <col customWidth="1" min="5" max="5" width="7.63"/>
    <col customWidth="1" min="6" max="7" width="6.5"/>
    <col customWidth="1" min="8" max="8" width="4.5"/>
    <col customWidth="1" min="9" max="9" width="22.75"/>
    <col customWidth="1" hidden="1" min="10" max="10" width="10.63"/>
    <col customWidth="1" min="11" max="11" width="6.63"/>
    <col customWidth="1" min="12" max="12" width="20.75"/>
    <col customWidth="1" min="13" max="13" width="5.75"/>
    <col customWidth="1" min="14" max="14" width="6.5"/>
    <col customWidth="1" min="15" max="15" width="4.5"/>
    <col customWidth="1" min="16" max="16" width="20.63"/>
    <col customWidth="1" min="17" max="18" width="6.0"/>
  </cols>
  <sheetData>
    <row r="1">
      <c r="A1" s="28" t="s">
        <v>79</v>
      </c>
      <c r="B1" s="29" t="s">
        <v>80</v>
      </c>
      <c r="C1" s="29" t="str">
        <f>IF(C2="","ENTER TEAMS FIRST","Team")</f>
        <v>Team</v>
      </c>
      <c r="D1" s="29" t="str">
        <f>IF(C2="","SEE DRAFT ORDER TAB","Player")</f>
        <v>Player</v>
      </c>
      <c r="E1" s="29" t="s">
        <v>81</v>
      </c>
      <c r="F1" s="29" t="s">
        <v>82</v>
      </c>
      <c r="G1" s="29" t="s">
        <v>83</v>
      </c>
      <c r="H1" s="29"/>
      <c r="I1" s="30" t="str">
        <f>IFERROR(__xludf.DUMMYFUNCTION("JOIN("" | "",'Team Stats'!C$1:H$1)"),"QB | RB | WR | TE | K | D/ST")</f>
        <v>QB | RB | WR | TE | K | D/ST</v>
      </c>
      <c r="J1" s="31" t="str">
        <f>IFERROR(__xludf.DUMMYFUNCTION("JOIN("" | "",'Team Stats'!I$1:K$1)"),"DL | LB | DB")</f>
        <v>DL | LB | DB</v>
      </c>
      <c r="K1" s="32"/>
      <c r="L1" s="16" t="str">
        <f>"ADP (Fantasypros, "&amp; HOME!C5 &amp;")"</f>
        <v>ADP (Fantasypros, 28.08.2023)</v>
      </c>
      <c r="R1" s="16"/>
    </row>
    <row r="2">
      <c r="A2" s="33" t="s">
        <v>84</v>
      </c>
      <c r="B2" s="34">
        <v>1.0</v>
      </c>
      <c r="C2" s="34" t="str">
        <f>'Teams &amp; Draft Order'!$C$6</f>
        <v>Sleeper Cell </v>
      </c>
      <c r="D2" s="35"/>
      <c r="E2" s="36" t="str">
        <f>IFERROR(VLOOKUP($D2,PlayerDB!$F$2:$G261,2,FALSE),"")</f>
        <v/>
      </c>
      <c r="F2" s="36" t="str">
        <f>IFERROR(VLOOKUP($D2,PlayerDB!$F$2:$H261,3,FALSE),"")</f>
        <v/>
      </c>
      <c r="G2" s="37" t="str">
        <f>IFERROR(VLOOKUP($D2,PlayerDB!$F$2:$I261,4,FALSE),"")</f>
        <v/>
      </c>
      <c r="H2" s="38"/>
      <c r="I2" s="39" t="str">
        <f>IFERROR(__xludf.DUMMYFUNCTION("JOIN("" | "",'Team Stats'!C$2:H$2)"),"1 | 0 | 0 | 0 | 0 | 0")</f>
        <v>1 | 0 | 0 | 0 | 0 | 0</v>
      </c>
      <c r="J2" s="40" t="str">
        <f>IFERROR(__xludf.DUMMYFUNCTION("JOIN("" | "",'Team Stats'!I$2:K$2)"),"0 | 0 | 0")</f>
        <v>0 | 0 | 0</v>
      </c>
      <c r="K2" s="32"/>
      <c r="L2" s="41" t="s">
        <v>85</v>
      </c>
      <c r="O2" s="42"/>
      <c r="P2" s="43" t="s">
        <v>28</v>
      </c>
      <c r="Q2" s="44">
        <f>COUNTIF(F:F,"QB")</f>
        <v>0</v>
      </c>
      <c r="R2" s="44"/>
    </row>
    <row r="3">
      <c r="A3" s="45"/>
      <c r="B3" s="46">
        <v>2.0</v>
      </c>
      <c r="C3" s="46" t="str">
        <f>'Teams &amp; Draft Order'!$C$7</f>
        <v>Phantasm</v>
      </c>
      <c r="D3" s="47"/>
      <c r="E3" s="48" t="str">
        <f>IFERROR(VLOOKUP($D3,PlayerDB!$F$2:$G261,2,FALSE),"")</f>
        <v/>
      </c>
      <c r="F3" s="48" t="str">
        <f>IFERROR(VLOOKUP($D3,PlayerDB!$F$2:$H261,3,FALSE),"")</f>
        <v/>
      </c>
      <c r="G3" s="49" t="str">
        <f>IFERROR(VLOOKUP($D3,PlayerDB!$F$2:$I261,4,FALSE),"")</f>
        <v/>
      </c>
      <c r="H3" s="38"/>
      <c r="I3" s="50" t="str">
        <f>IFERROR(__xludf.DUMMYFUNCTION("JOIN("" | "",'Team Stats'!C$3:H$3)"),"0 | 0 | 0 | 0 | 0 | 0")</f>
        <v>0 | 0 | 0 | 0 | 0 | 0</v>
      </c>
      <c r="J3" s="51" t="str">
        <f>IFERROR(__xludf.DUMMYFUNCTION("JOIN("" | "",'Team Stats'!I$3:K$3)"),"0 | 0 | 0")</f>
        <v>0 | 0 | 0</v>
      </c>
      <c r="L3" s="42" t="str">
        <f>IFERROR(__xludf.DUMMYFUNCTION("QUERY(HELP_PlayersLeft!A2:B261, ""select A LIMIT 20"")"),"Ja'Marr Chase – CIN")</f>
        <v>Ja'Marr Chase – CIN</v>
      </c>
      <c r="M3" s="52">
        <f>IFERROR(VLOOKUP(L3,PlayerDB!$F$2:$G261,2,FALSE),"")</f>
        <v>231.2</v>
      </c>
      <c r="N3" s="53" t="str">
        <f>IFERROR(VLOOKUP($L3,PlayerDB!$F$2:$H261,3,FALSE),"")</f>
        <v>WR</v>
      </c>
      <c r="O3" s="42"/>
      <c r="P3" s="42" t="str">
        <f>IFERROR(__xludf.DUMMYFUNCTION("QUERY(HELP_PlayersLeft!A2:B261, ""select A where B ='QB' LIMIT 20"")"),"Lamar Jackson – BAL")</f>
        <v>Lamar Jackson – BAL</v>
      </c>
      <c r="Q3" s="52">
        <f>IFERROR(VLOOKUP(P3,PlayerDB!$F$2:$G261,2,FALSE),"")</f>
        <v>378.8</v>
      </c>
    </row>
    <row r="4">
      <c r="A4" s="33"/>
      <c r="B4" s="34">
        <v>3.0</v>
      </c>
      <c r="C4" s="34" t="str">
        <f>'Teams &amp; Draft Order'!$C$8</f>
        <v>Icelanders</v>
      </c>
      <c r="D4" s="35"/>
      <c r="E4" s="36" t="str">
        <f>IFERROR(VLOOKUP($D4,PlayerDB!$F$2:$G261,2,FALSE),"")</f>
        <v/>
      </c>
      <c r="F4" s="36" t="str">
        <f>IFERROR(VLOOKUP($D4,PlayerDB!$F$2:$H261,3,FALSE),"")</f>
        <v/>
      </c>
      <c r="G4" s="37" t="str">
        <f>IFERROR(VLOOKUP($D4,PlayerDB!$F$2:$I261,4,FALSE),"")</f>
        <v/>
      </c>
      <c r="H4" s="38"/>
      <c r="I4" s="39" t="str">
        <f>IFERROR(__xludf.DUMMYFUNCTION("JOIN("" | "",'Team Stats'!C$4:H$4)"),"0 | 0 | 0 | 0 | 0 | 0")</f>
        <v>0 | 0 | 0 | 0 | 0 | 0</v>
      </c>
      <c r="J4" s="40" t="str">
        <f>IFERROR(__xludf.DUMMYFUNCTION("JOIN("" | "",'Team Stats'!I$4:K$4)"),"0 | 0 | 0")</f>
        <v>0 | 0 | 0</v>
      </c>
      <c r="L4" s="20" t="str">
        <f>IFERROR(__xludf.DUMMYFUNCTION("""COMPUTED_VALUE"""),"Lamar Jackson – BAL")</f>
        <v>Lamar Jackson – BAL</v>
      </c>
      <c r="M4" s="52">
        <f>IFERROR(VLOOKUP(L4,PlayerDB!$F$2:$G261,2,FALSE),"")</f>
        <v>378.8</v>
      </c>
      <c r="N4" s="53" t="str">
        <f>IFERROR(VLOOKUP($L4,PlayerDB!$F$2:$H261,3,FALSE),"")</f>
        <v>QB</v>
      </c>
      <c r="O4" s="42"/>
      <c r="P4" s="20" t="str">
        <f>IFERROR(__xludf.DUMMYFUNCTION("""COMPUTED_VALUE"""),"Josh Allen – BUF")</f>
        <v>Josh Allen – BUF</v>
      </c>
      <c r="Q4" s="52">
        <f>IFERROR(VLOOKUP(P4,PlayerDB!$F$2:$G261,2,FALSE),"")</f>
        <v>376.7</v>
      </c>
    </row>
    <row r="5">
      <c r="A5" s="45"/>
      <c r="B5" s="46">
        <v>4.0</v>
      </c>
      <c r="C5" s="46" t="str">
        <f>'Teams &amp; Draft Order'!$C$9</f>
        <v>El Nino</v>
      </c>
      <c r="D5" s="47"/>
      <c r="E5" s="48" t="str">
        <f>IFERROR(VLOOKUP($D5,PlayerDB!$F$2:$G261,2,FALSE),"")</f>
        <v/>
      </c>
      <c r="F5" s="48" t="str">
        <f>IFERROR(VLOOKUP($D5,PlayerDB!$F$2:$H261,3,FALSE),"")</f>
        <v/>
      </c>
      <c r="G5" s="49" t="str">
        <f>IFERROR(VLOOKUP($D5,PlayerDB!$F$2:$I261,4,FALSE),"")</f>
        <v/>
      </c>
      <c r="H5" s="38"/>
      <c r="I5" s="50" t="str">
        <f>IFERROR(__xludf.DUMMYFUNCTION("JOIN("" | "",'Team Stats'!C$5:H$5)"),"0 | 0 | 0 | 0 | 0 | 0")</f>
        <v>0 | 0 | 0 | 0 | 0 | 0</v>
      </c>
      <c r="J5" s="51" t="str">
        <f>IFERROR(__xludf.DUMMYFUNCTION("JOIN("" | "",'Team Stats'!I$5:K$5)"),"0 | 0 | 0")</f>
        <v>0 | 0 | 0</v>
      </c>
      <c r="L5" s="42" t="str">
        <f>IFERROR(__xludf.DUMMYFUNCTION("""COMPUTED_VALUE"""),"Brock Bowers – LV")</f>
        <v>Brock Bowers – LV</v>
      </c>
      <c r="M5" s="52">
        <f>IFERROR(VLOOKUP(L5,PlayerDB!$F$2:$G261,2,FALSE),"")</f>
        <v>149.7</v>
      </c>
      <c r="N5" s="53" t="str">
        <f>IFERROR(VLOOKUP($L5,PlayerDB!$F$2:$H261,3,FALSE),"")</f>
        <v>TE</v>
      </c>
      <c r="O5" s="42"/>
      <c r="P5" s="42" t="str">
        <f>IFERROR(__xludf.DUMMYFUNCTION("""COMPUTED_VALUE"""),"Jalen Hurts – PHI")</f>
        <v>Jalen Hurts – PHI</v>
      </c>
      <c r="Q5" s="52">
        <f>IFERROR(VLOOKUP(P5,PlayerDB!$F$2:$G261,2,FALSE),"")</f>
        <v>356.6</v>
      </c>
    </row>
    <row r="6">
      <c r="A6" s="33"/>
      <c r="B6" s="34">
        <v>5.0</v>
      </c>
      <c r="C6" s="34" t="str">
        <f>'Teams &amp; Draft Order'!$C$10</f>
        <v>Buttheads</v>
      </c>
      <c r="D6" s="35"/>
      <c r="E6" s="36" t="str">
        <f>IFERROR(VLOOKUP($D6,PlayerDB!$F$2:$G261,2,FALSE),"")</f>
        <v/>
      </c>
      <c r="F6" s="36" t="str">
        <f>IFERROR(VLOOKUP($D6,PlayerDB!$F$2:$H261,3,FALSE),"")</f>
        <v/>
      </c>
      <c r="G6" s="37" t="str">
        <f>IFERROR(VLOOKUP($D6,PlayerDB!$F$2:$I261,4,FALSE),"")</f>
        <v/>
      </c>
      <c r="H6" s="38"/>
      <c r="I6" s="39" t="str">
        <f>IFERROR(__xludf.DUMMYFUNCTION("JOIN("" | "",'Team Stats'!C$6:H$6)"),"0 | 0 | 0 | 0 | 0 | 0")</f>
        <v>0 | 0 | 0 | 0 | 0 | 0</v>
      </c>
      <c r="J6" s="40" t="str">
        <f>IFERROR(__xludf.DUMMYFUNCTION("JOIN("" | "",'Team Stats'!I$6:K$6)"),"0 | 0 | 0")</f>
        <v>0 | 0 | 0</v>
      </c>
      <c r="L6" s="42" t="str">
        <f>IFERROR(__xludf.DUMMYFUNCTION("""COMPUTED_VALUE"""),"Brandon Aubrey – DAL")</f>
        <v>Brandon Aubrey – DAL</v>
      </c>
      <c r="M6" s="52">
        <f>IFERROR(VLOOKUP(L6,PlayerDB!$F$2:$G261,2,FALSE),"")</f>
        <v>140</v>
      </c>
      <c r="N6" s="53" t="str">
        <f>IFERROR(VLOOKUP($L6,PlayerDB!$F$2:$H261,3,FALSE),"")</f>
        <v>K</v>
      </c>
      <c r="O6" s="42"/>
      <c r="P6" s="42" t="str">
        <f>IFERROR(__xludf.DUMMYFUNCTION("""COMPUTED_VALUE"""),"Jayden Daniels – WAS")</f>
        <v>Jayden Daniels – WAS</v>
      </c>
      <c r="Q6" s="52">
        <f>IFERROR(VLOOKUP(P6,PlayerDB!$F$2:$G261,2,FALSE),"")</f>
        <v>355.8</v>
      </c>
    </row>
    <row r="7">
      <c r="A7" s="45"/>
      <c r="B7" s="46">
        <v>6.0</v>
      </c>
      <c r="C7" s="46" t="str">
        <f>'Teams &amp; Draft Order'!$C$11</f>
        <v>Big Boys Big Work</v>
      </c>
      <c r="D7" s="47"/>
      <c r="E7" s="48" t="str">
        <f>IFERROR(VLOOKUP($D7,PlayerDB!$F$2:$G261,2,FALSE),"")</f>
        <v/>
      </c>
      <c r="F7" s="48" t="str">
        <f>IFERROR(VLOOKUP($D7,PlayerDB!$F$2:$H261,3,FALSE),"")</f>
        <v/>
      </c>
      <c r="G7" s="49" t="str">
        <f>IFERROR(VLOOKUP($D7,PlayerDB!$F$2:$I261,4,FALSE),"")</f>
        <v/>
      </c>
      <c r="H7" s="38"/>
      <c r="I7" s="50" t="str">
        <f>IFERROR(__xludf.DUMMYFUNCTION("JOIN("" | "",'Team Stats'!C$7:H$7)"),"0 | 0 | 0 | 0 | 0 | 0")</f>
        <v>0 | 0 | 0 | 0 | 0 | 0</v>
      </c>
      <c r="J7" s="51" t="str">
        <f>IFERROR(__xludf.DUMMYFUNCTION("JOIN("" | "",'Team Stats'!I$7:K$7)"),"0 | 0 | 0")</f>
        <v>0 | 0 | 0</v>
      </c>
      <c r="L7" s="42" t="str">
        <f>IFERROR(__xludf.DUMMYFUNCTION("""COMPUTED_VALUE"""),"Christian McCaffrey – SF")</f>
        <v>Christian McCaffrey – SF</v>
      </c>
      <c r="M7" s="52">
        <f>IFERROR(VLOOKUP(L7,PlayerDB!$F$2:$G261,2,FALSE),"")</f>
        <v>254</v>
      </c>
      <c r="N7" s="53" t="str">
        <f>IFERROR(VLOOKUP($L7,PlayerDB!$F$2:$H261,3,FALSE),"")</f>
        <v>RB</v>
      </c>
      <c r="O7" s="42"/>
      <c r="P7" s="42" t="str">
        <f>IFERROR(__xludf.DUMMYFUNCTION("""COMPUTED_VALUE"""),"Joe Burrow – CIN")</f>
        <v>Joe Burrow – CIN</v>
      </c>
      <c r="Q7" s="52">
        <f>IFERROR(VLOOKUP(P7,PlayerDB!$F$2:$G261,2,FALSE),"")</f>
        <v>341.6</v>
      </c>
    </row>
    <row r="8">
      <c r="A8" s="33"/>
      <c r="B8" s="34">
        <v>7.0</v>
      </c>
      <c r="C8" s="34" t="str">
        <f>'Teams &amp; Draft Order'!$C$12</f>
        <v>Turbo-Ginz</v>
      </c>
      <c r="D8" s="35"/>
      <c r="E8" s="36" t="str">
        <f>IFERROR(VLOOKUP($D8,PlayerDB!$F$2:$G261,2,FALSE),"")</f>
        <v/>
      </c>
      <c r="F8" s="36" t="str">
        <f>IFERROR(VLOOKUP($D8,PlayerDB!$F$2:$H261,3,FALSE),"")</f>
        <v/>
      </c>
      <c r="G8" s="37" t="str">
        <f>IFERROR(VLOOKUP($D8,PlayerDB!$F$2:$I261,4,FALSE),"")</f>
        <v/>
      </c>
      <c r="H8" s="38"/>
      <c r="I8" s="39" t="str">
        <f>IFERROR(__xludf.DUMMYFUNCTION("JOIN("" | "",'Team Stats'!C$8:H$8)"),"0 | 0 | 0 | 0 | 0 | 0")</f>
        <v>0 | 0 | 0 | 0 | 0 | 0</v>
      </c>
      <c r="J8" s="40" t="str">
        <f>IFERROR(__xludf.DUMMYFUNCTION("JOIN("" | "",'Team Stats'!I$8:K$8)"),"0 | 0 | 0")</f>
        <v>0 | 0 | 0</v>
      </c>
      <c r="L8" s="42" t="str">
        <f>IFERROR(__xludf.DUMMYFUNCTION("""COMPUTED_VALUE"""),"Justin Jefferson – MIN")</f>
        <v>Justin Jefferson – MIN</v>
      </c>
      <c r="M8" s="52">
        <f>IFERROR(VLOOKUP(L8,PlayerDB!$F$2:$G261,2,FALSE),"")</f>
        <v>205.2</v>
      </c>
      <c r="N8" s="53" t="str">
        <f>IFERROR(VLOOKUP($L8,PlayerDB!$F$2:$H261,3,FALSE),"")</f>
        <v>WR</v>
      </c>
      <c r="O8" s="42"/>
      <c r="P8" s="42" t="str">
        <f>IFERROR(__xludf.DUMMYFUNCTION("""COMPUTED_VALUE"""),"Patrick Mahomes – KC")</f>
        <v>Patrick Mahomes – KC</v>
      </c>
      <c r="Q8" s="52">
        <f>IFERROR(VLOOKUP(P8,PlayerDB!$F$2:$G261,2,FALSE),"")</f>
        <v>327.1</v>
      </c>
    </row>
    <row r="9">
      <c r="A9" s="45"/>
      <c r="B9" s="46">
        <v>8.0</v>
      </c>
      <c r="C9" s="46" t="str">
        <f>'Teams &amp; Draft Order'!$C$13</f>
        <v>Luddite</v>
      </c>
      <c r="D9" s="47"/>
      <c r="E9" s="48" t="str">
        <f>IFERROR(VLOOKUP($D9,PlayerDB!$F$2:$G261,2,FALSE),"")</f>
        <v/>
      </c>
      <c r="F9" s="48" t="str">
        <f>IFERROR(VLOOKUP($D9,PlayerDB!$F$2:$H261,3,FALSE),"")</f>
        <v/>
      </c>
      <c r="G9" s="49" t="str">
        <f>IFERROR(VLOOKUP($D9,PlayerDB!$F$2:$I261,4,FALSE),"")</f>
        <v/>
      </c>
      <c r="H9" s="38"/>
      <c r="I9" s="50" t="str">
        <f>IFERROR(__xludf.DUMMYFUNCTION("JOIN("" | "",'Team Stats'!C$9:H$9)"),"0 | 0 | 0 | 0 | 0 | 0")</f>
        <v>0 | 0 | 0 | 0 | 0 | 0</v>
      </c>
      <c r="J9" s="51" t="str">
        <f>IFERROR(__xludf.DUMMYFUNCTION("JOIN("" | "",'Team Stats'!I$9:K$9)"),"0 | 0 | 0")</f>
        <v>0 | 0 | 0</v>
      </c>
      <c r="L9" s="42" t="str">
        <f>IFERROR(__xludf.DUMMYFUNCTION("""COMPUTED_VALUE"""),"Josh Allen – BUF")</f>
        <v>Josh Allen – BUF</v>
      </c>
      <c r="M9" s="52">
        <f>IFERROR(VLOOKUP(L9,PlayerDB!$F$2:$G261,2,FALSE),"")</f>
        <v>376.7</v>
      </c>
      <c r="N9" s="53" t="str">
        <f>IFERROR(VLOOKUP($L9,PlayerDB!$F$2:$H261,3,FALSE),"")</f>
        <v>QB</v>
      </c>
      <c r="O9" s="42"/>
      <c r="P9" s="42" t="str">
        <f>IFERROR(__xludf.DUMMYFUNCTION("""COMPUTED_VALUE"""),"Baker Mayfield – TB")</f>
        <v>Baker Mayfield – TB</v>
      </c>
      <c r="Q9" s="52">
        <f>IFERROR(VLOOKUP(P9,PlayerDB!$F$2:$G261,2,FALSE),"")</f>
        <v>321.6</v>
      </c>
    </row>
    <row r="10">
      <c r="A10" s="33"/>
      <c r="B10" s="34">
        <v>9.0</v>
      </c>
      <c r="C10" s="34" t="str">
        <f>'Teams &amp; Draft Order'!$C$14</f>
        <v>Achaians</v>
      </c>
      <c r="D10" s="35"/>
      <c r="E10" s="36" t="str">
        <f>IFERROR(VLOOKUP($D10,PlayerDB!$F$2:$G261,2,FALSE),"")</f>
        <v/>
      </c>
      <c r="F10" s="36" t="str">
        <f>IFERROR(VLOOKUP($D10,PlayerDB!$F$2:$H261,3,FALSE),"")</f>
        <v/>
      </c>
      <c r="G10" s="37" t="str">
        <f>IFERROR(VLOOKUP($D10,PlayerDB!$F$2:$I261,4,FALSE),"")</f>
        <v/>
      </c>
      <c r="H10" s="38"/>
      <c r="I10" s="39" t="str">
        <f>IFERROR(__xludf.DUMMYFUNCTION("JOIN("" | "",'Team Stats'!C$10:H$10)"),"0 | 0 | 0 | 0 | 0 | 0")</f>
        <v>0 | 0 | 0 | 0 | 0 | 0</v>
      </c>
      <c r="J10" s="40" t="str">
        <f>IFERROR(__xludf.DUMMYFUNCTION("JOIN("" | "",'Team Stats'!I$10:K$10)"),"0 | 0 | 0")</f>
        <v>0 | 0 | 0</v>
      </c>
      <c r="L10" s="42" t="str">
        <f>IFERROR(__xludf.DUMMYFUNCTION("""COMPUTED_VALUE"""),"George Kittle – SF")</f>
        <v>George Kittle – SF</v>
      </c>
      <c r="M10" s="52">
        <f>IFERROR(VLOOKUP(L10,PlayerDB!$F$2:$G261,2,FALSE),"")</f>
        <v>147.6</v>
      </c>
      <c r="N10" s="53" t="str">
        <f>IFERROR(VLOOKUP($L10,PlayerDB!$F$2:$H261,3,FALSE),"")</f>
        <v>TE</v>
      </c>
      <c r="O10" s="42"/>
      <c r="P10" s="42" t="str">
        <f>IFERROR(__xludf.DUMMYFUNCTION("""COMPUTED_VALUE"""),"Kyler Murray – ARI")</f>
        <v>Kyler Murray – ARI</v>
      </c>
      <c r="Q10" s="52">
        <f>IFERROR(VLOOKUP(P10,PlayerDB!$F$2:$G261,2,FALSE),"")</f>
        <v>319</v>
      </c>
    </row>
    <row r="11">
      <c r="A11" s="54"/>
      <c r="B11" s="55">
        <v>10.0</v>
      </c>
      <c r="C11" s="55" t="str">
        <f>'Teams &amp; Draft Order'!$C$15</f>
        <v>Daddy's Dogs</v>
      </c>
      <c r="D11" s="56"/>
      <c r="E11" s="57" t="str">
        <f>IFERROR(VLOOKUP($D11,PlayerDB!$F$2:$G261,2,FALSE),"")</f>
        <v/>
      </c>
      <c r="F11" s="57" t="str">
        <f>IFERROR(VLOOKUP($D11,PlayerDB!$F$2:$H261,3,FALSE),"")</f>
        <v/>
      </c>
      <c r="G11" s="58" t="str">
        <f>IFERROR(VLOOKUP($D11,PlayerDB!$F$2:$I261,4,FALSE),"")</f>
        <v/>
      </c>
      <c r="H11" s="59"/>
      <c r="I11" s="60" t="str">
        <f>IFERROR(__xludf.DUMMYFUNCTION("JOIN("" | "",'Team Stats'!C$11:H$11)"),"0 | 0 | 0 | 0 | 0 | 0")</f>
        <v>0 | 0 | 0 | 0 | 0 | 0</v>
      </c>
      <c r="J11" s="51" t="str">
        <f>IFERROR(__xludf.DUMMYFUNCTION("JOIN("" | "",'Team Stats'!I$11:K$11)"),"0 | 0 | 0")</f>
        <v>0 | 0 | 0</v>
      </c>
      <c r="L11" s="42" t="str">
        <f>IFERROR(__xludf.DUMMYFUNCTION("""COMPUTED_VALUE"""),"Chase McLaughlin – TB")</f>
        <v>Chase McLaughlin – TB</v>
      </c>
      <c r="M11" s="52">
        <f>IFERROR(VLOOKUP(L11,PlayerDB!$F$2:$G261,2,FALSE),"")</f>
        <v>136</v>
      </c>
      <c r="N11" s="53" t="str">
        <f>IFERROR(VLOOKUP($L11,PlayerDB!$F$2:$H261,3,FALSE),"")</f>
        <v>K</v>
      </c>
      <c r="O11" s="42"/>
      <c r="P11" s="42" t="str">
        <f>IFERROR(__xludf.DUMMYFUNCTION("""COMPUTED_VALUE"""),"Brock Purdy – SF")</f>
        <v>Brock Purdy – SF</v>
      </c>
      <c r="Q11" s="52">
        <f>IFERROR(VLOOKUP(P11,PlayerDB!$F$2:$G261,2,FALSE),"")</f>
        <v>309.6</v>
      </c>
    </row>
    <row r="12">
      <c r="A12" s="72" t="s">
        <v>86</v>
      </c>
      <c r="B12" s="34">
        <v>11.0</v>
      </c>
      <c r="C12" s="73" t="str">
        <f>'Teams &amp; Draft Order'!$C$15</f>
        <v>Daddy's Dogs</v>
      </c>
      <c r="D12" s="74"/>
      <c r="E12" s="36" t="str">
        <f>IFERROR(VLOOKUP($D12,PlayerDB!$F$2:$G261,2,FALSE),"")</f>
        <v/>
      </c>
      <c r="F12" s="36" t="str">
        <f>IFERROR(VLOOKUP($D12,PlayerDB!$F$2:$H261,3,FALSE),"")</f>
        <v/>
      </c>
      <c r="G12" s="37" t="str">
        <f>IFERROR(VLOOKUP($D12,PlayerDB!$F$2:$I261,4,FALSE),"")</f>
        <v/>
      </c>
      <c r="H12" s="75"/>
      <c r="I12" s="76" t="str">
        <f>IFERROR(__xludf.DUMMYFUNCTION("JOIN("" | "",'Team Stats'!C$11:H$11)"),"0 | 0 | 0 | 0 | 0 | 0")</f>
        <v>0 | 0 | 0 | 0 | 0 | 0</v>
      </c>
      <c r="J12" s="40" t="str">
        <f>IFERROR(__xludf.DUMMYFUNCTION("JOIN("" | "",#REF!)"),"#REF!")</f>
        <v>#REF!</v>
      </c>
      <c r="L12" s="42" t="str">
        <f>IFERROR(__xludf.DUMMYFUNCTION("""COMPUTED_VALUE"""),"Derrick Henry – BAL")</f>
        <v>Derrick Henry – BAL</v>
      </c>
      <c r="M12" s="52">
        <f>IFERROR(VLOOKUP(L12,PlayerDB!$F$2:$G261,2,FALSE),"")</f>
        <v>253</v>
      </c>
      <c r="N12" s="53" t="str">
        <f>IFERROR(VLOOKUP($L12,PlayerDB!$F$2:$H261,3,FALSE),"")</f>
        <v>RB</v>
      </c>
      <c r="O12" s="61"/>
      <c r="P12" s="42" t="str">
        <f>IFERROR(__xludf.DUMMYFUNCTION("""COMPUTED_VALUE"""),"Bo Nix – DEN")</f>
        <v>Bo Nix – DEN</v>
      </c>
      <c r="Q12" s="52">
        <f>IFERROR(VLOOKUP(P12,PlayerDB!$F$2:$G261,2,FALSE),"")</f>
        <v>308.8</v>
      </c>
    </row>
    <row r="13">
      <c r="A13" s="45"/>
      <c r="B13" s="46">
        <v>12.0</v>
      </c>
      <c r="C13" s="46" t="str">
        <f>'Teams &amp; Draft Order'!$C$14</f>
        <v>Achaians</v>
      </c>
      <c r="D13" s="47"/>
      <c r="E13" s="48" t="str">
        <f>IFERROR(VLOOKUP($D13,PlayerDB!$F$2:$G261,2,FALSE),"")</f>
        <v/>
      </c>
      <c r="F13" s="48" t="str">
        <f>IFERROR(VLOOKUP($D13,PlayerDB!$F$2:$H261,3,FALSE),"")</f>
        <v/>
      </c>
      <c r="G13" s="49" t="str">
        <f>IFERROR(VLOOKUP($D13,PlayerDB!$F$2:$I261,4,FALSE),"")</f>
        <v/>
      </c>
      <c r="H13" s="38"/>
      <c r="I13" s="50" t="str">
        <f>IFERROR(__xludf.DUMMYFUNCTION("JOIN("" | "",'Team Stats'!C$10:H$10)"),"0 | 0 | 0 | 0 | 0 | 0")</f>
        <v>0 | 0 | 0 | 0 | 0 | 0</v>
      </c>
      <c r="J13" s="51" t="str">
        <f>IFERROR(__xludf.DUMMYFUNCTION("JOIN("" | "",#REF!)"),"#REF!")</f>
        <v>#REF!</v>
      </c>
      <c r="L13" s="42" t="str">
        <f>IFERROR(__xludf.DUMMYFUNCTION("""COMPUTED_VALUE"""),"CeeDee Lamb – DAL")</f>
        <v>CeeDee Lamb – DAL</v>
      </c>
      <c r="M13" s="52">
        <f>IFERROR(VLOOKUP(L13,PlayerDB!$F$2:$G261,2,FALSE),"")</f>
        <v>193</v>
      </c>
      <c r="N13" s="53" t="str">
        <f>IFERROR(VLOOKUP($L13,PlayerDB!$F$2:$H261,3,FALSE),"")</f>
        <v>WR</v>
      </c>
      <c r="O13" s="42"/>
      <c r="P13" s="42" t="str">
        <f>IFERROR(__xludf.DUMMYFUNCTION("""COMPUTED_VALUE"""),"Justin Fields – NYJ")</f>
        <v>Justin Fields – NYJ</v>
      </c>
      <c r="Q13" s="52">
        <f>IFERROR(VLOOKUP(P13,PlayerDB!$F$2:$G261,2,FALSE),"")</f>
        <v>300.9</v>
      </c>
    </row>
    <row r="14">
      <c r="A14" s="33"/>
      <c r="B14" s="34">
        <v>13.0</v>
      </c>
      <c r="C14" s="34" t="str">
        <f>'Teams &amp; Draft Order'!$C$13</f>
        <v>Luddite</v>
      </c>
      <c r="D14" s="35"/>
      <c r="E14" s="36" t="str">
        <f>IFERROR(VLOOKUP($D14,PlayerDB!$F$2:$G261,2,FALSE),"")</f>
        <v/>
      </c>
      <c r="F14" s="36" t="str">
        <f>IFERROR(VLOOKUP($D14,PlayerDB!$F$2:$H261,3,FALSE),"")</f>
        <v/>
      </c>
      <c r="G14" s="37" t="str">
        <f>IFERROR(VLOOKUP($D14,PlayerDB!$F$2:$I261,4,FALSE),"")</f>
        <v/>
      </c>
      <c r="H14" s="38"/>
      <c r="I14" s="39" t="str">
        <f>IFERROR(__xludf.DUMMYFUNCTION("JOIN("" | "",'Team Stats'!C$9:H$9)"),"0 | 0 | 0 | 0 | 0 | 0")</f>
        <v>0 | 0 | 0 | 0 | 0 | 0</v>
      </c>
      <c r="J14" s="62" t="str">
        <f>IFERROR(__xludf.DUMMYFUNCTION("JOIN("" | "",#REF!)"),"#REF!")</f>
        <v>#REF!</v>
      </c>
      <c r="L14" s="42" t="str">
        <f>IFERROR(__xludf.DUMMYFUNCTION("""COMPUTED_VALUE"""),"Jalen Hurts – PHI")</f>
        <v>Jalen Hurts – PHI</v>
      </c>
      <c r="M14" s="52">
        <f>IFERROR(VLOOKUP(L14,PlayerDB!$F$2:$G261,2,FALSE),"")</f>
        <v>356.6</v>
      </c>
      <c r="N14" s="53" t="str">
        <f>IFERROR(VLOOKUP($L14,PlayerDB!$F$2:$H261,3,FALSE),"")</f>
        <v>QB</v>
      </c>
      <c r="O14" s="42"/>
      <c r="P14" s="42" t="str">
        <f>IFERROR(__xludf.DUMMYFUNCTION("""COMPUTED_VALUE"""),"Justin Herbert – LAC")</f>
        <v>Justin Herbert – LAC</v>
      </c>
      <c r="Q14" s="52">
        <f>IFERROR(VLOOKUP(P14,PlayerDB!$F$2:$G261,2,FALSE),"")</f>
        <v>293.8</v>
      </c>
    </row>
    <row r="15">
      <c r="A15" s="45"/>
      <c r="B15" s="46">
        <v>14.0</v>
      </c>
      <c r="C15" s="46" t="str">
        <f>'Teams &amp; Draft Order'!$C$12</f>
        <v>Turbo-Ginz</v>
      </c>
      <c r="D15" s="47"/>
      <c r="E15" s="48" t="str">
        <f>IFERROR(VLOOKUP($D15,PlayerDB!$F$2:$G261,2,FALSE),"")</f>
        <v/>
      </c>
      <c r="F15" s="48" t="str">
        <f>IFERROR(VLOOKUP($D15,PlayerDB!$F$2:$H261,3,FALSE),"")</f>
        <v/>
      </c>
      <c r="G15" s="49" t="str">
        <f>IFERROR(VLOOKUP($D15,PlayerDB!$F$2:$I261,4,FALSE),"")</f>
        <v/>
      </c>
      <c r="H15" s="38"/>
      <c r="I15" s="50" t="str">
        <f>IFERROR(__xludf.DUMMYFUNCTION("JOIN("" | "",'Team Stats'!C$8:H$8)"),"0 | 0 | 0 | 0 | 0 | 0")</f>
        <v>0 | 0 | 0 | 0 | 0 | 0</v>
      </c>
      <c r="J15" s="51" t="str">
        <f>IFERROR(__xludf.DUMMYFUNCTION("JOIN("" | "",#REF!)"),"#REF!")</f>
        <v>#REF!</v>
      </c>
      <c r="L15" s="42" t="str">
        <f>IFERROR(__xludf.DUMMYFUNCTION("""COMPUTED_VALUE"""),"Trey McBride – ARI")</f>
        <v>Trey McBride – ARI</v>
      </c>
      <c r="M15" s="52">
        <f>IFERROR(VLOOKUP(L15,PlayerDB!$F$2:$G261,2,FALSE),"")</f>
        <v>139.4</v>
      </c>
      <c r="N15" s="53" t="str">
        <f>IFERROR(VLOOKUP($L15,PlayerDB!$F$2:$H261,3,FALSE),"")</f>
        <v>TE</v>
      </c>
      <c r="O15" s="42"/>
      <c r="P15" s="42" t="str">
        <f>IFERROR(__xludf.DUMMYFUNCTION("""COMPUTED_VALUE"""),"Jared Goff – DET")</f>
        <v>Jared Goff – DET</v>
      </c>
      <c r="Q15" s="52">
        <f>IFERROR(VLOOKUP(P15,PlayerDB!$F$2:$G261,2,FALSE),"")</f>
        <v>290</v>
      </c>
    </row>
    <row r="16">
      <c r="A16" s="33"/>
      <c r="B16" s="34">
        <v>15.0</v>
      </c>
      <c r="C16" s="34" t="str">
        <f>'Teams &amp; Draft Order'!$C$11</f>
        <v>Big Boys Big Work</v>
      </c>
      <c r="D16" s="35"/>
      <c r="E16" s="36" t="str">
        <f>IFERROR(VLOOKUP($D16,PlayerDB!$F$2:$G261,2,FALSE),"")</f>
        <v/>
      </c>
      <c r="F16" s="36" t="str">
        <f>IFERROR(VLOOKUP($D16,PlayerDB!$F$2:$H261,3,FALSE),"")</f>
        <v/>
      </c>
      <c r="G16" s="37" t="str">
        <f>IFERROR(VLOOKUP($D16,PlayerDB!$F$2:$I261,4,FALSE),"")</f>
        <v/>
      </c>
      <c r="H16" s="38"/>
      <c r="I16" s="39" t="str">
        <f>IFERROR(__xludf.DUMMYFUNCTION("JOIN("" | "",'Team Stats'!C$7:H$7)"),"0 | 0 | 0 | 0 | 0 | 0")</f>
        <v>0 | 0 | 0 | 0 | 0 | 0</v>
      </c>
      <c r="J16" s="40" t="str">
        <f>IFERROR(__xludf.DUMMYFUNCTION("JOIN("" | "",'Team Stats'!I$11:K$11)"),"0 | 0 | 0")</f>
        <v>0 | 0 | 0</v>
      </c>
      <c r="L16" s="42" t="str">
        <f>IFERROR(__xludf.DUMMYFUNCTION("""COMPUTED_VALUE"""),"Cameron Dicker – LAC")</f>
        <v>Cameron Dicker – LAC</v>
      </c>
      <c r="M16" s="52">
        <f>IFERROR(VLOOKUP(L16,PlayerDB!$F$2:$G261,2,FALSE),"")</f>
        <v>135</v>
      </c>
      <c r="N16" s="53" t="str">
        <f>IFERROR(VLOOKUP($L16,PlayerDB!$F$2:$H261,3,FALSE),"")</f>
        <v>K</v>
      </c>
      <c r="O16" s="42"/>
      <c r="P16" s="42" t="str">
        <f>IFERROR(__xludf.DUMMYFUNCTION("""COMPUTED_VALUE"""),"Dak Prescott – DAL")</f>
        <v>Dak Prescott – DAL</v>
      </c>
      <c r="Q16" s="52">
        <f>IFERROR(VLOOKUP(P16,PlayerDB!$F$2:$G261,2,FALSE),"")</f>
        <v>290</v>
      </c>
    </row>
    <row r="17">
      <c r="A17" s="45"/>
      <c r="B17" s="46">
        <v>16.0</v>
      </c>
      <c r="C17" s="46" t="str">
        <f>'Teams &amp; Draft Order'!$C$10</f>
        <v>Buttheads</v>
      </c>
      <c r="D17" s="47"/>
      <c r="E17" s="48" t="str">
        <f>IFERROR(VLOOKUP($D17,PlayerDB!$F$2:$G261,2,FALSE),"")</f>
        <v/>
      </c>
      <c r="F17" s="48" t="str">
        <f>IFERROR(VLOOKUP($D17,PlayerDB!$F$2:$H261,3,FALSE),"")</f>
        <v/>
      </c>
      <c r="G17" s="49" t="str">
        <f>IFERROR(VLOOKUP($D17,PlayerDB!$F$2:$I261,4,FALSE),"")</f>
        <v/>
      </c>
      <c r="H17" s="38"/>
      <c r="I17" s="50" t="str">
        <f>IFERROR(__xludf.DUMMYFUNCTION("JOIN("" | "",'Team Stats'!C$6:H$6)"),"0 | 0 | 0 | 0 | 0 | 0")</f>
        <v>0 | 0 | 0 | 0 | 0 | 0</v>
      </c>
      <c r="J17" s="51" t="str">
        <f>IFERROR(__xludf.DUMMYFUNCTION("JOIN("" | "",'Team Stats'!I$10:K$10)"),"0 | 0 | 0")</f>
        <v>0 | 0 | 0</v>
      </c>
      <c r="L17" s="42" t="str">
        <f>IFERROR(__xludf.DUMMYFUNCTION("""COMPUTED_VALUE"""),"Saquon Barkley – PHI")</f>
        <v>Saquon Barkley – PHI</v>
      </c>
      <c r="M17" s="52">
        <f>IFERROR(VLOOKUP(L17,PlayerDB!$F$2:$G261,2,FALSE),"")</f>
        <v>231</v>
      </c>
      <c r="N17" s="53" t="str">
        <f>IFERROR(VLOOKUP($L17,PlayerDB!$F$2:$H261,3,FALSE),"")</f>
        <v>RB</v>
      </c>
      <c r="O17" s="42"/>
      <c r="P17" s="42" t="str">
        <f>IFERROR(__xludf.DUMMYFUNCTION("""COMPUTED_VALUE"""),"J.J. McCarthy – MIN")</f>
        <v>J.J. McCarthy – MIN</v>
      </c>
      <c r="Q17" s="52">
        <f>IFERROR(VLOOKUP(P17,PlayerDB!$F$2:$G261,2,FALSE),"")</f>
        <v>289.2</v>
      </c>
    </row>
    <row r="18">
      <c r="A18" s="33"/>
      <c r="B18" s="34">
        <v>17.0</v>
      </c>
      <c r="C18" s="34" t="str">
        <f>'Teams &amp; Draft Order'!$C$9</f>
        <v>El Nino</v>
      </c>
      <c r="D18" s="35"/>
      <c r="E18" s="36" t="str">
        <f>IFERROR(VLOOKUP($D18,PlayerDB!$F$2:$G261,2,FALSE),"")</f>
        <v/>
      </c>
      <c r="F18" s="36" t="str">
        <f>IFERROR(VLOOKUP($D18,PlayerDB!$F$2:$H261,3,FALSE),"")</f>
        <v/>
      </c>
      <c r="G18" s="37" t="str">
        <f>IFERROR(VLOOKUP($D18,PlayerDB!$F$2:$I261,4,FALSE),"")</f>
        <v/>
      </c>
      <c r="H18" s="38"/>
      <c r="I18" s="39" t="str">
        <f>IFERROR(__xludf.DUMMYFUNCTION("JOIN("" | "",'Team Stats'!C$5:H$5)"),"0 | 0 | 0 | 0 | 0 | 0")</f>
        <v>0 | 0 | 0 | 0 | 0 | 0</v>
      </c>
      <c r="J18" s="40" t="str">
        <f>IFERROR(__xludf.DUMMYFUNCTION("JOIN("" | "",'Team Stats'!I$9:K$9)"),"0 | 0 | 0")</f>
        <v>0 | 0 | 0</v>
      </c>
      <c r="L18" s="42" t="str">
        <f>IFERROR(__xludf.DUMMYFUNCTION("""COMPUTED_VALUE"""),"Puka Nacua – LAR")</f>
        <v>Puka Nacua – LAR</v>
      </c>
      <c r="M18" s="52">
        <f>IFERROR(VLOOKUP(L18,PlayerDB!$F$2:$G261,2,FALSE),"")</f>
        <v>187.7</v>
      </c>
      <c r="N18" s="53" t="str">
        <f>IFERROR(VLOOKUP($L18,PlayerDB!$F$2:$H261,3,FALSE),"")</f>
        <v>WR</v>
      </c>
      <c r="O18" s="42"/>
      <c r="P18" s="42" t="str">
        <f>IFERROR(__xludf.DUMMYFUNCTION("""COMPUTED_VALUE"""),"Caleb Williams – CHI")</f>
        <v>Caleb Williams – CHI</v>
      </c>
      <c r="Q18" s="52">
        <f>IFERROR(VLOOKUP(P18,PlayerDB!$F$2:$G261,2,FALSE),"")</f>
        <v>287.5</v>
      </c>
    </row>
    <row r="19">
      <c r="A19" s="45"/>
      <c r="B19" s="46">
        <v>18.0</v>
      </c>
      <c r="C19" s="46" t="str">
        <f>'Teams &amp; Draft Order'!$C$8</f>
        <v>Icelanders</v>
      </c>
      <c r="D19" s="47"/>
      <c r="E19" s="48" t="str">
        <f>IFERROR(VLOOKUP($D19,PlayerDB!$F$2:$G261,2,FALSE),"")</f>
        <v/>
      </c>
      <c r="F19" s="48" t="str">
        <f>IFERROR(VLOOKUP($D19,PlayerDB!$F$2:$H261,3,FALSE),"")</f>
        <v/>
      </c>
      <c r="G19" s="49" t="str">
        <f>IFERROR(VLOOKUP($D19,PlayerDB!$F$2:$I261,4,FALSE),"")</f>
        <v/>
      </c>
      <c r="H19" s="38"/>
      <c r="I19" s="50" t="str">
        <f>IFERROR(__xludf.DUMMYFUNCTION("JOIN("" | "",'Team Stats'!C$4:H$4)"),"0 | 0 | 0 | 0 | 0 | 0")</f>
        <v>0 | 0 | 0 | 0 | 0 | 0</v>
      </c>
      <c r="J19" s="51" t="str">
        <f>IFERROR(__xludf.DUMMYFUNCTION("JOIN("" | "",'Team Stats'!I$8:K$8)"),"0 | 0 | 0")</f>
        <v>0 | 0 | 0</v>
      </c>
      <c r="L19" s="42" t="str">
        <f>IFERROR(__xludf.DUMMYFUNCTION("""COMPUTED_VALUE"""),"Jayden Daniels – WAS")</f>
        <v>Jayden Daniels – WAS</v>
      </c>
      <c r="M19" s="52">
        <f>IFERROR(VLOOKUP(L19,PlayerDB!$F$2:$G261,2,FALSE),"")</f>
        <v>355.8</v>
      </c>
      <c r="N19" s="53" t="str">
        <f>IFERROR(VLOOKUP($L19,PlayerDB!$F$2:$H261,3,FALSE),"")</f>
        <v>QB</v>
      </c>
      <c r="O19" s="42"/>
      <c r="P19" s="42" t="str">
        <f>IFERROR(__xludf.DUMMYFUNCTION("""COMPUTED_VALUE"""),"C.J. Stroud – HOU")</f>
        <v>C.J. Stroud – HOU</v>
      </c>
      <c r="Q19" s="52">
        <f>IFERROR(VLOOKUP(P19,PlayerDB!$F$2:$G261,2,FALSE),"")</f>
        <v>279.8</v>
      </c>
    </row>
    <row r="20">
      <c r="A20" s="33"/>
      <c r="B20" s="34">
        <v>19.0</v>
      </c>
      <c r="C20" s="34" t="str">
        <f>'Teams &amp; Draft Order'!$C$7</f>
        <v>Phantasm</v>
      </c>
      <c r="D20" s="35"/>
      <c r="E20" s="36" t="str">
        <f>IFERROR(VLOOKUP($D20,PlayerDB!$F$2:$G261,2,FALSE),"")</f>
        <v/>
      </c>
      <c r="F20" s="36" t="str">
        <f>IFERROR(VLOOKUP($D20,PlayerDB!$F$2:$H261,3,FALSE),"")</f>
        <v/>
      </c>
      <c r="G20" s="37" t="str">
        <f>IFERROR(VLOOKUP($D20,PlayerDB!$F$2:$I261,4,FALSE),"")</f>
        <v/>
      </c>
      <c r="H20" s="38"/>
      <c r="I20" s="39" t="str">
        <f>IFERROR(__xludf.DUMMYFUNCTION("JOIN("" | "",'Team Stats'!C$3:H$3)"),"0 | 0 | 0 | 0 | 0 | 0")</f>
        <v>0 | 0 | 0 | 0 | 0 | 0</v>
      </c>
      <c r="J20" s="40" t="str">
        <f>IFERROR(__xludf.DUMMYFUNCTION("JOIN("" | "",'Team Stats'!I$7:K$7)"),"0 | 0 | 0")</f>
        <v>0 | 0 | 0</v>
      </c>
      <c r="L20" s="42" t="str">
        <f>IFERROR(__xludf.DUMMYFUNCTION("""COMPUTED_VALUE"""),"Mark Andrews – BAL")</f>
        <v>Mark Andrews – BAL</v>
      </c>
      <c r="M20" s="52">
        <f>IFERROR(VLOOKUP(L20,PlayerDB!$F$2:$G261,2,FALSE),"")</f>
        <v>117.3</v>
      </c>
      <c r="N20" s="53" t="str">
        <f>IFERROR(VLOOKUP($L20,PlayerDB!$F$2:$H261,3,FALSE),"")</f>
        <v>TE</v>
      </c>
      <c r="O20" s="42"/>
      <c r="P20" s="42" t="str">
        <f>IFERROR(__xludf.DUMMYFUNCTION("""COMPUTED_VALUE"""),"Jordan Love – GB")</f>
        <v>Jordan Love – GB</v>
      </c>
      <c r="Q20" s="52">
        <f>IFERROR(VLOOKUP(P20,PlayerDB!$F$2:$G261,2,FALSE),"")</f>
        <v>278.7</v>
      </c>
    </row>
    <row r="21">
      <c r="A21" s="54"/>
      <c r="B21" s="55">
        <v>20.0</v>
      </c>
      <c r="C21" s="55" t="str">
        <f>'Teams &amp; Draft Order'!$C$6</f>
        <v>Sleeper Cell </v>
      </c>
      <c r="D21" s="56"/>
      <c r="E21" s="57" t="str">
        <f>IFERROR(VLOOKUP($D21,PlayerDB!$F$2:$G261,2,FALSE),"")</f>
        <v/>
      </c>
      <c r="F21" s="57" t="str">
        <f>IFERROR(VLOOKUP($D21,PlayerDB!$F$2:$H261,3,FALSE),"")</f>
        <v/>
      </c>
      <c r="G21" s="58" t="str">
        <f>IFERROR(VLOOKUP($D21,PlayerDB!$F$2:$I261,4,FALSE),"")</f>
        <v/>
      </c>
      <c r="H21" s="59"/>
      <c r="I21" s="60" t="str">
        <f>IFERROR(__xludf.DUMMYFUNCTION("JOIN("" | "",'Team Stats'!C$2:H$2)"),"1 | 0 | 0 | 0 | 0 | 0")</f>
        <v>1 | 0 | 0 | 0 | 0 | 0</v>
      </c>
      <c r="J21" s="51" t="str">
        <f>IFERROR(__xludf.DUMMYFUNCTION("JOIN("" | "",'Team Stats'!I$6:K$6)"),"0 | 0 | 0")</f>
        <v>0 | 0 | 0</v>
      </c>
      <c r="L21" s="42" t="str">
        <f>IFERROR(__xludf.DUMMYFUNCTION("""COMPUTED_VALUE"""),"Jake Elliott – PHI")</f>
        <v>Jake Elliott – PHI</v>
      </c>
      <c r="M21" s="52">
        <f>IFERROR(VLOOKUP(L21,PlayerDB!$F$2:$G261,2,FALSE),"")</f>
        <v>134</v>
      </c>
      <c r="N21" s="53" t="str">
        <f>IFERROR(VLOOKUP($L21,PlayerDB!$F$2:$H261,3,FALSE),"")</f>
        <v>K</v>
      </c>
      <c r="O21" s="42"/>
      <c r="P21" s="42" t="str">
        <f>IFERROR(__xludf.DUMMYFUNCTION("""COMPUTED_VALUE"""),"Trevor Lawrence – JAX")</f>
        <v>Trevor Lawrence – JAX</v>
      </c>
      <c r="Q21" s="52">
        <f>IFERROR(VLOOKUP(P21,PlayerDB!$F$2:$G261,2,FALSE),"")</f>
        <v>273.8</v>
      </c>
    </row>
    <row r="22">
      <c r="A22" s="33" t="s">
        <v>87</v>
      </c>
      <c r="B22" s="34">
        <v>21.0</v>
      </c>
      <c r="C22" s="34" t="str">
        <f>'Teams &amp; Draft Order'!$C$6</f>
        <v>Sleeper Cell </v>
      </c>
      <c r="D22" s="35"/>
      <c r="E22" s="36" t="str">
        <f>IFERROR(VLOOKUP($D22,PlayerDB!$F$2:$G261,2,FALSE),"")</f>
        <v/>
      </c>
      <c r="F22" s="36" t="str">
        <f>IFERROR(VLOOKUP($D22,PlayerDB!$F$2:$H261,3,FALSE),"")</f>
        <v/>
      </c>
      <c r="G22" s="37" t="str">
        <f>IFERROR(VLOOKUP($D22,PlayerDB!$F$2:$I261,4,FALSE),"")</f>
        <v/>
      </c>
      <c r="H22" s="38"/>
      <c r="I22" s="39" t="str">
        <f>IFERROR(__xludf.DUMMYFUNCTION("JOIN("" | "",'Team Stats'!C$2:H$2)"),"1 | 0 | 0 | 0 | 0 | 0")</f>
        <v>1 | 0 | 0 | 0 | 0 | 0</v>
      </c>
      <c r="J22" s="40" t="str">
        <f>IFERROR(__xludf.DUMMYFUNCTION("JOIN("" | "",'Team Stats'!I$5:K$5)"),"0 | 0 | 0")</f>
        <v>0 | 0 | 0</v>
      </c>
      <c r="L22" s="42" t="str">
        <f>IFERROR(__xludf.DUMMYFUNCTION("""COMPUTED_VALUE"""),"Jahmyr Gibbs – DET")</f>
        <v>Jahmyr Gibbs – DET</v>
      </c>
      <c r="M22" s="52">
        <f>IFERROR(VLOOKUP(L22,PlayerDB!$F$2:$G261,2,FALSE),"")</f>
        <v>244</v>
      </c>
      <c r="N22" s="53" t="str">
        <f>IFERROR(VLOOKUP($L22,PlayerDB!$F$2:$H261,3,FALSE),"")</f>
        <v>RB</v>
      </c>
      <c r="O22" s="42"/>
      <c r="P22" s="42" t="str">
        <f>IFERROR(__xludf.DUMMYFUNCTION("""COMPUTED_VALUE"""),"Drake Maye – NE")</f>
        <v>Drake Maye – NE</v>
      </c>
      <c r="Q22" s="52">
        <f>IFERROR(VLOOKUP(P22,PlayerDB!$F$2:$G261,2,FALSE),"")</f>
        <v>270.8</v>
      </c>
    </row>
    <row r="23">
      <c r="A23" s="45"/>
      <c r="B23" s="46">
        <v>22.0</v>
      </c>
      <c r="C23" s="46" t="str">
        <f>'Teams &amp; Draft Order'!$C$7</f>
        <v>Phantasm</v>
      </c>
      <c r="D23" s="47"/>
      <c r="E23" s="48" t="str">
        <f>IFERROR(VLOOKUP($D23,PlayerDB!$F$2:$G261,2,FALSE),"")</f>
        <v/>
      </c>
      <c r="F23" s="48" t="str">
        <f>IFERROR(VLOOKUP($D23,PlayerDB!$F$2:$H261,3,FALSE),"")</f>
        <v/>
      </c>
      <c r="G23" s="49" t="str">
        <f>IFERROR(VLOOKUP($D23,PlayerDB!$F$2:$I261,4,FALSE),"")</f>
        <v/>
      </c>
      <c r="H23" s="38"/>
      <c r="I23" s="50" t="str">
        <f>IFERROR(__xludf.DUMMYFUNCTION("JOIN("" | "",'Team Stats'!C$3:H$3)"),"0 | 0 | 0 | 0 | 0 | 0")</f>
        <v>0 | 0 | 0 | 0 | 0 | 0</v>
      </c>
      <c r="J23" s="51" t="str">
        <f>IFERROR(__xludf.DUMMYFUNCTION("JOIN("" | "",'Team Stats'!I$4:K$4)"),"0 | 0 | 0")</f>
        <v>0 | 0 | 0</v>
      </c>
      <c r="L23" s="42"/>
      <c r="M23" s="63"/>
      <c r="N23" s="42"/>
      <c r="O23" s="42"/>
      <c r="P23" s="42"/>
      <c r="Q23" s="63"/>
    </row>
    <row r="24">
      <c r="A24" s="33"/>
      <c r="B24" s="34">
        <v>23.0</v>
      </c>
      <c r="C24" s="34" t="str">
        <f>'Teams &amp; Draft Order'!$C$8</f>
        <v>Icelanders</v>
      </c>
      <c r="D24" s="35"/>
      <c r="E24" s="36" t="str">
        <f>IFERROR(VLOOKUP($D24,PlayerDB!$F$2:$G261,2,FALSE),"")</f>
        <v/>
      </c>
      <c r="F24" s="36" t="str">
        <f>IFERROR(VLOOKUP($D24,PlayerDB!$F$2:$H261,3,FALSE),"")</f>
        <v/>
      </c>
      <c r="G24" s="37" t="str">
        <f>IFERROR(VLOOKUP($D24,PlayerDB!$F$2:$I261,4,FALSE),"")</f>
        <v/>
      </c>
      <c r="H24" s="38"/>
      <c r="I24" s="39" t="str">
        <f>IFERROR(__xludf.DUMMYFUNCTION("JOIN("" | "",'Team Stats'!C$4:H$4)"),"0 | 0 | 0 | 0 | 0 | 0")</f>
        <v>0 | 0 | 0 | 0 | 0 | 0</v>
      </c>
      <c r="J24" s="40" t="str">
        <f>IFERROR(__xludf.DUMMYFUNCTION("JOIN("" | "",'Team Stats'!I$3:K$3)"),"0 | 0 | 0")</f>
        <v>0 | 0 | 0</v>
      </c>
      <c r="L24" s="42"/>
      <c r="M24" s="42"/>
      <c r="N24" s="42"/>
      <c r="O24" s="42"/>
      <c r="P24" s="42"/>
      <c r="Q24" s="42"/>
    </row>
    <row r="25">
      <c r="A25" s="45"/>
      <c r="B25" s="46">
        <v>24.0</v>
      </c>
      <c r="C25" s="46" t="str">
        <f>'Teams &amp; Draft Order'!$C$9</f>
        <v>El Nino</v>
      </c>
      <c r="D25" s="47"/>
      <c r="E25" s="48" t="str">
        <f>IFERROR(VLOOKUP($D25,PlayerDB!$F$2:$G261,2,FALSE),"")</f>
        <v/>
      </c>
      <c r="F25" s="48" t="str">
        <f>IFERROR(VLOOKUP($D25,PlayerDB!$F$2:$H261,3,FALSE),"")</f>
        <v/>
      </c>
      <c r="G25" s="49" t="str">
        <f>IFERROR(VLOOKUP($D25,PlayerDB!$F$2:$I261,4,FALSE),"")</f>
        <v/>
      </c>
      <c r="H25" s="38"/>
      <c r="I25" s="50" t="str">
        <f>IFERROR(__xludf.DUMMYFUNCTION("JOIN("" | "",'Team Stats'!C$5:H$5)"),"0 | 0 | 0 | 0 | 0 | 0")</f>
        <v>0 | 0 | 0 | 0 | 0 | 0</v>
      </c>
      <c r="J25" s="64" t="str">
        <f>IFERROR(__xludf.DUMMYFUNCTION("JOIN("" | "",'Team Stats'!I$2:K$2)"),"0 | 0 | 0")</f>
        <v>0 | 0 | 0</v>
      </c>
      <c r="L25" s="42"/>
      <c r="M25" s="42"/>
      <c r="N25" s="42"/>
      <c r="O25" s="42"/>
      <c r="P25" s="42"/>
      <c r="Q25" s="42"/>
    </row>
    <row r="26">
      <c r="A26" s="33"/>
      <c r="B26" s="34">
        <v>25.0</v>
      </c>
      <c r="C26" s="34" t="str">
        <f>'Teams &amp; Draft Order'!$C$10</f>
        <v>Buttheads</v>
      </c>
      <c r="D26" s="35"/>
      <c r="E26" s="36" t="str">
        <f>IFERROR(VLOOKUP($D26,PlayerDB!$F$2:$G261,2,FALSE),"")</f>
        <v/>
      </c>
      <c r="F26" s="36" t="str">
        <f>IFERROR(VLOOKUP($D26,PlayerDB!$F$2:$H261,3,FALSE),"")</f>
        <v/>
      </c>
      <c r="G26" s="37" t="str">
        <f>IFERROR(VLOOKUP($D26,PlayerDB!$F$2:$I261,4,FALSE),"")</f>
        <v/>
      </c>
      <c r="H26" s="38"/>
      <c r="I26" s="39" t="str">
        <f>IFERROR(__xludf.DUMMYFUNCTION("JOIN("" | "",'Team Stats'!C$6:H$6)"),"0 | 0 | 0 | 0 | 0 | 0")</f>
        <v>0 | 0 | 0 | 0 | 0 | 0</v>
      </c>
      <c r="J26" s="40" t="str">
        <f>IFERROR(__xludf.DUMMYFUNCTION("JOIN("" | "",'Team Stats'!I$2:K$2)"),"0 | 0 | 0")</f>
        <v>0 | 0 | 0</v>
      </c>
      <c r="L26" s="65" t="s">
        <v>31</v>
      </c>
      <c r="M26" s="44">
        <f>COUNTIF(F:F,"RB")</f>
        <v>0</v>
      </c>
      <c r="N26" s="42"/>
      <c r="O26" s="42"/>
      <c r="P26" s="66" t="s">
        <v>35</v>
      </c>
      <c r="Q26" s="44">
        <f>COUNTIF(F:F,"WR")</f>
        <v>0</v>
      </c>
    </row>
    <row r="27">
      <c r="A27" s="45"/>
      <c r="B27" s="46">
        <v>26.0</v>
      </c>
      <c r="C27" s="46" t="str">
        <f>'Teams &amp; Draft Order'!$C$11</f>
        <v>Big Boys Big Work</v>
      </c>
      <c r="D27" s="47"/>
      <c r="E27" s="48" t="str">
        <f>IFERROR(VLOOKUP($D27,PlayerDB!$F$2:$G261,2,FALSE),"")</f>
        <v/>
      </c>
      <c r="F27" s="48" t="str">
        <f>IFERROR(VLOOKUP($D27,PlayerDB!$F$2:$H261,3,FALSE),"")</f>
        <v/>
      </c>
      <c r="G27" s="49" t="str">
        <f>IFERROR(VLOOKUP($D27,PlayerDB!$F$2:$I261,4,FALSE),"")</f>
        <v/>
      </c>
      <c r="H27" s="38"/>
      <c r="I27" s="50" t="str">
        <f>IFERROR(__xludf.DUMMYFUNCTION("JOIN("" | "",'Team Stats'!C$7:H$7)"),"0 | 0 | 0 | 0 | 0 | 0")</f>
        <v>0 | 0 | 0 | 0 | 0 | 0</v>
      </c>
      <c r="J27" s="51" t="str">
        <f>IFERROR(__xludf.DUMMYFUNCTION("JOIN("" | "",'Team Stats'!I$3:K$3)"),"0 | 0 | 0")</f>
        <v>0 | 0 | 0</v>
      </c>
      <c r="L27" s="67" t="str">
        <f>IFERROR(__xludf.DUMMYFUNCTION("QUERY(HELP_PlayersLeft!A2:B261, ""select A where B ='RB' LIMIT 20"")"),"Christian McCaffrey – SF")</f>
        <v>Christian McCaffrey – SF</v>
      </c>
      <c r="M27" s="52">
        <f>IFERROR(VLOOKUP(L27,PlayerDB!$F$2:$G261,2,FALSE),"")</f>
        <v>254</v>
      </c>
      <c r="N27" s="42"/>
      <c r="O27" s="42"/>
      <c r="P27" s="67" t="str">
        <f>IFERROR(__xludf.DUMMYFUNCTION("QUERY(HELP_PlayersLeft!A2:B261, ""select A where B ='WR' LIMIT 20"")"),"Ja'Marr Chase – CIN")</f>
        <v>Ja'Marr Chase – CIN</v>
      </c>
      <c r="Q27" s="52">
        <f>IFERROR(VLOOKUP(P27,PlayerDB!$F$2:$G261,2,FALSE),"")</f>
        <v>231.2</v>
      </c>
    </row>
    <row r="28">
      <c r="A28" s="33"/>
      <c r="B28" s="34">
        <v>27.0</v>
      </c>
      <c r="C28" s="34" t="str">
        <f>'Teams &amp; Draft Order'!$C$12</f>
        <v>Turbo-Ginz</v>
      </c>
      <c r="D28" s="35"/>
      <c r="E28" s="36" t="str">
        <f>IFERROR(VLOOKUP($D28,PlayerDB!$F$2:$G261,2,FALSE),"")</f>
        <v/>
      </c>
      <c r="F28" s="36" t="str">
        <f>IFERROR(VLOOKUP($D28,PlayerDB!$F$2:$H261,3,FALSE),"")</f>
        <v/>
      </c>
      <c r="G28" s="37" t="str">
        <f>IFERROR(VLOOKUP($D28,PlayerDB!$F$2:$I261,4,FALSE),"")</f>
        <v/>
      </c>
      <c r="H28" s="38"/>
      <c r="I28" s="39" t="str">
        <f>IFERROR(__xludf.DUMMYFUNCTION("JOIN("" | "",'Team Stats'!C$8:H$8)"),"0 | 0 | 0 | 0 | 0 | 0")</f>
        <v>0 | 0 | 0 | 0 | 0 | 0</v>
      </c>
      <c r="J28" s="40" t="str">
        <f>IFERROR(__xludf.DUMMYFUNCTION("JOIN("" | "",'Team Stats'!I$4:K$4)"),"0 | 0 | 0")</f>
        <v>0 | 0 | 0</v>
      </c>
      <c r="L28" s="20" t="str">
        <f>IFERROR(__xludf.DUMMYFUNCTION("""COMPUTED_VALUE"""),"Derrick Henry – BAL")</f>
        <v>Derrick Henry – BAL</v>
      </c>
      <c r="M28" s="52">
        <f>IFERROR(VLOOKUP(L28,PlayerDB!$F$2:$G261,2,FALSE),"")</f>
        <v>253</v>
      </c>
      <c r="N28" s="42"/>
      <c r="O28" s="42"/>
      <c r="P28" s="20" t="str">
        <f>IFERROR(__xludf.DUMMYFUNCTION("""COMPUTED_VALUE"""),"Justin Jefferson – MIN")</f>
        <v>Justin Jefferson – MIN</v>
      </c>
      <c r="Q28" s="52">
        <f>IFERROR(VLOOKUP(P28,PlayerDB!$F$2:$G261,2,FALSE),"")</f>
        <v>205.2</v>
      </c>
    </row>
    <row r="29">
      <c r="A29" s="45"/>
      <c r="B29" s="46">
        <v>28.0</v>
      </c>
      <c r="C29" s="46" t="str">
        <f>'Teams &amp; Draft Order'!$C$13</f>
        <v>Luddite</v>
      </c>
      <c r="D29" s="47"/>
      <c r="E29" s="48" t="str">
        <f>IFERROR(VLOOKUP($D29,PlayerDB!$F$2:$G261,2,FALSE),"")</f>
        <v/>
      </c>
      <c r="F29" s="48" t="str">
        <f>IFERROR(VLOOKUP($D29,PlayerDB!$F$2:$H261,3,FALSE),"")</f>
        <v/>
      </c>
      <c r="G29" s="49" t="str">
        <f>IFERROR(VLOOKUP($D29,PlayerDB!$F$2:$I261,4,FALSE),"")</f>
        <v/>
      </c>
      <c r="H29" s="38"/>
      <c r="I29" s="50" t="str">
        <f>IFERROR(__xludf.DUMMYFUNCTION("JOIN("" | "",'Team Stats'!C$9:H$9)"),"0 | 0 | 0 | 0 | 0 | 0")</f>
        <v>0 | 0 | 0 | 0 | 0 | 0</v>
      </c>
      <c r="J29" s="51" t="str">
        <f>IFERROR(__xludf.DUMMYFUNCTION("JOIN("" | "",'Team Stats'!I$5:K$5)"),"0 | 0 | 0")</f>
        <v>0 | 0 | 0</v>
      </c>
      <c r="L29" s="42" t="str">
        <f>IFERROR(__xludf.DUMMYFUNCTION("""COMPUTED_VALUE"""),"Saquon Barkley – PHI")</f>
        <v>Saquon Barkley – PHI</v>
      </c>
      <c r="M29" s="52">
        <f>IFERROR(VLOOKUP(L29,PlayerDB!$F$2:$G261,2,FALSE),"")</f>
        <v>231</v>
      </c>
      <c r="N29" s="42"/>
      <c r="O29" s="42"/>
      <c r="P29" s="42" t="str">
        <f>IFERROR(__xludf.DUMMYFUNCTION("""COMPUTED_VALUE"""),"CeeDee Lamb – DAL")</f>
        <v>CeeDee Lamb – DAL</v>
      </c>
      <c r="Q29" s="52">
        <f>IFERROR(VLOOKUP(P29,PlayerDB!$F$2:$G261,2,FALSE),"")</f>
        <v>193</v>
      </c>
    </row>
    <row r="30">
      <c r="A30" s="33"/>
      <c r="B30" s="34">
        <v>29.0</v>
      </c>
      <c r="C30" s="34" t="str">
        <f>'Teams &amp; Draft Order'!$C$14</f>
        <v>Achaians</v>
      </c>
      <c r="D30" s="35"/>
      <c r="E30" s="36" t="str">
        <f>IFERROR(VLOOKUP($D30,PlayerDB!$F$2:$G261,2,FALSE),"")</f>
        <v/>
      </c>
      <c r="F30" s="36" t="str">
        <f>IFERROR(VLOOKUP($D30,PlayerDB!$F$2:$H261,3,FALSE),"")</f>
        <v/>
      </c>
      <c r="G30" s="37" t="str">
        <f>IFERROR(VLOOKUP($D30,PlayerDB!$F$2:$I261,4,FALSE),"")</f>
        <v/>
      </c>
      <c r="H30" s="38"/>
      <c r="I30" s="39" t="str">
        <f>IFERROR(__xludf.DUMMYFUNCTION("JOIN("" | "",'Team Stats'!C$10:H$10)"),"0 | 0 | 0 | 0 | 0 | 0")</f>
        <v>0 | 0 | 0 | 0 | 0 | 0</v>
      </c>
      <c r="J30" s="40" t="str">
        <f>IFERROR(__xludf.DUMMYFUNCTION("JOIN("" | "",'Team Stats'!I$6:K$6)"),"0 | 0 | 0")</f>
        <v>0 | 0 | 0</v>
      </c>
      <c r="L30" s="42" t="str">
        <f>IFERROR(__xludf.DUMMYFUNCTION("""COMPUTED_VALUE"""),"Jahmyr Gibbs – DET")</f>
        <v>Jahmyr Gibbs – DET</v>
      </c>
      <c r="M30" s="52">
        <f>IFERROR(VLOOKUP(L30,PlayerDB!$F$2:$G261,2,FALSE),"")</f>
        <v>244</v>
      </c>
      <c r="N30" s="42"/>
      <c r="O30" s="42"/>
      <c r="P30" s="42" t="str">
        <f>IFERROR(__xludf.DUMMYFUNCTION("""COMPUTED_VALUE"""),"Puka Nacua – LAR")</f>
        <v>Puka Nacua – LAR</v>
      </c>
      <c r="Q30" s="52">
        <f>IFERROR(VLOOKUP(P30,PlayerDB!$F$2:$G261,2,FALSE),"")</f>
        <v>187.7</v>
      </c>
    </row>
    <row r="31">
      <c r="A31" s="54"/>
      <c r="B31" s="55">
        <v>30.0</v>
      </c>
      <c r="C31" s="55" t="str">
        <f>'Teams &amp; Draft Order'!$C$15</f>
        <v>Daddy's Dogs</v>
      </c>
      <c r="D31" s="56"/>
      <c r="E31" s="57" t="str">
        <f>IFERROR(VLOOKUP($D31,PlayerDB!$F$2:$G261,2,FALSE),"")</f>
        <v/>
      </c>
      <c r="F31" s="57" t="str">
        <f>IFERROR(VLOOKUP($D31,PlayerDB!$F$2:$H261,3,FALSE),"")</f>
        <v/>
      </c>
      <c r="G31" s="58" t="str">
        <f>IFERROR(VLOOKUP($D31,PlayerDB!$F$2:$I261,4,FALSE),"")</f>
        <v/>
      </c>
      <c r="H31" s="59"/>
      <c r="I31" s="60" t="str">
        <f>IFERROR(__xludf.DUMMYFUNCTION("JOIN("" | "",'Team Stats'!C$11:H$11)"),"0 | 0 | 0 | 0 | 0 | 0")</f>
        <v>0 | 0 | 0 | 0 | 0 | 0</v>
      </c>
      <c r="J31" s="51" t="str">
        <f>IFERROR(__xludf.DUMMYFUNCTION("JOIN("" | "",'Team Stats'!I$7:K$7)"),"0 | 0 | 0")</f>
        <v>0 | 0 | 0</v>
      </c>
      <c r="L31" s="42" t="str">
        <f>IFERROR(__xludf.DUMMYFUNCTION("""COMPUTED_VALUE"""),"Jonathan Taylor – IND")</f>
        <v>Jonathan Taylor – IND</v>
      </c>
      <c r="M31" s="52">
        <f>IFERROR(VLOOKUP(L31,PlayerDB!$F$2:$G261,2,FALSE),"")</f>
        <v>224</v>
      </c>
      <c r="N31" s="42"/>
      <c r="O31" s="42"/>
      <c r="P31" s="42" t="str">
        <f>IFERROR(__xludf.DUMMYFUNCTION("""COMPUTED_VALUE"""),"Nico Collins – HOU")</f>
        <v>Nico Collins – HOU</v>
      </c>
      <c r="Q31" s="52">
        <f>IFERROR(VLOOKUP(P31,PlayerDB!$F$2:$G261,2,FALSE),"")</f>
        <v>183.6</v>
      </c>
    </row>
    <row r="32">
      <c r="A32" s="72" t="s">
        <v>88</v>
      </c>
      <c r="B32" s="34">
        <v>31.0</v>
      </c>
      <c r="C32" s="73" t="str">
        <f>'Teams &amp; Draft Order'!$C$15</f>
        <v>Daddy's Dogs</v>
      </c>
      <c r="D32" s="74"/>
      <c r="E32" s="36" t="str">
        <f>IFERROR(VLOOKUP($D32,PlayerDB!$F$2:$G261,2,FALSE),"")</f>
        <v/>
      </c>
      <c r="F32" s="36" t="str">
        <f>IFERROR(VLOOKUP($D32,PlayerDB!$F$2:$H261,3,FALSE),"")</f>
        <v/>
      </c>
      <c r="G32" s="37" t="str">
        <f>IFERROR(VLOOKUP($D32,PlayerDB!$F$2:$I261,4,FALSE),"")</f>
        <v/>
      </c>
      <c r="H32" s="75"/>
      <c r="I32" s="76" t="str">
        <f>IFERROR(__xludf.DUMMYFUNCTION("JOIN("" | "",'Team Stats'!C$11:H$11)"),"0 | 0 | 0 | 0 | 0 | 0")</f>
        <v>0 | 0 | 0 | 0 | 0 | 0</v>
      </c>
      <c r="J32" s="40" t="str">
        <f>IFERROR(__xludf.DUMMYFUNCTION("JOIN("" | "",'Team Stats'!I$8:K$8)"),"0 | 0 | 0")</f>
        <v>0 | 0 | 0</v>
      </c>
      <c r="L32" s="42" t="str">
        <f>IFERROR(__xludf.DUMMYFUNCTION("""COMPUTED_VALUE"""),"Josh Jacobs – GB")</f>
        <v>Josh Jacobs – GB</v>
      </c>
      <c r="M32" s="52">
        <f>IFERROR(VLOOKUP(L32,PlayerDB!$F$2:$G261,2,FALSE),"")</f>
        <v>224</v>
      </c>
      <c r="N32" s="42"/>
      <c r="O32" s="42"/>
      <c r="P32" s="42" t="str">
        <f>IFERROR(__xludf.DUMMYFUNCTION("""COMPUTED_VALUE"""),"Malik Nabers – NYG")</f>
        <v>Malik Nabers – NYG</v>
      </c>
      <c r="Q32" s="52">
        <f>IFERROR(VLOOKUP(P32,PlayerDB!$F$2:$G261,2,FALSE),"")</f>
        <v>183.3</v>
      </c>
    </row>
    <row r="33">
      <c r="A33" s="45"/>
      <c r="B33" s="46">
        <v>32.0</v>
      </c>
      <c r="C33" s="46" t="str">
        <f>'Teams &amp; Draft Order'!$C$14</f>
        <v>Achaians</v>
      </c>
      <c r="D33" s="47"/>
      <c r="E33" s="48" t="str">
        <f>IFERROR(VLOOKUP($D33,PlayerDB!$F$2:$G261,2,FALSE),"")</f>
        <v/>
      </c>
      <c r="F33" s="48" t="str">
        <f>IFERROR(VLOOKUP($D33,PlayerDB!$F$2:$H261,3,FALSE),"")</f>
        <v/>
      </c>
      <c r="G33" s="49" t="str">
        <f>IFERROR(VLOOKUP($D33,PlayerDB!$F$2:$I261,4,FALSE),"")</f>
        <v/>
      </c>
      <c r="H33" s="38"/>
      <c r="I33" s="50" t="str">
        <f>IFERROR(__xludf.DUMMYFUNCTION("JOIN("" | "",'Team Stats'!C$10:H$10)"),"0 | 0 | 0 | 0 | 0 | 0")</f>
        <v>0 | 0 | 0 | 0 | 0 | 0</v>
      </c>
      <c r="J33" s="51" t="str">
        <f>IFERROR(__xludf.DUMMYFUNCTION("JOIN("" | "",'Team Stats'!I$9:K$9)"),"0 | 0 | 0")</f>
        <v>0 | 0 | 0</v>
      </c>
      <c r="L33" s="42" t="str">
        <f>IFERROR(__xludf.DUMMYFUNCTION("""COMPUTED_VALUE"""),"Ashton Jeanty – LV")</f>
        <v>Ashton Jeanty – LV</v>
      </c>
      <c r="M33" s="52">
        <f>IFERROR(VLOOKUP(L33,PlayerDB!$F$2:$G261,2,FALSE),"")</f>
        <v>222</v>
      </c>
      <c r="N33" s="42"/>
      <c r="O33" s="42"/>
      <c r="P33" s="42" t="str">
        <f>IFERROR(__xludf.DUMMYFUNCTION("""COMPUTED_VALUE"""),"Brian Thomas Jr. – JAX")</f>
        <v>Brian Thomas Jr. – JAX</v>
      </c>
      <c r="Q33" s="52">
        <f>IFERROR(VLOOKUP(P33,PlayerDB!$F$2:$G261,2,FALSE),"")</f>
        <v>181.4</v>
      </c>
    </row>
    <row r="34">
      <c r="A34" s="33"/>
      <c r="B34" s="34">
        <v>33.0</v>
      </c>
      <c r="C34" s="34" t="str">
        <f>'Teams &amp; Draft Order'!$C$13</f>
        <v>Luddite</v>
      </c>
      <c r="D34" s="35"/>
      <c r="E34" s="36" t="str">
        <f>IFERROR(VLOOKUP($D34,PlayerDB!$F$2:$G261,2,FALSE),"")</f>
        <v/>
      </c>
      <c r="F34" s="36" t="str">
        <f>IFERROR(VLOOKUP($D34,PlayerDB!$F$2:$H261,3,FALSE),"")</f>
        <v/>
      </c>
      <c r="G34" s="37" t="str">
        <f>IFERROR(VLOOKUP($D34,PlayerDB!$F$2:$I261,4,FALSE),"")</f>
        <v/>
      </c>
      <c r="H34" s="38"/>
      <c r="I34" s="39" t="str">
        <f>IFERROR(__xludf.DUMMYFUNCTION("JOIN("" | "",'Team Stats'!C$9:H$9)"),"0 | 0 | 0 | 0 | 0 | 0")</f>
        <v>0 | 0 | 0 | 0 | 0 | 0</v>
      </c>
      <c r="J34" s="40" t="str">
        <f>IFERROR(__xludf.DUMMYFUNCTION("JOIN("" | "",'Team Stats'!I$10:K$10)"),"0 | 0 | 0")</f>
        <v>0 | 0 | 0</v>
      </c>
      <c r="L34" s="42" t="str">
        <f>IFERROR(__xludf.DUMMYFUNCTION("""COMPUTED_VALUE"""),"Kyren Williams – LAR")</f>
        <v>Kyren Williams – LAR</v>
      </c>
      <c r="M34" s="52">
        <f>IFERROR(VLOOKUP(L34,PlayerDB!$F$2:$G261,2,FALSE),"")</f>
        <v>215</v>
      </c>
      <c r="N34" s="42"/>
      <c r="O34" s="42"/>
      <c r="P34" s="42" t="str">
        <f>IFERROR(__xludf.DUMMYFUNCTION("""COMPUTED_VALUE"""),"Amon-Ra St. Brown – DET")</f>
        <v>Amon-Ra St. Brown – DET</v>
      </c>
      <c r="Q34" s="52">
        <f>IFERROR(VLOOKUP(P34,PlayerDB!$F$2:$G261,2,FALSE),"")</f>
        <v>180.8</v>
      </c>
    </row>
    <row r="35">
      <c r="A35" s="45"/>
      <c r="B35" s="46">
        <v>34.0</v>
      </c>
      <c r="C35" s="46" t="str">
        <f>'Teams &amp; Draft Order'!$C$12</f>
        <v>Turbo-Ginz</v>
      </c>
      <c r="D35" s="47"/>
      <c r="E35" s="48" t="str">
        <f>IFERROR(VLOOKUP($D35,PlayerDB!$F$2:$G261,2,FALSE),"")</f>
        <v/>
      </c>
      <c r="F35" s="48" t="str">
        <f>IFERROR(VLOOKUP($D35,PlayerDB!$F$2:$H261,3,FALSE),"")</f>
        <v/>
      </c>
      <c r="G35" s="49" t="str">
        <f>IFERROR(VLOOKUP($D35,PlayerDB!$F$2:$I261,4,FALSE),"")</f>
        <v/>
      </c>
      <c r="H35" s="38"/>
      <c r="I35" s="50" t="str">
        <f>IFERROR(__xludf.DUMMYFUNCTION("JOIN("" | "",'Team Stats'!C$8:H$8)"),"0 | 0 | 0 | 0 | 0 | 0")</f>
        <v>0 | 0 | 0 | 0 | 0 | 0</v>
      </c>
      <c r="J35" s="51" t="str">
        <f>IFERROR(__xludf.DUMMYFUNCTION("JOIN("" | "",'Team Stats'!I$11:K$11)"),"0 | 0 | 0")</f>
        <v>0 | 0 | 0</v>
      </c>
      <c r="L35" s="42" t="str">
        <f>IFERROR(__xludf.DUMMYFUNCTION("""COMPUTED_VALUE"""),"De'Von Achane – MIA")</f>
        <v>De'Von Achane – MIA</v>
      </c>
      <c r="M35" s="52">
        <f>IFERROR(VLOOKUP(L35,PlayerDB!$F$2:$G261,2,FALSE),"")</f>
        <v>212</v>
      </c>
      <c r="N35" s="42"/>
      <c r="O35" s="42"/>
      <c r="P35" s="42" t="str">
        <f>IFERROR(__xludf.DUMMYFUNCTION("""COMPUTED_VALUE"""),"A.J. Brown – PHI")</f>
        <v>A.J. Brown – PHI</v>
      </c>
      <c r="Q35" s="52">
        <f>IFERROR(VLOOKUP(P35,PlayerDB!$F$2:$G261,2,FALSE),"")</f>
        <v>172.8</v>
      </c>
    </row>
    <row r="36">
      <c r="A36" s="33"/>
      <c r="B36" s="34">
        <v>35.0</v>
      </c>
      <c r="C36" s="34" t="str">
        <f>'Teams &amp; Draft Order'!$C$11</f>
        <v>Big Boys Big Work</v>
      </c>
      <c r="D36" s="35"/>
      <c r="E36" s="36" t="str">
        <f>IFERROR(VLOOKUP($D36,PlayerDB!$F$2:$G261,2,FALSE),"")</f>
        <v/>
      </c>
      <c r="F36" s="36" t="str">
        <f>IFERROR(VLOOKUP($D36,PlayerDB!$F$2:$H261,3,FALSE),"")</f>
        <v/>
      </c>
      <c r="G36" s="37" t="str">
        <f>IFERROR(VLOOKUP($D36,PlayerDB!$F$2:$I261,4,FALSE),"")</f>
        <v/>
      </c>
      <c r="H36" s="38"/>
      <c r="I36" s="39" t="str">
        <f>IFERROR(__xludf.DUMMYFUNCTION("JOIN("" | "",'Team Stats'!C$7:H$7)"),"0 | 0 | 0 | 0 | 0 | 0")</f>
        <v>0 | 0 | 0 | 0 | 0 | 0</v>
      </c>
      <c r="J36" s="40" t="str">
        <f>IFERROR(__xludf.DUMMYFUNCTION("JOIN("" | "",#REF!)"),"#REF!")</f>
        <v>#REF!</v>
      </c>
      <c r="L36" s="42" t="str">
        <f>IFERROR(__xludf.DUMMYFUNCTION("""COMPUTED_VALUE"""),"Bucky Irving – TB")</f>
        <v>Bucky Irving – TB</v>
      </c>
      <c r="M36" s="52">
        <f>IFERROR(VLOOKUP(L36,PlayerDB!$F$2:$G261,2,FALSE),"")</f>
        <v>210</v>
      </c>
      <c r="N36" s="42"/>
      <c r="O36" s="42"/>
      <c r="P36" s="42" t="str">
        <f>IFERROR(__xludf.DUMMYFUNCTION("""COMPUTED_VALUE"""),"Tyreek Hill – MIA")</f>
        <v>Tyreek Hill – MIA</v>
      </c>
      <c r="Q36" s="52">
        <f>IFERROR(VLOOKUP(P36,PlayerDB!$F$2:$G261,2,FALSE),"")</f>
        <v>168.5</v>
      </c>
    </row>
    <row r="37">
      <c r="A37" s="45"/>
      <c r="B37" s="46">
        <v>36.0</v>
      </c>
      <c r="C37" s="46" t="str">
        <f>'Teams &amp; Draft Order'!$C$10</f>
        <v>Buttheads</v>
      </c>
      <c r="D37" s="47"/>
      <c r="E37" s="48" t="str">
        <f>IFERROR(VLOOKUP($D37,PlayerDB!$F$2:$G261,2,FALSE),"")</f>
        <v/>
      </c>
      <c r="F37" s="48" t="str">
        <f>IFERROR(VLOOKUP($D37,PlayerDB!$F$2:$H261,3,FALSE),"")</f>
        <v/>
      </c>
      <c r="G37" s="49" t="str">
        <f>IFERROR(VLOOKUP($D37,PlayerDB!$F$2:$I261,4,FALSE),"")</f>
        <v/>
      </c>
      <c r="H37" s="38"/>
      <c r="I37" s="50" t="str">
        <f>IFERROR(__xludf.DUMMYFUNCTION("JOIN("" | "",'Team Stats'!C$6:H$6)"),"0 | 0 | 0 | 0 | 0 | 0")</f>
        <v>0 | 0 | 0 | 0 | 0 | 0</v>
      </c>
      <c r="J37" s="51" t="str">
        <f>IFERROR(__xludf.DUMMYFUNCTION("JOIN("" | "",#REF!)"),"#REF!")</f>
        <v>#REF!</v>
      </c>
      <c r="L37" s="42" t="str">
        <f>IFERROR(__xludf.DUMMYFUNCTION("""COMPUTED_VALUE"""),"James Cook – BUF")</f>
        <v>James Cook – BUF</v>
      </c>
      <c r="M37" s="52">
        <f>IFERROR(VLOOKUP(L37,PlayerDB!$F$2:$G261,2,FALSE),"")</f>
        <v>195</v>
      </c>
      <c r="N37" s="42"/>
      <c r="O37" s="42"/>
      <c r="P37" s="42" t="str">
        <f>IFERROR(__xludf.DUMMYFUNCTION("""COMPUTED_VALUE"""),"Drake London – ATL")</f>
        <v>Drake London – ATL</v>
      </c>
      <c r="Q37" s="52">
        <f>IFERROR(VLOOKUP(P37,PlayerDB!$F$2:$G261,2,FALSE),"")</f>
        <v>167.1</v>
      </c>
    </row>
    <row r="38">
      <c r="A38" s="33"/>
      <c r="B38" s="34">
        <v>37.0</v>
      </c>
      <c r="C38" s="34" t="str">
        <f>'Teams &amp; Draft Order'!$C$9</f>
        <v>El Nino</v>
      </c>
      <c r="D38" s="35"/>
      <c r="E38" s="36" t="str">
        <f>IFERROR(VLOOKUP($D38,PlayerDB!$F$2:$G261,2,FALSE),"")</f>
        <v/>
      </c>
      <c r="F38" s="36" t="str">
        <f>IFERROR(VLOOKUP($D38,PlayerDB!$F$2:$H261,3,FALSE),"")</f>
        <v/>
      </c>
      <c r="G38" s="37" t="str">
        <f>IFERROR(VLOOKUP($D38,PlayerDB!$F$2:$I261,4,FALSE),"")</f>
        <v/>
      </c>
      <c r="H38" s="38"/>
      <c r="I38" s="39" t="str">
        <f>IFERROR(__xludf.DUMMYFUNCTION("JOIN("" | "",'Team Stats'!C$5:H$5)"),"0 | 0 | 0 | 0 | 0 | 0")</f>
        <v>0 | 0 | 0 | 0 | 0 | 0</v>
      </c>
      <c r="J38" s="62" t="str">
        <f>IFERROR(__xludf.DUMMYFUNCTION("JOIN("" | "",#REF!)"),"#REF!")</f>
        <v>#REF!</v>
      </c>
      <c r="L38" s="42" t="str">
        <f>IFERROR(__xludf.DUMMYFUNCTION("""COMPUTED_VALUE"""),"Chase Brown – CIN")</f>
        <v>Chase Brown – CIN</v>
      </c>
      <c r="M38" s="52">
        <f>IFERROR(VLOOKUP(L38,PlayerDB!$F$2:$G261,2,FALSE),"")</f>
        <v>186</v>
      </c>
      <c r="N38" s="42"/>
      <c r="O38" s="42"/>
      <c r="P38" s="42" t="str">
        <f>IFERROR(__xludf.DUMMYFUNCTION("""COMPUTED_VALUE"""),"Ladd McConkey – LAC")</f>
        <v>Ladd McConkey – LAC</v>
      </c>
      <c r="Q38" s="52">
        <f>IFERROR(VLOOKUP(P38,PlayerDB!$F$2:$G261,2,FALSE),"")</f>
        <v>165.4</v>
      </c>
    </row>
    <row r="39">
      <c r="A39" s="45"/>
      <c r="B39" s="46">
        <v>38.0</v>
      </c>
      <c r="C39" s="46" t="str">
        <f>'Teams &amp; Draft Order'!$C$8</f>
        <v>Icelanders</v>
      </c>
      <c r="D39" s="47"/>
      <c r="E39" s="48" t="str">
        <f>IFERROR(VLOOKUP($D39,PlayerDB!$F$2:$G261,2,FALSE),"")</f>
        <v/>
      </c>
      <c r="F39" s="48" t="str">
        <f>IFERROR(VLOOKUP($D39,PlayerDB!$F$2:$H261,3,FALSE),"")</f>
        <v/>
      </c>
      <c r="G39" s="49" t="str">
        <f>IFERROR(VLOOKUP($D39,PlayerDB!$F$2:$I261,4,FALSE),"")</f>
        <v/>
      </c>
      <c r="H39" s="38"/>
      <c r="I39" s="50" t="str">
        <f>IFERROR(__xludf.DUMMYFUNCTION("JOIN("" | "",'Team Stats'!C$4:H$4)"),"0 | 0 | 0 | 0 | 0 | 0")</f>
        <v>0 | 0 | 0 | 0 | 0 | 0</v>
      </c>
      <c r="J39" s="51" t="str">
        <f>IFERROR(__xludf.DUMMYFUNCTION("JOIN("" | "",#REF!)"),"#REF!")</f>
        <v>#REF!</v>
      </c>
      <c r="L39" s="42" t="str">
        <f>IFERROR(__xludf.DUMMYFUNCTION("""COMPUTED_VALUE"""),"Omarion Hampton – LAC")</f>
        <v>Omarion Hampton – LAC</v>
      </c>
      <c r="M39" s="52">
        <f>IFERROR(VLOOKUP(L39,PlayerDB!$F$2:$G261,2,FALSE),"")</f>
        <v>177</v>
      </c>
      <c r="N39" s="42"/>
      <c r="O39" s="42"/>
      <c r="P39" s="42" t="str">
        <f>IFERROR(__xludf.DUMMYFUNCTION("""COMPUTED_VALUE"""),"Mike Evans – TB")</f>
        <v>Mike Evans – TB</v>
      </c>
      <c r="Q39" s="52">
        <f>IFERROR(VLOOKUP(P39,PlayerDB!$F$2:$G261,2,FALSE),"")</f>
        <v>164.5</v>
      </c>
    </row>
    <row r="40">
      <c r="A40" s="33"/>
      <c r="B40" s="34">
        <v>39.0</v>
      </c>
      <c r="C40" s="34" t="str">
        <f>'Teams &amp; Draft Order'!$C$7</f>
        <v>Phantasm</v>
      </c>
      <c r="D40" s="35"/>
      <c r="E40" s="36" t="str">
        <f>IFERROR(VLOOKUP($D40,PlayerDB!$F$2:$G261,2,FALSE),"")</f>
        <v/>
      </c>
      <c r="F40" s="36" t="str">
        <f>IFERROR(VLOOKUP($D40,PlayerDB!$F$2:$H261,3,FALSE),"")</f>
        <v/>
      </c>
      <c r="G40" s="37" t="str">
        <f>IFERROR(VLOOKUP($D40,PlayerDB!$F$2:$I261,4,FALSE),"")</f>
        <v/>
      </c>
      <c r="H40" s="38"/>
      <c r="I40" s="39" t="str">
        <f>IFERROR(__xludf.DUMMYFUNCTION("JOIN("" | "",'Team Stats'!C$3:H$3)"),"0 | 0 | 0 | 0 | 0 | 0")</f>
        <v>0 | 0 | 0 | 0 | 0 | 0</v>
      </c>
      <c r="J40" s="40" t="str">
        <f>IFERROR(__xludf.DUMMYFUNCTION("JOIN("" | "",'Team Stats'!I$11:K$11)"),"0 | 0 | 0")</f>
        <v>0 | 0 | 0</v>
      </c>
      <c r="L40" s="42" t="str">
        <f>IFERROR(__xludf.DUMMYFUNCTION("""COMPUTED_VALUE"""),"Kenneth Walker III – SEA")</f>
        <v>Kenneth Walker III – SEA</v>
      </c>
      <c r="M40" s="52">
        <f>IFERROR(VLOOKUP(L40,PlayerDB!$F$2:$G261,2,FALSE),"")</f>
        <v>180</v>
      </c>
      <c r="N40" s="42"/>
      <c r="O40" s="42"/>
      <c r="P40" s="42" t="str">
        <f>IFERROR(__xludf.DUMMYFUNCTION("""COMPUTED_VALUE"""),"Tee Higgins – CIN")</f>
        <v>Tee Higgins – CIN</v>
      </c>
      <c r="Q40" s="52">
        <f>IFERROR(VLOOKUP(P40,PlayerDB!$F$2:$G261,2,FALSE),"")</f>
        <v>161.1</v>
      </c>
    </row>
    <row r="41">
      <c r="A41" s="54"/>
      <c r="B41" s="55">
        <v>40.0</v>
      </c>
      <c r="C41" s="55" t="str">
        <f>'Teams &amp; Draft Order'!$C$6</f>
        <v>Sleeper Cell </v>
      </c>
      <c r="D41" s="56"/>
      <c r="E41" s="57" t="str">
        <f>IFERROR(VLOOKUP($D41,PlayerDB!$F$2:$G261,2,FALSE),"")</f>
        <v/>
      </c>
      <c r="F41" s="57" t="str">
        <f>IFERROR(VLOOKUP($D41,PlayerDB!$F$2:$H261,3,FALSE),"")</f>
        <v/>
      </c>
      <c r="G41" s="58" t="str">
        <f>IFERROR(VLOOKUP($D41,PlayerDB!$F$2:$I261,4,FALSE),"")</f>
        <v/>
      </c>
      <c r="H41" s="59"/>
      <c r="I41" s="60" t="str">
        <f>IFERROR(__xludf.DUMMYFUNCTION("JOIN("" | "",'Team Stats'!C$2:H$2)"),"1 | 0 | 0 | 0 | 0 | 0")</f>
        <v>1 | 0 | 0 | 0 | 0 | 0</v>
      </c>
      <c r="J41" s="51" t="str">
        <f>IFERROR(__xludf.DUMMYFUNCTION("JOIN("" | "",'Team Stats'!I$10:K$10)"),"0 | 0 | 0")</f>
        <v>0 | 0 | 0</v>
      </c>
      <c r="L41" s="42" t="str">
        <f>IFERROR(__xludf.DUMMYFUNCTION("""COMPUTED_VALUE"""),"Breece Hall – NYJ")</f>
        <v>Breece Hall – NYJ</v>
      </c>
      <c r="M41" s="52">
        <f>IFERROR(VLOOKUP(L41,PlayerDB!$F$2:$G261,2,FALSE),"")</f>
        <v>183</v>
      </c>
      <c r="N41" s="42"/>
      <c r="O41" s="42"/>
      <c r="P41" s="42" t="str">
        <f>IFERROR(__xludf.DUMMYFUNCTION("""COMPUTED_VALUE"""),"Terry McLaurin – WAS")</f>
        <v>Terry McLaurin – WAS</v>
      </c>
      <c r="Q41" s="52">
        <f>IFERROR(VLOOKUP(P41,PlayerDB!$F$2:$G261,2,FALSE),"")</f>
        <v>160.9</v>
      </c>
    </row>
    <row r="42">
      <c r="A42" s="33" t="s">
        <v>89</v>
      </c>
      <c r="B42" s="34">
        <v>41.0</v>
      </c>
      <c r="C42" s="34" t="str">
        <f>'Teams &amp; Draft Order'!$C$6</f>
        <v>Sleeper Cell </v>
      </c>
      <c r="D42" s="35"/>
      <c r="E42" s="36" t="str">
        <f>IFERROR(VLOOKUP($D42,PlayerDB!$F$2:$G261,2,FALSE),"")</f>
        <v/>
      </c>
      <c r="F42" s="36" t="str">
        <f>IFERROR(VLOOKUP($D42,PlayerDB!$F$2:$H261,3,FALSE),"")</f>
        <v/>
      </c>
      <c r="G42" s="37" t="str">
        <f>IFERROR(VLOOKUP($D42,PlayerDB!$F$2:$I261,4,FALSE),"")</f>
        <v/>
      </c>
      <c r="H42" s="38"/>
      <c r="I42" s="39" t="str">
        <f>IFERROR(__xludf.DUMMYFUNCTION("JOIN("" | "",'Team Stats'!C$2:H$2)"),"1 | 0 | 0 | 0 | 0 | 0")</f>
        <v>1 | 0 | 0 | 0 | 0 | 0</v>
      </c>
      <c r="J42" s="40" t="str">
        <f>IFERROR(__xludf.DUMMYFUNCTION("JOIN("" | "",'Team Stats'!I$9:K$9)"),"0 | 0 | 0")</f>
        <v>0 | 0 | 0</v>
      </c>
      <c r="L42" s="42" t="str">
        <f>IFERROR(__xludf.DUMMYFUNCTION("""COMPUTED_VALUE"""),"Chuba Hubbard – CAR")</f>
        <v>Chuba Hubbard – CAR</v>
      </c>
      <c r="M42" s="52">
        <f>IFERROR(VLOOKUP(L42,PlayerDB!$F$2:$G261,2,FALSE),"")</f>
        <v>176</v>
      </c>
      <c r="N42" s="42"/>
      <c r="O42" s="42"/>
      <c r="P42" s="42" t="str">
        <f>IFERROR(__xludf.DUMMYFUNCTION("""COMPUTED_VALUE"""),"Davante Adams – LAR")</f>
        <v>Davante Adams – LAR</v>
      </c>
      <c r="Q42" s="52">
        <f>IFERROR(VLOOKUP(P42,PlayerDB!$F$2:$G261,2,FALSE),"")</f>
        <v>159.2</v>
      </c>
    </row>
    <row r="43">
      <c r="A43" s="45"/>
      <c r="B43" s="46">
        <v>42.0</v>
      </c>
      <c r="C43" s="46" t="str">
        <f>'Teams &amp; Draft Order'!$C$7</f>
        <v>Phantasm</v>
      </c>
      <c r="D43" s="47"/>
      <c r="E43" s="48" t="str">
        <f>IFERROR(VLOOKUP($D43,PlayerDB!$F$2:$G261,2,FALSE),"")</f>
        <v/>
      </c>
      <c r="F43" s="48" t="str">
        <f>IFERROR(VLOOKUP($D43,PlayerDB!$F$2:$H261,3,FALSE),"")</f>
        <v/>
      </c>
      <c r="G43" s="49" t="str">
        <f>IFERROR(VLOOKUP($D43,PlayerDB!$F$2:$I261,4,FALSE),"")</f>
        <v/>
      </c>
      <c r="H43" s="38"/>
      <c r="I43" s="50" t="str">
        <f>IFERROR(__xludf.DUMMYFUNCTION("JOIN("" | "",'Team Stats'!C$3:H$3)"),"0 | 0 | 0 | 0 | 0 | 0")</f>
        <v>0 | 0 | 0 | 0 | 0 | 0</v>
      </c>
      <c r="J43" s="51" t="str">
        <f>IFERROR(__xludf.DUMMYFUNCTION("JOIN("" | "",'Team Stats'!I$8:K$8)"),"0 | 0 | 0")</f>
        <v>0 | 0 | 0</v>
      </c>
      <c r="L43" s="42" t="str">
        <f>IFERROR(__xludf.DUMMYFUNCTION("""COMPUTED_VALUE"""),"James Conner – ARI")</f>
        <v>James Conner – ARI</v>
      </c>
      <c r="M43" s="52">
        <f>IFERROR(VLOOKUP(L43,PlayerDB!$F$2:$G261,2,FALSE),"")</f>
        <v>177</v>
      </c>
      <c r="N43" s="42"/>
      <c r="O43" s="42"/>
      <c r="P43" s="42" t="str">
        <f>IFERROR(__xludf.DUMMYFUNCTION("""COMPUTED_VALUE"""),"Marvin Harrison Jr. – ARI")</f>
        <v>Marvin Harrison Jr. – ARI</v>
      </c>
      <c r="Q43" s="52">
        <f>IFERROR(VLOOKUP(P43,PlayerDB!$F$2:$G261,2,FALSE),"")</f>
        <v>154.5</v>
      </c>
    </row>
    <row r="44">
      <c r="A44" s="33"/>
      <c r="B44" s="34">
        <v>43.0</v>
      </c>
      <c r="C44" s="34" t="str">
        <f>'Teams &amp; Draft Order'!$C$8</f>
        <v>Icelanders</v>
      </c>
      <c r="D44" s="35"/>
      <c r="E44" s="36" t="str">
        <f>IFERROR(VLOOKUP($D44,PlayerDB!$F$2:$G261,2,FALSE),"")</f>
        <v/>
      </c>
      <c r="F44" s="36" t="str">
        <f>IFERROR(VLOOKUP($D44,PlayerDB!$F$2:$H261,3,FALSE),"")</f>
        <v/>
      </c>
      <c r="G44" s="37" t="str">
        <f>IFERROR(VLOOKUP($D44,PlayerDB!$F$2:$I261,4,FALSE),"")</f>
        <v/>
      </c>
      <c r="H44" s="38"/>
      <c r="I44" s="39" t="str">
        <f>IFERROR(__xludf.DUMMYFUNCTION("JOIN("" | "",'Team Stats'!C$4:H$4)"),"0 | 0 | 0 | 0 | 0 | 0")</f>
        <v>0 | 0 | 0 | 0 | 0 | 0</v>
      </c>
      <c r="J44" s="40" t="str">
        <f>IFERROR(__xludf.DUMMYFUNCTION("JOIN("" | "",'Team Stats'!I$7:K$7)"),"0 | 0 | 0")</f>
        <v>0 | 0 | 0</v>
      </c>
      <c r="L44" s="42" t="str">
        <f>IFERROR(__xludf.DUMMYFUNCTION("""COMPUTED_VALUE"""),"Alvin Kamara – NO")</f>
        <v>Alvin Kamara – NO</v>
      </c>
      <c r="M44" s="52">
        <f>IFERROR(VLOOKUP(L44,PlayerDB!$F$2:$G261,2,FALSE),"")</f>
        <v>174</v>
      </c>
      <c r="N44" s="42"/>
      <c r="O44" s="42"/>
      <c r="P44" s="42" t="str">
        <f>IFERROR(__xludf.DUMMYFUNCTION("""COMPUTED_VALUE"""),"DK Metcalf – PIT")</f>
        <v>DK Metcalf – PIT</v>
      </c>
      <c r="Q44" s="52">
        <f>IFERROR(VLOOKUP(P44,PlayerDB!$F$2:$G261,2,FALSE),"")</f>
        <v>151.9</v>
      </c>
    </row>
    <row r="45">
      <c r="A45" s="45"/>
      <c r="B45" s="46">
        <v>44.0</v>
      </c>
      <c r="C45" s="46" t="str">
        <f>'Teams &amp; Draft Order'!$C$9</f>
        <v>El Nino</v>
      </c>
      <c r="D45" s="47"/>
      <c r="E45" s="48" t="str">
        <f>IFERROR(VLOOKUP($D45,PlayerDB!$F$2:$G261,2,FALSE),"")</f>
        <v/>
      </c>
      <c r="F45" s="48" t="str">
        <f>IFERROR(VLOOKUP($D45,PlayerDB!$F$2:$H261,3,FALSE),"")</f>
        <v/>
      </c>
      <c r="G45" s="49" t="str">
        <f>IFERROR(VLOOKUP($D45,PlayerDB!$F$2:$I261,4,FALSE),"")</f>
        <v/>
      </c>
      <c r="H45" s="38"/>
      <c r="I45" s="50" t="str">
        <f>IFERROR(__xludf.DUMMYFUNCTION("JOIN("" | "",'Team Stats'!C$5:H$5)"),"0 | 0 | 0 | 0 | 0 | 0")</f>
        <v>0 | 0 | 0 | 0 | 0 | 0</v>
      </c>
      <c r="J45" s="51" t="str">
        <f>IFERROR(__xludf.DUMMYFUNCTION("JOIN("" | "",'Team Stats'!I$6:K$6)"),"0 | 0 | 0")</f>
        <v>0 | 0 | 0</v>
      </c>
      <c r="L45" s="42" t="str">
        <f>IFERROR(__xludf.DUMMYFUNCTION("""COMPUTED_VALUE"""),"David Montgomery – DET")</f>
        <v>David Montgomery – DET</v>
      </c>
      <c r="M45" s="52">
        <f>IFERROR(VLOOKUP(L45,PlayerDB!$F$2:$G261,2,FALSE),"")</f>
        <v>159</v>
      </c>
      <c r="N45" s="42"/>
      <c r="O45" s="42"/>
      <c r="P45" s="42" t="str">
        <f>IFERROR(__xludf.DUMMYFUNCTION("""COMPUTED_VALUE"""),"Jaxon Smith-Njigba – SEA")</f>
        <v>Jaxon Smith-Njigba – SEA</v>
      </c>
      <c r="Q45" s="52">
        <f>IFERROR(VLOOKUP(P45,PlayerDB!$F$2:$G261,2,FALSE),"")</f>
        <v>151.5</v>
      </c>
    </row>
    <row r="46">
      <c r="A46" s="33"/>
      <c r="B46" s="34">
        <v>45.0</v>
      </c>
      <c r="C46" s="34" t="str">
        <f>'Teams &amp; Draft Order'!$C$10</f>
        <v>Buttheads</v>
      </c>
      <c r="D46" s="35"/>
      <c r="E46" s="36" t="str">
        <f>IFERROR(VLOOKUP($D46,PlayerDB!$F$2:$G261,2,FALSE),"")</f>
        <v/>
      </c>
      <c r="F46" s="36" t="str">
        <f>IFERROR(VLOOKUP($D46,PlayerDB!$F$2:$H261,3,FALSE),"")</f>
        <v/>
      </c>
      <c r="G46" s="37" t="str">
        <f>IFERROR(VLOOKUP($D46,PlayerDB!$F$2:$I261,4,FALSE),"")</f>
        <v/>
      </c>
      <c r="H46" s="38"/>
      <c r="I46" s="39" t="str">
        <f>IFERROR(__xludf.DUMMYFUNCTION("JOIN("" | "",'Team Stats'!C$6:H$6)"),"0 | 0 | 0 | 0 | 0 | 0")</f>
        <v>0 | 0 | 0 | 0 | 0 | 0</v>
      </c>
      <c r="J46" s="40" t="str">
        <f>IFERROR(__xludf.DUMMYFUNCTION("JOIN("" | "",'Team Stats'!I$5:K$5)"),"0 | 0 | 0")</f>
        <v>0 | 0 | 0</v>
      </c>
      <c r="L46" s="42" t="str">
        <f>IFERROR(__xludf.DUMMYFUNCTION("""COMPUTED_VALUE"""),"Isiah Pacheco – KC")</f>
        <v>Isiah Pacheco – KC</v>
      </c>
      <c r="M46" s="52">
        <f>IFERROR(VLOOKUP(L46,PlayerDB!$F$2:$G261,2,FALSE),"")</f>
        <v>146</v>
      </c>
      <c r="N46" s="42"/>
      <c r="O46" s="42"/>
      <c r="P46" s="42" t="str">
        <f>IFERROR(__xludf.DUMMYFUNCTION("""COMPUTED_VALUE"""),"Zay Flowers – BAL")</f>
        <v>Zay Flowers – BAL</v>
      </c>
      <c r="Q46" s="52">
        <f>IFERROR(VLOOKUP(P46,PlayerDB!$F$2:$G261,2,FALSE),"")</f>
        <v>145.2</v>
      </c>
    </row>
    <row r="47">
      <c r="A47" s="45"/>
      <c r="B47" s="46">
        <v>46.0</v>
      </c>
      <c r="C47" s="46" t="str">
        <f>'Teams &amp; Draft Order'!$C$11</f>
        <v>Big Boys Big Work</v>
      </c>
      <c r="D47" s="47"/>
      <c r="E47" s="48" t="str">
        <f>IFERROR(VLOOKUP($D47,PlayerDB!$F$2:$G261,2,FALSE),"")</f>
        <v/>
      </c>
      <c r="F47" s="48" t="str">
        <f>IFERROR(VLOOKUP($D47,PlayerDB!$F$2:$H261,3,FALSE),"")</f>
        <v/>
      </c>
      <c r="G47" s="49" t="str">
        <f>IFERROR(VLOOKUP($D47,PlayerDB!$F$2:$I261,4,FALSE),"")</f>
        <v/>
      </c>
      <c r="H47" s="38"/>
      <c r="I47" s="50" t="str">
        <f>IFERROR(__xludf.DUMMYFUNCTION("JOIN("" | "",'Team Stats'!C$7:H$7)"),"0 | 0 | 0 | 0 | 0 | 0")</f>
        <v>0 | 0 | 0 | 0 | 0 | 0</v>
      </c>
      <c r="J47" s="51" t="str">
        <f>IFERROR(__xludf.DUMMYFUNCTION("JOIN("" | "",'Team Stats'!I$4:K$4)"),"0 | 0 | 0")</f>
        <v>0 | 0 | 0</v>
      </c>
      <c r="L47" s="42"/>
      <c r="M47" s="63"/>
      <c r="N47" s="42"/>
      <c r="O47" s="42"/>
      <c r="P47" s="42"/>
      <c r="Q47" s="63"/>
    </row>
    <row r="48">
      <c r="A48" s="33"/>
      <c r="B48" s="34">
        <v>47.0</v>
      </c>
      <c r="C48" s="34" t="str">
        <f>'Teams &amp; Draft Order'!$C$12</f>
        <v>Turbo-Ginz</v>
      </c>
      <c r="D48" s="35"/>
      <c r="E48" s="36" t="str">
        <f>IFERROR(VLOOKUP($D48,PlayerDB!$F$2:$G261,2,FALSE),"")</f>
        <v/>
      </c>
      <c r="F48" s="36" t="str">
        <f>IFERROR(VLOOKUP($D48,PlayerDB!$F$2:$H261,3,FALSE),"")</f>
        <v/>
      </c>
      <c r="G48" s="37" t="str">
        <f>IFERROR(VLOOKUP($D48,PlayerDB!$F$2:$I261,4,FALSE),"")</f>
        <v/>
      </c>
      <c r="H48" s="38"/>
      <c r="I48" s="39" t="str">
        <f>IFERROR(__xludf.DUMMYFUNCTION("JOIN("" | "",'Team Stats'!C$8:H$8)"),"0 | 0 | 0 | 0 | 0 | 0")</f>
        <v>0 | 0 | 0 | 0 | 0 | 0</v>
      </c>
      <c r="J48" s="40" t="str">
        <f>IFERROR(__xludf.DUMMYFUNCTION("JOIN("" | "",'Team Stats'!I$3:K$3)"),"0 | 0 | 0")</f>
        <v>0 | 0 | 0</v>
      </c>
      <c r="L48" s="42"/>
      <c r="M48" s="42"/>
      <c r="N48" s="42"/>
      <c r="O48" s="42"/>
      <c r="P48" s="42"/>
      <c r="Q48" s="42"/>
    </row>
    <row r="49">
      <c r="A49" s="45"/>
      <c r="B49" s="46">
        <v>48.0</v>
      </c>
      <c r="C49" s="46" t="str">
        <f>'Teams &amp; Draft Order'!$C$13</f>
        <v>Luddite</v>
      </c>
      <c r="D49" s="47"/>
      <c r="E49" s="48" t="str">
        <f>IFERROR(VLOOKUP($D49,PlayerDB!$F$2:$G261,2,FALSE),"")</f>
        <v/>
      </c>
      <c r="F49" s="48" t="str">
        <f>IFERROR(VLOOKUP($D49,PlayerDB!$F$2:$H261,3,FALSE),"")</f>
        <v/>
      </c>
      <c r="G49" s="49" t="str">
        <f>IFERROR(VLOOKUP($D49,PlayerDB!$F$2:$I261,4,FALSE),"")</f>
        <v/>
      </c>
      <c r="H49" s="38"/>
      <c r="I49" s="50" t="str">
        <f>IFERROR(__xludf.DUMMYFUNCTION("JOIN("" | "",'Team Stats'!C$9:H$9)"),"0 | 0 | 0 | 0 | 0 | 0")</f>
        <v>0 | 0 | 0 | 0 | 0 | 0</v>
      </c>
      <c r="J49" s="64" t="str">
        <f>IFERROR(__xludf.DUMMYFUNCTION("JOIN("" | "",'Team Stats'!I$2:K$2)"),"0 | 0 | 0")</f>
        <v>0 | 0 | 0</v>
      </c>
      <c r="L49" s="42"/>
      <c r="M49" s="42"/>
      <c r="N49" s="42"/>
      <c r="O49" s="42"/>
      <c r="P49" s="42"/>
      <c r="Q49" s="42"/>
    </row>
    <row r="50">
      <c r="A50" s="33"/>
      <c r="B50" s="34">
        <v>49.0</v>
      </c>
      <c r="C50" s="34" t="str">
        <f>'Teams &amp; Draft Order'!$C$14</f>
        <v>Achaians</v>
      </c>
      <c r="D50" s="35"/>
      <c r="E50" s="36" t="str">
        <f>IFERROR(VLOOKUP($D50,PlayerDB!$F$2:$G261,2,FALSE),"")</f>
        <v/>
      </c>
      <c r="F50" s="36" t="str">
        <f>IFERROR(VLOOKUP($D50,PlayerDB!$F$2:$H261,3,FALSE),"")</f>
        <v/>
      </c>
      <c r="G50" s="37" t="str">
        <f>IFERROR(VLOOKUP($D50,PlayerDB!$F$2:$I261,4,FALSE),"")</f>
        <v/>
      </c>
      <c r="H50" s="38"/>
      <c r="I50" s="39" t="str">
        <f>IFERROR(__xludf.DUMMYFUNCTION("JOIN("" | "",'Team Stats'!C$10:H$10)"),"0 | 0 | 0 | 0 | 0 | 0")</f>
        <v>0 | 0 | 0 | 0 | 0 | 0</v>
      </c>
      <c r="J50" s="40" t="str">
        <f>IFERROR(__xludf.DUMMYFUNCTION("JOIN("" | "",'Team Stats'!I$2:K$2)"),"0 | 0 | 0")</f>
        <v>0 | 0 | 0</v>
      </c>
      <c r="L50" s="68" t="s">
        <v>39</v>
      </c>
      <c r="M50" s="44">
        <f>COUNTIF(F:F,"TE")</f>
        <v>0</v>
      </c>
      <c r="N50" s="42"/>
      <c r="O50" s="42"/>
      <c r="P50" s="69" t="s">
        <v>40</v>
      </c>
      <c r="Q50" s="44">
        <f>COUNTIF(F:F,"K")</f>
        <v>0</v>
      </c>
    </row>
    <row r="51">
      <c r="A51" s="54"/>
      <c r="B51" s="55">
        <v>50.0</v>
      </c>
      <c r="C51" s="55" t="str">
        <f>'Teams &amp; Draft Order'!$C$15</f>
        <v>Daddy's Dogs</v>
      </c>
      <c r="D51" s="56"/>
      <c r="E51" s="57" t="str">
        <f>IFERROR(VLOOKUP($D51,PlayerDB!$F$2:$G261,2,FALSE),"")</f>
        <v/>
      </c>
      <c r="F51" s="57" t="str">
        <f>IFERROR(VLOOKUP($D51,PlayerDB!$F$2:$H261,3,FALSE),"")</f>
        <v/>
      </c>
      <c r="G51" s="58" t="str">
        <f>IFERROR(VLOOKUP($D51,PlayerDB!$F$2:$I261,4,FALSE),"")</f>
        <v/>
      </c>
      <c r="H51" s="59"/>
      <c r="I51" s="60" t="str">
        <f>IFERROR(__xludf.DUMMYFUNCTION("JOIN("" | "",'Team Stats'!C$11:H$11)"),"0 | 0 | 0 | 0 | 0 | 0")</f>
        <v>0 | 0 | 0 | 0 | 0 | 0</v>
      </c>
      <c r="J51" s="51" t="str">
        <f>IFERROR(__xludf.DUMMYFUNCTION("JOIN("" | "",'Team Stats'!I$3:K$3)"),"0 | 0 | 0")</f>
        <v>0 | 0 | 0</v>
      </c>
      <c r="L51" s="67" t="str">
        <f>IFERROR(__xludf.DUMMYFUNCTION("QUERY(HELP_PlayersLeft!A2:B261, ""select A where B ='TE' LIMIT 20"")"),"Brock Bowers – LV")</f>
        <v>Brock Bowers – LV</v>
      </c>
      <c r="M51" s="52">
        <f>IFERROR(VLOOKUP(L51,PlayerDB!$F$2:$G261,2,FALSE),"")</f>
        <v>149.7</v>
      </c>
      <c r="N51" s="42"/>
      <c r="O51" s="42"/>
      <c r="P51" s="42" t="str">
        <f>IFERROR(__xludf.DUMMYFUNCTION("QUERY(HELP_PlayersLeft!A2:B261, ""select A where B ='K' LIMIT 20"")"),"Brandon Aubrey – DAL")</f>
        <v>Brandon Aubrey – DAL</v>
      </c>
      <c r="Q51" s="52">
        <f>IFERROR(VLOOKUP(P51,PlayerDB!$F$2:$G261,2,FALSE),"")</f>
        <v>140</v>
      </c>
    </row>
    <row r="52">
      <c r="A52" s="72" t="s">
        <v>90</v>
      </c>
      <c r="B52" s="34">
        <v>51.0</v>
      </c>
      <c r="C52" s="73" t="str">
        <f>'Teams &amp; Draft Order'!$C$15</f>
        <v>Daddy's Dogs</v>
      </c>
      <c r="D52" s="74"/>
      <c r="E52" s="36" t="str">
        <f>IFERROR(VLOOKUP($D52,PlayerDB!$F$2:$G261,2,FALSE),"")</f>
        <v/>
      </c>
      <c r="F52" s="36" t="str">
        <f>IFERROR(VLOOKUP($D52,PlayerDB!$F$2:$H261,3,FALSE),"")</f>
        <v/>
      </c>
      <c r="G52" s="37" t="str">
        <f>IFERROR(VLOOKUP($D52,PlayerDB!$F$2:$I261,4,FALSE),"")</f>
        <v/>
      </c>
      <c r="H52" s="75"/>
      <c r="I52" s="76" t="str">
        <f>IFERROR(__xludf.DUMMYFUNCTION("JOIN("" | "",'Team Stats'!C$11:H$11)"),"0 | 0 | 0 | 0 | 0 | 0")</f>
        <v>0 | 0 | 0 | 0 | 0 | 0</v>
      </c>
      <c r="J52" s="40" t="str">
        <f>IFERROR(__xludf.DUMMYFUNCTION("JOIN("" | "",'Team Stats'!I$4:K$4)"),"0 | 0 | 0")</f>
        <v>0 | 0 | 0</v>
      </c>
      <c r="L52" s="20" t="str">
        <f>IFERROR(__xludf.DUMMYFUNCTION("""COMPUTED_VALUE"""),"George Kittle – SF")</f>
        <v>George Kittle – SF</v>
      </c>
      <c r="M52" s="52">
        <f>IFERROR(VLOOKUP(L52,PlayerDB!$F$2:$G261,2,FALSE),"")</f>
        <v>147.6</v>
      </c>
      <c r="N52" s="42"/>
      <c r="O52" s="42"/>
      <c r="P52" s="20" t="str">
        <f>IFERROR(__xludf.DUMMYFUNCTION("""COMPUTED_VALUE"""),"Chase McLaughlin – TB")</f>
        <v>Chase McLaughlin – TB</v>
      </c>
      <c r="Q52" s="52">
        <f>IFERROR(VLOOKUP(P52,PlayerDB!$F$2:$G261,2,FALSE),"")</f>
        <v>136</v>
      </c>
    </row>
    <row r="53">
      <c r="A53" s="45"/>
      <c r="B53" s="46">
        <v>52.0</v>
      </c>
      <c r="C53" s="46" t="str">
        <f>'Teams &amp; Draft Order'!$C$14</f>
        <v>Achaians</v>
      </c>
      <c r="D53" s="47"/>
      <c r="E53" s="48" t="str">
        <f>IFERROR(VLOOKUP($D53,PlayerDB!$F$2:$G261,2,FALSE),"")</f>
        <v/>
      </c>
      <c r="F53" s="48" t="str">
        <f>IFERROR(VLOOKUP($D53,PlayerDB!$F$2:$H261,3,FALSE),"")</f>
        <v/>
      </c>
      <c r="G53" s="49" t="str">
        <f>IFERROR(VLOOKUP($D53,PlayerDB!$F$2:$I261,4,FALSE),"")</f>
        <v/>
      </c>
      <c r="H53" s="38"/>
      <c r="I53" s="50" t="str">
        <f>IFERROR(__xludf.DUMMYFUNCTION("JOIN("" | "",'Team Stats'!C$10:H$10)"),"0 | 0 | 0 | 0 | 0 | 0")</f>
        <v>0 | 0 | 0 | 0 | 0 | 0</v>
      </c>
      <c r="J53" s="51" t="str">
        <f>IFERROR(__xludf.DUMMYFUNCTION("JOIN("" | "",'Team Stats'!I$5:K$5)"),"0 | 0 | 0")</f>
        <v>0 | 0 | 0</v>
      </c>
      <c r="L53" s="42" t="str">
        <f>IFERROR(__xludf.DUMMYFUNCTION("""COMPUTED_VALUE"""),"Trey McBride – ARI")</f>
        <v>Trey McBride – ARI</v>
      </c>
      <c r="M53" s="52">
        <f>IFERROR(VLOOKUP(L53,PlayerDB!$F$2:$G261,2,FALSE),"")</f>
        <v>139.4</v>
      </c>
      <c r="N53" s="42"/>
      <c r="O53" s="42"/>
      <c r="P53" s="42" t="str">
        <f>IFERROR(__xludf.DUMMYFUNCTION("""COMPUTED_VALUE"""),"Cameron Dicker – LAC")</f>
        <v>Cameron Dicker – LAC</v>
      </c>
      <c r="Q53" s="52">
        <f>IFERROR(VLOOKUP(P53,PlayerDB!$F$2:$G261,2,FALSE),"")</f>
        <v>135</v>
      </c>
    </row>
    <row r="54">
      <c r="A54" s="33"/>
      <c r="B54" s="34">
        <v>53.0</v>
      </c>
      <c r="C54" s="34" t="str">
        <f>'Teams &amp; Draft Order'!$C$13</f>
        <v>Luddite</v>
      </c>
      <c r="D54" s="35"/>
      <c r="E54" s="36" t="str">
        <f>IFERROR(VLOOKUP($D54,PlayerDB!$F$2:$G261,2,FALSE),"")</f>
        <v/>
      </c>
      <c r="F54" s="36" t="str">
        <f>IFERROR(VLOOKUP($D54,PlayerDB!$F$2:$H261,3,FALSE),"")</f>
        <v/>
      </c>
      <c r="G54" s="37" t="str">
        <f>IFERROR(VLOOKUP($D54,PlayerDB!$F$2:$I261,4,FALSE),"")</f>
        <v/>
      </c>
      <c r="H54" s="38"/>
      <c r="I54" s="39" t="str">
        <f>IFERROR(__xludf.DUMMYFUNCTION("JOIN("" | "",'Team Stats'!C$9:H$9)"),"0 | 0 | 0 | 0 | 0 | 0")</f>
        <v>0 | 0 | 0 | 0 | 0 | 0</v>
      </c>
      <c r="J54" s="40" t="str">
        <f>IFERROR(__xludf.DUMMYFUNCTION("JOIN("" | "",'Team Stats'!I$6:K$6)"),"0 | 0 | 0")</f>
        <v>0 | 0 | 0</v>
      </c>
      <c r="L54" s="42" t="str">
        <f>IFERROR(__xludf.DUMMYFUNCTION("""COMPUTED_VALUE"""),"Mark Andrews – BAL")</f>
        <v>Mark Andrews – BAL</v>
      </c>
      <c r="M54" s="52">
        <f>IFERROR(VLOOKUP(L54,PlayerDB!$F$2:$G261,2,FALSE),"")</f>
        <v>117.3</v>
      </c>
      <c r="N54" s="42"/>
      <c r="O54" s="42"/>
      <c r="P54" s="42" t="str">
        <f>IFERROR(__xludf.DUMMYFUNCTION("""COMPUTED_VALUE"""),"Jake Elliott – PHI")</f>
        <v>Jake Elliott – PHI</v>
      </c>
      <c r="Q54" s="52">
        <f>IFERROR(VLOOKUP(P54,PlayerDB!$F$2:$G261,2,FALSE),"")</f>
        <v>134</v>
      </c>
    </row>
    <row r="55">
      <c r="A55" s="45"/>
      <c r="B55" s="46">
        <v>54.0</v>
      </c>
      <c r="C55" s="46" t="str">
        <f>'Teams &amp; Draft Order'!$C$12</f>
        <v>Turbo-Ginz</v>
      </c>
      <c r="D55" s="47"/>
      <c r="E55" s="48" t="str">
        <f>IFERROR(VLOOKUP($D55,PlayerDB!$F$2:$G261,2,FALSE),"")</f>
        <v/>
      </c>
      <c r="F55" s="48" t="str">
        <f>IFERROR(VLOOKUP($D55,PlayerDB!$F$2:$H261,3,FALSE),"")</f>
        <v/>
      </c>
      <c r="G55" s="49" t="str">
        <f>IFERROR(VLOOKUP($D55,PlayerDB!$F$2:$I261,4,FALSE),"")</f>
        <v/>
      </c>
      <c r="H55" s="38"/>
      <c r="I55" s="50" t="str">
        <f>IFERROR(__xludf.DUMMYFUNCTION("JOIN("" | "",'Team Stats'!C$8:H$8)"),"0 | 0 | 0 | 0 | 0 | 0")</f>
        <v>0 | 0 | 0 | 0 | 0 | 0</v>
      </c>
      <c r="J55" s="51" t="str">
        <f>IFERROR(__xludf.DUMMYFUNCTION("JOIN("" | "",'Team Stats'!I$7:K$7)"),"0 | 0 | 0")</f>
        <v>0 | 0 | 0</v>
      </c>
      <c r="L55" s="42" t="str">
        <f>IFERROR(__xludf.DUMMYFUNCTION("""COMPUTED_VALUE"""),"Sam LaPorta – DET")</f>
        <v>Sam LaPorta – DET</v>
      </c>
      <c r="M55" s="52">
        <f>IFERROR(VLOOKUP(L55,PlayerDB!$F$2:$G261,2,FALSE),"")</f>
        <v>115.6</v>
      </c>
      <c r="N55" s="42"/>
      <c r="O55" s="42"/>
      <c r="P55" s="42" t="str">
        <f>IFERROR(__xludf.DUMMYFUNCTION("""COMPUTED_VALUE"""),"Matt Gay – WAS")</f>
        <v>Matt Gay – WAS</v>
      </c>
      <c r="Q55" s="52">
        <f>IFERROR(VLOOKUP(P55,PlayerDB!$F$2:$G261,2,FALSE),"")</f>
        <v>134</v>
      </c>
    </row>
    <row r="56">
      <c r="A56" s="33"/>
      <c r="B56" s="34">
        <v>55.0</v>
      </c>
      <c r="C56" s="34" t="str">
        <f>'Teams &amp; Draft Order'!$C$11</f>
        <v>Big Boys Big Work</v>
      </c>
      <c r="D56" s="35"/>
      <c r="E56" s="36" t="str">
        <f>IFERROR(VLOOKUP($D56,PlayerDB!$F$2:$G261,2,FALSE),"")</f>
        <v/>
      </c>
      <c r="F56" s="36" t="str">
        <f>IFERROR(VLOOKUP($D56,PlayerDB!$F$2:$H261,3,FALSE),"")</f>
        <v/>
      </c>
      <c r="G56" s="37" t="str">
        <f>IFERROR(VLOOKUP($D56,PlayerDB!$F$2:$I261,4,FALSE),"")</f>
        <v/>
      </c>
      <c r="H56" s="38"/>
      <c r="I56" s="39" t="str">
        <f>IFERROR(__xludf.DUMMYFUNCTION("JOIN("" | "",'Team Stats'!C$7:H$7)"),"0 | 0 | 0 | 0 | 0 | 0")</f>
        <v>0 | 0 | 0 | 0 | 0 | 0</v>
      </c>
      <c r="J56" s="40" t="str">
        <f>IFERROR(__xludf.DUMMYFUNCTION("JOIN("" | "",'Team Stats'!I$8:K$8)"),"0 | 0 | 0")</f>
        <v>0 | 0 | 0</v>
      </c>
      <c r="L56" s="42" t="str">
        <f>IFERROR(__xludf.DUMMYFUNCTION("""COMPUTED_VALUE"""),"T.J. Hockenson – MIN")</f>
        <v>T.J. Hockenson – MIN</v>
      </c>
      <c r="M56" s="52">
        <f>IFERROR(VLOOKUP(L56,PlayerDB!$F$2:$G261,2,FALSE),"")</f>
        <v>106.5</v>
      </c>
      <c r="N56" s="42"/>
      <c r="O56" s="42"/>
      <c r="P56" s="42" t="str">
        <f>IFERROR(__xludf.DUMMYFUNCTION("""COMPUTED_VALUE"""),"Jake Bates – DET")</f>
        <v>Jake Bates – DET</v>
      </c>
      <c r="Q56" s="52">
        <f>IFERROR(VLOOKUP(P56,PlayerDB!$F$2:$G261,2,FALSE),"")</f>
        <v>132</v>
      </c>
    </row>
    <row r="57">
      <c r="A57" s="45"/>
      <c r="B57" s="46">
        <v>56.0</v>
      </c>
      <c r="C57" s="46" t="str">
        <f>'Teams &amp; Draft Order'!$C$10</f>
        <v>Buttheads</v>
      </c>
      <c r="D57" s="47"/>
      <c r="E57" s="48" t="str">
        <f>IFERROR(VLOOKUP($D57,PlayerDB!$F$2:$G261,2,FALSE),"")</f>
        <v/>
      </c>
      <c r="F57" s="48" t="str">
        <f>IFERROR(VLOOKUP($D57,PlayerDB!$F$2:$H261,3,FALSE),"")</f>
        <v/>
      </c>
      <c r="G57" s="49" t="str">
        <f>IFERROR(VLOOKUP($D57,PlayerDB!$F$2:$I261,4,FALSE),"")</f>
        <v/>
      </c>
      <c r="H57" s="38"/>
      <c r="I57" s="50" t="str">
        <f>IFERROR(__xludf.DUMMYFUNCTION("JOIN("" | "",'Team Stats'!C$6:H$6)"),"0 | 0 | 0 | 0 | 0 | 0")</f>
        <v>0 | 0 | 0 | 0 | 0 | 0</v>
      </c>
      <c r="J57" s="51" t="str">
        <f>IFERROR(__xludf.DUMMYFUNCTION("JOIN("" | "",'Team Stats'!I$9:K$9)"),"0 | 0 | 0")</f>
        <v>0 | 0 | 0</v>
      </c>
      <c r="L57" s="42" t="str">
        <f>IFERROR(__xludf.DUMMYFUNCTION("""COMPUTED_VALUE"""),"Travis Kelce – KC")</f>
        <v>Travis Kelce – KC</v>
      </c>
      <c r="M57" s="52">
        <f>IFERROR(VLOOKUP(L57,PlayerDB!$F$2:$G261,2,FALSE),"")</f>
        <v>105.9</v>
      </c>
      <c r="N57" s="42"/>
      <c r="O57" s="42"/>
      <c r="P57" s="42" t="str">
        <f>IFERROR(__xludf.DUMMYFUNCTION("""COMPUTED_VALUE"""),"Chris Boswell – PIT")</f>
        <v>Chris Boswell – PIT</v>
      </c>
      <c r="Q57" s="52">
        <f>IFERROR(VLOOKUP(P57,PlayerDB!$F$2:$G261,2,FALSE),"")</f>
        <v>132</v>
      </c>
    </row>
    <row r="58">
      <c r="A58" s="33"/>
      <c r="B58" s="34">
        <v>57.0</v>
      </c>
      <c r="C58" s="34" t="str">
        <f>'Teams &amp; Draft Order'!$C$9</f>
        <v>El Nino</v>
      </c>
      <c r="D58" s="35"/>
      <c r="E58" s="36" t="str">
        <f>IFERROR(VLOOKUP($D58,PlayerDB!$F$2:$G261,2,FALSE),"")</f>
        <v/>
      </c>
      <c r="F58" s="36" t="str">
        <f>IFERROR(VLOOKUP($D58,PlayerDB!$F$2:$H261,3,FALSE),"")</f>
        <v/>
      </c>
      <c r="G58" s="37" t="str">
        <f>IFERROR(VLOOKUP($D58,PlayerDB!$F$2:$I261,4,FALSE),"")</f>
        <v/>
      </c>
      <c r="H58" s="38"/>
      <c r="I58" s="39" t="str">
        <f>IFERROR(__xludf.DUMMYFUNCTION("JOIN("" | "",'Team Stats'!C$5:H$5)"),"0 | 0 | 0 | 0 | 0 | 0")</f>
        <v>0 | 0 | 0 | 0 | 0 | 0</v>
      </c>
      <c r="J58" s="40" t="str">
        <f>IFERROR(__xludf.DUMMYFUNCTION("JOIN("" | "",'Team Stats'!I$10:K$10)"),"0 | 0 | 0")</f>
        <v>0 | 0 | 0</v>
      </c>
      <c r="L58" s="42" t="str">
        <f>IFERROR(__xludf.DUMMYFUNCTION("""COMPUTED_VALUE"""),"David Njoku – CLE")</f>
        <v>David Njoku – CLE</v>
      </c>
      <c r="M58" s="52">
        <f>IFERROR(VLOOKUP(L58,PlayerDB!$F$2:$G261,2,FALSE),"")</f>
        <v>101.1</v>
      </c>
      <c r="N58" s="42"/>
      <c r="O58" s="42"/>
      <c r="P58" s="42" t="str">
        <f>IFERROR(__xludf.DUMMYFUNCTION("""COMPUTED_VALUE"""),"Tyler Loop – BAL")</f>
        <v>Tyler Loop – BAL</v>
      </c>
      <c r="Q58" s="52">
        <f>IFERROR(VLOOKUP(P58,PlayerDB!$F$2:$G261,2,FALSE),"")</f>
        <v>130</v>
      </c>
    </row>
    <row r="59">
      <c r="A59" s="45"/>
      <c r="B59" s="46">
        <v>58.0</v>
      </c>
      <c r="C59" s="46" t="str">
        <f>'Teams &amp; Draft Order'!$C$8</f>
        <v>Icelanders</v>
      </c>
      <c r="D59" s="47"/>
      <c r="E59" s="48" t="str">
        <f>IFERROR(VLOOKUP($D59,PlayerDB!$F$2:$G261,2,FALSE),"")</f>
        <v/>
      </c>
      <c r="F59" s="48" t="str">
        <f>IFERROR(VLOOKUP($D59,PlayerDB!$F$2:$H261,3,FALSE),"")</f>
        <v/>
      </c>
      <c r="G59" s="49" t="str">
        <f>IFERROR(VLOOKUP($D59,PlayerDB!$F$2:$I261,4,FALSE),"")</f>
        <v/>
      </c>
      <c r="H59" s="38"/>
      <c r="I59" s="50" t="str">
        <f>IFERROR(__xludf.DUMMYFUNCTION("JOIN("" | "",'Team Stats'!C$4:H$4)"),"0 | 0 | 0 | 0 | 0 | 0")</f>
        <v>0 | 0 | 0 | 0 | 0 | 0</v>
      </c>
      <c r="J59" s="51" t="str">
        <f>IFERROR(__xludf.DUMMYFUNCTION("JOIN("" | "",'Team Stats'!I$11:K$11)"),"0 | 0 | 0")</f>
        <v>0 | 0 | 0</v>
      </c>
      <c r="L59" s="42" t="str">
        <f>IFERROR(__xludf.DUMMYFUNCTION("""COMPUTED_VALUE"""),"Tucker Kraft – GB")</f>
        <v>Tucker Kraft – GB</v>
      </c>
      <c r="M59" s="52">
        <f>IFERROR(VLOOKUP(L59,PlayerDB!$F$2:$G261,2,FALSE),"")</f>
        <v>92.6</v>
      </c>
      <c r="N59" s="42"/>
      <c r="O59" s="42"/>
      <c r="P59" s="42" t="str">
        <f>IFERROR(__xludf.DUMMYFUNCTION("""COMPUTED_VALUE"""),"Daniel Carlson – LV")</f>
        <v>Daniel Carlson – LV</v>
      </c>
      <c r="Q59" s="52">
        <f>IFERROR(VLOOKUP(P59,PlayerDB!$F$2:$G261,2,FALSE),"")</f>
        <v>129</v>
      </c>
    </row>
    <row r="60">
      <c r="A60" s="33"/>
      <c r="B60" s="34">
        <v>59.0</v>
      </c>
      <c r="C60" s="34" t="str">
        <f>'Teams &amp; Draft Order'!$C$7</f>
        <v>Phantasm</v>
      </c>
      <c r="D60" s="35"/>
      <c r="E60" s="36" t="str">
        <f>IFERROR(VLOOKUP($D60,PlayerDB!$F$2:$G261,2,FALSE),"")</f>
        <v/>
      </c>
      <c r="F60" s="36" t="str">
        <f>IFERROR(VLOOKUP($D60,PlayerDB!$F$2:$H261,3,FALSE),"")</f>
        <v/>
      </c>
      <c r="G60" s="37" t="str">
        <f>IFERROR(VLOOKUP($D60,PlayerDB!$F$2:$I261,4,FALSE),"")</f>
        <v/>
      </c>
      <c r="H60" s="38"/>
      <c r="I60" s="39" t="str">
        <f>IFERROR(__xludf.DUMMYFUNCTION("JOIN("" | "",'Team Stats'!C$3:H$3)"),"0 | 0 | 0 | 0 | 0 | 0")</f>
        <v>0 | 0 | 0 | 0 | 0 | 0</v>
      </c>
      <c r="J60" s="40" t="str">
        <f>IFERROR(__xludf.DUMMYFUNCTION("JOIN("" | "",#REF!)"),"#REF!")</f>
        <v>#REF!</v>
      </c>
      <c r="L60" s="42" t="str">
        <f>IFERROR(__xludf.DUMMYFUNCTION("""COMPUTED_VALUE"""),"Tyler Warren – IND")</f>
        <v>Tyler Warren – IND</v>
      </c>
      <c r="M60" s="52">
        <f>IFERROR(VLOOKUP(L60,PlayerDB!$F$2:$G261,2,FALSE),"")</f>
        <v>88.7</v>
      </c>
      <c r="N60" s="42"/>
      <c r="O60" s="42"/>
      <c r="P60" s="42" t="str">
        <f>IFERROR(__xludf.DUMMYFUNCTION("""COMPUTED_VALUE"""),"Ka’imi Fairbairn – HOU")</f>
        <v>Ka’imi Fairbairn – HOU</v>
      </c>
      <c r="Q60" s="52">
        <f>IFERROR(VLOOKUP(P60,PlayerDB!$F$2:$G261,2,FALSE),"")</f>
        <v>128</v>
      </c>
    </row>
    <row r="61">
      <c r="A61" s="54"/>
      <c r="B61" s="55">
        <v>60.0</v>
      </c>
      <c r="C61" s="55" t="str">
        <f>'Teams &amp; Draft Order'!$C$6</f>
        <v>Sleeper Cell </v>
      </c>
      <c r="D61" s="56"/>
      <c r="E61" s="57" t="str">
        <f>IFERROR(VLOOKUP($D61,PlayerDB!$F$2:$G261,2,FALSE),"")</f>
        <v/>
      </c>
      <c r="F61" s="57" t="str">
        <f>IFERROR(VLOOKUP($D61,PlayerDB!$F$2:$H261,3,FALSE),"")</f>
        <v/>
      </c>
      <c r="G61" s="58" t="str">
        <f>IFERROR(VLOOKUP($D61,PlayerDB!$F$2:$I261,4,FALSE),"")</f>
        <v/>
      </c>
      <c r="H61" s="59"/>
      <c r="I61" s="60" t="str">
        <f>IFERROR(__xludf.DUMMYFUNCTION("JOIN("" | "",'Team Stats'!C$2:H$2)"),"1 | 0 | 0 | 0 | 0 | 0")</f>
        <v>1 | 0 | 0 | 0 | 0 | 0</v>
      </c>
      <c r="J61" s="51" t="str">
        <f>IFERROR(__xludf.DUMMYFUNCTION("JOIN("" | "",#REF!)"),"#REF!")</f>
        <v>#REF!</v>
      </c>
      <c r="L61" s="42" t="str">
        <f>IFERROR(__xludf.DUMMYFUNCTION("""COMPUTED_VALUE"""),"Dallas Goedert – PHI")</f>
        <v>Dallas Goedert – PHI</v>
      </c>
      <c r="M61" s="52">
        <f>IFERROR(VLOOKUP(L61,PlayerDB!$F$2:$G261,2,FALSE),"")</f>
        <v>85.8</v>
      </c>
      <c r="N61" s="42"/>
      <c r="O61" s="42"/>
      <c r="P61" s="42" t="str">
        <f>IFERROR(__xludf.DUMMYFUNCTION("""COMPUTED_VALUE"""),"Evan McPherson – CIN")</f>
        <v>Evan McPherson – CIN</v>
      </c>
      <c r="Q61" s="52">
        <f>IFERROR(VLOOKUP(P61,PlayerDB!$F$2:$G261,2,FALSE),"")</f>
        <v>127</v>
      </c>
    </row>
    <row r="62">
      <c r="A62" s="33" t="s">
        <v>91</v>
      </c>
      <c r="B62" s="34">
        <v>61.0</v>
      </c>
      <c r="C62" s="34" t="str">
        <f>'Teams &amp; Draft Order'!$C$6</f>
        <v>Sleeper Cell </v>
      </c>
      <c r="D62" s="35"/>
      <c r="E62" s="36" t="str">
        <f>IFERROR(VLOOKUP($D62,PlayerDB!$F$2:$G261,2,FALSE),"")</f>
        <v/>
      </c>
      <c r="F62" s="36" t="str">
        <f>IFERROR(VLOOKUP($D62,PlayerDB!$F$2:$H261,3,FALSE),"")</f>
        <v/>
      </c>
      <c r="G62" s="37" t="str">
        <f>IFERROR(VLOOKUP($D62,PlayerDB!$F$2:$I261,4,FALSE),"")</f>
        <v/>
      </c>
      <c r="H62" s="38"/>
      <c r="I62" s="39" t="str">
        <f>IFERROR(__xludf.DUMMYFUNCTION("JOIN("" | "",'Team Stats'!C$2:H$2)"),"1 | 0 | 0 | 0 | 0 | 0")</f>
        <v>1 | 0 | 0 | 0 | 0 | 0</v>
      </c>
      <c r="J62" s="62" t="str">
        <f>IFERROR(__xludf.DUMMYFUNCTION("JOIN("" | "",#REF!)"),"#REF!")</f>
        <v>#REF!</v>
      </c>
      <c r="L62" s="42" t="str">
        <f>IFERROR(__xludf.DUMMYFUNCTION("""COMPUTED_VALUE"""),"Zach Ertz – WAS")</f>
        <v>Zach Ertz – WAS</v>
      </c>
      <c r="M62" s="52">
        <f>IFERROR(VLOOKUP(L62,PlayerDB!$F$2:$G261,2,FALSE),"")</f>
        <v>84.2</v>
      </c>
      <c r="N62" s="42"/>
      <c r="O62" s="42"/>
      <c r="P62" s="42" t="str">
        <f>IFERROR(__xludf.DUMMYFUNCTION("""COMPUTED_VALUE"""),"Tyler Bass – BUF")</f>
        <v>Tyler Bass – BUF</v>
      </c>
      <c r="Q62" s="52">
        <f>IFERROR(VLOOKUP(P62,PlayerDB!$F$2:$G261,2,FALSE),"")</f>
        <v>126</v>
      </c>
    </row>
    <row r="63">
      <c r="A63" s="45"/>
      <c r="B63" s="46">
        <v>62.0</v>
      </c>
      <c r="C63" s="46" t="str">
        <f>'Teams &amp; Draft Order'!$C$7</f>
        <v>Phantasm</v>
      </c>
      <c r="D63" s="47"/>
      <c r="E63" s="48" t="str">
        <f>IFERROR(VLOOKUP($D63,PlayerDB!$F$2:$G261,2,FALSE),"")</f>
        <v/>
      </c>
      <c r="F63" s="48" t="str">
        <f>IFERROR(VLOOKUP($D63,PlayerDB!$F$2:$H261,3,FALSE),"")</f>
        <v/>
      </c>
      <c r="G63" s="49" t="str">
        <f>IFERROR(VLOOKUP($D63,PlayerDB!$F$2:$I261,4,FALSE),"")</f>
        <v/>
      </c>
      <c r="H63" s="38"/>
      <c r="I63" s="50" t="str">
        <f>IFERROR(__xludf.DUMMYFUNCTION("JOIN("" | "",'Team Stats'!C$3:H$3)"),"0 | 0 | 0 | 0 | 0 | 0")</f>
        <v>0 | 0 | 0 | 0 | 0 | 0</v>
      </c>
      <c r="J63" s="51" t="str">
        <f>IFERROR(__xludf.DUMMYFUNCTION("JOIN("" | "",#REF!)"),"#REF!")</f>
        <v>#REF!</v>
      </c>
      <c r="L63" s="42" t="str">
        <f>IFERROR(__xludf.DUMMYFUNCTION("""COMPUTED_VALUE"""),"Dalton Kincaid – BUF")</f>
        <v>Dalton Kincaid – BUF</v>
      </c>
      <c r="M63" s="52">
        <f>IFERROR(VLOOKUP(L63,PlayerDB!$F$2:$G261,2,FALSE),"")</f>
        <v>83.6</v>
      </c>
      <c r="N63" s="42"/>
      <c r="O63" s="42"/>
      <c r="P63" s="42" t="str">
        <f>IFERROR(__xludf.DUMMYFUNCTION("""COMPUTED_VALUE"""),"Wil Lutz – DEN")</f>
        <v>Wil Lutz – DEN</v>
      </c>
      <c r="Q63" s="52">
        <f>IFERROR(VLOOKUP(P63,PlayerDB!$F$2:$G261,2,FALSE),"")</f>
        <v>126</v>
      </c>
    </row>
    <row r="64">
      <c r="A64" s="33"/>
      <c r="B64" s="34">
        <v>63.0</v>
      </c>
      <c r="C64" s="34" t="str">
        <f>'Teams &amp; Draft Order'!$C$8</f>
        <v>Icelanders</v>
      </c>
      <c r="D64" s="35"/>
      <c r="E64" s="36" t="str">
        <f>IFERROR(VLOOKUP($D64,PlayerDB!$F$2:$G261,2,FALSE),"")</f>
        <v/>
      </c>
      <c r="F64" s="36" t="str">
        <f>IFERROR(VLOOKUP($D64,PlayerDB!$F$2:$H261,3,FALSE),"")</f>
        <v/>
      </c>
      <c r="G64" s="37" t="str">
        <f>IFERROR(VLOOKUP($D64,PlayerDB!$F$2:$I261,4,FALSE),"")</f>
        <v/>
      </c>
      <c r="H64" s="38"/>
      <c r="I64" s="39" t="str">
        <f>IFERROR(__xludf.DUMMYFUNCTION("JOIN("" | "",'Team Stats'!C$4:H$4)"),"0 | 0 | 0 | 0 | 0 | 0")</f>
        <v>0 | 0 | 0 | 0 | 0 | 0</v>
      </c>
      <c r="J64" s="40" t="str">
        <f>IFERROR(__xludf.DUMMYFUNCTION("JOIN("" | "",'Team Stats'!I$11:K$11)"),"0 | 0 | 0")</f>
        <v>0 | 0 | 0</v>
      </c>
      <c r="L64" s="42" t="str">
        <f>IFERROR(__xludf.DUMMYFUNCTION("""COMPUTED_VALUE"""),"Evan Engram – DEN")</f>
        <v>Evan Engram – DEN</v>
      </c>
      <c r="M64" s="52">
        <f>IFERROR(VLOOKUP(L64,PlayerDB!$F$2:$G261,2,FALSE),"")</f>
        <v>83.4</v>
      </c>
      <c r="N64" s="42"/>
      <c r="O64" s="42"/>
      <c r="P64" s="42" t="str">
        <f>IFERROR(__xludf.DUMMYFUNCTION("""COMPUTED_VALUE"""),"Jason Sanders – MIA")</f>
        <v>Jason Sanders – MIA</v>
      </c>
      <c r="Q64" s="52">
        <f>IFERROR(VLOOKUP(P64,PlayerDB!$F$2:$G261,2,FALSE),"")</f>
        <v>125</v>
      </c>
    </row>
    <row r="65">
      <c r="A65" s="45"/>
      <c r="B65" s="46">
        <v>64.0</v>
      </c>
      <c r="C65" s="46" t="str">
        <f>'Teams &amp; Draft Order'!$C$9</f>
        <v>El Nino</v>
      </c>
      <c r="D65" s="47"/>
      <c r="E65" s="48" t="str">
        <f>IFERROR(VLOOKUP($D65,PlayerDB!$F$2:$G261,2,FALSE),"")</f>
        <v/>
      </c>
      <c r="F65" s="48" t="str">
        <f>IFERROR(VLOOKUP($D65,PlayerDB!$F$2:$H261,3,FALSE),"")</f>
        <v/>
      </c>
      <c r="G65" s="49" t="str">
        <f>IFERROR(VLOOKUP($D65,PlayerDB!$F$2:$I261,4,FALSE),"")</f>
        <v/>
      </c>
      <c r="H65" s="38"/>
      <c r="I65" s="50" t="str">
        <f>IFERROR(__xludf.DUMMYFUNCTION("JOIN("" | "",'Team Stats'!C$5:H$5)"),"0 | 0 | 0 | 0 | 0 | 0")</f>
        <v>0 | 0 | 0 | 0 | 0 | 0</v>
      </c>
      <c r="J65" s="51" t="str">
        <f>IFERROR(__xludf.DUMMYFUNCTION("JOIN("" | "",'Team Stats'!I$10:K$10)"),"0 | 0 | 0")</f>
        <v>0 | 0 | 0</v>
      </c>
      <c r="L65" s="42" t="str">
        <f>IFERROR(__xludf.DUMMYFUNCTION("""COMPUTED_VALUE"""),"Kyle Pitts – ATL")</f>
        <v>Kyle Pitts – ATL</v>
      </c>
      <c r="M65" s="52">
        <f>IFERROR(VLOOKUP(L65,PlayerDB!$F$2:$G261,2,FALSE),"")</f>
        <v>83.2</v>
      </c>
      <c r="N65" s="42"/>
      <c r="O65" s="42"/>
      <c r="P65" s="42" t="str">
        <f>IFERROR(__xludf.DUMMYFUNCTION("""COMPUTED_VALUE"""),"Jake Moody – SF")</f>
        <v>Jake Moody – SF</v>
      </c>
      <c r="Q65" s="52">
        <f>IFERROR(VLOOKUP(P65,PlayerDB!$F$2:$G261,2,FALSE),"")</f>
        <v>125</v>
      </c>
    </row>
    <row r="66">
      <c r="A66" s="33"/>
      <c r="B66" s="34">
        <v>65.0</v>
      </c>
      <c r="C66" s="34" t="str">
        <f>'Teams &amp; Draft Order'!$C$10</f>
        <v>Buttheads</v>
      </c>
      <c r="D66" s="35"/>
      <c r="E66" s="36" t="str">
        <f>IFERROR(VLOOKUP($D66,PlayerDB!$F$2:$G261,2,FALSE),"")</f>
        <v/>
      </c>
      <c r="F66" s="36" t="str">
        <f>IFERROR(VLOOKUP($D66,PlayerDB!$F$2:$H261,3,FALSE),"")</f>
        <v/>
      </c>
      <c r="G66" s="37" t="str">
        <f>IFERROR(VLOOKUP($D66,PlayerDB!$F$2:$I261,4,FALSE),"")</f>
        <v/>
      </c>
      <c r="H66" s="38"/>
      <c r="I66" s="39" t="str">
        <f>IFERROR(__xludf.DUMMYFUNCTION("JOIN("" | "",'Team Stats'!C$6:H$6)"),"0 | 0 | 0 | 0 | 0 | 0")</f>
        <v>0 | 0 | 0 | 0 | 0 | 0</v>
      </c>
      <c r="J66" s="40" t="str">
        <f>IFERROR(__xludf.DUMMYFUNCTION("JOIN("" | "",'Team Stats'!I$9:K$9)"),"0 | 0 | 0")</f>
        <v>0 | 0 | 0</v>
      </c>
      <c r="L66" s="42" t="str">
        <f>IFERROR(__xludf.DUMMYFUNCTION("""COMPUTED_VALUE"""),"Jake Ferguson – DAL")</f>
        <v>Jake Ferguson – DAL</v>
      </c>
      <c r="M66" s="52">
        <f>IFERROR(VLOOKUP(L66,PlayerDB!$F$2:$G261,2,FALSE),"")</f>
        <v>82.5</v>
      </c>
      <c r="N66" s="42"/>
      <c r="O66" s="42"/>
      <c r="P66" s="42" t="str">
        <f>IFERROR(__xludf.DUMMYFUNCTION("""COMPUTED_VALUE"""),"Brandon McManus – GB")</f>
        <v>Brandon McManus – GB</v>
      </c>
      <c r="Q66" s="52">
        <f>IFERROR(VLOOKUP(P66,PlayerDB!$F$2:$G261,2,FALSE),"")</f>
        <v>123</v>
      </c>
    </row>
    <row r="67">
      <c r="A67" s="45"/>
      <c r="B67" s="46">
        <v>66.0</v>
      </c>
      <c r="C67" s="46" t="str">
        <f>'Teams &amp; Draft Order'!$C$11</f>
        <v>Big Boys Big Work</v>
      </c>
      <c r="D67" s="47"/>
      <c r="E67" s="48" t="str">
        <f>IFERROR(VLOOKUP($D67,PlayerDB!$F$2:$G261,2,FALSE),"")</f>
        <v/>
      </c>
      <c r="F67" s="48" t="str">
        <f>IFERROR(VLOOKUP($D67,PlayerDB!$F$2:$H261,3,FALSE),"")</f>
        <v/>
      </c>
      <c r="G67" s="49" t="str">
        <f>IFERROR(VLOOKUP($D67,PlayerDB!$F$2:$I261,4,FALSE),"")</f>
        <v/>
      </c>
      <c r="H67" s="38"/>
      <c r="I67" s="50" t="str">
        <f>IFERROR(__xludf.DUMMYFUNCTION("JOIN("" | "",'Team Stats'!C$7:H$7)"),"0 | 0 | 0 | 0 | 0 | 0")</f>
        <v>0 | 0 | 0 | 0 | 0 | 0</v>
      </c>
      <c r="J67" s="51" t="str">
        <f>IFERROR(__xludf.DUMMYFUNCTION("JOIN("" | "",'Team Stats'!I$8:K$8)"),"0 | 0 | 0")</f>
        <v>0 | 0 | 0</v>
      </c>
      <c r="L67" s="42" t="str">
        <f>IFERROR(__xludf.DUMMYFUNCTION("""COMPUTED_VALUE"""),"Hunter Henry – NE")</f>
        <v>Hunter Henry – NE</v>
      </c>
      <c r="M67" s="52">
        <f>IFERROR(VLOOKUP(L67,PlayerDB!$F$2:$G261,2,FALSE),"")</f>
        <v>78.5</v>
      </c>
      <c r="N67" s="42"/>
      <c r="O67" s="42"/>
      <c r="P67" s="42" t="str">
        <f>IFERROR(__xludf.DUMMYFUNCTION("""COMPUTED_VALUE"""),"Younghoe Koo – ATL")</f>
        <v>Younghoe Koo – ATL</v>
      </c>
      <c r="Q67" s="52">
        <f>IFERROR(VLOOKUP(P67,PlayerDB!$F$2:$G261,2,FALSE),"")</f>
        <v>122</v>
      </c>
    </row>
    <row r="68">
      <c r="A68" s="33"/>
      <c r="B68" s="34">
        <v>67.0</v>
      </c>
      <c r="C68" s="34" t="str">
        <f>'Teams &amp; Draft Order'!$C$12</f>
        <v>Turbo-Ginz</v>
      </c>
      <c r="D68" s="35"/>
      <c r="E68" s="36" t="str">
        <f>IFERROR(VLOOKUP($D68,PlayerDB!$F$2:$G261,2,FALSE),"")</f>
        <v/>
      </c>
      <c r="F68" s="36" t="str">
        <f>IFERROR(VLOOKUP($D68,PlayerDB!$F$2:$H261,3,FALSE),"")</f>
        <v/>
      </c>
      <c r="G68" s="37" t="str">
        <f>IFERROR(VLOOKUP($D68,PlayerDB!$F$2:$I261,4,FALSE),"")</f>
        <v/>
      </c>
      <c r="H68" s="38"/>
      <c r="I68" s="39" t="str">
        <f>IFERROR(__xludf.DUMMYFUNCTION("JOIN("" | "",'Team Stats'!C$8:H$8)"),"0 | 0 | 0 | 0 | 0 | 0")</f>
        <v>0 | 0 | 0 | 0 | 0 | 0</v>
      </c>
      <c r="J68" s="40" t="str">
        <f>IFERROR(__xludf.DUMMYFUNCTION("JOIN("" | "",'Team Stats'!I$7:K$7)"),"0 | 0 | 0")</f>
        <v>0 | 0 | 0</v>
      </c>
      <c r="L68" s="42" t="str">
        <f>IFERROR(__xludf.DUMMYFUNCTION("""COMPUTED_VALUE"""),"Darren Waller – MIA")</f>
        <v>Darren Waller – MIA</v>
      </c>
      <c r="M68" s="52">
        <f>IFERROR(VLOOKUP(L68,PlayerDB!$F$2:$G261,2,FALSE),"")</f>
        <v>77.9</v>
      </c>
      <c r="N68" s="42"/>
      <c r="O68" s="42"/>
      <c r="P68" s="42" t="str">
        <f>IFERROR(__xludf.DUMMYFUNCTION("""COMPUTED_VALUE"""),"Harrison Butker – KC")</f>
        <v>Harrison Butker – KC</v>
      </c>
      <c r="Q68" s="52">
        <f>IFERROR(VLOOKUP(P68,PlayerDB!$F$2:$G261,2,FALSE),"")</f>
        <v>122</v>
      </c>
    </row>
    <row r="69">
      <c r="A69" s="45"/>
      <c r="B69" s="46">
        <v>68.0</v>
      </c>
      <c r="C69" s="46" t="str">
        <f>'Teams &amp; Draft Order'!$C$13</f>
        <v>Luddite</v>
      </c>
      <c r="D69" s="47"/>
      <c r="E69" s="48" t="str">
        <f>IFERROR(VLOOKUP($D69,PlayerDB!$F$2:$G261,2,FALSE),"")</f>
        <v/>
      </c>
      <c r="F69" s="48" t="str">
        <f>IFERROR(VLOOKUP($D69,PlayerDB!$F$2:$H261,3,FALSE),"")</f>
        <v/>
      </c>
      <c r="G69" s="49" t="str">
        <f>IFERROR(VLOOKUP($D69,PlayerDB!$F$2:$I261,4,FALSE),"")</f>
        <v/>
      </c>
      <c r="H69" s="38"/>
      <c r="I69" s="50" t="str">
        <f>IFERROR(__xludf.DUMMYFUNCTION("JOIN("" | "",'Team Stats'!C$9:H$9)"),"0 | 0 | 0 | 0 | 0 | 0")</f>
        <v>0 | 0 | 0 | 0 | 0 | 0</v>
      </c>
      <c r="J69" s="51" t="str">
        <f>IFERROR(__xludf.DUMMYFUNCTION("JOIN("" | "",'Team Stats'!I$6:K$6)"),"0 | 0 | 0")</f>
        <v>0 | 0 | 0</v>
      </c>
      <c r="L69" s="42" t="str">
        <f>IFERROR(__xludf.DUMMYFUNCTION("""COMPUTED_VALUE"""),"Isaiah Likely – BAL")</f>
        <v>Isaiah Likely – BAL</v>
      </c>
      <c r="M69" s="52">
        <f>IFERROR(VLOOKUP(L69,PlayerDB!$F$2:$G261,2,FALSE),"")</f>
        <v>77</v>
      </c>
      <c r="N69" s="42"/>
      <c r="O69" s="42"/>
      <c r="P69" s="42" t="str">
        <f>IFERROR(__xludf.DUMMYFUNCTION("""COMPUTED_VALUE"""),"Jason Myers – SEA")</f>
        <v>Jason Myers – SEA</v>
      </c>
      <c r="Q69" s="52">
        <f>IFERROR(VLOOKUP(P69,PlayerDB!$F$2:$G261,2,FALSE),"")</f>
        <v>121</v>
      </c>
    </row>
    <row r="70">
      <c r="A70" s="33"/>
      <c r="B70" s="34">
        <v>69.0</v>
      </c>
      <c r="C70" s="34" t="str">
        <f>'Teams &amp; Draft Order'!$C$14</f>
        <v>Achaians</v>
      </c>
      <c r="D70" s="35"/>
      <c r="E70" s="36" t="str">
        <f>IFERROR(VLOOKUP($D70,PlayerDB!$F$2:$G261,2,FALSE),"")</f>
        <v/>
      </c>
      <c r="F70" s="36" t="str">
        <f>IFERROR(VLOOKUP($D70,PlayerDB!$F$2:$H261,3,FALSE),"")</f>
        <v/>
      </c>
      <c r="G70" s="37" t="str">
        <f>IFERROR(VLOOKUP($D70,PlayerDB!$F$2:$I261,4,FALSE),"")</f>
        <v/>
      </c>
      <c r="H70" s="38"/>
      <c r="I70" s="39" t="str">
        <f>IFERROR(__xludf.DUMMYFUNCTION("JOIN("" | "",'Team Stats'!C$10:H$10)"),"0 | 0 | 0 | 0 | 0 | 0")</f>
        <v>0 | 0 | 0 | 0 | 0 | 0</v>
      </c>
      <c r="J70" s="40" t="str">
        <f>IFERROR(__xludf.DUMMYFUNCTION("JOIN("" | "",'Team Stats'!I$5:K$5)"),"0 | 0 | 0")</f>
        <v>0 | 0 | 0</v>
      </c>
      <c r="L70" s="42" t="str">
        <f>IFERROR(__xludf.DUMMYFUNCTION("""COMPUTED_VALUE"""),"Colston Loveland – CHI")</f>
        <v>Colston Loveland – CHI</v>
      </c>
      <c r="M70" s="52">
        <f>IFERROR(VLOOKUP(L70,PlayerDB!$F$2:$G261,2,FALSE),"")</f>
        <v>76.5</v>
      </c>
      <c r="N70" s="42"/>
      <c r="O70" s="42"/>
      <c r="P70" s="42" t="str">
        <f>IFERROR(__xludf.DUMMYFUNCTION("""COMPUTED_VALUE"""),"Joshua Karty – LAR")</f>
        <v>Joshua Karty – LAR</v>
      </c>
      <c r="Q70" s="52">
        <f>IFERROR(VLOOKUP(P70,PlayerDB!$F$2:$G261,2,FALSE),"")</f>
        <v>120</v>
      </c>
    </row>
    <row r="71">
      <c r="A71" s="54"/>
      <c r="B71" s="55">
        <v>70.0</v>
      </c>
      <c r="C71" s="55" t="str">
        <f>'Teams &amp; Draft Order'!$C$15</f>
        <v>Daddy's Dogs</v>
      </c>
      <c r="D71" s="56"/>
      <c r="E71" s="57" t="str">
        <f>IFERROR(VLOOKUP($D71,PlayerDB!$F$2:$G261,2,FALSE),"")</f>
        <v/>
      </c>
      <c r="F71" s="57" t="str">
        <f>IFERROR(VLOOKUP($D71,PlayerDB!$F$2:$H261,3,FALSE),"")</f>
        <v/>
      </c>
      <c r="G71" s="58" t="str">
        <f>IFERROR(VLOOKUP($D71,PlayerDB!$F$2:$I261,4,FALSE),"")</f>
        <v/>
      </c>
      <c r="H71" s="59"/>
      <c r="I71" s="60" t="str">
        <f>IFERROR(__xludf.DUMMYFUNCTION("JOIN("" | "",'Team Stats'!C$11:H$11)"),"0 | 0 | 0 | 0 | 0 | 0")</f>
        <v>0 | 0 | 0 | 0 | 0 | 0</v>
      </c>
      <c r="J71" s="51" t="str">
        <f>IFERROR(__xludf.DUMMYFUNCTION("JOIN("" | "",'Team Stats'!I$4:K$4)"),"0 | 0 | 0")</f>
        <v>0 | 0 | 0</v>
      </c>
      <c r="L71" s="42"/>
      <c r="M71" s="63"/>
      <c r="N71" s="42"/>
      <c r="O71" s="42"/>
      <c r="P71" s="42"/>
      <c r="Q71" s="63"/>
    </row>
    <row r="72">
      <c r="A72" s="72" t="s">
        <v>92</v>
      </c>
      <c r="B72" s="34">
        <v>71.0</v>
      </c>
      <c r="C72" s="73" t="str">
        <f>'Teams &amp; Draft Order'!$C$15</f>
        <v>Daddy's Dogs</v>
      </c>
      <c r="D72" s="74"/>
      <c r="E72" s="36" t="str">
        <f>IFERROR(VLOOKUP($D72,PlayerDB!$F$2:$G261,2,FALSE),"")</f>
        <v/>
      </c>
      <c r="F72" s="36" t="str">
        <f>IFERROR(VLOOKUP($D72,PlayerDB!$F$2:$H261,3,FALSE),"")</f>
        <v/>
      </c>
      <c r="G72" s="37" t="str">
        <f>IFERROR(VLOOKUP($D72,PlayerDB!$F$2:$I261,4,FALSE),"")</f>
        <v/>
      </c>
      <c r="H72" s="75"/>
      <c r="I72" s="76" t="str">
        <f>IFERROR(__xludf.DUMMYFUNCTION("JOIN("" | "",'Team Stats'!C$11:H$11)"),"0 | 0 | 0 | 0 | 0 | 0")</f>
        <v>0 | 0 | 0 | 0 | 0 | 0</v>
      </c>
      <c r="J72" s="40" t="str">
        <f>IFERROR(__xludf.DUMMYFUNCTION("JOIN("" | "",'Team Stats'!I$3:K$3)"),"0 | 0 | 0")</f>
        <v>0 | 0 | 0</v>
      </c>
      <c r="L72" s="42"/>
      <c r="M72" s="42"/>
      <c r="N72" s="42"/>
      <c r="O72" s="42"/>
      <c r="P72" s="42"/>
      <c r="Q72" s="42"/>
    </row>
    <row r="73">
      <c r="A73" s="45"/>
      <c r="B73" s="46">
        <v>72.0</v>
      </c>
      <c r="C73" s="46" t="str">
        <f>'Teams &amp; Draft Order'!$C$14</f>
        <v>Achaians</v>
      </c>
      <c r="D73" s="47"/>
      <c r="E73" s="48" t="str">
        <f>IFERROR(VLOOKUP($D73,PlayerDB!$F$2:$G261,2,FALSE),"")</f>
        <v/>
      </c>
      <c r="F73" s="48" t="str">
        <f>IFERROR(VLOOKUP($D73,PlayerDB!$F$2:$H261,3,FALSE),"")</f>
        <v/>
      </c>
      <c r="G73" s="49" t="str">
        <f>IFERROR(VLOOKUP($D73,PlayerDB!$F$2:$I261,4,FALSE),"")</f>
        <v/>
      </c>
      <c r="H73" s="38"/>
      <c r="I73" s="50" t="str">
        <f>IFERROR(__xludf.DUMMYFUNCTION("JOIN("" | "",'Team Stats'!C$10:H$10)"),"0 | 0 | 0 | 0 | 0 | 0")</f>
        <v>0 | 0 | 0 | 0 | 0 | 0</v>
      </c>
      <c r="J73" s="64" t="str">
        <f>IFERROR(__xludf.DUMMYFUNCTION("JOIN("" | "",'Team Stats'!I$2:K$2)"),"0 | 0 | 0")</f>
        <v>0 | 0 | 0</v>
      </c>
      <c r="L73" s="42"/>
      <c r="M73" s="42"/>
      <c r="N73" s="42"/>
      <c r="O73" s="42"/>
      <c r="P73" s="42"/>
      <c r="Q73" s="42"/>
    </row>
    <row r="74">
      <c r="A74" s="33"/>
      <c r="B74" s="34">
        <v>73.0</v>
      </c>
      <c r="C74" s="34" t="str">
        <f>'Teams &amp; Draft Order'!$C$13</f>
        <v>Luddite</v>
      </c>
      <c r="D74" s="35"/>
      <c r="E74" s="36" t="str">
        <f>IFERROR(VLOOKUP($D74,PlayerDB!$F$2:$G261,2,FALSE),"")</f>
        <v/>
      </c>
      <c r="F74" s="36" t="str">
        <f>IFERROR(VLOOKUP($D74,PlayerDB!$F$2:$H261,3,FALSE),"")</f>
        <v/>
      </c>
      <c r="G74" s="37" t="str">
        <f>IFERROR(VLOOKUP($D74,PlayerDB!$F$2:$I261,4,FALSE),"")</f>
        <v/>
      </c>
      <c r="H74" s="38"/>
      <c r="I74" s="39" t="str">
        <f>IFERROR(__xludf.DUMMYFUNCTION("JOIN("" | "",'Team Stats'!C$9:H$9)"),"0 | 0 | 0 | 0 | 0 | 0")</f>
        <v>0 | 0 | 0 | 0 | 0 | 0</v>
      </c>
      <c r="J74" s="40" t="str">
        <f>IFERROR(__xludf.DUMMYFUNCTION("JOIN("" | "",'Team Stats'!I$2:K$2)"),"0 | 0 | 0")</f>
        <v>0 | 0 | 0</v>
      </c>
      <c r="L74" s="70" t="s">
        <v>41</v>
      </c>
      <c r="M74" s="44">
        <f>COUNTIF(F:F,"D/ST")</f>
        <v>0</v>
      </c>
      <c r="N74" s="42"/>
      <c r="O74" s="42"/>
      <c r="P74" s="71"/>
      <c r="Q74" s="44"/>
    </row>
    <row r="75">
      <c r="A75" s="45"/>
      <c r="B75" s="46">
        <v>74.0</v>
      </c>
      <c r="C75" s="46" t="str">
        <f>'Teams &amp; Draft Order'!$C$12</f>
        <v>Turbo-Ginz</v>
      </c>
      <c r="D75" s="47"/>
      <c r="E75" s="48" t="str">
        <f>IFERROR(VLOOKUP($D75,PlayerDB!$F$2:$G261,2,FALSE),"")</f>
        <v/>
      </c>
      <c r="F75" s="48" t="str">
        <f>IFERROR(VLOOKUP($D75,PlayerDB!$F$2:$H261,3,FALSE),"")</f>
        <v/>
      </c>
      <c r="G75" s="49" t="str">
        <f>IFERROR(VLOOKUP($D75,PlayerDB!$F$2:$I261,4,FALSE),"")</f>
        <v/>
      </c>
      <c r="H75" s="38"/>
      <c r="I75" s="50" t="str">
        <f>IFERROR(__xludf.DUMMYFUNCTION("JOIN("" | "",'Team Stats'!C$8:H$8)"),"0 | 0 | 0 | 0 | 0 | 0")</f>
        <v>0 | 0 | 0 | 0 | 0 | 0</v>
      </c>
      <c r="J75" s="51" t="str">
        <f>IFERROR(__xludf.DUMMYFUNCTION("JOIN("" | "",'Team Stats'!I$3:K$3)"),"0 | 0 | 0")</f>
        <v>0 | 0 | 0</v>
      </c>
      <c r="L75" s="42" t="str">
        <f>IFERROR(__xludf.DUMMYFUNCTION("QUERY(HELP_PlayersLeft!A2:B261, ""select A where B ='D/ST' LIMIT 20"")"),"Denver Broncos – DEN")</f>
        <v>Denver Broncos – DEN</v>
      </c>
      <c r="M75" s="52">
        <f>IFERROR(VLOOKUP(L75,PlayerDB!$F$2:$G261,2,FALSE),"")</f>
        <v>142</v>
      </c>
      <c r="N75" s="42"/>
      <c r="O75" s="42"/>
      <c r="P75" s="42"/>
      <c r="Q75" s="52"/>
    </row>
    <row r="76">
      <c r="A76" s="33"/>
      <c r="B76" s="34">
        <v>75.0</v>
      </c>
      <c r="C76" s="34" t="str">
        <f>'Teams &amp; Draft Order'!$C$11</f>
        <v>Big Boys Big Work</v>
      </c>
      <c r="D76" s="35"/>
      <c r="E76" s="36" t="str">
        <f>IFERROR(VLOOKUP($D76,PlayerDB!$F$2:$G261,2,FALSE),"")</f>
        <v/>
      </c>
      <c r="F76" s="36" t="str">
        <f>IFERROR(VLOOKUP($D76,PlayerDB!$F$2:$H261,3,FALSE),"")</f>
        <v/>
      </c>
      <c r="G76" s="37" t="str">
        <f>IFERROR(VLOOKUP($D76,PlayerDB!$F$2:$I261,4,FALSE),"")</f>
        <v/>
      </c>
      <c r="H76" s="38"/>
      <c r="I76" s="39" t="str">
        <f>IFERROR(__xludf.DUMMYFUNCTION("JOIN("" | "",'Team Stats'!C$7:H$7)"),"0 | 0 | 0 | 0 | 0 | 0")</f>
        <v>0 | 0 | 0 | 0 | 0 | 0</v>
      </c>
      <c r="J76" s="40" t="str">
        <f>IFERROR(__xludf.DUMMYFUNCTION("JOIN("" | "",'Team Stats'!I$4:K$4)"),"0 | 0 | 0")</f>
        <v>0 | 0 | 0</v>
      </c>
      <c r="L76" s="20" t="str">
        <f>IFERROR(__xludf.DUMMYFUNCTION("""COMPUTED_VALUE"""),"Philadelphia Eagles – PHI")</f>
        <v>Philadelphia Eagles – PHI</v>
      </c>
      <c r="M76" s="52">
        <f>IFERROR(VLOOKUP(L76,PlayerDB!$F$2:$G261,2,FALSE),"")</f>
        <v>139</v>
      </c>
      <c r="N76" s="42"/>
      <c r="O76" s="42"/>
      <c r="P76" s="20"/>
      <c r="Q76" s="52"/>
    </row>
    <row r="77">
      <c r="A77" s="45"/>
      <c r="B77" s="46">
        <v>76.0</v>
      </c>
      <c r="C77" s="46" t="str">
        <f>'Teams &amp; Draft Order'!$C$10</f>
        <v>Buttheads</v>
      </c>
      <c r="D77" s="47"/>
      <c r="E77" s="48" t="str">
        <f>IFERROR(VLOOKUP($D77,PlayerDB!$F$2:$G261,2,FALSE),"")</f>
        <v/>
      </c>
      <c r="F77" s="48" t="str">
        <f>IFERROR(VLOOKUP($D77,PlayerDB!$F$2:$H261,3,FALSE),"")</f>
        <v/>
      </c>
      <c r="G77" s="49" t="str">
        <f>IFERROR(VLOOKUP($D77,PlayerDB!$F$2:$I261,4,FALSE),"")</f>
        <v/>
      </c>
      <c r="H77" s="38"/>
      <c r="I77" s="50" t="str">
        <f>IFERROR(__xludf.DUMMYFUNCTION("JOIN("" | "",'Team Stats'!C$6:H$6)"),"0 | 0 | 0 | 0 | 0 | 0")</f>
        <v>0 | 0 | 0 | 0 | 0 | 0</v>
      </c>
      <c r="J77" s="51" t="str">
        <f>IFERROR(__xludf.DUMMYFUNCTION("JOIN("" | "",'Team Stats'!I$5:K$5)"),"0 | 0 | 0")</f>
        <v>0 | 0 | 0</v>
      </c>
      <c r="L77" s="42" t="str">
        <f>IFERROR(__xludf.DUMMYFUNCTION("""COMPUTED_VALUE"""),"Pittsburgh Steelers – PIT")</f>
        <v>Pittsburgh Steelers – PIT</v>
      </c>
      <c r="M77" s="52">
        <f>IFERROR(VLOOKUP(L77,PlayerDB!$F$2:$G261,2,FALSE),"")</f>
        <v>137</v>
      </c>
      <c r="N77" s="42"/>
      <c r="O77" s="42"/>
      <c r="P77" s="42"/>
      <c r="Q77" s="52"/>
    </row>
    <row r="78">
      <c r="A78" s="33"/>
      <c r="B78" s="34">
        <v>77.0</v>
      </c>
      <c r="C78" s="34" t="str">
        <f>'Teams &amp; Draft Order'!$C$9</f>
        <v>El Nino</v>
      </c>
      <c r="D78" s="35"/>
      <c r="E78" s="36" t="str">
        <f>IFERROR(VLOOKUP($D78,PlayerDB!$F$2:$G261,2,FALSE),"")</f>
        <v/>
      </c>
      <c r="F78" s="36" t="str">
        <f>IFERROR(VLOOKUP($D78,PlayerDB!$F$2:$H261,3,FALSE),"")</f>
        <v/>
      </c>
      <c r="G78" s="37" t="str">
        <f>IFERROR(VLOOKUP($D78,PlayerDB!$F$2:$I261,4,FALSE),"")</f>
        <v/>
      </c>
      <c r="H78" s="38"/>
      <c r="I78" s="39" t="str">
        <f>IFERROR(__xludf.DUMMYFUNCTION("JOIN("" | "",'Team Stats'!C$5:H$5)"),"0 | 0 | 0 | 0 | 0 | 0")</f>
        <v>0 | 0 | 0 | 0 | 0 | 0</v>
      </c>
      <c r="J78" s="40" t="str">
        <f>IFERROR(__xludf.DUMMYFUNCTION("JOIN("" | "",'Team Stats'!I$6:K$6)"),"0 | 0 | 0")</f>
        <v>0 | 0 | 0</v>
      </c>
      <c r="L78" s="42" t="str">
        <f>IFERROR(__xludf.DUMMYFUNCTION("""COMPUTED_VALUE"""),"Baltimore Ravens – BAL")</f>
        <v>Baltimore Ravens – BAL</v>
      </c>
      <c r="M78" s="52">
        <f>IFERROR(VLOOKUP(L78,PlayerDB!$F$2:$G261,2,FALSE),"")</f>
        <v>135</v>
      </c>
      <c r="N78" s="42"/>
      <c r="O78" s="42"/>
      <c r="P78" s="42"/>
      <c r="Q78" s="52"/>
    </row>
    <row r="79">
      <c r="A79" s="45"/>
      <c r="B79" s="46">
        <v>78.0</v>
      </c>
      <c r="C79" s="46" t="str">
        <f>'Teams &amp; Draft Order'!$C$8</f>
        <v>Icelanders</v>
      </c>
      <c r="D79" s="47"/>
      <c r="E79" s="48" t="str">
        <f>IFERROR(VLOOKUP($D79,PlayerDB!$F$2:$G261,2,FALSE),"")</f>
        <v/>
      </c>
      <c r="F79" s="48" t="str">
        <f>IFERROR(VLOOKUP($D79,PlayerDB!$F$2:$H261,3,FALSE),"")</f>
        <v/>
      </c>
      <c r="G79" s="49" t="str">
        <f>IFERROR(VLOOKUP($D79,PlayerDB!$F$2:$I261,4,FALSE),"")</f>
        <v/>
      </c>
      <c r="H79" s="38"/>
      <c r="I79" s="50" t="str">
        <f>IFERROR(__xludf.DUMMYFUNCTION("JOIN("" | "",'Team Stats'!C$4:H$4)"),"0 | 0 | 0 | 0 | 0 | 0")</f>
        <v>0 | 0 | 0 | 0 | 0 | 0</v>
      </c>
      <c r="J79" s="51" t="str">
        <f>IFERROR(__xludf.DUMMYFUNCTION("JOIN("" | "",'Team Stats'!I$7:K$7)"),"0 | 0 | 0")</f>
        <v>0 | 0 | 0</v>
      </c>
      <c r="L79" s="42" t="str">
        <f>IFERROR(__xludf.DUMMYFUNCTION("""COMPUTED_VALUE"""),"Minnesota Vikings – MIN")</f>
        <v>Minnesota Vikings – MIN</v>
      </c>
      <c r="M79" s="52">
        <f>IFERROR(VLOOKUP(L79,PlayerDB!$F$2:$G261,2,FALSE),"")</f>
        <v>132</v>
      </c>
      <c r="N79" s="42"/>
      <c r="O79" s="42"/>
      <c r="P79" s="42"/>
      <c r="Q79" s="52"/>
    </row>
    <row r="80">
      <c r="A80" s="33"/>
      <c r="B80" s="34">
        <v>79.0</v>
      </c>
      <c r="C80" s="34" t="str">
        <f>'Teams &amp; Draft Order'!$C$7</f>
        <v>Phantasm</v>
      </c>
      <c r="D80" s="35"/>
      <c r="E80" s="36" t="str">
        <f>IFERROR(VLOOKUP($D80,PlayerDB!$F$2:$G261,2,FALSE),"")</f>
        <v/>
      </c>
      <c r="F80" s="36" t="str">
        <f>IFERROR(VLOOKUP($D80,PlayerDB!$F$2:$H261,3,FALSE),"")</f>
        <v/>
      </c>
      <c r="G80" s="37" t="str">
        <f>IFERROR(VLOOKUP($D80,PlayerDB!$F$2:$I261,4,FALSE),"")</f>
        <v/>
      </c>
      <c r="H80" s="38"/>
      <c r="I80" s="39" t="str">
        <f>IFERROR(__xludf.DUMMYFUNCTION("JOIN("" | "",'Team Stats'!C$3:H$3)"),"0 | 0 | 0 | 0 | 0 | 0")</f>
        <v>0 | 0 | 0 | 0 | 0 | 0</v>
      </c>
      <c r="J80" s="40" t="str">
        <f>IFERROR(__xludf.DUMMYFUNCTION("JOIN("" | "",'Team Stats'!I$8:K$8)"),"0 | 0 | 0")</f>
        <v>0 | 0 | 0</v>
      </c>
      <c r="L80" s="42" t="str">
        <f>IFERROR(__xludf.DUMMYFUNCTION("""COMPUTED_VALUE"""),"Kansas City Chiefs – KC")</f>
        <v>Kansas City Chiefs – KC</v>
      </c>
      <c r="M80" s="52">
        <f>IFERROR(VLOOKUP(L80,PlayerDB!$F$2:$G261,2,FALSE),"")</f>
        <v>130</v>
      </c>
      <c r="N80" s="42"/>
      <c r="O80" s="42"/>
      <c r="P80" s="42"/>
      <c r="Q80" s="52"/>
    </row>
    <row r="81">
      <c r="A81" s="54"/>
      <c r="B81" s="55">
        <v>80.0</v>
      </c>
      <c r="C81" s="55" t="str">
        <f>'Teams &amp; Draft Order'!$C$6</f>
        <v>Sleeper Cell </v>
      </c>
      <c r="D81" s="56"/>
      <c r="E81" s="57" t="str">
        <f>IFERROR(VLOOKUP($D81,PlayerDB!$F$2:$G261,2,FALSE),"")</f>
        <v/>
      </c>
      <c r="F81" s="57" t="str">
        <f>IFERROR(VLOOKUP($D81,PlayerDB!$F$2:$H261,3,FALSE),"")</f>
        <v/>
      </c>
      <c r="G81" s="58" t="str">
        <f>IFERROR(VLOOKUP($D81,PlayerDB!$F$2:$I261,4,FALSE),"")</f>
        <v/>
      </c>
      <c r="H81" s="59"/>
      <c r="I81" s="60" t="str">
        <f>IFERROR(__xludf.DUMMYFUNCTION("JOIN("" | "",'Team Stats'!C$2:H$2)"),"1 | 0 | 0 | 0 | 0 | 0")</f>
        <v>1 | 0 | 0 | 0 | 0 | 0</v>
      </c>
      <c r="J81" s="51" t="str">
        <f>IFERROR(__xludf.DUMMYFUNCTION("JOIN("" | "",'Team Stats'!I$9:K$9)"),"0 | 0 | 0")</f>
        <v>0 | 0 | 0</v>
      </c>
      <c r="L81" s="42" t="str">
        <f>IFERROR(__xludf.DUMMYFUNCTION("""COMPUTED_VALUE"""),"Detroit Lions – DET")</f>
        <v>Detroit Lions – DET</v>
      </c>
      <c r="M81" s="52">
        <f>IFERROR(VLOOKUP(L81,PlayerDB!$F$2:$G261,2,FALSE),"")</f>
        <v>129</v>
      </c>
      <c r="N81" s="42"/>
      <c r="O81" s="42"/>
      <c r="P81" s="42"/>
      <c r="Q81" s="52"/>
    </row>
    <row r="82">
      <c r="A82" s="33" t="s">
        <v>93</v>
      </c>
      <c r="B82" s="34">
        <v>81.0</v>
      </c>
      <c r="C82" s="34" t="str">
        <f>'Teams &amp; Draft Order'!$C$6</f>
        <v>Sleeper Cell </v>
      </c>
      <c r="D82" s="35"/>
      <c r="E82" s="36" t="str">
        <f>IFERROR(VLOOKUP($D82,PlayerDB!$F$2:$G261,2,FALSE),"")</f>
        <v/>
      </c>
      <c r="F82" s="36" t="str">
        <f>IFERROR(VLOOKUP($D82,PlayerDB!$F$2:$H261,3,FALSE),"")</f>
        <v/>
      </c>
      <c r="G82" s="37" t="str">
        <f>IFERROR(VLOOKUP($D82,PlayerDB!$F$2:$I261,4,FALSE),"")</f>
        <v/>
      </c>
      <c r="H82" s="38"/>
      <c r="I82" s="39" t="str">
        <f>IFERROR(__xludf.DUMMYFUNCTION("JOIN("" | "",'Team Stats'!C$2:H$2)"),"1 | 0 | 0 | 0 | 0 | 0")</f>
        <v>1 | 0 | 0 | 0 | 0 | 0</v>
      </c>
      <c r="J82" s="40" t="str">
        <f>IFERROR(__xludf.DUMMYFUNCTION("JOIN("" | "",'Team Stats'!I$10:K$10)"),"0 | 0 | 0")</f>
        <v>0 | 0 | 0</v>
      </c>
      <c r="L82" s="42" t="str">
        <f>IFERROR(__xludf.DUMMYFUNCTION("""COMPUTED_VALUE"""),"New York Jets – NYJ")</f>
        <v>New York Jets – NYJ</v>
      </c>
      <c r="M82" s="52">
        <f>IFERROR(VLOOKUP(L82,PlayerDB!$F$2:$G261,2,FALSE),"")</f>
        <v>128</v>
      </c>
      <c r="N82" s="42"/>
      <c r="O82" s="42"/>
      <c r="P82" s="42"/>
      <c r="Q82" s="52"/>
    </row>
    <row r="83">
      <c r="A83" s="45"/>
      <c r="B83" s="46">
        <v>82.0</v>
      </c>
      <c r="C83" s="46" t="str">
        <f>'Teams &amp; Draft Order'!$C$7</f>
        <v>Phantasm</v>
      </c>
      <c r="D83" s="47"/>
      <c r="E83" s="48" t="str">
        <f>IFERROR(VLOOKUP($D83,PlayerDB!$F$2:$G261,2,FALSE),"")</f>
        <v/>
      </c>
      <c r="F83" s="48" t="str">
        <f>IFERROR(VLOOKUP($D83,PlayerDB!$F$2:$H261,3,FALSE),"")</f>
        <v/>
      </c>
      <c r="G83" s="49" t="str">
        <f>IFERROR(VLOOKUP($D83,PlayerDB!$F$2:$I261,4,FALSE),"")</f>
        <v/>
      </c>
      <c r="H83" s="38"/>
      <c r="I83" s="50" t="str">
        <f>IFERROR(__xludf.DUMMYFUNCTION("JOIN("" | "",'Team Stats'!C$3:H$3)"),"0 | 0 | 0 | 0 | 0 | 0")</f>
        <v>0 | 0 | 0 | 0 | 0 | 0</v>
      </c>
      <c r="J83" s="51" t="str">
        <f>IFERROR(__xludf.DUMMYFUNCTION("JOIN("" | "",'Team Stats'!I$11:K$11)"),"0 | 0 | 0")</f>
        <v>0 | 0 | 0</v>
      </c>
      <c r="L83" s="42" t="str">
        <f>IFERROR(__xludf.DUMMYFUNCTION("""COMPUTED_VALUE"""),"Houston Texans – HOU")</f>
        <v>Houston Texans – HOU</v>
      </c>
      <c r="M83" s="52">
        <f>IFERROR(VLOOKUP(L83,PlayerDB!$F$2:$G261,2,FALSE),"")</f>
        <v>127</v>
      </c>
      <c r="N83" s="42"/>
      <c r="O83" s="42"/>
      <c r="P83" s="42"/>
      <c r="Q83" s="52"/>
    </row>
    <row r="84">
      <c r="A84" s="33"/>
      <c r="B84" s="34">
        <v>83.0</v>
      </c>
      <c r="C84" s="34" t="str">
        <f>'Teams &amp; Draft Order'!$C$8</f>
        <v>Icelanders</v>
      </c>
      <c r="D84" s="35"/>
      <c r="E84" s="36" t="str">
        <f>IFERROR(VLOOKUP($D84,PlayerDB!$F$2:$G261,2,FALSE),"")</f>
        <v/>
      </c>
      <c r="F84" s="36" t="str">
        <f>IFERROR(VLOOKUP($D84,PlayerDB!$F$2:$H261,3,FALSE),"")</f>
        <v/>
      </c>
      <c r="G84" s="37" t="str">
        <f>IFERROR(VLOOKUP($D84,PlayerDB!$F$2:$I261,4,FALSE),"")</f>
        <v/>
      </c>
      <c r="H84" s="38"/>
      <c r="I84" s="39" t="str">
        <f>IFERROR(__xludf.DUMMYFUNCTION("JOIN("" | "",'Team Stats'!C$4:H$4)"),"0 | 0 | 0 | 0 | 0 | 0")</f>
        <v>0 | 0 | 0 | 0 | 0 | 0</v>
      </c>
      <c r="J84" s="40" t="str">
        <f>IFERROR(__xludf.DUMMYFUNCTION("JOIN("" | "",#REF!)"),"#REF!")</f>
        <v>#REF!</v>
      </c>
      <c r="L84" s="42" t="str">
        <f>IFERROR(__xludf.DUMMYFUNCTION("""COMPUTED_VALUE"""),"Los Angeles Chargers – LAC")</f>
        <v>Los Angeles Chargers – LAC</v>
      </c>
      <c r="M84" s="52">
        <f>IFERROR(VLOOKUP(L84,PlayerDB!$F$2:$G261,2,FALSE),"")</f>
        <v>126</v>
      </c>
      <c r="N84" s="42"/>
      <c r="O84" s="42"/>
      <c r="P84" s="42"/>
      <c r="Q84" s="52"/>
    </row>
    <row r="85">
      <c r="A85" s="45"/>
      <c r="B85" s="46">
        <v>84.0</v>
      </c>
      <c r="C85" s="46" t="str">
        <f>'Teams &amp; Draft Order'!$C$9</f>
        <v>El Nino</v>
      </c>
      <c r="D85" s="47"/>
      <c r="E85" s="48" t="str">
        <f>IFERROR(VLOOKUP($D85,PlayerDB!$F$2:$G261,2,FALSE),"")</f>
        <v/>
      </c>
      <c r="F85" s="48" t="str">
        <f>IFERROR(VLOOKUP($D85,PlayerDB!$F$2:$H261,3,FALSE),"")</f>
        <v/>
      </c>
      <c r="G85" s="49" t="str">
        <f>IFERROR(VLOOKUP($D85,PlayerDB!$F$2:$I261,4,FALSE),"")</f>
        <v/>
      </c>
      <c r="H85" s="38"/>
      <c r="I85" s="50" t="str">
        <f>IFERROR(__xludf.DUMMYFUNCTION("JOIN("" | "",'Team Stats'!C$5:H$5)"),"0 | 0 | 0 | 0 | 0 | 0")</f>
        <v>0 | 0 | 0 | 0 | 0 | 0</v>
      </c>
      <c r="J85" s="51" t="str">
        <f>IFERROR(__xludf.DUMMYFUNCTION("JOIN("" | "",#REF!)"),"#REF!")</f>
        <v>#REF!</v>
      </c>
      <c r="L85" s="42" t="str">
        <f>IFERROR(__xludf.DUMMYFUNCTION("""COMPUTED_VALUE"""),"Buffalo Bills – BUF")</f>
        <v>Buffalo Bills – BUF</v>
      </c>
      <c r="M85" s="52">
        <f>IFERROR(VLOOKUP(L85,PlayerDB!$F$2:$G261,2,FALSE),"")</f>
        <v>125</v>
      </c>
      <c r="N85" s="42"/>
      <c r="O85" s="42"/>
      <c r="P85" s="42"/>
      <c r="Q85" s="52"/>
    </row>
    <row r="86">
      <c r="A86" s="33"/>
      <c r="B86" s="34">
        <v>85.0</v>
      </c>
      <c r="C86" s="34" t="str">
        <f>'Teams &amp; Draft Order'!$C$10</f>
        <v>Buttheads</v>
      </c>
      <c r="D86" s="35"/>
      <c r="E86" s="36" t="str">
        <f>IFERROR(VLOOKUP($D86,PlayerDB!$F$2:$G261,2,FALSE),"")</f>
        <v/>
      </c>
      <c r="F86" s="36" t="str">
        <f>IFERROR(VLOOKUP($D86,PlayerDB!$F$2:$H261,3,FALSE),"")</f>
        <v/>
      </c>
      <c r="G86" s="37" t="str">
        <f>IFERROR(VLOOKUP($D86,PlayerDB!$F$2:$I261,4,FALSE),"")</f>
        <v/>
      </c>
      <c r="H86" s="38"/>
      <c r="I86" s="39" t="str">
        <f>IFERROR(__xludf.DUMMYFUNCTION("JOIN("" | "",'Team Stats'!C$6:H$6)"),"0 | 0 | 0 | 0 | 0 | 0")</f>
        <v>0 | 0 | 0 | 0 | 0 | 0</v>
      </c>
      <c r="J86" s="62" t="str">
        <f>IFERROR(__xludf.DUMMYFUNCTION("JOIN("" | "",#REF!)"),"#REF!")</f>
        <v>#REF!</v>
      </c>
      <c r="L86" s="42" t="str">
        <f>IFERROR(__xludf.DUMMYFUNCTION("""COMPUTED_VALUE"""),"Seattle Seahawks – SEA")</f>
        <v>Seattle Seahawks – SEA</v>
      </c>
      <c r="M86" s="52">
        <f>IFERROR(VLOOKUP(L86,PlayerDB!$F$2:$G261,2,FALSE),"")</f>
        <v>124</v>
      </c>
      <c r="N86" s="42"/>
      <c r="O86" s="42"/>
      <c r="P86" s="42"/>
      <c r="Q86" s="52"/>
    </row>
    <row r="87">
      <c r="A87" s="45"/>
      <c r="B87" s="46">
        <v>86.0</v>
      </c>
      <c r="C87" s="46" t="str">
        <f>'Teams &amp; Draft Order'!$C$11</f>
        <v>Big Boys Big Work</v>
      </c>
      <c r="D87" s="47"/>
      <c r="E87" s="48" t="str">
        <f>IFERROR(VLOOKUP($D87,PlayerDB!$F$2:$G261,2,FALSE),"")</f>
        <v/>
      </c>
      <c r="F87" s="48" t="str">
        <f>IFERROR(VLOOKUP($D87,PlayerDB!$F$2:$H261,3,FALSE),"")</f>
        <v/>
      </c>
      <c r="G87" s="49" t="str">
        <f>IFERROR(VLOOKUP($D87,PlayerDB!$F$2:$I261,4,FALSE),"")</f>
        <v/>
      </c>
      <c r="H87" s="38"/>
      <c r="I87" s="50" t="str">
        <f>IFERROR(__xludf.DUMMYFUNCTION("JOIN("" | "",'Team Stats'!C$7:H$7)"),"0 | 0 | 0 | 0 | 0 | 0")</f>
        <v>0 | 0 | 0 | 0 | 0 | 0</v>
      </c>
      <c r="J87" s="51" t="str">
        <f>IFERROR(__xludf.DUMMYFUNCTION("JOIN("" | "",#REF!)"),"#REF!")</f>
        <v>#REF!</v>
      </c>
      <c r="L87" s="42" t="str">
        <f>IFERROR(__xludf.DUMMYFUNCTION("""COMPUTED_VALUE"""),"Los Angeles Rams – LAR")</f>
        <v>Los Angeles Rams – LAR</v>
      </c>
      <c r="M87" s="52">
        <f>IFERROR(VLOOKUP(L87,PlayerDB!$F$2:$G261,2,FALSE),"")</f>
        <v>122</v>
      </c>
      <c r="N87" s="42"/>
      <c r="O87" s="42"/>
      <c r="P87" s="42"/>
      <c r="Q87" s="52"/>
    </row>
    <row r="88">
      <c r="A88" s="33"/>
      <c r="B88" s="34">
        <v>87.0</v>
      </c>
      <c r="C88" s="34" t="str">
        <f>'Teams &amp; Draft Order'!$C$12</f>
        <v>Turbo-Ginz</v>
      </c>
      <c r="D88" s="35"/>
      <c r="E88" s="36" t="str">
        <f>IFERROR(VLOOKUP($D88,PlayerDB!$F$2:$G261,2,FALSE),"")</f>
        <v/>
      </c>
      <c r="F88" s="36" t="str">
        <f>IFERROR(VLOOKUP($D88,PlayerDB!$F$2:$H261,3,FALSE),"")</f>
        <v/>
      </c>
      <c r="G88" s="37" t="str">
        <f>IFERROR(VLOOKUP($D88,PlayerDB!$F$2:$I261,4,FALSE),"")</f>
        <v/>
      </c>
      <c r="H88" s="38"/>
      <c r="I88" s="39" t="str">
        <f>IFERROR(__xludf.DUMMYFUNCTION("JOIN("" | "",'Team Stats'!C$8:H$8)"),"0 | 0 | 0 | 0 | 0 | 0")</f>
        <v>0 | 0 | 0 | 0 | 0 | 0</v>
      </c>
      <c r="J88" s="40" t="str">
        <f>IFERROR(__xludf.DUMMYFUNCTION("JOIN("" | "",'Team Stats'!I$11:K$11)"),"0 | 0 | 0")</f>
        <v>0 | 0 | 0</v>
      </c>
      <c r="L88" s="42" t="str">
        <f>IFERROR(__xludf.DUMMYFUNCTION("""COMPUTED_VALUE"""),"Green Bay Packers – GB")</f>
        <v>Green Bay Packers – GB</v>
      </c>
      <c r="M88" s="52">
        <f>IFERROR(VLOOKUP(L88,PlayerDB!$F$2:$G261,2,FALSE),"")</f>
        <v>121</v>
      </c>
      <c r="N88" s="42"/>
      <c r="O88" s="42"/>
      <c r="P88" s="42"/>
      <c r="Q88" s="52"/>
    </row>
    <row r="89">
      <c r="A89" s="45"/>
      <c r="B89" s="46">
        <v>88.0</v>
      </c>
      <c r="C89" s="46" t="str">
        <f>'Teams &amp; Draft Order'!$C$13</f>
        <v>Luddite</v>
      </c>
      <c r="D89" s="47"/>
      <c r="E89" s="48" t="str">
        <f>IFERROR(VLOOKUP($D89,PlayerDB!$F$2:$G261,2,FALSE),"")</f>
        <v/>
      </c>
      <c r="F89" s="48" t="str">
        <f>IFERROR(VLOOKUP($D89,PlayerDB!$F$2:$H261,3,FALSE),"")</f>
        <v/>
      </c>
      <c r="G89" s="49" t="str">
        <f>IFERROR(VLOOKUP($D89,PlayerDB!$F$2:$I261,4,FALSE),"")</f>
        <v/>
      </c>
      <c r="H89" s="38"/>
      <c r="I89" s="50" t="str">
        <f>IFERROR(__xludf.DUMMYFUNCTION("JOIN("" | "",'Team Stats'!C$9:H$9)"),"0 | 0 | 0 | 0 | 0 | 0")</f>
        <v>0 | 0 | 0 | 0 | 0 | 0</v>
      </c>
      <c r="J89" s="51" t="str">
        <f>IFERROR(__xludf.DUMMYFUNCTION("JOIN("" | "",'Team Stats'!I$10:K$10)"),"0 | 0 | 0")</f>
        <v>0 | 0 | 0</v>
      </c>
      <c r="L89" s="42" t="str">
        <f>IFERROR(__xludf.DUMMYFUNCTION("""COMPUTED_VALUE"""),"Dallas Cowboys – DAL")</f>
        <v>Dallas Cowboys – DAL</v>
      </c>
      <c r="M89" s="52">
        <f>IFERROR(VLOOKUP(L89,PlayerDB!$F$2:$G261,2,FALSE),"")</f>
        <v>120</v>
      </c>
      <c r="N89" s="42"/>
      <c r="O89" s="42"/>
      <c r="P89" s="42"/>
      <c r="Q89" s="52"/>
    </row>
    <row r="90">
      <c r="A90" s="33"/>
      <c r="B90" s="34">
        <v>89.0</v>
      </c>
      <c r="C90" s="34" t="str">
        <f>'Teams &amp; Draft Order'!$C$14</f>
        <v>Achaians</v>
      </c>
      <c r="D90" s="35"/>
      <c r="E90" s="36" t="str">
        <f>IFERROR(VLOOKUP($D90,PlayerDB!$F$2:$G261,2,FALSE),"")</f>
        <v/>
      </c>
      <c r="F90" s="36" t="str">
        <f>IFERROR(VLOOKUP($D90,PlayerDB!$F$2:$H261,3,FALSE),"")</f>
        <v/>
      </c>
      <c r="G90" s="37" t="str">
        <f>IFERROR(VLOOKUP($D90,PlayerDB!$F$2:$I261,4,FALSE),"")</f>
        <v/>
      </c>
      <c r="H90" s="38"/>
      <c r="I90" s="39" t="str">
        <f>IFERROR(__xludf.DUMMYFUNCTION("JOIN("" | "",'Team Stats'!C$10:H$10)"),"0 | 0 | 0 | 0 | 0 | 0")</f>
        <v>0 | 0 | 0 | 0 | 0 | 0</v>
      </c>
      <c r="J90" s="40" t="str">
        <f>IFERROR(__xludf.DUMMYFUNCTION("JOIN("" | "",'Team Stats'!I$9:K$9)"),"0 | 0 | 0")</f>
        <v>0 | 0 | 0</v>
      </c>
      <c r="L90" s="42" t="str">
        <f>IFERROR(__xludf.DUMMYFUNCTION("""COMPUTED_VALUE"""),"New York Giants – NYG")</f>
        <v>New York Giants – NYG</v>
      </c>
      <c r="M90" s="52">
        <f>IFERROR(VLOOKUP(L90,PlayerDB!$F$2:$G261,2,FALSE),"")</f>
        <v>118</v>
      </c>
      <c r="N90" s="42"/>
      <c r="O90" s="42"/>
      <c r="P90" s="42"/>
      <c r="Q90" s="52"/>
    </row>
    <row r="91">
      <c r="A91" s="54"/>
      <c r="B91" s="55">
        <v>90.0</v>
      </c>
      <c r="C91" s="55" t="str">
        <f>'Teams &amp; Draft Order'!$C$15</f>
        <v>Daddy's Dogs</v>
      </c>
      <c r="D91" s="56"/>
      <c r="E91" s="57" t="str">
        <f>IFERROR(VLOOKUP($D91,PlayerDB!$F$2:$G261,2,FALSE),"")</f>
        <v/>
      </c>
      <c r="F91" s="57" t="str">
        <f>IFERROR(VLOOKUP($D91,PlayerDB!$F$2:$H261,3,FALSE),"")</f>
        <v/>
      </c>
      <c r="G91" s="58" t="str">
        <f>IFERROR(VLOOKUP($D91,PlayerDB!$F$2:$I261,4,FALSE),"")</f>
        <v/>
      </c>
      <c r="H91" s="59"/>
      <c r="I91" s="60" t="str">
        <f>IFERROR(__xludf.DUMMYFUNCTION("JOIN("" | "",'Team Stats'!C$11:H$11)"),"0 | 0 | 0 | 0 | 0 | 0")</f>
        <v>0 | 0 | 0 | 0 | 0 | 0</v>
      </c>
      <c r="J91" s="51" t="str">
        <f>IFERROR(__xludf.DUMMYFUNCTION("JOIN("" | "",'Team Stats'!I$8:K$8)"),"0 | 0 | 0")</f>
        <v>0 | 0 | 0</v>
      </c>
      <c r="L91" s="42" t="str">
        <f>IFERROR(__xludf.DUMMYFUNCTION("""COMPUTED_VALUE"""),"Cleveland Browns – CLE")</f>
        <v>Cleveland Browns – CLE</v>
      </c>
      <c r="M91" s="52">
        <f>IFERROR(VLOOKUP(L91,PlayerDB!$F$2:$G261,2,FALSE),"")</f>
        <v>117</v>
      </c>
      <c r="N91" s="42"/>
      <c r="O91" s="42"/>
      <c r="P91" s="42"/>
      <c r="Q91" s="52"/>
    </row>
    <row r="92">
      <c r="A92" s="72" t="s">
        <v>94</v>
      </c>
      <c r="B92" s="34">
        <v>91.0</v>
      </c>
      <c r="C92" s="73" t="str">
        <f>'Teams &amp; Draft Order'!$C$15</f>
        <v>Daddy's Dogs</v>
      </c>
      <c r="D92" s="74"/>
      <c r="E92" s="36" t="str">
        <f>IFERROR(VLOOKUP($D92,PlayerDB!$F$2:$G261,2,FALSE),"")</f>
        <v/>
      </c>
      <c r="F92" s="36" t="str">
        <f>IFERROR(VLOOKUP($D92,PlayerDB!$F$2:$H261,3,FALSE),"")</f>
        <v/>
      </c>
      <c r="G92" s="37" t="str">
        <f>IFERROR(VLOOKUP($D92,PlayerDB!$F$2:$I261,4,FALSE),"")</f>
        <v/>
      </c>
      <c r="H92" s="75"/>
      <c r="I92" s="76" t="str">
        <f>IFERROR(__xludf.DUMMYFUNCTION("JOIN("" | "",'Team Stats'!C$11:H$11)"),"0 | 0 | 0 | 0 | 0 | 0")</f>
        <v>0 | 0 | 0 | 0 | 0 | 0</v>
      </c>
      <c r="J92" s="40" t="str">
        <f>IFERROR(__xludf.DUMMYFUNCTION("JOIN("" | "",'Team Stats'!I$7:K$7)"),"0 | 0 | 0")</f>
        <v>0 | 0 | 0</v>
      </c>
      <c r="L92" s="42" t="str">
        <f>IFERROR(__xludf.DUMMYFUNCTION("""COMPUTED_VALUE"""),"San Francisco 49ers – SF")</f>
        <v>San Francisco 49ers – SF</v>
      </c>
      <c r="M92" s="52">
        <f>IFERROR(VLOOKUP(L92,PlayerDB!$F$2:$G261,2,FALSE),"")</f>
        <v>116</v>
      </c>
      <c r="N92" s="42"/>
      <c r="O92" s="42"/>
      <c r="P92" s="42"/>
      <c r="Q92" s="52"/>
    </row>
    <row r="93">
      <c r="A93" s="45"/>
      <c r="B93" s="46">
        <v>92.0</v>
      </c>
      <c r="C93" s="46" t="str">
        <f>'Teams &amp; Draft Order'!$C$14</f>
        <v>Achaians</v>
      </c>
      <c r="D93" s="47"/>
      <c r="E93" s="48" t="str">
        <f>IFERROR(VLOOKUP($D93,PlayerDB!$F$2:$G261,2,FALSE),"")</f>
        <v/>
      </c>
      <c r="F93" s="48" t="str">
        <f>IFERROR(VLOOKUP($D93,PlayerDB!$F$2:$H261,3,FALSE),"")</f>
        <v/>
      </c>
      <c r="G93" s="49" t="str">
        <f>IFERROR(VLOOKUP($D93,PlayerDB!$F$2:$I261,4,FALSE),"")</f>
        <v/>
      </c>
      <c r="H93" s="38"/>
      <c r="I93" s="50" t="str">
        <f>IFERROR(__xludf.DUMMYFUNCTION("JOIN("" | "",'Team Stats'!C$10:H$10)"),"0 | 0 | 0 | 0 | 0 | 0")</f>
        <v>0 | 0 | 0 | 0 | 0 | 0</v>
      </c>
      <c r="J93" s="51" t="str">
        <f>IFERROR(__xludf.DUMMYFUNCTION("JOIN("" | "",'Team Stats'!I$6:K$6)"),"0 | 0 | 0")</f>
        <v>0 | 0 | 0</v>
      </c>
      <c r="L93" s="42" t="str">
        <f>IFERROR(__xludf.DUMMYFUNCTION("""COMPUTED_VALUE"""),"Tampa Bay Buccaneers – TB")</f>
        <v>Tampa Bay Buccaneers – TB</v>
      </c>
      <c r="M93" s="52">
        <f>IFERROR(VLOOKUP(L93,PlayerDB!$F$2:$G261,2,FALSE),"")</f>
        <v>115</v>
      </c>
      <c r="N93" s="42"/>
      <c r="O93" s="42"/>
      <c r="P93" s="42"/>
      <c r="Q93" s="52"/>
    </row>
    <row r="94">
      <c r="A94" s="33"/>
      <c r="B94" s="34">
        <v>93.0</v>
      </c>
      <c r="C94" s="34" t="str">
        <f>'Teams &amp; Draft Order'!$C$13</f>
        <v>Luddite</v>
      </c>
      <c r="D94" s="35"/>
      <c r="E94" s="36" t="str">
        <f>IFERROR(VLOOKUP($D94,PlayerDB!$F$2:$G261,2,FALSE),"")</f>
        <v/>
      </c>
      <c r="F94" s="36" t="str">
        <f>IFERROR(VLOOKUP($D94,PlayerDB!$F$2:$H261,3,FALSE),"")</f>
        <v/>
      </c>
      <c r="G94" s="37" t="str">
        <f>IFERROR(VLOOKUP($D94,PlayerDB!$F$2:$I261,4,FALSE),"")</f>
        <v/>
      </c>
      <c r="H94" s="38"/>
      <c r="I94" s="39" t="str">
        <f>IFERROR(__xludf.DUMMYFUNCTION("JOIN("" | "",'Team Stats'!C$9:H$9)"),"0 | 0 | 0 | 0 | 0 | 0")</f>
        <v>0 | 0 | 0 | 0 | 0 | 0</v>
      </c>
      <c r="J94" s="40" t="str">
        <f>IFERROR(__xludf.DUMMYFUNCTION("JOIN("" | "",'Team Stats'!I$5:K$5)"),"0 | 0 | 0")</f>
        <v>0 | 0 | 0</v>
      </c>
      <c r="L94" s="42" t="str">
        <f>IFERROR(__xludf.DUMMYFUNCTION("""COMPUTED_VALUE"""),"Miami Dolphins – MIA")</f>
        <v>Miami Dolphins – MIA</v>
      </c>
      <c r="M94" s="52">
        <f>IFERROR(VLOOKUP(L94,PlayerDB!$F$2:$G261,2,FALSE),"")</f>
        <v>114</v>
      </c>
      <c r="N94" s="42"/>
      <c r="O94" s="42"/>
      <c r="P94" s="42"/>
      <c r="Q94" s="52"/>
    </row>
    <row r="95">
      <c r="A95" s="45"/>
      <c r="B95" s="46">
        <v>94.0</v>
      </c>
      <c r="C95" s="46" t="str">
        <f>'Teams &amp; Draft Order'!$C$12</f>
        <v>Turbo-Ginz</v>
      </c>
      <c r="D95" s="47"/>
      <c r="E95" s="48" t="str">
        <f>IFERROR(VLOOKUP($D95,PlayerDB!$F$2:$G261,2,FALSE),"")</f>
        <v/>
      </c>
      <c r="F95" s="48" t="str">
        <f>IFERROR(VLOOKUP($D95,PlayerDB!$F$2:$H261,3,FALSE),"")</f>
        <v/>
      </c>
      <c r="G95" s="49" t="str">
        <f>IFERROR(VLOOKUP($D95,PlayerDB!$F$2:$I261,4,FALSE),"")</f>
        <v/>
      </c>
      <c r="H95" s="38"/>
      <c r="I95" s="50" t="str">
        <f>IFERROR(__xludf.DUMMYFUNCTION("JOIN("" | "",'Team Stats'!C$8:H$8)"),"0 | 0 | 0 | 0 | 0 | 0")</f>
        <v>0 | 0 | 0 | 0 | 0 | 0</v>
      </c>
      <c r="J95" s="51" t="str">
        <f>IFERROR(__xludf.DUMMYFUNCTION("JOIN("" | "",'Team Stats'!I$4:K$4)"),"0 | 0 | 0")</f>
        <v>0 | 0 | 0</v>
      </c>
      <c r="L95" s="20"/>
      <c r="M95" s="20"/>
      <c r="N95" s="20"/>
      <c r="O95" s="20"/>
      <c r="P95" s="20"/>
      <c r="Q95" s="20"/>
    </row>
    <row r="96">
      <c r="A96" s="33"/>
      <c r="B96" s="34">
        <v>95.0</v>
      </c>
      <c r="C96" s="34" t="str">
        <f>'Teams &amp; Draft Order'!$C$11</f>
        <v>Big Boys Big Work</v>
      </c>
      <c r="D96" s="35"/>
      <c r="E96" s="36" t="str">
        <f>IFERROR(VLOOKUP($D96,PlayerDB!$F$2:$G261,2,FALSE),"")</f>
        <v/>
      </c>
      <c r="F96" s="36" t="str">
        <f>IFERROR(VLOOKUP($D96,PlayerDB!$F$2:$H261,3,FALSE),"")</f>
        <v/>
      </c>
      <c r="G96" s="37" t="str">
        <f>IFERROR(VLOOKUP($D96,PlayerDB!$F$2:$I261,4,FALSE),"")</f>
        <v/>
      </c>
      <c r="H96" s="38"/>
      <c r="I96" s="39" t="str">
        <f>IFERROR(__xludf.DUMMYFUNCTION("JOIN("" | "",'Team Stats'!C$7:H$7)"),"0 | 0 | 0 | 0 | 0 | 0")</f>
        <v>0 | 0 | 0 | 0 | 0 | 0</v>
      </c>
      <c r="J96" s="40" t="str">
        <f>IFERROR(__xludf.DUMMYFUNCTION("JOIN("" | "",'Team Stats'!I$3:K$3)"),"0 | 0 | 0")</f>
        <v>0 | 0 | 0</v>
      </c>
      <c r="L96" s="42"/>
      <c r="M96" s="42"/>
      <c r="N96" s="42"/>
      <c r="O96" s="42"/>
      <c r="P96" s="42"/>
      <c r="Q96" s="42"/>
    </row>
    <row r="97">
      <c r="A97" s="45"/>
      <c r="B97" s="46">
        <v>96.0</v>
      </c>
      <c r="C97" s="46" t="str">
        <f>'Teams &amp; Draft Order'!$C$10</f>
        <v>Buttheads</v>
      </c>
      <c r="D97" s="47"/>
      <c r="E97" s="48" t="str">
        <f>IFERROR(VLOOKUP($D97,PlayerDB!$F$2:$G261,2,FALSE),"")</f>
        <v/>
      </c>
      <c r="F97" s="48" t="str">
        <f>IFERROR(VLOOKUP($D97,PlayerDB!$F$2:$H261,3,FALSE),"")</f>
        <v/>
      </c>
      <c r="G97" s="49" t="str">
        <f>IFERROR(VLOOKUP($D97,PlayerDB!$F$2:$I261,4,FALSE),"")</f>
        <v/>
      </c>
      <c r="H97" s="38"/>
      <c r="I97" s="50" t="str">
        <f>IFERROR(__xludf.DUMMYFUNCTION("JOIN("" | "",'Team Stats'!C$6:H$6)"),"0 | 0 | 0 | 0 | 0 | 0")</f>
        <v>0 | 0 | 0 | 0 | 0 | 0</v>
      </c>
      <c r="J97" s="64" t="str">
        <f>IFERROR(__xludf.DUMMYFUNCTION("JOIN("" | "",'Team Stats'!I$2:K$2)"),"0 | 0 | 0")</f>
        <v>0 | 0 | 0</v>
      </c>
      <c r="L97" s="42"/>
      <c r="M97" s="42"/>
      <c r="N97" s="42"/>
      <c r="O97" s="42"/>
      <c r="P97" s="42"/>
      <c r="Q97" s="42"/>
    </row>
    <row r="98">
      <c r="A98" s="33"/>
      <c r="B98" s="34">
        <v>97.0</v>
      </c>
      <c r="C98" s="34" t="str">
        <f>'Teams &amp; Draft Order'!$C$9</f>
        <v>El Nino</v>
      </c>
      <c r="D98" s="35"/>
      <c r="E98" s="36" t="str">
        <f>IFERROR(VLOOKUP($D98,PlayerDB!$F$2:$G261,2,FALSE),"")</f>
        <v/>
      </c>
      <c r="F98" s="36" t="str">
        <f>IFERROR(VLOOKUP($D98,PlayerDB!$F$2:$H261,3,FALSE),"")</f>
        <v/>
      </c>
      <c r="G98" s="37" t="str">
        <f>IFERROR(VLOOKUP($D98,PlayerDB!$F$2:$I261,4,FALSE),"")</f>
        <v/>
      </c>
      <c r="H98" s="38"/>
      <c r="I98" s="39" t="str">
        <f>IFERROR(__xludf.DUMMYFUNCTION("JOIN("" | "",'Team Stats'!C$5:H$5)"),"0 | 0 | 0 | 0 | 0 | 0")</f>
        <v>0 | 0 | 0 | 0 | 0 | 0</v>
      </c>
      <c r="J98" s="40" t="str">
        <f>IFERROR(__xludf.DUMMYFUNCTION("JOIN("" | "",'Team Stats'!I$2:K$2)"),"0 | 0 | 0")</f>
        <v>0 | 0 | 0</v>
      </c>
      <c r="L98" s="71"/>
      <c r="M98" s="44"/>
      <c r="N98" s="42"/>
      <c r="O98" s="42"/>
      <c r="P98" s="71"/>
      <c r="Q98" s="44"/>
    </row>
    <row r="99">
      <c r="A99" s="45"/>
      <c r="B99" s="46">
        <v>98.0</v>
      </c>
      <c r="C99" s="46" t="str">
        <f>'Teams &amp; Draft Order'!$C$8</f>
        <v>Icelanders</v>
      </c>
      <c r="D99" s="47"/>
      <c r="E99" s="48" t="str">
        <f>IFERROR(VLOOKUP($D99,PlayerDB!$F$2:$G261,2,FALSE),"")</f>
        <v/>
      </c>
      <c r="F99" s="48" t="str">
        <f>IFERROR(VLOOKUP($D99,PlayerDB!$F$2:$H261,3,FALSE),"")</f>
        <v/>
      </c>
      <c r="G99" s="49" t="str">
        <f>IFERROR(VLOOKUP($D99,PlayerDB!$F$2:$I261,4,FALSE),"")</f>
        <v/>
      </c>
      <c r="H99" s="38"/>
      <c r="I99" s="50" t="str">
        <f>IFERROR(__xludf.DUMMYFUNCTION("JOIN("" | "",'Team Stats'!C$4:H$4)"),"0 | 0 | 0 | 0 | 0 | 0")</f>
        <v>0 | 0 | 0 | 0 | 0 | 0</v>
      </c>
      <c r="J99" s="51" t="str">
        <f>IFERROR(__xludf.DUMMYFUNCTION("JOIN("" | "",'Team Stats'!I$3:K$3)"),"0 | 0 | 0")</f>
        <v>0 | 0 | 0</v>
      </c>
      <c r="L99" s="42"/>
      <c r="M99" s="52"/>
      <c r="N99" s="42"/>
      <c r="O99" s="42"/>
      <c r="P99" s="42"/>
      <c r="Q99" s="52"/>
    </row>
    <row r="100">
      <c r="A100" s="33"/>
      <c r="B100" s="34">
        <v>99.0</v>
      </c>
      <c r="C100" s="34" t="str">
        <f>'Teams &amp; Draft Order'!$C$7</f>
        <v>Phantasm</v>
      </c>
      <c r="D100" s="35"/>
      <c r="E100" s="36" t="str">
        <f>IFERROR(VLOOKUP($D100,PlayerDB!$F$2:$G261,2,FALSE),"")</f>
        <v/>
      </c>
      <c r="F100" s="36" t="str">
        <f>IFERROR(VLOOKUP($D100,PlayerDB!$F$2:$H261,3,FALSE),"")</f>
        <v/>
      </c>
      <c r="G100" s="37" t="str">
        <f>IFERROR(VLOOKUP($D100,PlayerDB!$F$2:$I261,4,FALSE),"")</f>
        <v/>
      </c>
      <c r="H100" s="38"/>
      <c r="I100" s="39" t="str">
        <f>IFERROR(__xludf.DUMMYFUNCTION("JOIN("" | "",'Team Stats'!C$3:H$3)"),"0 | 0 | 0 | 0 | 0 | 0")</f>
        <v>0 | 0 | 0 | 0 | 0 | 0</v>
      </c>
      <c r="J100" s="40" t="str">
        <f>IFERROR(__xludf.DUMMYFUNCTION("JOIN("" | "",'Team Stats'!I$4:K$4)"),"0 | 0 | 0")</f>
        <v>0 | 0 | 0</v>
      </c>
      <c r="L100" s="42"/>
      <c r="M100" s="52"/>
      <c r="N100" s="42"/>
      <c r="O100" s="42"/>
      <c r="P100" s="42"/>
      <c r="Q100" s="52"/>
    </row>
    <row r="101">
      <c r="A101" s="54"/>
      <c r="B101" s="55">
        <v>100.0</v>
      </c>
      <c r="C101" s="55" t="str">
        <f>'Teams &amp; Draft Order'!$C$6</f>
        <v>Sleeper Cell </v>
      </c>
      <c r="D101" s="56"/>
      <c r="E101" s="57" t="str">
        <f>IFERROR(VLOOKUP($D101,PlayerDB!$F$2:$G261,2,FALSE),"")</f>
        <v/>
      </c>
      <c r="F101" s="57" t="str">
        <f>IFERROR(VLOOKUP($D101,PlayerDB!$F$2:$H261,3,FALSE),"")</f>
        <v/>
      </c>
      <c r="G101" s="58" t="str">
        <f>IFERROR(VLOOKUP($D101,PlayerDB!$F$2:$I261,4,FALSE),"")</f>
        <v/>
      </c>
      <c r="H101" s="59"/>
      <c r="I101" s="60" t="str">
        <f>IFERROR(__xludf.DUMMYFUNCTION("JOIN("" | "",'Team Stats'!C$2:H$2)"),"1 | 0 | 0 | 0 | 0 | 0")</f>
        <v>1 | 0 | 0 | 0 | 0 | 0</v>
      </c>
      <c r="J101" s="51" t="str">
        <f>IFERROR(__xludf.DUMMYFUNCTION("JOIN("" | "",'Team Stats'!I$5:K$5)"),"0 | 0 | 0")</f>
        <v>0 | 0 | 0</v>
      </c>
      <c r="L101" s="20"/>
      <c r="M101" s="52"/>
      <c r="N101" s="42"/>
      <c r="O101" s="42"/>
      <c r="P101" s="42"/>
      <c r="Q101" s="52"/>
    </row>
    <row r="102">
      <c r="A102" s="33" t="s">
        <v>95</v>
      </c>
      <c r="B102" s="34">
        <v>101.0</v>
      </c>
      <c r="C102" s="34" t="str">
        <f>'Teams &amp; Draft Order'!$C$6</f>
        <v>Sleeper Cell </v>
      </c>
      <c r="D102" s="35"/>
      <c r="E102" s="36" t="str">
        <f>IFERROR(VLOOKUP($D102,PlayerDB!$F$2:$G261,2,FALSE),"")</f>
        <v/>
      </c>
      <c r="F102" s="36" t="str">
        <f>IFERROR(VLOOKUP($D102,PlayerDB!$F$2:$H261,3,FALSE),"")</f>
        <v/>
      </c>
      <c r="G102" s="37" t="str">
        <f>IFERROR(VLOOKUP($D102,PlayerDB!$F$2:$I261,4,FALSE),"")</f>
        <v/>
      </c>
      <c r="H102" s="38"/>
      <c r="I102" s="39" t="str">
        <f>IFERROR(__xludf.DUMMYFUNCTION("JOIN("" | "",'Team Stats'!C$2:H$2)"),"1 | 0 | 0 | 0 | 0 | 0")</f>
        <v>1 | 0 | 0 | 0 | 0 | 0</v>
      </c>
      <c r="J102" s="40" t="str">
        <f>IFERROR(__xludf.DUMMYFUNCTION("JOIN("" | "",'Team Stats'!I$6:K$6)"),"0 | 0 | 0")</f>
        <v>0 | 0 | 0</v>
      </c>
      <c r="L102" s="42"/>
      <c r="M102" s="52"/>
      <c r="N102" s="42"/>
      <c r="O102" s="42"/>
      <c r="P102" s="42"/>
      <c r="Q102" s="52"/>
    </row>
    <row r="103">
      <c r="A103" s="45"/>
      <c r="B103" s="46">
        <v>102.0</v>
      </c>
      <c r="C103" s="46" t="str">
        <f>'Teams &amp; Draft Order'!$C$7</f>
        <v>Phantasm</v>
      </c>
      <c r="D103" s="47"/>
      <c r="E103" s="48" t="str">
        <f>IFERROR(VLOOKUP($D103,PlayerDB!$F$2:$G261,2,FALSE),"")</f>
        <v/>
      </c>
      <c r="F103" s="48" t="str">
        <f>IFERROR(VLOOKUP($D103,PlayerDB!$F$2:$H261,3,FALSE),"")</f>
        <v/>
      </c>
      <c r="G103" s="49" t="str">
        <f>IFERROR(VLOOKUP($D103,PlayerDB!$F$2:$I261,4,FALSE),"")</f>
        <v/>
      </c>
      <c r="H103" s="38"/>
      <c r="I103" s="50" t="str">
        <f>IFERROR(__xludf.DUMMYFUNCTION("JOIN("" | "",'Team Stats'!C$3:H$3)"),"0 | 0 | 0 | 0 | 0 | 0")</f>
        <v>0 | 0 | 0 | 0 | 0 | 0</v>
      </c>
      <c r="J103" s="51" t="str">
        <f>IFERROR(__xludf.DUMMYFUNCTION("JOIN("" | "",'Team Stats'!I$7:K$7)"),"0 | 0 | 0")</f>
        <v>0 | 0 | 0</v>
      </c>
      <c r="L103" s="42"/>
      <c r="M103" s="52"/>
      <c r="N103" s="42"/>
      <c r="O103" s="42"/>
      <c r="P103" s="42"/>
      <c r="Q103" s="52"/>
    </row>
    <row r="104">
      <c r="A104" s="33"/>
      <c r="B104" s="34">
        <v>103.0</v>
      </c>
      <c r="C104" s="34" t="str">
        <f>'Teams &amp; Draft Order'!$C$8</f>
        <v>Icelanders</v>
      </c>
      <c r="D104" s="35"/>
      <c r="E104" s="36" t="str">
        <f>IFERROR(VLOOKUP($D104,PlayerDB!$F$2:$G261,2,FALSE),"")</f>
        <v/>
      </c>
      <c r="F104" s="36" t="str">
        <f>IFERROR(VLOOKUP($D104,PlayerDB!$F$2:$H261,3,FALSE),"")</f>
        <v/>
      </c>
      <c r="G104" s="37" t="str">
        <f>IFERROR(VLOOKUP($D104,PlayerDB!$F$2:$I261,4,FALSE),"")</f>
        <v/>
      </c>
      <c r="H104" s="38"/>
      <c r="I104" s="39" t="str">
        <f>IFERROR(__xludf.DUMMYFUNCTION("JOIN("" | "",'Team Stats'!C$4:H$4)"),"0 | 0 | 0 | 0 | 0 | 0")</f>
        <v>0 | 0 | 0 | 0 | 0 | 0</v>
      </c>
      <c r="J104" s="40" t="str">
        <f>IFERROR(__xludf.DUMMYFUNCTION("JOIN("" | "",'Team Stats'!I$8:K$8)"),"0 | 0 | 0")</f>
        <v>0 | 0 | 0</v>
      </c>
      <c r="L104" s="42"/>
      <c r="M104" s="52"/>
      <c r="N104" s="42"/>
      <c r="O104" s="42"/>
      <c r="P104" s="42"/>
      <c r="Q104" s="52"/>
    </row>
    <row r="105">
      <c r="A105" s="45"/>
      <c r="B105" s="46">
        <v>104.0</v>
      </c>
      <c r="C105" s="46" t="str">
        <f>'Teams &amp; Draft Order'!$C$9</f>
        <v>El Nino</v>
      </c>
      <c r="D105" s="47"/>
      <c r="E105" s="48" t="str">
        <f>IFERROR(VLOOKUP($D105,PlayerDB!$F$2:$G261,2,FALSE),"")</f>
        <v/>
      </c>
      <c r="F105" s="48" t="str">
        <f>IFERROR(VLOOKUP($D105,PlayerDB!$F$2:$H261,3,FALSE),"")</f>
        <v/>
      </c>
      <c r="G105" s="49" t="str">
        <f>IFERROR(VLOOKUP($D105,PlayerDB!$F$2:$I261,4,FALSE),"")</f>
        <v/>
      </c>
      <c r="H105" s="38"/>
      <c r="I105" s="50" t="str">
        <f>IFERROR(__xludf.DUMMYFUNCTION("JOIN("" | "",'Team Stats'!C$5:H$5)"),"0 | 0 | 0 | 0 | 0 | 0")</f>
        <v>0 | 0 | 0 | 0 | 0 | 0</v>
      </c>
      <c r="J105" s="51" t="str">
        <f>IFERROR(__xludf.DUMMYFUNCTION("JOIN("" | "",'Team Stats'!I$9:K$9)"),"0 | 0 | 0")</f>
        <v>0 | 0 | 0</v>
      </c>
      <c r="L105" s="42"/>
      <c r="M105" s="52"/>
      <c r="N105" s="42"/>
      <c r="O105" s="42"/>
      <c r="P105" s="42"/>
      <c r="Q105" s="52"/>
    </row>
    <row r="106">
      <c r="A106" s="33"/>
      <c r="B106" s="34">
        <v>105.0</v>
      </c>
      <c r="C106" s="34" t="str">
        <f>'Teams &amp; Draft Order'!$C$10</f>
        <v>Buttheads</v>
      </c>
      <c r="D106" s="35"/>
      <c r="E106" s="36" t="str">
        <f>IFERROR(VLOOKUP($D106,PlayerDB!$F$2:$G261,2,FALSE),"")</f>
        <v/>
      </c>
      <c r="F106" s="36" t="str">
        <f>IFERROR(VLOOKUP($D106,PlayerDB!$F$2:$H261,3,FALSE),"")</f>
        <v/>
      </c>
      <c r="G106" s="37" t="str">
        <f>IFERROR(VLOOKUP($D106,PlayerDB!$F$2:$I261,4,FALSE),"")</f>
        <v/>
      </c>
      <c r="H106" s="38"/>
      <c r="I106" s="39" t="str">
        <f>IFERROR(__xludf.DUMMYFUNCTION("JOIN("" | "",'Team Stats'!C$6:H$6)"),"0 | 0 | 0 | 0 | 0 | 0")</f>
        <v>0 | 0 | 0 | 0 | 0 | 0</v>
      </c>
      <c r="J106" s="40" t="str">
        <f>IFERROR(__xludf.DUMMYFUNCTION("JOIN("" | "",'Team Stats'!I$10:K$10)"),"0 | 0 | 0")</f>
        <v>0 | 0 | 0</v>
      </c>
      <c r="L106" s="42"/>
      <c r="M106" s="52"/>
      <c r="N106" s="42"/>
      <c r="O106" s="42"/>
      <c r="P106" s="42"/>
      <c r="Q106" s="52"/>
    </row>
    <row r="107">
      <c r="A107" s="45"/>
      <c r="B107" s="46">
        <v>106.0</v>
      </c>
      <c r="C107" s="46" t="str">
        <f>'Teams &amp; Draft Order'!$C$11</f>
        <v>Big Boys Big Work</v>
      </c>
      <c r="D107" s="47"/>
      <c r="E107" s="48" t="str">
        <f>IFERROR(VLOOKUP($D107,PlayerDB!$F$2:$G261,2,FALSE),"")</f>
        <v/>
      </c>
      <c r="F107" s="48" t="str">
        <f>IFERROR(VLOOKUP($D107,PlayerDB!$F$2:$H261,3,FALSE),"")</f>
        <v/>
      </c>
      <c r="G107" s="49" t="str">
        <f>IFERROR(VLOOKUP($D107,PlayerDB!$F$2:$I261,4,FALSE),"")</f>
        <v/>
      </c>
      <c r="H107" s="38"/>
      <c r="I107" s="50" t="str">
        <f>IFERROR(__xludf.DUMMYFUNCTION("JOIN("" | "",'Team Stats'!C$7:H$7)"),"0 | 0 | 0 | 0 | 0 | 0")</f>
        <v>0 | 0 | 0 | 0 | 0 | 0</v>
      </c>
      <c r="J107" s="51" t="str">
        <f>IFERROR(__xludf.DUMMYFUNCTION("JOIN("" | "",'Team Stats'!I$11:K$11)"),"0 | 0 | 0")</f>
        <v>0 | 0 | 0</v>
      </c>
      <c r="L107" s="42"/>
      <c r="M107" s="52"/>
      <c r="N107" s="42"/>
      <c r="O107" s="42"/>
      <c r="P107" s="42"/>
      <c r="Q107" s="52"/>
    </row>
    <row r="108">
      <c r="A108" s="33"/>
      <c r="B108" s="34">
        <v>107.0</v>
      </c>
      <c r="C108" s="34" t="str">
        <f>'Teams &amp; Draft Order'!$C$12</f>
        <v>Turbo-Ginz</v>
      </c>
      <c r="D108" s="35"/>
      <c r="E108" s="36" t="str">
        <f>IFERROR(VLOOKUP($D108,PlayerDB!$F$2:$G261,2,FALSE),"")</f>
        <v/>
      </c>
      <c r="F108" s="36" t="str">
        <f>IFERROR(VLOOKUP($D108,PlayerDB!$F$2:$H261,3,FALSE),"")</f>
        <v/>
      </c>
      <c r="G108" s="37" t="str">
        <f>IFERROR(VLOOKUP($D108,PlayerDB!$F$2:$I261,4,FALSE),"")</f>
        <v/>
      </c>
      <c r="H108" s="38"/>
      <c r="I108" s="39" t="str">
        <f>IFERROR(__xludf.DUMMYFUNCTION("JOIN("" | "",'Team Stats'!C$8:H$8)"),"0 | 0 | 0 | 0 | 0 | 0")</f>
        <v>0 | 0 | 0 | 0 | 0 | 0</v>
      </c>
      <c r="J108" s="40" t="str">
        <f>IFERROR(__xludf.DUMMYFUNCTION("JOIN("" | "",#REF!)"),"#REF!")</f>
        <v>#REF!</v>
      </c>
      <c r="L108" s="42"/>
      <c r="M108" s="52"/>
      <c r="N108" s="42"/>
      <c r="O108" s="42"/>
      <c r="P108" s="42"/>
      <c r="Q108" s="52"/>
    </row>
    <row r="109">
      <c r="A109" s="45"/>
      <c r="B109" s="46">
        <v>108.0</v>
      </c>
      <c r="C109" s="46" t="str">
        <f>'Teams &amp; Draft Order'!$C$13</f>
        <v>Luddite</v>
      </c>
      <c r="D109" s="47"/>
      <c r="E109" s="48" t="str">
        <f>IFERROR(VLOOKUP($D109,PlayerDB!$F$2:$G261,2,FALSE),"")</f>
        <v/>
      </c>
      <c r="F109" s="48" t="str">
        <f>IFERROR(VLOOKUP($D109,PlayerDB!$F$2:$H261,3,FALSE),"")</f>
        <v/>
      </c>
      <c r="G109" s="49" t="str">
        <f>IFERROR(VLOOKUP($D109,PlayerDB!$F$2:$I261,4,FALSE),"")</f>
        <v/>
      </c>
      <c r="H109" s="38"/>
      <c r="I109" s="50" t="str">
        <f>IFERROR(__xludf.DUMMYFUNCTION("JOIN("" | "",'Team Stats'!C$9:H$9)"),"0 | 0 | 0 | 0 | 0 | 0")</f>
        <v>0 | 0 | 0 | 0 | 0 | 0</v>
      </c>
      <c r="J109" s="51" t="str">
        <f>IFERROR(__xludf.DUMMYFUNCTION("JOIN("" | "",#REF!)"),"#REF!")</f>
        <v>#REF!</v>
      </c>
      <c r="L109" s="42"/>
      <c r="M109" s="52"/>
      <c r="N109" s="42"/>
      <c r="O109" s="42"/>
      <c r="P109" s="42"/>
      <c r="Q109" s="52"/>
    </row>
    <row r="110">
      <c r="A110" s="33"/>
      <c r="B110" s="34">
        <v>109.0</v>
      </c>
      <c r="C110" s="34" t="str">
        <f>'Teams &amp; Draft Order'!$C$14</f>
        <v>Achaians</v>
      </c>
      <c r="D110" s="35"/>
      <c r="E110" s="36" t="str">
        <f>IFERROR(VLOOKUP($D110,PlayerDB!$F$2:$G261,2,FALSE),"")</f>
        <v/>
      </c>
      <c r="F110" s="36" t="str">
        <f>IFERROR(VLOOKUP($D110,PlayerDB!$F$2:$H261,3,FALSE),"")</f>
        <v/>
      </c>
      <c r="G110" s="37" t="str">
        <f>IFERROR(VLOOKUP($D110,PlayerDB!$F$2:$I261,4,FALSE),"")</f>
        <v/>
      </c>
      <c r="H110" s="38"/>
      <c r="I110" s="39" t="str">
        <f>IFERROR(__xludf.DUMMYFUNCTION("JOIN("" | "",'Team Stats'!C$10:H$10)"),"0 | 0 | 0 | 0 | 0 | 0")</f>
        <v>0 | 0 | 0 | 0 | 0 | 0</v>
      </c>
      <c r="J110" s="62" t="str">
        <f>IFERROR(__xludf.DUMMYFUNCTION("JOIN("" | "",#REF!)"),"#REF!")</f>
        <v>#REF!</v>
      </c>
      <c r="L110" s="42"/>
      <c r="M110" s="52"/>
      <c r="N110" s="42"/>
      <c r="O110" s="42"/>
      <c r="P110" s="42"/>
      <c r="Q110" s="52"/>
    </row>
    <row r="111">
      <c r="A111" s="54"/>
      <c r="B111" s="55">
        <v>110.0</v>
      </c>
      <c r="C111" s="55" t="str">
        <f>'Teams &amp; Draft Order'!$C$15</f>
        <v>Daddy's Dogs</v>
      </c>
      <c r="D111" s="56"/>
      <c r="E111" s="57" t="str">
        <f>IFERROR(VLOOKUP($D111,PlayerDB!$F$2:$G261,2,FALSE),"")</f>
        <v/>
      </c>
      <c r="F111" s="57" t="str">
        <f>IFERROR(VLOOKUP($D111,PlayerDB!$F$2:$H261,3,FALSE),"")</f>
        <v/>
      </c>
      <c r="G111" s="58" t="str">
        <f>IFERROR(VLOOKUP($D111,PlayerDB!$F$2:$I261,4,FALSE),"")</f>
        <v/>
      </c>
      <c r="H111" s="59"/>
      <c r="I111" s="60" t="str">
        <f>IFERROR(__xludf.DUMMYFUNCTION("JOIN("" | "",'Team Stats'!C$11:H$11)"),"0 | 0 | 0 | 0 | 0 | 0")</f>
        <v>0 | 0 | 0 | 0 | 0 | 0</v>
      </c>
      <c r="J111" s="51" t="str">
        <f>IFERROR(__xludf.DUMMYFUNCTION("JOIN("" | "",#REF!)"),"#REF!")</f>
        <v>#REF!</v>
      </c>
      <c r="L111" s="42"/>
      <c r="M111" s="52"/>
      <c r="N111" s="42"/>
      <c r="O111" s="42"/>
      <c r="P111" s="42"/>
      <c r="Q111" s="52"/>
    </row>
    <row r="112">
      <c r="A112" s="72" t="s">
        <v>96</v>
      </c>
      <c r="B112" s="34">
        <v>111.0</v>
      </c>
      <c r="C112" s="73" t="str">
        <f>'Teams &amp; Draft Order'!$C$15</f>
        <v>Daddy's Dogs</v>
      </c>
      <c r="D112" s="74"/>
      <c r="E112" s="36" t="str">
        <f>IFERROR(VLOOKUP($D112,PlayerDB!$F$2:$G261,2,FALSE),"")</f>
        <v/>
      </c>
      <c r="F112" s="36" t="str">
        <f>IFERROR(VLOOKUP($D112,PlayerDB!$F$2:$H261,3,FALSE),"")</f>
        <v/>
      </c>
      <c r="G112" s="37" t="str">
        <f>IFERROR(VLOOKUP($D112,PlayerDB!$F$2:$I261,4,FALSE),"")</f>
        <v/>
      </c>
      <c r="H112" s="75"/>
      <c r="I112" s="76" t="str">
        <f>IFERROR(__xludf.DUMMYFUNCTION("JOIN("" | "",'Team Stats'!C$11:H$11)"),"0 | 0 | 0 | 0 | 0 | 0")</f>
        <v>0 | 0 | 0 | 0 | 0 | 0</v>
      </c>
      <c r="J112" s="40" t="str">
        <f>IFERROR(__xludf.DUMMYFUNCTION("JOIN("" | "",'Team Stats'!I$11:K$11)"),"0 | 0 | 0")</f>
        <v>0 | 0 | 0</v>
      </c>
      <c r="L112" s="42"/>
      <c r="M112" s="52"/>
      <c r="N112" s="42"/>
      <c r="O112" s="42"/>
      <c r="P112" s="42"/>
      <c r="Q112" s="52"/>
    </row>
    <row r="113">
      <c r="A113" s="45"/>
      <c r="B113" s="46">
        <v>112.0</v>
      </c>
      <c r="C113" s="46" t="str">
        <f>'Teams &amp; Draft Order'!$C$14</f>
        <v>Achaians</v>
      </c>
      <c r="D113" s="47"/>
      <c r="E113" s="48" t="str">
        <f>IFERROR(VLOOKUP($D113,PlayerDB!$F$2:$G261,2,FALSE),"")</f>
        <v/>
      </c>
      <c r="F113" s="48" t="str">
        <f>IFERROR(VLOOKUP($D113,PlayerDB!$F$2:$H261,3,FALSE),"")</f>
        <v/>
      </c>
      <c r="G113" s="49" t="str">
        <f>IFERROR(VLOOKUP($D113,PlayerDB!$F$2:$I261,4,FALSE),"")</f>
        <v/>
      </c>
      <c r="H113" s="38"/>
      <c r="I113" s="50" t="str">
        <f>IFERROR(__xludf.DUMMYFUNCTION("JOIN("" | "",'Team Stats'!C$10:H$10)"),"0 | 0 | 0 | 0 | 0 | 0")</f>
        <v>0 | 0 | 0 | 0 | 0 | 0</v>
      </c>
      <c r="J113" s="51" t="str">
        <f>IFERROR(__xludf.DUMMYFUNCTION("JOIN("" | "",'Team Stats'!I$10:K$10)"),"0 | 0 | 0")</f>
        <v>0 | 0 | 0</v>
      </c>
      <c r="L113" s="42"/>
      <c r="M113" s="52"/>
      <c r="N113" s="42"/>
      <c r="O113" s="42"/>
      <c r="P113" s="42"/>
      <c r="Q113" s="52"/>
    </row>
    <row r="114">
      <c r="A114" s="33"/>
      <c r="B114" s="34">
        <v>113.0</v>
      </c>
      <c r="C114" s="34" t="str">
        <f>'Teams &amp; Draft Order'!$C$13</f>
        <v>Luddite</v>
      </c>
      <c r="D114" s="35"/>
      <c r="E114" s="36" t="str">
        <f>IFERROR(VLOOKUP($D114,PlayerDB!$F$2:$G261,2,FALSE),"")</f>
        <v/>
      </c>
      <c r="F114" s="36" t="str">
        <f>IFERROR(VLOOKUP($D114,PlayerDB!$F$2:$H261,3,FALSE),"")</f>
        <v/>
      </c>
      <c r="G114" s="37" t="str">
        <f>IFERROR(VLOOKUP($D114,PlayerDB!$F$2:$I261,4,FALSE),"")</f>
        <v/>
      </c>
      <c r="H114" s="38"/>
      <c r="I114" s="39" t="str">
        <f>IFERROR(__xludf.DUMMYFUNCTION("JOIN("" | "",'Team Stats'!C$9:H$9)"),"0 | 0 | 0 | 0 | 0 | 0")</f>
        <v>0 | 0 | 0 | 0 | 0 | 0</v>
      </c>
      <c r="J114" s="40" t="str">
        <f>IFERROR(__xludf.DUMMYFUNCTION("JOIN("" | "",'Team Stats'!I$9:K$9)"),"0 | 0 | 0")</f>
        <v>0 | 0 | 0</v>
      </c>
      <c r="L114" s="42"/>
      <c r="M114" s="52"/>
      <c r="N114" s="42"/>
      <c r="O114" s="42"/>
      <c r="P114" s="42"/>
      <c r="Q114" s="52"/>
    </row>
    <row r="115">
      <c r="A115" s="45"/>
      <c r="B115" s="46">
        <v>114.0</v>
      </c>
      <c r="C115" s="46" t="str">
        <f>'Teams &amp; Draft Order'!$C$12</f>
        <v>Turbo-Ginz</v>
      </c>
      <c r="D115" s="47"/>
      <c r="E115" s="48" t="str">
        <f>IFERROR(VLOOKUP($D115,PlayerDB!$F$2:$G261,2,FALSE),"")</f>
        <v/>
      </c>
      <c r="F115" s="48" t="str">
        <f>IFERROR(VLOOKUP($D115,PlayerDB!$F$2:$H261,3,FALSE),"")</f>
        <v/>
      </c>
      <c r="G115" s="49" t="str">
        <f>IFERROR(VLOOKUP($D115,PlayerDB!$F$2:$I261,4,FALSE),"")</f>
        <v/>
      </c>
      <c r="H115" s="38"/>
      <c r="I115" s="50" t="str">
        <f>IFERROR(__xludf.DUMMYFUNCTION("JOIN("" | "",'Team Stats'!C$8:H$8)"),"0 | 0 | 0 | 0 | 0 | 0")</f>
        <v>0 | 0 | 0 | 0 | 0 | 0</v>
      </c>
      <c r="J115" s="51" t="str">
        <f>IFERROR(__xludf.DUMMYFUNCTION("JOIN("" | "",'Team Stats'!I$8:K$8)"),"0 | 0 | 0")</f>
        <v>0 | 0 | 0</v>
      </c>
      <c r="L115" s="42"/>
      <c r="M115" s="52"/>
      <c r="N115" s="42"/>
      <c r="O115" s="42"/>
      <c r="P115" s="42"/>
      <c r="Q115" s="52"/>
    </row>
    <row r="116">
      <c r="A116" s="33"/>
      <c r="B116" s="34">
        <v>115.0</v>
      </c>
      <c r="C116" s="34" t="str">
        <f>'Teams &amp; Draft Order'!$C$11</f>
        <v>Big Boys Big Work</v>
      </c>
      <c r="D116" s="35"/>
      <c r="E116" s="36" t="str">
        <f>IFERROR(VLOOKUP($D116,PlayerDB!$F$2:$G261,2,FALSE),"")</f>
        <v/>
      </c>
      <c r="F116" s="36" t="str">
        <f>IFERROR(VLOOKUP($D116,PlayerDB!$F$2:$H261,3,FALSE),"")</f>
        <v/>
      </c>
      <c r="G116" s="37" t="str">
        <f>IFERROR(VLOOKUP($D116,PlayerDB!$F$2:$I261,4,FALSE),"")</f>
        <v/>
      </c>
      <c r="H116" s="38"/>
      <c r="I116" s="39" t="str">
        <f>IFERROR(__xludf.DUMMYFUNCTION("JOIN("" | "",'Team Stats'!C$7:H$7)"),"0 | 0 | 0 | 0 | 0 | 0")</f>
        <v>0 | 0 | 0 | 0 | 0 | 0</v>
      </c>
      <c r="J116" s="40" t="str">
        <f>IFERROR(__xludf.DUMMYFUNCTION("JOIN("" | "",'Team Stats'!I$7:K$7)"),"0 | 0 | 0")</f>
        <v>0 | 0 | 0</v>
      </c>
      <c r="L116" s="42"/>
      <c r="M116" s="52"/>
      <c r="N116" s="42"/>
      <c r="O116" s="42"/>
      <c r="P116" s="42"/>
      <c r="Q116" s="52"/>
    </row>
    <row r="117">
      <c r="A117" s="45"/>
      <c r="B117" s="46">
        <v>116.0</v>
      </c>
      <c r="C117" s="46" t="str">
        <f>'Teams &amp; Draft Order'!$C$10</f>
        <v>Buttheads</v>
      </c>
      <c r="D117" s="47"/>
      <c r="E117" s="48" t="str">
        <f>IFERROR(VLOOKUP($D117,PlayerDB!$F$2:$G261,2,FALSE),"")</f>
        <v/>
      </c>
      <c r="F117" s="48" t="str">
        <f>IFERROR(VLOOKUP($D117,PlayerDB!$F$2:$H261,3,FALSE),"")</f>
        <v/>
      </c>
      <c r="G117" s="49" t="str">
        <f>IFERROR(VLOOKUP($D117,PlayerDB!$F$2:$I261,4,FALSE),"")</f>
        <v/>
      </c>
      <c r="H117" s="38"/>
      <c r="I117" s="50" t="str">
        <f>IFERROR(__xludf.DUMMYFUNCTION("JOIN("" | "",'Team Stats'!C$6:H$6)"),"0 | 0 | 0 | 0 | 0 | 0")</f>
        <v>0 | 0 | 0 | 0 | 0 | 0</v>
      </c>
      <c r="J117" s="51" t="str">
        <f>IFERROR(__xludf.DUMMYFUNCTION("JOIN("" | "",'Team Stats'!I$6:K$6)"),"0 | 0 | 0")</f>
        <v>0 | 0 | 0</v>
      </c>
      <c r="L117" s="42"/>
      <c r="M117" s="52"/>
      <c r="N117" s="42"/>
      <c r="O117" s="42"/>
      <c r="P117" s="42"/>
      <c r="Q117" s="52"/>
    </row>
    <row r="118">
      <c r="A118" s="33"/>
      <c r="B118" s="34">
        <v>117.0</v>
      </c>
      <c r="C118" s="34" t="str">
        <f>'Teams &amp; Draft Order'!$C$9</f>
        <v>El Nino</v>
      </c>
      <c r="D118" s="35"/>
      <c r="E118" s="36" t="str">
        <f>IFERROR(VLOOKUP($D118,PlayerDB!$F$2:$G261,2,FALSE),"")</f>
        <v/>
      </c>
      <c r="F118" s="36" t="str">
        <f>IFERROR(VLOOKUP($D118,PlayerDB!$F$2:$H261,3,FALSE),"")</f>
        <v/>
      </c>
      <c r="G118" s="37" t="str">
        <f>IFERROR(VLOOKUP($D118,PlayerDB!$F$2:$I261,4,FALSE),"")</f>
        <v/>
      </c>
      <c r="H118" s="38"/>
      <c r="I118" s="39" t="str">
        <f>IFERROR(__xludf.DUMMYFUNCTION("JOIN("" | "",'Team Stats'!C$5:H$5)"),"0 | 0 | 0 | 0 | 0 | 0")</f>
        <v>0 | 0 | 0 | 0 | 0 | 0</v>
      </c>
      <c r="J118" s="40" t="str">
        <f>IFERROR(__xludf.DUMMYFUNCTION("JOIN("" | "",'Team Stats'!I$5:K$5)"),"0 | 0 | 0")</f>
        <v>0 | 0 | 0</v>
      </c>
      <c r="L118" s="42"/>
      <c r="M118" s="52"/>
      <c r="N118" s="42"/>
      <c r="O118" s="42"/>
      <c r="P118" s="42"/>
      <c r="Q118" s="52"/>
    </row>
    <row r="119">
      <c r="A119" s="45"/>
      <c r="B119" s="46">
        <v>118.0</v>
      </c>
      <c r="C119" s="46" t="str">
        <f>'Teams &amp; Draft Order'!$C$8</f>
        <v>Icelanders</v>
      </c>
      <c r="D119" s="47"/>
      <c r="E119" s="48" t="str">
        <f>IFERROR(VLOOKUP($D119,PlayerDB!$F$2:$G261,2,FALSE),"")</f>
        <v/>
      </c>
      <c r="F119" s="48" t="str">
        <f>IFERROR(VLOOKUP($D119,PlayerDB!$F$2:$H261,3,FALSE),"")</f>
        <v/>
      </c>
      <c r="G119" s="49" t="str">
        <f>IFERROR(VLOOKUP($D119,PlayerDB!$F$2:$I261,4,FALSE),"")</f>
        <v/>
      </c>
      <c r="H119" s="38"/>
      <c r="I119" s="50" t="str">
        <f>IFERROR(__xludf.DUMMYFUNCTION("JOIN("" | "",'Team Stats'!C$4:H$4)"),"0 | 0 | 0 | 0 | 0 | 0")</f>
        <v>0 | 0 | 0 | 0 | 0 | 0</v>
      </c>
      <c r="J119" s="51" t="str">
        <f>IFERROR(__xludf.DUMMYFUNCTION("JOIN("" | "",'Team Stats'!I$4:K$4)"),"0 | 0 | 0")</f>
        <v>0 | 0 | 0</v>
      </c>
      <c r="L119" s="42"/>
      <c r="M119" s="42"/>
      <c r="N119" s="42"/>
      <c r="O119" s="42"/>
      <c r="P119" s="42"/>
      <c r="Q119" s="42"/>
    </row>
    <row r="120">
      <c r="A120" s="33"/>
      <c r="B120" s="34">
        <v>119.0</v>
      </c>
      <c r="C120" s="34" t="str">
        <f>'Teams &amp; Draft Order'!$C$7</f>
        <v>Phantasm</v>
      </c>
      <c r="D120" s="35"/>
      <c r="E120" s="36" t="str">
        <f>IFERROR(VLOOKUP($D120,PlayerDB!$F$2:$G261,2,FALSE),"")</f>
        <v/>
      </c>
      <c r="F120" s="36" t="str">
        <f>IFERROR(VLOOKUP($D120,PlayerDB!$F$2:$H261,3,FALSE),"")</f>
        <v/>
      </c>
      <c r="G120" s="37" t="str">
        <f>IFERROR(VLOOKUP($D120,PlayerDB!$F$2:$I261,4,FALSE),"")</f>
        <v/>
      </c>
      <c r="H120" s="38"/>
      <c r="I120" s="39" t="str">
        <f>IFERROR(__xludf.DUMMYFUNCTION("JOIN("" | "",'Team Stats'!C$3:H$3)"),"0 | 0 | 0 | 0 | 0 | 0")</f>
        <v>0 | 0 | 0 | 0 | 0 | 0</v>
      </c>
      <c r="J120" s="40" t="str">
        <f>IFERROR(__xludf.DUMMYFUNCTION("JOIN("" | "",'Team Stats'!I$3:K$3)"),"0 | 0 | 0")</f>
        <v>0 | 0 | 0</v>
      </c>
      <c r="L120" s="42"/>
      <c r="M120" s="42"/>
      <c r="N120" s="42"/>
      <c r="O120" s="42"/>
      <c r="P120" s="42"/>
      <c r="Q120" s="42"/>
    </row>
    <row r="121">
      <c r="A121" s="54"/>
      <c r="B121" s="55">
        <v>120.0</v>
      </c>
      <c r="C121" s="55" t="str">
        <f>'Teams &amp; Draft Order'!$C$6</f>
        <v>Sleeper Cell </v>
      </c>
      <c r="D121" s="56"/>
      <c r="E121" s="57" t="str">
        <f>IFERROR(VLOOKUP($D121,PlayerDB!$F$2:$G261,2,FALSE),"")</f>
        <v/>
      </c>
      <c r="F121" s="57" t="str">
        <f>IFERROR(VLOOKUP($D121,PlayerDB!$F$2:$H261,3,FALSE),"")</f>
        <v/>
      </c>
      <c r="G121" s="58" t="str">
        <f>IFERROR(VLOOKUP($D121,PlayerDB!$F$2:$I261,4,FALSE),"")</f>
        <v/>
      </c>
      <c r="H121" s="59"/>
      <c r="I121" s="60" t="str">
        <f>IFERROR(__xludf.DUMMYFUNCTION("JOIN("" | "",'Team Stats'!C$2:H$2)"),"1 | 0 | 0 | 0 | 0 | 0")</f>
        <v>1 | 0 | 0 | 0 | 0 | 0</v>
      </c>
      <c r="J121" s="64" t="str">
        <f>IFERROR(__xludf.DUMMYFUNCTION("JOIN("" | "",'Team Stats'!I$2:K$2)"),"0 | 0 | 0")</f>
        <v>0 | 0 | 0</v>
      </c>
      <c r="L121" s="42"/>
      <c r="M121" s="42"/>
      <c r="N121" s="42"/>
      <c r="O121" s="42"/>
      <c r="P121" s="42"/>
      <c r="Q121" s="42"/>
    </row>
    <row r="122">
      <c r="A122" s="33" t="s">
        <v>97</v>
      </c>
      <c r="B122" s="34">
        <v>121.0</v>
      </c>
      <c r="C122" s="34" t="str">
        <f>'Teams &amp; Draft Order'!$C$6</f>
        <v>Sleeper Cell </v>
      </c>
      <c r="D122" s="35"/>
      <c r="E122" s="36" t="str">
        <f>IFERROR(VLOOKUP($D122,PlayerDB!$F$2:$G261,2,FALSE),"")</f>
        <v/>
      </c>
      <c r="F122" s="36" t="str">
        <f>IFERROR(VLOOKUP($D122,PlayerDB!$F$2:$H261,3,FALSE),"")</f>
        <v/>
      </c>
      <c r="G122" s="37" t="str">
        <f>IFERROR(VLOOKUP($D122,PlayerDB!$F$2:$I261,4,FALSE),"")</f>
        <v/>
      </c>
      <c r="H122" s="38"/>
      <c r="I122" s="39" t="str">
        <f>IFERROR(__xludf.DUMMYFUNCTION("JOIN("" | "",'Team Stats'!C$2:H$2)"),"1 | 0 | 0 | 0 | 0 | 0")</f>
        <v>1 | 0 | 0 | 0 | 0 | 0</v>
      </c>
      <c r="J122" s="40" t="str">
        <f>IFERROR(__xludf.DUMMYFUNCTION("JOIN("" | "",'Team Stats'!I$2:K$2)"),"0 | 0 | 0")</f>
        <v>0 | 0 | 0</v>
      </c>
      <c r="L122" s="71"/>
      <c r="M122" s="44"/>
      <c r="N122" s="42"/>
      <c r="O122" s="42"/>
      <c r="P122" s="71"/>
      <c r="Q122" s="44"/>
    </row>
    <row r="123">
      <c r="A123" s="45"/>
      <c r="B123" s="46">
        <v>122.0</v>
      </c>
      <c r="C123" s="46" t="str">
        <f>'Teams &amp; Draft Order'!$C$7</f>
        <v>Phantasm</v>
      </c>
      <c r="D123" s="47"/>
      <c r="E123" s="48" t="str">
        <f>IFERROR(VLOOKUP($D123,PlayerDB!$F$2:$G261,2,FALSE),"")</f>
        <v/>
      </c>
      <c r="F123" s="48" t="str">
        <f>IFERROR(VLOOKUP($D123,PlayerDB!$F$2:$H261,3,FALSE),"")</f>
        <v/>
      </c>
      <c r="G123" s="49" t="str">
        <f>IFERROR(VLOOKUP($D123,PlayerDB!$F$2:$I261,4,FALSE),"")</f>
        <v/>
      </c>
      <c r="H123" s="38"/>
      <c r="I123" s="50" t="str">
        <f>IFERROR(__xludf.DUMMYFUNCTION("JOIN("" | "",'Team Stats'!C$3:H$3)"),"0 | 0 | 0 | 0 | 0 | 0")</f>
        <v>0 | 0 | 0 | 0 | 0 | 0</v>
      </c>
      <c r="J123" s="51" t="str">
        <f>IFERROR(__xludf.DUMMYFUNCTION("JOIN("" | "",'Team Stats'!I$3:K$3)"),"0 | 0 | 0")</f>
        <v>0 | 0 | 0</v>
      </c>
      <c r="L123" s="42"/>
      <c r="M123" s="52"/>
      <c r="N123" s="42"/>
      <c r="O123" s="42"/>
      <c r="P123" s="42"/>
      <c r="Q123" s="52"/>
    </row>
    <row r="124">
      <c r="A124" s="33"/>
      <c r="B124" s="34">
        <v>123.0</v>
      </c>
      <c r="C124" s="34" t="str">
        <f>'Teams &amp; Draft Order'!$C$8</f>
        <v>Icelanders</v>
      </c>
      <c r="D124" s="35"/>
      <c r="E124" s="36" t="str">
        <f>IFERROR(VLOOKUP($D124,PlayerDB!$F$2:$G261,2,FALSE),"")</f>
        <v/>
      </c>
      <c r="F124" s="36" t="str">
        <f>IFERROR(VLOOKUP($D124,PlayerDB!$F$2:$H261,3,FALSE),"")</f>
        <v/>
      </c>
      <c r="G124" s="37" t="str">
        <f>IFERROR(VLOOKUP($D124,PlayerDB!$F$2:$I261,4,FALSE),"")</f>
        <v/>
      </c>
      <c r="H124" s="38"/>
      <c r="I124" s="39" t="str">
        <f>IFERROR(__xludf.DUMMYFUNCTION("JOIN("" | "",'Team Stats'!C$4:H$4)"),"0 | 0 | 0 | 0 | 0 | 0")</f>
        <v>0 | 0 | 0 | 0 | 0 | 0</v>
      </c>
      <c r="J124" s="40" t="str">
        <f>IFERROR(__xludf.DUMMYFUNCTION("JOIN("" | "",'Team Stats'!I$4:K$4)"),"0 | 0 | 0")</f>
        <v>0 | 0 | 0</v>
      </c>
      <c r="L124" s="42"/>
      <c r="M124" s="52"/>
      <c r="N124" s="42"/>
      <c r="O124" s="42"/>
      <c r="P124" s="42"/>
      <c r="Q124" s="52"/>
    </row>
    <row r="125">
      <c r="A125" s="45"/>
      <c r="B125" s="46">
        <v>124.0</v>
      </c>
      <c r="C125" s="46" t="str">
        <f>'Teams &amp; Draft Order'!$C$9</f>
        <v>El Nino</v>
      </c>
      <c r="D125" s="47"/>
      <c r="E125" s="48" t="str">
        <f>IFERROR(VLOOKUP($D125,PlayerDB!$F$2:$G261,2,FALSE),"")</f>
        <v/>
      </c>
      <c r="F125" s="48" t="str">
        <f>IFERROR(VLOOKUP($D125,PlayerDB!$F$2:$H261,3,FALSE),"")</f>
        <v/>
      </c>
      <c r="G125" s="49" t="str">
        <f>IFERROR(VLOOKUP($D125,PlayerDB!$F$2:$I261,4,FALSE),"")</f>
        <v/>
      </c>
      <c r="H125" s="38"/>
      <c r="I125" s="50" t="str">
        <f>IFERROR(__xludf.DUMMYFUNCTION("JOIN("" | "",'Team Stats'!C$5:H$5)"),"0 | 0 | 0 | 0 | 0 | 0")</f>
        <v>0 | 0 | 0 | 0 | 0 | 0</v>
      </c>
      <c r="J125" s="51" t="str">
        <f>IFERROR(__xludf.DUMMYFUNCTION("JOIN("" | "",'Team Stats'!I$5:K$5)"),"0 | 0 | 0")</f>
        <v>0 | 0 | 0</v>
      </c>
      <c r="L125" s="42"/>
      <c r="M125" s="52"/>
      <c r="N125" s="42"/>
      <c r="O125" s="42"/>
      <c r="P125" s="42"/>
      <c r="Q125" s="52"/>
    </row>
    <row r="126">
      <c r="A126" s="33"/>
      <c r="B126" s="34">
        <v>125.0</v>
      </c>
      <c r="C126" s="34" t="str">
        <f>'Teams &amp; Draft Order'!$C$10</f>
        <v>Buttheads</v>
      </c>
      <c r="D126" s="35"/>
      <c r="E126" s="36" t="str">
        <f>IFERROR(VLOOKUP($D126,PlayerDB!$F$2:$G261,2,FALSE),"")</f>
        <v/>
      </c>
      <c r="F126" s="36" t="str">
        <f>IFERROR(VLOOKUP($D126,PlayerDB!$F$2:$H261,3,FALSE),"")</f>
        <v/>
      </c>
      <c r="G126" s="37" t="str">
        <f>IFERROR(VLOOKUP($D126,PlayerDB!$F$2:$I261,4,FALSE),"")</f>
        <v/>
      </c>
      <c r="H126" s="38"/>
      <c r="I126" s="39" t="str">
        <f>IFERROR(__xludf.DUMMYFUNCTION("JOIN("" | "",'Team Stats'!C$6:H$6)"),"0 | 0 | 0 | 0 | 0 | 0")</f>
        <v>0 | 0 | 0 | 0 | 0 | 0</v>
      </c>
      <c r="J126" s="40" t="str">
        <f>IFERROR(__xludf.DUMMYFUNCTION("JOIN("" | "",'Team Stats'!I$6:K$6)"),"0 | 0 | 0")</f>
        <v>0 | 0 | 0</v>
      </c>
      <c r="L126" s="42"/>
      <c r="M126" s="52"/>
      <c r="N126" s="42"/>
      <c r="O126" s="42"/>
      <c r="P126" s="42"/>
      <c r="Q126" s="52"/>
    </row>
    <row r="127">
      <c r="A127" s="45"/>
      <c r="B127" s="46">
        <v>126.0</v>
      </c>
      <c r="C127" s="46" t="str">
        <f>'Teams &amp; Draft Order'!$C$11</f>
        <v>Big Boys Big Work</v>
      </c>
      <c r="D127" s="47"/>
      <c r="E127" s="48" t="str">
        <f>IFERROR(VLOOKUP($D127,PlayerDB!$F$2:$G261,2,FALSE),"")</f>
        <v/>
      </c>
      <c r="F127" s="48" t="str">
        <f>IFERROR(VLOOKUP($D127,PlayerDB!$F$2:$H261,3,FALSE),"")</f>
        <v/>
      </c>
      <c r="G127" s="49" t="str">
        <f>IFERROR(VLOOKUP($D127,PlayerDB!$F$2:$I261,4,FALSE),"")</f>
        <v/>
      </c>
      <c r="H127" s="38"/>
      <c r="I127" s="50" t="str">
        <f>IFERROR(__xludf.DUMMYFUNCTION("JOIN("" | "",'Team Stats'!C$7:H$7)"),"0 | 0 | 0 | 0 | 0 | 0")</f>
        <v>0 | 0 | 0 | 0 | 0 | 0</v>
      </c>
      <c r="J127" s="51" t="str">
        <f>IFERROR(__xludf.DUMMYFUNCTION("JOIN("" | "",'Team Stats'!I$7:K$7)"),"0 | 0 | 0")</f>
        <v>0 | 0 | 0</v>
      </c>
      <c r="L127" s="42"/>
      <c r="M127" s="52"/>
      <c r="N127" s="42"/>
      <c r="O127" s="42"/>
      <c r="P127" s="42"/>
      <c r="Q127" s="52"/>
    </row>
    <row r="128">
      <c r="A128" s="33"/>
      <c r="B128" s="34">
        <v>127.0</v>
      </c>
      <c r="C128" s="34" t="str">
        <f>'Teams &amp; Draft Order'!$C$12</f>
        <v>Turbo-Ginz</v>
      </c>
      <c r="D128" s="35"/>
      <c r="E128" s="36" t="str">
        <f>IFERROR(VLOOKUP($D128,PlayerDB!$F$2:$G261,2,FALSE),"")</f>
        <v/>
      </c>
      <c r="F128" s="36" t="str">
        <f>IFERROR(VLOOKUP($D128,PlayerDB!$F$2:$H261,3,FALSE),"")</f>
        <v/>
      </c>
      <c r="G128" s="37" t="str">
        <f>IFERROR(VLOOKUP($D128,PlayerDB!$F$2:$I261,4,FALSE),"")</f>
        <v/>
      </c>
      <c r="H128" s="38"/>
      <c r="I128" s="39" t="str">
        <f>IFERROR(__xludf.DUMMYFUNCTION("JOIN("" | "",'Team Stats'!C$8:H$8)"),"0 | 0 | 0 | 0 | 0 | 0")</f>
        <v>0 | 0 | 0 | 0 | 0 | 0</v>
      </c>
      <c r="J128" s="40" t="str">
        <f>IFERROR(__xludf.DUMMYFUNCTION("JOIN("" | "",'Team Stats'!I$8:K$8)"),"0 | 0 | 0")</f>
        <v>0 | 0 | 0</v>
      </c>
      <c r="L128" s="42"/>
      <c r="M128" s="52"/>
      <c r="N128" s="42"/>
      <c r="O128" s="42"/>
      <c r="P128" s="42"/>
      <c r="Q128" s="52"/>
    </row>
    <row r="129">
      <c r="A129" s="45"/>
      <c r="B129" s="46">
        <v>128.0</v>
      </c>
      <c r="C129" s="46" t="str">
        <f>'Teams &amp; Draft Order'!$C$13</f>
        <v>Luddite</v>
      </c>
      <c r="D129" s="47"/>
      <c r="E129" s="48" t="str">
        <f>IFERROR(VLOOKUP($D129,PlayerDB!$F$2:$G261,2,FALSE),"")</f>
        <v/>
      </c>
      <c r="F129" s="48" t="str">
        <f>IFERROR(VLOOKUP($D129,PlayerDB!$F$2:$H261,3,FALSE),"")</f>
        <v/>
      </c>
      <c r="G129" s="49" t="str">
        <f>IFERROR(VLOOKUP($D129,PlayerDB!$F$2:$I261,4,FALSE),"")</f>
        <v/>
      </c>
      <c r="H129" s="38"/>
      <c r="I129" s="50" t="str">
        <f>IFERROR(__xludf.DUMMYFUNCTION("JOIN("" | "",'Team Stats'!C$9:H$9)"),"0 | 0 | 0 | 0 | 0 | 0")</f>
        <v>0 | 0 | 0 | 0 | 0 | 0</v>
      </c>
      <c r="J129" s="51" t="str">
        <f>IFERROR(__xludf.DUMMYFUNCTION("JOIN("" | "",'Team Stats'!I$9:K$9)"),"0 | 0 | 0")</f>
        <v>0 | 0 | 0</v>
      </c>
      <c r="L129" s="42"/>
      <c r="M129" s="52"/>
      <c r="N129" s="42"/>
      <c r="O129" s="42"/>
      <c r="P129" s="42"/>
      <c r="Q129" s="52"/>
    </row>
    <row r="130">
      <c r="A130" s="33"/>
      <c r="B130" s="34">
        <v>129.0</v>
      </c>
      <c r="C130" s="34" t="str">
        <f>'Teams &amp; Draft Order'!$C$14</f>
        <v>Achaians</v>
      </c>
      <c r="D130" s="35"/>
      <c r="E130" s="36" t="str">
        <f>IFERROR(VLOOKUP($D130,PlayerDB!$F$2:$G261,2,FALSE),"")</f>
        <v/>
      </c>
      <c r="F130" s="36" t="str">
        <f>IFERROR(VLOOKUP($D130,PlayerDB!$F$2:$H261,3,FALSE),"")</f>
        <v/>
      </c>
      <c r="G130" s="37" t="str">
        <f>IFERROR(VLOOKUP($D130,PlayerDB!$F$2:$I261,4,FALSE),"")</f>
        <v/>
      </c>
      <c r="H130" s="38"/>
      <c r="I130" s="39" t="str">
        <f>IFERROR(__xludf.DUMMYFUNCTION("JOIN("" | "",'Team Stats'!C$10:H$10)"),"0 | 0 | 0 | 0 | 0 | 0")</f>
        <v>0 | 0 | 0 | 0 | 0 | 0</v>
      </c>
      <c r="J130" s="40" t="str">
        <f>IFERROR(__xludf.DUMMYFUNCTION("JOIN("" | "",'Team Stats'!I$10:K$10)"),"0 | 0 | 0")</f>
        <v>0 | 0 | 0</v>
      </c>
      <c r="L130" s="42"/>
      <c r="M130" s="52"/>
      <c r="N130" s="42"/>
      <c r="O130" s="42"/>
      <c r="P130" s="42"/>
      <c r="Q130" s="52"/>
    </row>
    <row r="131">
      <c r="A131" s="54"/>
      <c r="B131" s="55">
        <v>130.0</v>
      </c>
      <c r="C131" s="55" t="str">
        <f>'Teams &amp; Draft Order'!$C$15</f>
        <v>Daddy's Dogs</v>
      </c>
      <c r="D131" s="56"/>
      <c r="E131" s="57" t="str">
        <f>IFERROR(VLOOKUP($D131,PlayerDB!$F$2:$G261,2,FALSE),"")</f>
        <v/>
      </c>
      <c r="F131" s="57" t="str">
        <f>IFERROR(VLOOKUP($D131,PlayerDB!$F$2:$H261,3,FALSE),"")</f>
        <v/>
      </c>
      <c r="G131" s="58" t="str">
        <f>IFERROR(VLOOKUP($D131,PlayerDB!$F$2:$I261,4,FALSE),"")</f>
        <v/>
      </c>
      <c r="H131" s="59"/>
      <c r="I131" s="60" t="str">
        <f>IFERROR(__xludf.DUMMYFUNCTION("JOIN("" | "",'Team Stats'!C$11:H$11)"),"0 | 0 | 0 | 0 | 0 | 0")</f>
        <v>0 | 0 | 0 | 0 | 0 | 0</v>
      </c>
      <c r="J131" s="51" t="str">
        <f>IFERROR(__xludf.DUMMYFUNCTION("JOIN("" | "",'Team Stats'!I$11:K$11)"),"0 | 0 | 0")</f>
        <v>0 | 0 | 0</v>
      </c>
      <c r="L131" s="42"/>
      <c r="M131" s="52"/>
      <c r="N131" s="42"/>
      <c r="O131" s="42"/>
      <c r="P131" s="42"/>
      <c r="Q131" s="52"/>
    </row>
    <row r="132">
      <c r="A132" s="72" t="s">
        <v>98</v>
      </c>
      <c r="B132" s="34">
        <v>131.0</v>
      </c>
      <c r="C132" s="73" t="str">
        <f>'Teams &amp; Draft Order'!$C$15</f>
        <v>Daddy's Dogs</v>
      </c>
      <c r="D132" s="74"/>
      <c r="E132" s="36" t="str">
        <f>IFERROR(VLOOKUP($D132,PlayerDB!$F$2:$G261,2,FALSE),"")</f>
        <v/>
      </c>
      <c r="F132" s="36" t="str">
        <f>IFERROR(VLOOKUP($D132,PlayerDB!$F$2:$H261,3,FALSE),"")</f>
        <v/>
      </c>
      <c r="G132" s="37" t="str">
        <f>IFERROR(VLOOKUP($D132,PlayerDB!$F$2:$I261,4,FALSE),"")</f>
        <v/>
      </c>
      <c r="H132" s="75"/>
      <c r="I132" s="76" t="str">
        <f>IFERROR(__xludf.DUMMYFUNCTION("JOIN("" | "",'Team Stats'!C$11:H$11)"),"0 | 0 | 0 | 0 | 0 | 0")</f>
        <v>0 | 0 | 0 | 0 | 0 | 0</v>
      </c>
      <c r="J132" s="40" t="str">
        <f>IFERROR(__xludf.DUMMYFUNCTION("JOIN("" | "",#REF!)"),"#REF!")</f>
        <v>#REF!</v>
      </c>
      <c r="L132" s="42"/>
      <c r="M132" s="52"/>
      <c r="N132" s="42"/>
      <c r="O132" s="42"/>
      <c r="P132" s="42"/>
      <c r="Q132" s="52"/>
    </row>
    <row r="133">
      <c r="A133" s="45"/>
      <c r="B133" s="46">
        <v>132.0</v>
      </c>
      <c r="C133" s="46" t="str">
        <f>'Teams &amp; Draft Order'!$C$14</f>
        <v>Achaians</v>
      </c>
      <c r="D133" s="47"/>
      <c r="E133" s="48" t="str">
        <f>IFERROR(VLOOKUP($D133,PlayerDB!$F$2:$G261,2,FALSE),"")</f>
        <v/>
      </c>
      <c r="F133" s="48" t="str">
        <f>IFERROR(VLOOKUP($D133,PlayerDB!$F$2:$H261,3,FALSE),"")</f>
        <v/>
      </c>
      <c r="G133" s="49" t="str">
        <f>IFERROR(VLOOKUP($D133,PlayerDB!$F$2:$I261,4,FALSE),"")</f>
        <v/>
      </c>
      <c r="H133" s="38"/>
      <c r="I133" s="50" t="str">
        <f>IFERROR(__xludf.DUMMYFUNCTION("JOIN("" | "",'Team Stats'!C$10:H$10)"),"0 | 0 | 0 | 0 | 0 | 0")</f>
        <v>0 | 0 | 0 | 0 | 0 | 0</v>
      </c>
      <c r="J133" s="51" t="str">
        <f>IFERROR(__xludf.DUMMYFUNCTION("JOIN("" | "",#REF!)"),"#REF!")</f>
        <v>#REF!</v>
      </c>
      <c r="L133" s="42"/>
      <c r="M133" s="52"/>
      <c r="N133" s="42"/>
      <c r="O133" s="42"/>
      <c r="P133" s="42"/>
      <c r="Q133" s="52"/>
    </row>
    <row r="134">
      <c r="A134" s="33"/>
      <c r="B134" s="34">
        <v>133.0</v>
      </c>
      <c r="C134" s="34" t="str">
        <f>'Teams &amp; Draft Order'!$C$13</f>
        <v>Luddite</v>
      </c>
      <c r="D134" s="35"/>
      <c r="E134" s="36" t="str">
        <f>IFERROR(VLOOKUP($D134,PlayerDB!$F$2:$G261,2,FALSE),"")</f>
        <v/>
      </c>
      <c r="F134" s="36" t="str">
        <f>IFERROR(VLOOKUP($D134,PlayerDB!$F$2:$H261,3,FALSE),"")</f>
        <v/>
      </c>
      <c r="G134" s="37" t="str">
        <f>IFERROR(VLOOKUP($D134,PlayerDB!$F$2:$I261,4,FALSE),"")</f>
        <v/>
      </c>
      <c r="H134" s="38"/>
      <c r="I134" s="39" t="str">
        <f>IFERROR(__xludf.DUMMYFUNCTION("JOIN("" | "",'Team Stats'!C$9:H$9)"),"0 | 0 | 0 | 0 | 0 | 0")</f>
        <v>0 | 0 | 0 | 0 | 0 | 0</v>
      </c>
      <c r="J134" s="62" t="str">
        <f>IFERROR(__xludf.DUMMYFUNCTION("JOIN("" | "",#REF!)"),"#REF!")</f>
        <v>#REF!</v>
      </c>
      <c r="L134" s="42"/>
      <c r="M134" s="52"/>
      <c r="N134" s="42"/>
      <c r="O134" s="42"/>
      <c r="P134" s="42"/>
      <c r="Q134" s="52"/>
    </row>
    <row r="135">
      <c r="A135" s="45"/>
      <c r="B135" s="46">
        <v>134.0</v>
      </c>
      <c r="C135" s="46" t="str">
        <f>'Teams &amp; Draft Order'!$C$12</f>
        <v>Turbo-Ginz</v>
      </c>
      <c r="D135" s="47"/>
      <c r="E135" s="48" t="str">
        <f>IFERROR(VLOOKUP($D135,PlayerDB!$F$2:$G261,2,FALSE),"")</f>
        <v/>
      </c>
      <c r="F135" s="48" t="str">
        <f>IFERROR(VLOOKUP($D135,PlayerDB!$F$2:$H261,3,FALSE),"")</f>
        <v/>
      </c>
      <c r="G135" s="49" t="str">
        <f>IFERROR(VLOOKUP($D135,PlayerDB!$F$2:$I261,4,FALSE),"")</f>
        <v/>
      </c>
      <c r="H135" s="38"/>
      <c r="I135" s="50" t="str">
        <f>IFERROR(__xludf.DUMMYFUNCTION("JOIN("" | "",'Team Stats'!C$8:H$8)"),"0 | 0 | 0 | 0 | 0 | 0")</f>
        <v>0 | 0 | 0 | 0 | 0 | 0</v>
      </c>
      <c r="J135" s="51" t="str">
        <f>IFERROR(__xludf.DUMMYFUNCTION("JOIN("" | "",#REF!)"),"#REF!")</f>
        <v>#REF!</v>
      </c>
      <c r="L135" s="42"/>
      <c r="M135" s="52"/>
      <c r="N135" s="42"/>
      <c r="O135" s="42"/>
      <c r="P135" s="42"/>
      <c r="Q135" s="52"/>
    </row>
    <row r="136">
      <c r="A136" s="33"/>
      <c r="B136" s="34">
        <v>135.0</v>
      </c>
      <c r="C136" s="34" t="str">
        <f>'Teams &amp; Draft Order'!$C$11</f>
        <v>Big Boys Big Work</v>
      </c>
      <c r="D136" s="35"/>
      <c r="E136" s="36" t="str">
        <f>IFERROR(VLOOKUP($D136,PlayerDB!$F$2:$G261,2,FALSE),"")</f>
        <v/>
      </c>
      <c r="F136" s="36" t="str">
        <f>IFERROR(VLOOKUP($D136,PlayerDB!$F$2:$H261,3,FALSE),"")</f>
        <v/>
      </c>
      <c r="G136" s="37" t="str">
        <f>IFERROR(VLOOKUP($D136,PlayerDB!$F$2:$I261,4,FALSE),"")</f>
        <v/>
      </c>
      <c r="H136" s="38"/>
      <c r="I136" s="39" t="str">
        <f>IFERROR(__xludf.DUMMYFUNCTION("JOIN("" | "",'Team Stats'!C$7:H$7)"),"0 | 0 | 0 | 0 | 0 | 0")</f>
        <v>0 | 0 | 0 | 0 | 0 | 0</v>
      </c>
      <c r="J136" s="40" t="str">
        <f>IFERROR(__xludf.DUMMYFUNCTION("JOIN("" | "",'Team Stats'!I$11:K$11)"),"0 | 0 | 0")</f>
        <v>0 | 0 | 0</v>
      </c>
      <c r="L136" s="42"/>
      <c r="M136" s="52"/>
      <c r="N136" s="42"/>
      <c r="O136" s="42"/>
      <c r="P136" s="42"/>
      <c r="Q136" s="52"/>
    </row>
    <row r="137">
      <c r="A137" s="45"/>
      <c r="B137" s="46">
        <v>136.0</v>
      </c>
      <c r="C137" s="46" t="str">
        <f>'Teams &amp; Draft Order'!$C$10</f>
        <v>Buttheads</v>
      </c>
      <c r="D137" s="47"/>
      <c r="E137" s="48" t="str">
        <f>IFERROR(VLOOKUP($D137,PlayerDB!$F$2:$G261,2,FALSE),"")</f>
        <v/>
      </c>
      <c r="F137" s="48" t="str">
        <f>IFERROR(VLOOKUP($D137,PlayerDB!$F$2:$H261,3,FALSE),"")</f>
        <v/>
      </c>
      <c r="G137" s="49" t="str">
        <f>IFERROR(VLOOKUP($D137,PlayerDB!$F$2:$I261,4,FALSE),"")</f>
        <v/>
      </c>
      <c r="H137" s="38"/>
      <c r="I137" s="50" t="str">
        <f>IFERROR(__xludf.DUMMYFUNCTION("JOIN("" | "",'Team Stats'!C$6:H$6)"),"0 | 0 | 0 | 0 | 0 | 0")</f>
        <v>0 | 0 | 0 | 0 | 0 | 0</v>
      </c>
      <c r="J137" s="51" t="str">
        <f>IFERROR(__xludf.DUMMYFUNCTION("JOIN("" | "",'Team Stats'!I$10:K$10)"),"0 | 0 | 0")</f>
        <v>0 | 0 | 0</v>
      </c>
      <c r="L137" s="42"/>
      <c r="M137" s="52"/>
      <c r="N137" s="42"/>
      <c r="O137" s="42"/>
      <c r="P137" s="42"/>
      <c r="Q137" s="52"/>
    </row>
    <row r="138">
      <c r="A138" s="33"/>
      <c r="B138" s="34">
        <v>137.0</v>
      </c>
      <c r="C138" s="34" t="str">
        <f>'Teams &amp; Draft Order'!$C$9</f>
        <v>El Nino</v>
      </c>
      <c r="D138" s="35"/>
      <c r="E138" s="36" t="str">
        <f>IFERROR(VLOOKUP($D138,PlayerDB!$F$2:$G261,2,FALSE),"")</f>
        <v/>
      </c>
      <c r="F138" s="36" t="str">
        <f>IFERROR(VLOOKUP($D138,PlayerDB!$F$2:$H261,3,FALSE),"")</f>
        <v/>
      </c>
      <c r="G138" s="37" t="str">
        <f>IFERROR(VLOOKUP($D138,PlayerDB!$F$2:$I261,4,FALSE),"")</f>
        <v/>
      </c>
      <c r="H138" s="38"/>
      <c r="I138" s="39" t="str">
        <f>IFERROR(__xludf.DUMMYFUNCTION("JOIN("" | "",'Team Stats'!C$5:H$5)"),"0 | 0 | 0 | 0 | 0 | 0")</f>
        <v>0 | 0 | 0 | 0 | 0 | 0</v>
      </c>
      <c r="J138" s="40" t="str">
        <f>IFERROR(__xludf.DUMMYFUNCTION("JOIN("" | "",'Team Stats'!I$9:K$9)"),"0 | 0 | 0")</f>
        <v>0 | 0 | 0</v>
      </c>
      <c r="L138" s="42"/>
      <c r="M138" s="52"/>
      <c r="N138" s="42"/>
      <c r="O138" s="42"/>
      <c r="P138" s="42"/>
      <c r="Q138" s="52"/>
    </row>
    <row r="139">
      <c r="A139" s="45"/>
      <c r="B139" s="46">
        <v>138.0</v>
      </c>
      <c r="C139" s="46" t="str">
        <f>'Teams &amp; Draft Order'!$C$8</f>
        <v>Icelanders</v>
      </c>
      <c r="D139" s="47"/>
      <c r="E139" s="48" t="str">
        <f>IFERROR(VLOOKUP($D139,PlayerDB!$F$2:$G261,2,FALSE),"")</f>
        <v/>
      </c>
      <c r="F139" s="48" t="str">
        <f>IFERROR(VLOOKUP($D139,PlayerDB!$F$2:$H261,3,FALSE),"")</f>
        <v/>
      </c>
      <c r="G139" s="49" t="str">
        <f>IFERROR(VLOOKUP($D139,PlayerDB!$F$2:$I261,4,FALSE),"")</f>
        <v/>
      </c>
      <c r="H139" s="38"/>
      <c r="I139" s="50" t="str">
        <f>IFERROR(__xludf.DUMMYFUNCTION("JOIN("" | "",'Team Stats'!C$4:H$4)"),"0 | 0 | 0 | 0 | 0 | 0")</f>
        <v>0 | 0 | 0 | 0 | 0 | 0</v>
      </c>
      <c r="J139" s="51" t="str">
        <f>IFERROR(__xludf.DUMMYFUNCTION("JOIN("" | "",'Team Stats'!I$8:K$8)"),"0 | 0 | 0")</f>
        <v>0 | 0 | 0</v>
      </c>
      <c r="L139" s="42"/>
      <c r="M139" s="52"/>
      <c r="N139" s="42"/>
      <c r="O139" s="42"/>
      <c r="P139" s="42"/>
      <c r="Q139" s="52"/>
    </row>
    <row r="140">
      <c r="A140" s="33"/>
      <c r="B140" s="34">
        <v>139.0</v>
      </c>
      <c r="C140" s="34" t="str">
        <f>'Teams &amp; Draft Order'!$C$7</f>
        <v>Phantasm</v>
      </c>
      <c r="D140" s="35"/>
      <c r="E140" s="36" t="str">
        <f>IFERROR(VLOOKUP($D140,PlayerDB!$F$2:$G261,2,FALSE),"")</f>
        <v/>
      </c>
      <c r="F140" s="36" t="str">
        <f>IFERROR(VLOOKUP($D140,PlayerDB!$F$2:$H261,3,FALSE),"")</f>
        <v/>
      </c>
      <c r="G140" s="37" t="str">
        <f>IFERROR(VLOOKUP($D140,PlayerDB!$F$2:$I261,4,FALSE),"")</f>
        <v/>
      </c>
      <c r="H140" s="38"/>
      <c r="I140" s="39" t="str">
        <f>IFERROR(__xludf.DUMMYFUNCTION("JOIN("" | "",'Team Stats'!C$3:H$3)"),"0 | 0 | 0 | 0 | 0 | 0")</f>
        <v>0 | 0 | 0 | 0 | 0 | 0</v>
      </c>
      <c r="J140" s="40" t="str">
        <f>IFERROR(__xludf.DUMMYFUNCTION("JOIN("" | "",'Team Stats'!I$7:K$7)"),"0 | 0 | 0")</f>
        <v>0 | 0 | 0</v>
      </c>
      <c r="L140" s="42"/>
      <c r="M140" s="52"/>
      <c r="N140" s="42"/>
      <c r="O140" s="42"/>
      <c r="P140" s="42"/>
      <c r="Q140" s="52"/>
    </row>
    <row r="141">
      <c r="A141" s="54"/>
      <c r="B141" s="55">
        <v>140.0</v>
      </c>
      <c r="C141" s="55" t="str">
        <f>'Teams &amp; Draft Order'!$C$6</f>
        <v>Sleeper Cell </v>
      </c>
      <c r="D141" s="56"/>
      <c r="E141" s="57" t="str">
        <f>IFERROR(VLOOKUP($D141,PlayerDB!$F$2:$G261,2,FALSE),"")</f>
        <v/>
      </c>
      <c r="F141" s="57" t="str">
        <f>IFERROR(VLOOKUP($D141,PlayerDB!$F$2:$H261,3,FALSE),"")</f>
        <v/>
      </c>
      <c r="G141" s="58" t="str">
        <f>IFERROR(VLOOKUP($D141,PlayerDB!$F$2:$I261,4,FALSE),"")</f>
        <v/>
      </c>
      <c r="H141" s="59"/>
      <c r="I141" s="60" t="str">
        <f>IFERROR(__xludf.DUMMYFUNCTION("JOIN("" | "",'Team Stats'!C$2:H$2)"),"1 | 0 | 0 | 0 | 0 | 0")</f>
        <v>1 | 0 | 0 | 0 | 0 | 0</v>
      </c>
      <c r="J141" s="51" t="str">
        <f>IFERROR(__xludf.DUMMYFUNCTION("JOIN("" | "",'Team Stats'!I$6:K$6)"),"0 | 0 | 0")</f>
        <v>0 | 0 | 0</v>
      </c>
      <c r="L141" s="42"/>
      <c r="M141" s="52"/>
      <c r="N141" s="42"/>
      <c r="O141" s="42"/>
      <c r="P141" s="42"/>
      <c r="Q141" s="52"/>
    </row>
    <row r="142">
      <c r="A142" s="33" t="s">
        <v>99</v>
      </c>
      <c r="B142" s="34">
        <v>141.0</v>
      </c>
      <c r="C142" s="34" t="str">
        <f>'Teams &amp; Draft Order'!$C$6</f>
        <v>Sleeper Cell </v>
      </c>
      <c r="D142" s="35"/>
      <c r="E142" s="36" t="str">
        <f>IFERROR(VLOOKUP($D142,PlayerDB!$F$2:$G261,2,FALSE),"")</f>
        <v/>
      </c>
      <c r="F142" s="36" t="str">
        <f>IFERROR(VLOOKUP($D142,PlayerDB!$F$2:$H261,3,FALSE),"")</f>
        <v/>
      </c>
      <c r="G142" s="37" t="str">
        <f>IFERROR(VLOOKUP($D142,PlayerDB!$F$2:$I261,4,FALSE),"")</f>
        <v/>
      </c>
      <c r="H142" s="38"/>
      <c r="I142" s="39" t="str">
        <f>IFERROR(__xludf.DUMMYFUNCTION("JOIN("" | "",'Team Stats'!C$2:H$2)"),"1 | 0 | 0 | 0 | 0 | 0")</f>
        <v>1 | 0 | 0 | 0 | 0 | 0</v>
      </c>
      <c r="J142" s="40" t="str">
        <f>IFERROR(__xludf.DUMMYFUNCTION("JOIN("" | "",'Team Stats'!I$5:K$5)"),"0 | 0 | 0")</f>
        <v>0 | 0 | 0</v>
      </c>
      <c r="L142" s="42"/>
      <c r="M142" s="52"/>
      <c r="N142" s="42"/>
      <c r="O142" s="42"/>
      <c r="P142" s="42"/>
      <c r="Q142" s="52"/>
    </row>
    <row r="143">
      <c r="A143" s="45"/>
      <c r="B143" s="46">
        <v>142.0</v>
      </c>
      <c r="C143" s="46" t="str">
        <f>'Teams &amp; Draft Order'!$C$7</f>
        <v>Phantasm</v>
      </c>
      <c r="D143" s="47"/>
      <c r="E143" s="48" t="str">
        <f>IFERROR(VLOOKUP($D143,PlayerDB!$F$2:$G261,2,FALSE),"")</f>
        <v/>
      </c>
      <c r="F143" s="48" t="str">
        <f>IFERROR(VLOOKUP($D143,PlayerDB!$F$2:$H261,3,FALSE),"")</f>
        <v/>
      </c>
      <c r="G143" s="49" t="str">
        <f>IFERROR(VLOOKUP($D143,PlayerDB!$F$2:$I261,4,FALSE),"")</f>
        <v/>
      </c>
      <c r="H143" s="38"/>
      <c r="I143" s="50" t="str">
        <f>IFERROR(__xludf.DUMMYFUNCTION("JOIN("" | "",'Team Stats'!C$3:H$3)"),"0 | 0 | 0 | 0 | 0 | 0")</f>
        <v>0 | 0 | 0 | 0 | 0 | 0</v>
      </c>
      <c r="J143" s="51" t="str">
        <f>IFERROR(__xludf.DUMMYFUNCTION("JOIN("" | "",'Team Stats'!I$4:K$4)"),"0 | 0 | 0")</f>
        <v>0 | 0 | 0</v>
      </c>
      <c r="L143" s="42"/>
      <c r="M143" s="42"/>
      <c r="N143" s="42"/>
      <c r="O143" s="42"/>
      <c r="P143" s="42"/>
      <c r="Q143" s="42"/>
    </row>
    <row r="144">
      <c r="A144" s="33"/>
      <c r="B144" s="34">
        <v>143.0</v>
      </c>
      <c r="C144" s="34" t="str">
        <f>'Teams &amp; Draft Order'!$C$8</f>
        <v>Icelanders</v>
      </c>
      <c r="D144" s="35"/>
      <c r="E144" s="36" t="str">
        <f>IFERROR(VLOOKUP($D144,PlayerDB!$F$2:$G261,2,FALSE),"")</f>
        <v/>
      </c>
      <c r="F144" s="36" t="str">
        <f>IFERROR(VLOOKUP($D144,PlayerDB!$F$2:$H261,3,FALSE),"")</f>
        <v/>
      </c>
      <c r="G144" s="37" t="str">
        <f>IFERROR(VLOOKUP($D144,PlayerDB!$F$2:$I261,4,FALSE),"")</f>
        <v/>
      </c>
      <c r="H144" s="38"/>
      <c r="I144" s="39" t="str">
        <f>IFERROR(__xludf.DUMMYFUNCTION("JOIN("" | "",'Team Stats'!C$4:H$4)"),"0 | 0 | 0 | 0 | 0 | 0")</f>
        <v>0 | 0 | 0 | 0 | 0 | 0</v>
      </c>
      <c r="J144" s="40" t="str">
        <f>IFERROR(__xludf.DUMMYFUNCTION("JOIN("" | "",'Team Stats'!I$3:K$3)"),"0 | 0 | 0")</f>
        <v>0 | 0 | 0</v>
      </c>
      <c r="L144" s="42"/>
      <c r="M144" s="42"/>
      <c r="N144" s="42"/>
      <c r="O144" s="42"/>
      <c r="P144" s="42"/>
      <c r="Q144" s="42"/>
    </row>
    <row r="145">
      <c r="A145" s="45"/>
      <c r="B145" s="46">
        <v>144.0</v>
      </c>
      <c r="C145" s="46" t="str">
        <f>'Teams &amp; Draft Order'!$C$9</f>
        <v>El Nino</v>
      </c>
      <c r="D145" s="47"/>
      <c r="E145" s="48" t="str">
        <f>IFERROR(VLOOKUP($D145,PlayerDB!$F$2:$G261,2,FALSE),"")</f>
        <v/>
      </c>
      <c r="F145" s="48" t="str">
        <f>IFERROR(VLOOKUP($D145,PlayerDB!$F$2:$H261,3,FALSE),"")</f>
        <v/>
      </c>
      <c r="G145" s="49" t="str">
        <f>IFERROR(VLOOKUP($D145,PlayerDB!$F$2:$I261,4,FALSE),"")</f>
        <v/>
      </c>
      <c r="H145" s="38"/>
      <c r="I145" s="50" t="str">
        <f>IFERROR(__xludf.DUMMYFUNCTION("JOIN("" | "",'Team Stats'!C$5:H$5)"),"0 | 0 | 0 | 0 | 0 | 0")</f>
        <v>0 | 0 | 0 | 0 | 0 | 0</v>
      </c>
      <c r="J145" s="64" t="str">
        <f>IFERROR(__xludf.DUMMYFUNCTION("JOIN("" | "",'Team Stats'!I$2:K$2)"),"0 | 0 | 0")</f>
        <v>0 | 0 | 0</v>
      </c>
      <c r="L145" s="42"/>
      <c r="M145" s="42"/>
      <c r="N145" s="42"/>
      <c r="O145" s="42"/>
      <c r="P145" s="42"/>
      <c r="Q145" s="42"/>
    </row>
    <row r="146">
      <c r="A146" s="33"/>
      <c r="B146" s="34">
        <v>145.0</v>
      </c>
      <c r="C146" s="34" t="str">
        <f>'Teams &amp; Draft Order'!$C$10</f>
        <v>Buttheads</v>
      </c>
      <c r="D146" s="35"/>
      <c r="E146" s="36" t="str">
        <f>IFERROR(VLOOKUP($D146,PlayerDB!$F$2:$G261,2,FALSE),"")</f>
        <v/>
      </c>
      <c r="F146" s="36" t="str">
        <f>IFERROR(VLOOKUP($D146,PlayerDB!$F$2:$H261,3,FALSE),"")</f>
        <v/>
      </c>
      <c r="G146" s="37" t="str">
        <f>IFERROR(VLOOKUP($D146,PlayerDB!$F$2:$I261,4,FALSE),"")</f>
        <v/>
      </c>
      <c r="H146" s="38"/>
      <c r="I146" s="39" t="str">
        <f>IFERROR(__xludf.DUMMYFUNCTION("JOIN("" | "",'Team Stats'!C$6:H$6)"),"0 | 0 | 0 | 0 | 0 | 0")</f>
        <v>0 | 0 | 0 | 0 | 0 | 0</v>
      </c>
      <c r="J146" s="40" t="str">
        <f>IFERROR(__xludf.DUMMYFUNCTION("JOIN("" | "",'Team Stats'!I$2:K$2)"),"0 | 0 | 0")</f>
        <v>0 | 0 | 0</v>
      </c>
      <c r="L146" s="71"/>
      <c r="M146" s="44"/>
      <c r="N146" s="42"/>
      <c r="O146" s="42"/>
      <c r="P146" s="71"/>
      <c r="Q146" s="44"/>
    </row>
    <row r="147">
      <c r="A147" s="45"/>
      <c r="B147" s="46">
        <v>146.0</v>
      </c>
      <c r="C147" s="46" t="str">
        <f>'Teams &amp; Draft Order'!$C$11</f>
        <v>Big Boys Big Work</v>
      </c>
      <c r="D147" s="47"/>
      <c r="E147" s="48" t="str">
        <f>IFERROR(VLOOKUP($D147,PlayerDB!$F$2:$G261,2,FALSE),"")</f>
        <v/>
      </c>
      <c r="F147" s="48" t="str">
        <f>IFERROR(VLOOKUP($D147,PlayerDB!$F$2:$H261,3,FALSE),"")</f>
        <v/>
      </c>
      <c r="G147" s="49" t="str">
        <f>IFERROR(VLOOKUP($D147,PlayerDB!$F$2:$I261,4,FALSE),"")</f>
        <v/>
      </c>
      <c r="H147" s="38"/>
      <c r="I147" s="50" t="str">
        <f>IFERROR(__xludf.DUMMYFUNCTION("JOIN("" | "",'Team Stats'!C$7:H$7)"),"0 | 0 | 0 | 0 | 0 | 0")</f>
        <v>0 | 0 | 0 | 0 | 0 | 0</v>
      </c>
      <c r="J147" s="51" t="str">
        <f>IFERROR(__xludf.DUMMYFUNCTION("JOIN("" | "",'Team Stats'!I$3:K$3)"),"0 | 0 | 0")</f>
        <v>0 | 0 | 0</v>
      </c>
      <c r="L147" s="42"/>
      <c r="M147" s="52"/>
      <c r="N147" s="42"/>
      <c r="O147" s="42"/>
      <c r="P147" s="42"/>
      <c r="Q147" s="52"/>
    </row>
    <row r="148">
      <c r="A148" s="33"/>
      <c r="B148" s="34">
        <v>147.0</v>
      </c>
      <c r="C148" s="34" t="str">
        <f>'Teams &amp; Draft Order'!$C$12</f>
        <v>Turbo-Ginz</v>
      </c>
      <c r="D148" s="35"/>
      <c r="E148" s="36" t="str">
        <f>IFERROR(VLOOKUP($D148,PlayerDB!$F$2:$G261,2,FALSE),"")</f>
        <v/>
      </c>
      <c r="F148" s="36" t="str">
        <f>IFERROR(VLOOKUP($D148,PlayerDB!$F$2:$H261,3,FALSE),"")</f>
        <v/>
      </c>
      <c r="G148" s="37" t="str">
        <f>IFERROR(VLOOKUP($D148,PlayerDB!$F$2:$I261,4,FALSE),"")</f>
        <v/>
      </c>
      <c r="H148" s="38"/>
      <c r="I148" s="39" t="str">
        <f>IFERROR(__xludf.DUMMYFUNCTION("JOIN("" | "",'Team Stats'!C$8:H$8)"),"0 | 0 | 0 | 0 | 0 | 0")</f>
        <v>0 | 0 | 0 | 0 | 0 | 0</v>
      </c>
      <c r="J148" s="40" t="str">
        <f>IFERROR(__xludf.DUMMYFUNCTION("JOIN("" | "",'Team Stats'!I$4:K$4)"),"0 | 0 | 0")</f>
        <v>0 | 0 | 0</v>
      </c>
      <c r="L148" s="42"/>
      <c r="M148" s="52"/>
      <c r="N148" s="42"/>
      <c r="O148" s="42"/>
      <c r="P148" s="42"/>
      <c r="Q148" s="52"/>
    </row>
    <row r="149">
      <c r="A149" s="45"/>
      <c r="B149" s="46">
        <v>148.0</v>
      </c>
      <c r="C149" s="46" t="str">
        <f>'Teams &amp; Draft Order'!$C$13</f>
        <v>Luddite</v>
      </c>
      <c r="D149" s="47"/>
      <c r="E149" s="48" t="str">
        <f>IFERROR(VLOOKUP($D149,PlayerDB!$F$2:$G261,2,FALSE),"")</f>
        <v/>
      </c>
      <c r="F149" s="48" t="str">
        <f>IFERROR(VLOOKUP($D149,PlayerDB!$F$2:$H261,3,FALSE),"")</f>
        <v/>
      </c>
      <c r="G149" s="49" t="str">
        <f>IFERROR(VLOOKUP($D149,PlayerDB!$F$2:$I261,4,FALSE),"")</f>
        <v/>
      </c>
      <c r="H149" s="38"/>
      <c r="I149" s="50" t="str">
        <f>IFERROR(__xludf.DUMMYFUNCTION("JOIN("" | "",'Team Stats'!C$9:H$9)"),"0 | 0 | 0 | 0 | 0 | 0")</f>
        <v>0 | 0 | 0 | 0 | 0 | 0</v>
      </c>
      <c r="J149" s="51" t="str">
        <f>IFERROR(__xludf.DUMMYFUNCTION("JOIN("" | "",'Team Stats'!I$5:K$5)"),"0 | 0 | 0")</f>
        <v>0 | 0 | 0</v>
      </c>
      <c r="L149" s="42"/>
      <c r="M149" s="52"/>
      <c r="N149" s="42"/>
      <c r="O149" s="42"/>
      <c r="P149" s="42"/>
      <c r="Q149" s="52"/>
    </row>
    <row r="150">
      <c r="A150" s="33"/>
      <c r="B150" s="34">
        <v>149.0</v>
      </c>
      <c r="C150" s="34" t="str">
        <f>'Teams &amp; Draft Order'!$C$14</f>
        <v>Achaians</v>
      </c>
      <c r="D150" s="35"/>
      <c r="E150" s="36" t="str">
        <f>IFERROR(VLOOKUP($D150,PlayerDB!$F$2:$G261,2,FALSE),"")</f>
        <v/>
      </c>
      <c r="F150" s="36" t="str">
        <f>IFERROR(VLOOKUP($D150,PlayerDB!$F$2:$H261,3,FALSE),"")</f>
        <v/>
      </c>
      <c r="G150" s="37" t="str">
        <f>IFERROR(VLOOKUP($D150,PlayerDB!$F$2:$I261,4,FALSE),"")</f>
        <v/>
      </c>
      <c r="H150" s="38"/>
      <c r="I150" s="39" t="str">
        <f>IFERROR(__xludf.DUMMYFUNCTION("JOIN("" | "",'Team Stats'!C$10:H$10)"),"0 | 0 | 0 | 0 | 0 | 0")</f>
        <v>0 | 0 | 0 | 0 | 0 | 0</v>
      </c>
      <c r="J150" s="40" t="str">
        <f>IFERROR(__xludf.DUMMYFUNCTION("JOIN("" | "",'Team Stats'!I$6:K$6)"),"0 | 0 | 0")</f>
        <v>0 | 0 | 0</v>
      </c>
      <c r="L150" s="42"/>
      <c r="M150" s="52"/>
      <c r="N150" s="42"/>
      <c r="O150" s="42"/>
      <c r="P150" s="42"/>
      <c r="Q150" s="52"/>
    </row>
    <row r="151">
      <c r="A151" s="54"/>
      <c r="B151" s="55">
        <v>150.0</v>
      </c>
      <c r="C151" s="55" t="str">
        <f>'Teams &amp; Draft Order'!$C$15</f>
        <v>Daddy's Dogs</v>
      </c>
      <c r="D151" s="56"/>
      <c r="E151" s="57" t="str">
        <f>IFERROR(VLOOKUP($D151,PlayerDB!$F$2:$G261,2,FALSE),"")</f>
        <v/>
      </c>
      <c r="F151" s="57" t="str">
        <f>IFERROR(VLOOKUP($D151,PlayerDB!$F$2:$H261,3,FALSE),"")</f>
        <v/>
      </c>
      <c r="G151" s="58" t="str">
        <f>IFERROR(VLOOKUP($D151,PlayerDB!$F$2:$I261,4,FALSE),"")</f>
        <v/>
      </c>
      <c r="H151" s="59"/>
      <c r="I151" s="60" t="str">
        <f>IFERROR(__xludf.DUMMYFUNCTION("JOIN("" | "",'Team Stats'!C$11:H$11)"),"0 | 0 | 0 | 0 | 0 | 0")</f>
        <v>0 | 0 | 0 | 0 | 0 | 0</v>
      </c>
      <c r="J151" s="51" t="str">
        <f>IFERROR(__xludf.DUMMYFUNCTION("JOIN("" | "",'Team Stats'!I$7:K$7)"),"0 | 0 | 0")</f>
        <v>0 | 0 | 0</v>
      </c>
      <c r="L151" s="42"/>
      <c r="M151" s="52"/>
      <c r="N151" s="42"/>
      <c r="O151" s="42"/>
      <c r="P151" s="42"/>
      <c r="Q151" s="52"/>
    </row>
    <row r="152">
      <c r="A152" s="72" t="s">
        <v>100</v>
      </c>
      <c r="B152" s="34">
        <v>151.0</v>
      </c>
      <c r="C152" s="73" t="str">
        <f>'Teams &amp; Draft Order'!$C$15</f>
        <v>Daddy's Dogs</v>
      </c>
      <c r="D152" s="74"/>
      <c r="E152" s="36" t="str">
        <f>IFERROR(VLOOKUP($D152,PlayerDB!$F$2:$G261,2,FALSE),"")</f>
        <v/>
      </c>
      <c r="F152" s="36" t="str">
        <f>IFERROR(VLOOKUP($D152,PlayerDB!$F$2:$H261,3,FALSE),"")</f>
        <v/>
      </c>
      <c r="G152" s="37" t="str">
        <f>IFERROR(VLOOKUP($D152,PlayerDB!$F$2:$I261,4,FALSE),"")</f>
        <v/>
      </c>
      <c r="H152" s="75"/>
      <c r="I152" s="76" t="str">
        <f>IFERROR(__xludf.DUMMYFUNCTION("JOIN("" | "",'Team Stats'!C$11:H$11)"),"0 | 0 | 0 | 0 | 0 | 0")</f>
        <v>0 | 0 | 0 | 0 | 0 | 0</v>
      </c>
      <c r="J152" s="40" t="str">
        <f>IFERROR(__xludf.DUMMYFUNCTION("JOIN("" | "",'Team Stats'!I$8:K$8)"),"0 | 0 | 0")</f>
        <v>0 | 0 | 0</v>
      </c>
      <c r="L152" s="42"/>
      <c r="M152" s="52"/>
      <c r="N152" s="42"/>
      <c r="O152" s="42"/>
      <c r="P152" s="42"/>
      <c r="Q152" s="52"/>
    </row>
    <row r="153">
      <c r="A153" s="45"/>
      <c r="B153" s="46">
        <v>152.0</v>
      </c>
      <c r="C153" s="46" t="str">
        <f>'Teams &amp; Draft Order'!$C$14</f>
        <v>Achaians</v>
      </c>
      <c r="D153" s="47"/>
      <c r="E153" s="48" t="str">
        <f>IFERROR(VLOOKUP($D153,PlayerDB!$F$2:$G261,2,FALSE),"")</f>
        <v/>
      </c>
      <c r="F153" s="48" t="str">
        <f>IFERROR(VLOOKUP($D153,PlayerDB!$F$2:$H261,3,FALSE),"")</f>
        <v/>
      </c>
      <c r="G153" s="49" t="str">
        <f>IFERROR(VLOOKUP($D153,PlayerDB!$F$2:$I261,4,FALSE),"")</f>
        <v/>
      </c>
      <c r="H153" s="38"/>
      <c r="I153" s="50" t="str">
        <f>IFERROR(__xludf.DUMMYFUNCTION("JOIN("" | "",'Team Stats'!C$10:H$10)"),"0 | 0 | 0 | 0 | 0 | 0")</f>
        <v>0 | 0 | 0 | 0 | 0 | 0</v>
      </c>
      <c r="J153" s="51" t="str">
        <f>IFERROR(__xludf.DUMMYFUNCTION("JOIN("" | "",'Team Stats'!I$9:K$9)"),"0 | 0 | 0")</f>
        <v>0 | 0 | 0</v>
      </c>
      <c r="L153" s="42"/>
      <c r="M153" s="52"/>
      <c r="N153" s="42"/>
      <c r="O153" s="42"/>
      <c r="P153" s="42"/>
      <c r="Q153" s="52"/>
    </row>
    <row r="154">
      <c r="A154" s="33"/>
      <c r="B154" s="34">
        <v>153.0</v>
      </c>
      <c r="C154" s="34" t="str">
        <f>'Teams &amp; Draft Order'!$C$13</f>
        <v>Luddite</v>
      </c>
      <c r="D154" s="35"/>
      <c r="E154" s="36" t="str">
        <f>IFERROR(VLOOKUP($D154,PlayerDB!$F$2:$G261,2,FALSE),"")</f>
        <v/>
      </c>
      <c r="F154" s="36" t="str">
        <f>IFERROR(VLOOKUP($D154,PlayerDB!$F$2:$H261,3,FALSE),"")</f>
        <v/>
      </c>
      <c r="G154" s="37" t="str">
        <f>IFERROR(VLOOKUP($D154,PlayerDB!$F$2:$I261,4,FALSE),"")</f>
        <v/>
      </c>
      <c r="H154" s="38"/>
      <c r="I154" s="39" t="str">
        <f>IFERROR(__xludf.DUMMYFUNCTION("JOIN("" | "",'Team Stats'!C$9:H$9)"),"0 | 0 | 0 | 0 | 0 | 0")</f>
        <v>0 | 0 | 0 | 0 | 0 | 0</v>
      </c>
      <c r="J154" s="40" t="str">
        <f>IFERROR(__xludf.DUMMYFUNCTION("JOIN("" | "",'Team Stats'!I$10:K$10)"),"0 | 0 | 0")</f>
        <v>0 | 0 | 0</v>
      </c>
      <c r="L154" s="42"/>
      <c r="M154" s="52"/>
      <c r="N154" s="42"/>
      <c r="O154" s="42"/>
      <c r="P154" s="42"/>
      <c r="Q154" s="52"/>
    </row>
    <row r="155">
      <c r="A155" s="45"/>
      <c r="B155" s="46">
        <v>154.0</v>
      </c>
      <c r="C155" s="46" t="str">
        <f>'Teams &amp; Draft Order'!$C$12</f>
        <v>Turbo-Ginz</v>
      </c>
      <c r="D155" s="47"/>
      <c r="E155" s="48" t="str">
        <f>IFERROR(VLOOKUP($D155,PlayerDB!$F$2:$G261,2,FALSE),"")</f>
        <v/>
      </c>
      <c r="F155" s="48" t="str">
        <f>IFERROR(VLOOKUP($D155,PlayerDB!$F$2:$H261,3,FALSE),"")</f>
        <v/>
      </c>
      <c r="G155" s="49" t="str">
        <f>IFERROR(VLOOKUP($D155,PlayerDB!$F$2:$I261,4,FALSE),"")</f>
        <v/>
      </c>
      <c r="H155" s="38"/>
      <c r="I155" s="50" t="str">
        <f>IFERROR(__xludf.DUMMYFUNCTION("JOIN("" | "",'Team Stats'!C$8:H$8)"),"0 | 0 | 0 | 0 | 0 | 0")</f>
        <v>0 | 0 | 0 | 0 | 0 | 0</v>
      </c>
      <c r="J155" s="51" t="str">
        <f>IFERROR(__xludf.DUMMYFUNCTION("JOIN("" | "",'Team Stats'!I$11:K$11)"),"0 | 0 | 0")</f>
        <v>0 | 0 | 0</v>
      </c>
      <c r="L155" s="42"/>
      <c r="M155" s="52"/>
      <c r="N155" s="42"/>
      <c r="O155" s="42"/>
      <c r="P155" s="42"/>
      <c r="Q155" s="52"/>
    </row>
    <row r="156">
      <c r="A156" s="33"/>
      <c r="B156" s="34">
        <v>155.0</v>
      </c>
      <c r="C156" s="34" t="str">
        <f>'Teams &amp; Draft Order'!$C$11</f>
        <v>Big Boys Big Work</v>
      </c>
      <c r="D156" s="35"/>
      <c r="E156" s="36" t="str">
        <f>IFERROR(VLOOKUP($D156,PlayerDB!$F$2:$G261,2,FALSE),"")</f>
        <v/>
      </c>
      <c r="F156" s="36" t="str">
        <f>IFERROR(VLOOKUP($D156,PlayerDB!$F$2:$H261,3,FALSE),"")</f>
        <v/>
      </c>
      <c r="G156" s="37" t="str">
        <f>IFERROR(VLOOKUP($D156,PlayerDB!$F$2:$I261,4,FALSE),"")</f>
        <v/>
      </c>
      <c r="H156" s="38"/>
      <c r="I156" s="39" t="str">
        <f>IFERROR(__xludf.DUMMYFUNCTION("JOIN("" | "",'Team Stats'!C$7:H$7)"),"0 | 0 | 0 | 0 | 0 | 0")</f>
        <v>0 | 0 | 0 | 0 | 0 | 0</v>
      </c>
      <c r="J156" s="40" t="str">
        <f>IFERROR(__xludf.DUMMYFUNCTION("JOIN("" | "",#REF!)"),"#REF!")</f>
        <v>#REF!</v>
      </c>
      <c r="L156" s="42"/>
      <c r="M156" s="52"/>
      <c r="N156" s="42"/>
      <c r="O156" s="42"/>
      <c r="P156" s="42"/>
      <c r="Q156" s="52"/>
    </row>
    <row r="157">
      <c r="A157" s="45"/>
      <c r="B157" s="46">
        <v>156.0</v>
      </c>
      <c r="C157" s="46" t="str">
        <f>'Teams &amp; Draft Order'!$C$10</f>
        <v>Buttheads</v>
      </c>
      <c r="D157" s="47"/>
      <c r="E157" s="48" t="str">
        <f>IFERROR(VLOOKUP($D157,PlayerDB!$F$2:$G261,2,FALSE),"")</f>
        <v/>
      </c>
      <c r="F157" s="48" t="str">
        <f>IFERROR(VLOOKUP($D157,PlayerDB!$F$2:$H261,3,FALSE),"")</f>
        <v/>
      </c>
      <c r="G157" s="49" t="str">
        <f>IFERROR(VLOOKUP($D157,PlayerDB!$F$2:$I261,4,FALSE),"")</f>
        <v/>
      </c>
      <c r="H157" s="38"/>
      <c r="I157" s="50" t="str">
        <f>IFERROR(__xludf.DUMMYFUNCTION("JOIN("" | "",'Team Stats'!C$6:H$6)"),"0 | 0 | 0 | 0 | 0 | 0")</f>
        <v>0 | 0 | 0 | 0 | 0 | 0</v>
      </c>
      <c r="J157" s="51" t="str">
        <f>IFERROR(__xludf.DUMMYFUNCTION("JOIN("" | "",#REF!)"),"#REF!")</f>
        <v>#REF!</v>
      </c>
      <c r="L157" s="42"/>
      <c r="M157" s="52"/>
      <c r="N157" s="42"/>
      <c r="O157" s="42"/>
      <c r="P157" s="42"/>
      <c r="Q157" s="52"/>
    </row>
    <row r="158">
      <c r="A158" s="33"/>
      <c r="B158" s="34">
        <v>157.0</v>
      </c>
      <c r="C158" s="34" t="str">
        <f>'Teams &amp; Draft Order'!$C$9</f>
        <v>El Nino</v>
      </c>
      <c r="D158" s="35"/>
      <c r="E158" s="36" t="str">
        <f>IFERROR(VLOOKUP($D158,PlayerDB!$F$2:$G261,2,FALSE),"")</f>
        <v/>
      </c>
      <c r="F158" s="36" t="str">
        <f>IFERROR(VLOOKUP($D158,PlayerDB!$F$2:$H261,3,FALSE),"")</f>
        <v/>
      </c>
      <c r="G158" s="37" t="str">
        <f>IFERROR(VLOOKUP($D158,PlayerDB!$F$2:$I261,4,FALSE),"")</f>
        <v/>
      </c>
      <c r="H158" s="38"/>
      <c r="I158" s="39" t="str">
        <f>IFERROR(__xludf.DUMMYFUNCTION("JOIN("" | "",'Team Stats'!C$5:H$5)"),"0 | 0 | 0 | 0 | 0 | 0")</f>
        <v>0 | 0 | 0 | 0 | 0 | 0</v>
      </c>
      <c r="J158" s="62" t="str">
        <f>IFERROR(__xludf.DUMMYFUNCTION("JOIN("" | "",#REF!)"),"#REF!")</f>
        <v>#REF!</v>
      </c>
      <c r="L158" s="42"/>
      <c r="M158" s="52"/>
      <c r="N158" s="42"/>
      <c r="O158" s="42"/>
      <c r="P158" s="42"/>
      <c r="Q158" s="52"/>
    </row>
    <row r="159">
      <c r="A159" s="45"/>
      <c r="B159" s="46">
        <v>158.0</v>
      </c>
      <c r="C159" s="46" t="str">
        <f>'Teams &amp; Draft Order'!$C$8</f>
        <v>Icelanders</v>
      </c>
      <c r="D159" s="47"/>
      <c r="E159" s="48" t="str">
        <f>IFERROR(VLOOKUP($D159,PlayerDB!$F$2:$G261,2,FALSE),"")</f>
        <v/>
      </c>
      <c r="F159" s="48" t="str">
        <f>IFERROR(VLOOKUP($D159,PlayerDB!$F$2:$H261,3,FALSE),"")</f>
        <v/>
      </c>
      <c r="G159" s="49" t="str">
        <f>IFERROR(VLOOKUP($D159,PlayerDB!$F$2:$I261,4,FALSE),"")</f>
        <v/>
      </c>
      <c r="H159" s="38"/>
      <c r="I159" s="50" t="str">
        <f>IFERROR(__xludf.DUMMYFUNCTION("JOIN("" | "",'Team Stats'!C$4:H$4)"),"0 | 0 | 0 | 0 | 0 | 0")</f>
        <v>0 | 0 | 0 | 0 | 0 | 0</v>
      </c>
      <c r="J159" s="51" t="str">
        <f>IFERROR(__xludf.DUMMYFUNCTION("JOIN("" | "",#REF!)"),"#REF!")</f>
        <v>#REF!</v>
      </c>
      <c r="L159" s="42"/>
      <c r="M159" s="52"/>
      <c r="N159" s="42"/>
      <c r="O159" s="42"/>
      <c r="P159" s="42"/>
      <c r="Q159" s="52"/>
    </row>
    <row r="160">
      <c r="A160" s="33"/>
      <c r="B160" s="34">
        <v>159.0</v>
      </c>
      <c r="C160" s="34" t="str">
        <f>'Teams &amp; Draft Order'!$C$7</f>
        <v>Phantasm</v>
      </c>
      <c r="D160" s="35"/>
      <c r="E160" s="36" t="str">
        <f>IFERROR(VLOOKUP($D160,PlayerDB!$F$2:$G261,2,FALSE),"")</f>
        <v/>
      </c>
      <c r="F160" s="36" t="str">
        <f>IFERROR(VLOOKUP($D160,PlayerDB!$F$2:$H261,3,FALSE),"")</f>
        <v/>
      </c>
      <c r="G160" s="37" t="str">
        <f>IFERROR(VLOOKUP($D160,PlayerDB!$F$2:$I261,4,FALSE),"")</f>
        <v/>
      </c>
      <c r="H160" s="38"/>
      <c r="I160" s="39" t="str">
        <f>IFERROR(__xludf.DUMMYFUNCTION("JOIN("" | "",'Team Stats'!C$3:H$3)"),"0 | 0 | 0 | 0 | 0 | 0")</f>
        <v>0 | 0 | 0 | 0 | 0 | 0</v>
      </c>
      <c r="J160" s="40" t="str">
        <f>IFERROR(__xludf.DUMMYFUNCTION("JOIN("" | "",'Team Stats'!I$11:K$11)"),"0 | 0 | 0")</f>
        <v>0 | 0 | 0</v>
      </c>
      <c r="L160" s="42"/>
      <c r="M160" s="52"/>
      <c r="N160" s="42"/>
      <c r="O160" s="42"/>
      <c r="P160" s="42"/>
      <c r="Q160" s="52"/>
    </row>
    <row r="161">
      <c r="A161" s="54"/>
      <c r="B161" s="55">
        <v>160.0</v>
      </c>
      <c r="C161" s="55" t="str">
        <f>'Teams &amp; Draft Order'!$C$6</f>
        <v>Sleeper Cell </v>
      </c>
      <c r="D161" s="56"/>
      <c r="E161" s="57" t="str">
        <f>IFERROR(VLOOKUP($D161,PlayerDB!$F$2:$G261,2,FALSE),"")</f>
        <v/>
      </c>
      <c r="F161" s="57" t="str">
        <f>IFERROR(VLOOKUP($D161,PlayerDB!$F$2:$H261,3,FALSE),"")</f>
        <v/>
      </c>
      <c r="G161" s="58" t="str">
        <f>IFERROR(VLOOKUP($D161,PlayerDB!$F$2:$I261,4,FALSE),"")</f>
        <v/>
      </c>
      <c r="H161" s="59"/>
      <c r="I161" s="60" t="str">
        <f>IFERROR(__xludf.DUMMYFUNCTION("JOIN("" | "",'Team Stats'!C$2:H$2)"),"1 | 0 | 0 | 0 | 0 | 0")</f>
        <v>1 | 0 | 0 | 0 | 0 | 0</v>
      </c>
      <c r="J161" s="51" t="str">
        <f>IFERROR(__xludf.DUMMYFUNCTION("JOIN("" | "",'Team Stats'!I$10:K$10)"),"0 | 0 | 0")</f>
        <v>0 | 0 | 0</v>
      </c>
      <c r="L161" s="42"/>
      <c r="M161" s="52"/>
      <c r="N161" s="42"/>
      <c r="O161" s="42"/>
      <c r="P161" s="42"/>
      <c r="Q161" s="52"/>
    </row>
    <row r="162">
      <c r="A162" s="33" t="s">
        <v>101</v>
      </c>
      <c r="B162" s="34">
        <v>161.0</v>
      </c>
      <c r="C162" s="34" t="str">
        <f>'Teams &amp; Draft Order'!$C$6</f>
        <v>Sleeper Cell </v>
      </c>
      <c r="D162" s="35"/>
      <c r="E162" s="36" t="str">
        <f>IFERROR(VLOOKUP($D162,PlayerDB!$F$2:$G261,2,FALSE),"")</f>
        <v/>
      </c>
      <c r="F162" s="36" t="str">
        <f>IFERROR(VLOOKUP($D162,PlayerDB!$F$2:$H261,3,FALSE),"")</f>
        <v/>
      </c>
      <c r="G162" s="37" t="str">
        <f>IFERROR(VLOOKUP($D162,PlayerDB!$F$2:$I261,4,FALSE),"")</f>
        <v/>
      </c>
      <c r="H162" s="38"/>
      <c r="I162" s="39" t="str">
        <f>IFERROR(__xludf.DUMMYFUNCTION("JOIN("" | "",'Team Stats'!C$2:H$2)"),"1 | 0 | 0 | 0 | 0 | 0")</f>
        <v>1 | 0 | 0 | 0 | 0 | 0</v>
      </c>
      <c r="J162" s="40" t="str">
        <f>IFERROR(__xludf.DUMMYFUNCTION("JOIN("" | "",'Team Stats'!I$9:K$9)"),"0 | 0 | 0")</f>
        <v>0 | 0 | 0</v>
      </c>
      <c r="L162" s="42"/>
      <c r="M162" s="52"/>
      <c r="N162" s="42"/>
      <c r="O162" s="42"/>
      <c r="P162" s="42"/>
      <c r="Q162" s="52"/>
    </row>
    <row r="163">
      <c r="A163" s="45"/>
      <c r="B163" s="46">
        <v>162.0</v>
      </c>
      <c r="C163" s="46" t="str">
        <f>'Teams &amp; Draft Order'!$C$7</f>
        <v>Phantasm</v>
      </c>
      <c r="D163" s="47"/>
      <c r="E163" s="48" t="str">
        <f>IFERROR(VLOOKUP($D163,PlayerDB!$F$2:$G261,2,FALSE),"")</f>
        <v/>
      </c>
      <c r="F163" s="48" t="str">
        <f>IFERROR(VLOOKUP($D163,PlayerDB!$F$2:$H261,3,FALSE),"")</f>
        <v/>
      </c>
      <c r="G163" s="49" t="str">
        <f>IFERROR(VLOOKUP($D163,PlayerDB!$F$2:$I261,4,FALSE),"")</f>
        <v/>
      </c>
      <c r="H163" s="38"/>
      <c r="I163" s="50" t="str">
        <f>IFERROR(__xludf.DUMMYFUNCTION("JOIN("" | "",'Team Stats'!C$3:H$3)"),"0 | 0 | 0 | 0 | 0 | 0")</f>
        <v>0 | 0 | 0 | 0 | 0 | 0</v>
      </c>
      <c r="J163" s="51" t="str">
        <f>IFERROR(__xludf.DUMMYFUNCTION("JOIN("" | "",'Team Stats'!I$8:K$8)"),"0 | 0 | 0")</f>
        <v>0 | 0 | 0</v>
      </c>
      <c r="L163" s="42"/>
      <c r="M163" s="52"/>
      <c r="N163" s="42"/>
      <c r="O163" s="42"/>
      <c r="P163" s="42"/>
      <c r="Q163" s="52"/>
    </row>
    <row r="164">
      <c r="A164" s="33"/>
      <c r="B164" s="34">
        <v>163.0</v>
      </c>
      <c r="C164" s="34" t="str">
        <f>'Teams &amp; Draft Order'!$C$8</f>
        <v>Icelanders</v>
      </c>
      <c r="D164" s="35"/>
      <c r="E164" s="36" t="str">
        <f>IFERROR(VLOOKUP($D164,PlayerDB!$F$2:$G261,2,FALSE),"")</f>
        <v/>
      </c>
      <c r="F164" s="36" t="str">
        <f>IFERROR(VLOOKUP($D164,PlayerDB!$F$2:$H261,3,FALSE),"")</f>
        <v/>
      </c>
      <c r="G164" s="37" t="str">
        <f>IFERROR(VLOOKUP($D164,PlayerDB!$F$2:$I261,4,FALSE),"")</f>
        <v/>
      </c>
      <c r="H164" s="38"/>
      <c r="I164" s="39" t="str">
        <f>IFERROR(__xludf.DUMMYFUNCTION("JOIN("" | "",'Team Stats'!C$4:H$4)"),"0 | 0 | 0 | 0 | 0 | 0")</f>
        <v>0 | 0 | 0 | 0 | 0 | 0</v>
      </c>
      <c r="J164" s="40" t="str">
        <f>IFERROR(__xludf.DUMMYFUNCTION("JOIN("" | "",'Team Stats'!I$7:K$7)"),"0 | 0 | 0")</f>
        <v>0 | 0 | 0</v>
      </c>
      <c r="L164" s="42"/>
      <c r="M164" s="52"/>
      <c r="N164" s="42"/>
      <c r="O164" s="42"/>
      <c r="P164" s="42"/>
      <c r="Q164" s="52"/>
    </row>
    <row r="165">
      <c r="A165" s="45"/>
      <c r="B165" s="46">
        <v>164.0</v>
      </c>
      <c r="C165" s="46" t="str">
        <f>'Teams &amp; Draft Order'!$C$9</f>
        <v>El Nino</v>
      </c>
      <c r="D165" s="47"/>
      <c r="E165" s="48" t="str">
        <f>IFERROR(VLOOKUP($D165,PlayerDB!$F$2:$G261,2,FALSE),"")</f>
        <v/>
      </c>
      <c r="F165" s="48" t="str">
        <f>IFERROR(VLOOKUP($D165,PlayerDB!$F$2:$H261,3,FALSE),"")</f>
        <v/>
      </c>
      <c r="G165" s="49" t="str">
        <f>IFERROR(VLOOKUP($D165,PlayerDB!$F$2:$I261,4,FALSE),"")</f>
        <v/>
      </c>
      <c r="H165" s="38"/>
      <c r="I165" s="50" t="str">
        <f>IFERROR(__xludf.DUMMYFUNCTION("JOIN("" | "",'Team Stats'!C$5:H$5)"),"0 | 0 | 0 | 0 | 0 | 0")</f>
        <v>0 | 0 | 0 | 0 | 0 | 0</v>
      </c>
      <c r="J165" s="51" t="str">
        <f>IFERROR(__xludf.DUMMYFUNCTION("JOIN("" | "",'Team Stats'!I$6:K$6)"),"0 | 0 | 0")</f>
        <v>0 | 0 | 0</v>
      </c>
      <c r="L165" s="42"/>
      <c r="M165" s="52"/>
      <c r="N165" s="42"/>
      <c r="O165" s="42"/>
      <c r="P165" s="42"/>
      <c r="Q165" s="52"/>
    </row>
    <row r="166">
      <c r="A166" s="33"/>
      <c r="B166" s="34">
        <v>165.0</v>
      </c>
      <c r="C166" s="34" t="str">
        <f>'Teams &amp; Draft Order'!$C$10</f>
        <v>Buttheads</v>
      </c>
      <c r="D166" s="35"/>
      <c r="E166" s="36" t="str">
        <f>IFERROR(VLOOKUP($D166,PlayerDB!$F$2:$G261,2,FALSE),"")</f>
        <v/>
      </c>
      <c r="F166" s="36" t="str">
        <f>IFERROR(VLOOKUP($D166,PlayerDB!$F$2:$H261,3,FALSE),"")</f>
        <v/>
      </c>
      <c r="G166" s="37" t="str">
        <f>IFERROR(VLOOKUP($D166,PlayerDB!$F$2:$I261,4,FALSE),"")</f>
        <v/>
      </c>
      <c r="H166" s="38"/>
      <c r="I166" s="39" t="str">
        <f>IFERROR(__xludf.DUMMYFUNCTION("JOIN("" | "",'Team Stats'!C$6:H$6)"),"0 | 0 | 0 | 0 | 0 | 0")</f>
        <v>0 | 0 | 0 | 0 | 0 | 0</v>
      </c>
      <c r="J166" s="40" t="str">
        <f>IFERROR(__xludf.DUMMYFUNCTION("JOIN("" | "",'Team Stats'!I$5:K$5)"),"0 | 0 | 0")</f>
        <v>0 | 0 | 0</v>
      </c>
      <c r="L166" s="42"/>
      <c r="M166" s="52"/>
      <c r="N166" s="42"/>
      <c r="O166" s="42"/>
      <c r="P166" s="42"/>
      <c r="Q166" s="52"/>
    </row>
    <row r="167">
      <c r="A167" s="45"/>
      <c r="B167" s="46">
        <v>166.0</v>
      </c>
      <c r="C167" s="46" t="str">
        <f>'Teams &amp; Draft Order'!$C$11</f>
        <v>Big Boys Big Work</v>
      </c>
      <c r="D167" s="47"/>
      <c r="E167" s="48" t="str">
        <f>IFERROR(VLOOKUP($D167,PlayerDB!$F$2:$G261,2,FALSE),"")</f>
        <v/>
      </c>
      <c r="F167" s="48" t="str">
        <f>IFERROR(VLOOKUP($D167,PlayerDB!$F$2:$H261,3,FALSE),"")</f>
        <v/>
      </c>
      <c r="G167" s="49" t="str">
        <f>IFERROR(VLOOKUP($D167,PlayerDB!$F$2:$I261,4,FALSE),"")</f>
        <v/>
      </c>
      <c r="H167" s="38"/>
      <c r="I167" s="50" t="str">
        <f>IFERROR(__xludf.DUMMYFUNCTION("JOIN("" | "",'Team Stats'!C$7:H$7)"),"0 | 0 | 0 | 0 | 0 | 0")</f>
        <v>0 | 0 | 0 | 0 | 0 | 0</v>
      </c>
      <c r="J167" s="51" t="str">
        <f>IFERROR(__xludf.DUMMYFUNCTION("JOIN("" | "",'Team Stats'!I$4:K$4)"),"0 | 0 | 0")</f>
        <v>0 | 0 | 0</v>
      </c>
      <c r="L167" s="42"/>
      <c r="M167" s="42"/>
      <c r="N167" s="42"/>
      <c r="O167" s="42"/>
      <c r="P167" s="42"/>
      <c r="Q167" s="42"/>
    </row>
    <row r="168">
      <c r="A168" s="33"/>
      <c r="B168" s="34">
        <v>167.0</v>
      </c>
      <c r="C168" s="34" t="str">
        <f>'Teams &amp; Draft Order'!$C$12</f>
        <v>Turbo-Ginz</v>
      </c>
      <c r="D168" s="35"/>
      <c r="E168" s="36" t="str">
        <f>IFERROR(VLOOKUP($D168,PlayerDB!$F$2:$G261,2,FALSE),"")</f>
        <v/>
      </c>
      <c r="F168" s="36" t="str">
        <f>IFERROR(VLOOKUP($D168,PlayerDB!$F$2:$H261,3,FALSE),"")</f>
        <v/>
      </c>
      <c r="G168" s="37" t="str">
        <f>IFERROR(VLOOKUP($D168,PlayerDB!$F$2:$I261,4,FALSE),"")</f>
        <v/>
      </c>
      <c r="H168" s="38"/>
      <c r="I168" s="39" t="str">
        <f>IFERROR(__xludf.DUMMYFUNCTION("JOIN("" | "",'Team Stats'!C$8:H$8)"),"0 | 0 | 0 | 0 | 0 | 0")</f>
        <v>0 | 0 | 0 | 0 | 0 | 0</v>
      </c>
      <c r="J168" s="40" t="str">
        <f>IFERROR(__xludf.DUMMYFUNCTION("JOIN("" | "",'Team Stats'!I$3:K$3)"),"0 | 0 | 0")</f>
        <v>0 | 0 | 0</v>
      </c>
      <c r="L168" s="42"/>
      <c r="M168" s="42"/>
      <c r="N168" s="42"/>
      <c r="O168" s="42"/>
      <c r="P168" s="42"/>
      <c r="Q168" s="42"/>
    </row>
    <row r="169">
      <c r="A169" s="45"/>
      <c r="B169" s="46">
        <v>168.0</v>
      </c>
      <c r="C169" s="46" t="str">
        <f>'Teams &amp; Draft Order'!$C$13</f>
        <v>Luddite</v>
      </c>
      <c r="D169" s="47"/>
      <c r="E169" s="48" t="str">
        <f>IFERROR(VLOOKUP($D169,PlayerDB!$F$2:$G261,2,FALSE),"")</f>
        <v/>
      </c>
      <c r="F169" s="48" t="str">
        <f>IFERROR(VLOOKUP($D169,PlayerDB!$F$2:$H261,3,FALSE),"")</f>
        <v/>
      </c>
      <c r="G169" s="49" t="str">
        <f>IFERROR(VLOOKUP($D169,PlayerDB!$F$2:$I261,4,FALSE),"")</f>
        <v/>
      </c>
      <c r="H169" s="38"/>
      <c r="I169" s="50" t="str">
        <f>IFERROR(__xludf.DUMMYFUNCTION("JOIN("" | "",'Team Stats'!C$9:H$9)"),"0 | 0 | 0 | 0 | 0 | 0")</f>
        <v>0 | 0 | 0 | 0 | 0 | 0</v>
      </c>
      <c r="J169" s="64" t="str">
        <f>IFERROR(__xludf.DUMMYFUNCTION("JOIN("" | "",'Team Stats'!I$2:K$2)"),"0 | 0 | 0")</f>
        <v>0 | 0 | 0</v>
      </c>
      <c r="L169" s="42"/>
      <c r="M169" s="42"/>
      <c r="N169" s="42"/>
      <c r="O169" s="42"/>
      <c r="P169" s="42"/>
      <c r="Q169" s="42"/>
    </row>
    <row r="170">
      <c r="A170" s="33"/>
      <c r="B170" s="34">
        <v>169.0</v>
      </c>
      <c r="C170" s="34" t="str">
        <f>'Teams &amp; Draft Order'!$C$14</f>
        <v>Achaians</v>
      </c>
      <c r="D170" s="35"/>
      <c r="E170" s="36" t="str">
        <f>IFERROR(VLOOKUP($D170,PlayerDB!$F$2:$G261,2,FALSE),"")</f>
        <v/>
      </c>
      <c r="F170" s="36" t="str">
        <f>IFERROR(VLOOKUP($D170,PlayerDB!$F$2:$H261,3,FALSE),"")</f>
        <v/>
      </c>
      <c r="G170" s="37" t="str">
        <f>IFERROR(VLOOKUP($D170,PlayerDB!$F$2:$I261,4,FALSE),"")</f>
        <v/>
      </c>
      <c r="H170" s="38"/>
      <c r="I170" s="39" t="str">
        <f>IFERROR(__xludf.DUMMYFUNCTION("JOIN("" | "",'Team Stats'!C$10:H$10)"),"0 | 0 | 0 | 0 | 0 | 0")</f>
        <v>0 | 0 | 0 | 0 | 0 | 0</v>
      </c>
      <c r="J170" s="40" t="str">
        <f>IFERROR(__xludf.DUMMYFUNCTION("JOIN("" | "",'Team Stats'!I$2:K$2)"),"0 | 0 | 0")</f>
        <v>0 | 0 | 0</v>
      </c>
      <c r="L170" s="71"/>
      <c r="M170" s="44"/>
      <c r="N170" s="42"/>
      <c r="O170" s="42"/>
      <c r="P170" s="42"/>
      <c r="Q170" s="42"/>
    </row>
    <row r="171">
      <c r="A171" s="54"/>
      <c r="B171" s="55">
        <v>170.0</v>
      </c>
      <c r="C171" s="55" t="str">
        <f>'Teams &amp; Draft Order'!$C$15</f>
        <v>Daddy's Dogs</v>
      </c>
      <c r="D171" s="56"/>
      <c r="E171" s="57" t="str">
        <f>IFERROR(VLOOKUP($D171,PlayerDB!$F$2:$G261,2,FALSE),"")</f>
        <v/>
      </c>
      <c r="F171" s="57" t="str">
        <f>IFERROR(VLOOKUP($D171,PlayerDB!$F$2:$H261,3,FALSE),"")</f>
        <v/>
      </c>
      <c r="G171" s="58" t="str">
        <f>IFERROR(VLOOKUP($D171,PlayerDB!$F$2:$I261,4,FALSE),"")</f>
        <v/>
      </c>
      <c r="H171" s="59"/>
      <c r="I171" s="60" t="str">
        <f>IFERROR(__xludf.DUMMYFUNCTION("JOIN("" | "",'Team Stats'!C$11:H$11)"),"0 | 0 | 0 | 0 | 0 | 0")</f>
        <v>0 | 0 | 0 | 0 | 0 | 0</v>
      </c>
      <c r="J171" s="51" t="str">
        <f>IFERROR(__xludf.DUMMYFUNCTION("JOIN("" | "",'Team Stats'!I$3:K$3)"),"0 | 0 | 0")</f>
        <v>0 | 0 | 0</v>
      </c>
      <c r="L171" s="42"/>
      <c r="M171" s="52"/>
      <c r="N171" s="42"/>
      <c r="O171" s="42"/>
      <c r="P171" s="42"/>
      <c r="Q171" s="42"/>
    </row>
    <row r="172">
      <c r="A172" s="72" t="s">
        <v>102</v>
      </c>
      <c r="B172" s="34">
        <v>171.0</v>
      </c>
      <c r="C172" s="73" t="str">
        <f>'Teams &amp; Draft Order'!$C$15</f>
        <v>Daddy's Dogs</v>
      </c>
      <c r="D172" s="74"/>
      <c r="E172" s="36" t="str">
        <f>IFERROR(VLOOKUP($D172,PlayerDB!$F$2:$G261,2,FALSE),"")</f>
        <v/>
      </c>
      <c r="F172" s="36" t="str">
        <f>IFERROR(VLOOKUP($D172,PlayerDB!$F$2:$H261,3,FALSE),"")</f>
        <v/>
      </c>
      <c r="G172" s="37" t="str">
        <f>IFERROR(VLOOKUP($D172,PlayerDB!$F$2:$I261,4,FALSE),"")</f>
        <v/>
      </c>
      <c r="H172" s="75"/>
      <c r="I172" s="76" t="str">
        <f>IFERROR(__xludf.DUMMYFUNCTION("JOIN("" | "",'Team Stats'!C$11:H$11)"),"0 | 0 | 0 | 0 | 0 | 0")</f>
        <v>0 | 0 | 0 | 0 | 0 | 0</v>
      </c>
      <c r="J172" s="40" t="str">
        <f>IFERROR(__xludf.DUMMYFUNCTION("JOIN("" | "",'Team Stats'!I$4:K$4)"),"0 | 0 | 0")</f>
        <v>0 | 0 | 0</v>
      </c>
      <c r="L172" s="42"/>
      <c r="M172" s="52"/>
      <c r="N172" s="42"/>
      <c r="O172" s="42"/>
      <c r="P172" s="42"/>
      <c r="Q172" s="42"/>
    </row>
    <row r="173">
      <c r="A173" s="45"/>
      <c r="B173" s="46">
        <v>172.0</v>
      </c>
      <c r="C173" s="46" t="str">
        <f>'Teams &amp; Draft Order'!$C$14</f>
        <v>Achaians</v>
      </c>
      <c r="D173" s="47"/>
      <c r="E173" s="48" t="str">
        <f>IFERROR(VLOOKUP($D173,PlayerDB!$F$2:$G261,2,FALSE),"")</f>
        <v/>
      </c>
      <c r="F173" s="48" t="str">
        <f>IFERROR(VLOOKUP($D173,PlayerDB!$F$2:$H261,3,FALSE),"")</f>
        <v/>
      </c>
      <c r="G173" s="49" t="str">
        <f>IFERROR(VLOOKUP($D173,PlayerDB!$F$2:$I261,4,FALSE),"")</f>
        <v/>
      </c>
      <c r="H173" s="38"/>
      <c r="I173" s="50" t="str">
        <f>IFERROR(__xludf.DUMMYFUNCTION("JOIN("" | "",'Team Stats'!C$10:H$10)"),"0 | 0 | 0 | 0 | 0 | 0")</f>
        <v>0 | 0 | 0 | 0 | 0 | 0</v>
      </c>
      <c r="J173" s="51" t="str">
        <f>IFERROR(__xludf.DUMMYFUNCTION("JOIN("" | "",'Team Stats'!I$5:K$5)"),"0 | 0 | 0")</f>
        <v>0 | 0 | 0</v>
      </c>
      <c r="L173" s="42"/>
      <c r="M173" s="52"/>
      <c r="N173" s="42"/>
      <c r="O173" s="42"/>
      <c r="P173" s="42"/>
      <c r="Q173" s="42"/>
    </row>
    <row r="174">
      <c r="A174" s="33"/>
      <c r="B174" s="34">
        <v>173.0</v>
      </c>
      <c r="C174" s="34" t="str">
        <f>'Teams &amp; Draft Order'!$C$13</f>
        <v>Luddite</v>
      </c>
      <c r="D174" s="35"/>
      <c r="E174" s="36" t="str">
        <f>IFERROR(VLOOKUP($D174,PlayerDB!$F$2:$G261,2,FALSE),"")</f>
        <v/>
      </c>
      <c r="F174" s="36" t="str">
        <f>IFERROR(VLOOKUP($D174,PlayerDB!$F$2:$H261,3,FALSE),"")</f>
        <v/>
      </c>
      <c r="G174" s="37" t="str">
        <f>IFERROR(VLOOKUP($D174,PlayerDB!$F$2:$I261,4,FALSE),"")</f>
        <v/>
      </c>
      <c r="H174" s="38"/>
      <c r="I174" s="39" t="str">
        <f>IFERROR(__xludf.DUMMYFUNCTION("JOIN("" | "",'Team Stats'!C$9:H$9)"),"0 | 0 | 0 | 0 | 0 | 0")</f>
        <v>0 | 0 | 0 | 0 | 0 | 0</v>
      </c>
      <c r="J174" s="40" t="str">
        <f>IFERROR(__xludf.DUMMYFUNCTION("JOIN("" | "",'Team Stats'!I$6:K$6)"),"0 | 0 | 0")</f>
        <v>0 | 0 | 0</v>
      </c>
      <c r="L174" s="42"/>
      <c r="M174" s="52"/>
      <c r="N174" s="42"/>
      <c r="O174" s="42"/>
      <c r="P174" s="42"/>
      <c r="Q174" s="42"/>
    </row>
    <row r="175">
      <c r="A175" s="45"/>
      <c r="B175" s="46">
        <v>174.0</v>
      </c>
      <c r="C175" s="46" t="str">
        <f>'Teams &amp; Draft Order'!$C$12</f>
        <v>Turbo-Ginz</v>
      </c>
      <c r="D175" s="47"/>
      <c r="E175" s="48" t="str">
        <f>IFERROR(VLOOKUP($D175,PlayerDB!$F$2:$G261,2,FALSE),"")</f>
        <v/>
      </c>
      <c r="F175" s="48" t="str">
        <f>IFERROR(VLOOKUP($D175,PlayerDB!$F$2:$H261,3,FALSE),"")</f>
        <v/>
      </c>
      <c r="G175" s="49" t="str">
        <f>IFERROR(VLOOKUP($D175,PlayerDB!$F$2:$I261,4,FALSE),"")</f>
        <v/>
      </c>
      <c r="H175" s="38"/>
      <c r="I175" s="50" t="str">
        <f>IFERROR(__xludf.DUMMYFUNCTION("JOIN("" | "",'Team Stats'!C$8:H$8)"),"0 | 0 | 0 | 0 | 0 | 0")</f>
        <v>0 | 0 | 0 | 0 | 0 | 0</v>
      </c>
      <c r="J175" s="51" t="str">
        <f>IFERROR(__xludf.DUMMYFUNCTION("JOIN("" | "",'Team Stats'!I$7:K$7)"),"0 | 0 | 0")</f>
        <v>0 | 0 | 0</v>
      </c>
      <c r="L175" s="42"/>
      <c r="M175" s="52"/>
      <c r="N175" s="42"/>
      <c r="O175" s="42"/>
      <c r="P175" s="42"/>
      <c r="Q175" s="42"/>
    </row>
    <row r="176">
      <c r="A176" s="33"/>
      <c r="B176" s="34">
        <v>175.0</v>
      </c>
      <c r="C176" s="34" t="str">
        <f>'Teams &amp; Draft Order'!$C$11</f>
        <v>Big Boys Big Work</v>
      </c>
      <c r="D176" s="35"/>
      <c r="E176" s="36" t="str">
        <f>IFERROR(VLOOKUP($D176,PlayerDB!$F$2:$G261,2,FALSE),"")</f>
        <v/>
      </c>
      <c r="F176" s="36" t="str">
        <f>IFERROR(VLOOKUP($D176,PlayerDB!$F$2:$H261,3,FALSE),"")</f>
        <v/>
      </c>
      <c r="G176" s="37" t="str">
        <f>IFERROR(VLOOKUP($D176,PlayerDB!$F$2:$I261,4,FALSE),"")</f>
        <v/>
      </c>
      <c r="H176" s="38"/>
      <c r="I176" s="39" t="str">
        <f>IFERROR(__xludf.DUMMYFUNCTION("JOIN("" | "",'Team Stats'!C$7:H$7)"),"0 | 0 | 0 | 0 | 0 | 0")</f>
        <v>0 | 0 | 0 | 0 | 0 | 0</v>
      </c>
      <c r="J176" s="40" t="str">
        <f>IFERROR(__xludf.DUMMYFUNCTION("JOIN("" | "",'Team Stats'!I$8:K$8)"),"0 | 0 | 0")</f>
        <v>0 | 0 | 0</v>
      </c>
      <c r="L176" s="42"/>
      <c r="M176" s="52"/>
      <c r="N176" s="42"/>
      <c r="O176" s="42"/>
      <c r="P176" s="42"/>
      <c r="Q176" s="42"/>
    </row>
    <row r="177">
      <c r="A177" s="45"/>
      <c r="B177" s="46">
        <v>176.0</v>
      </c>
      <c r="C177" s="46" t="str">
        <f>'Teams &amp; Draft Order'!$C$10</f>
        <v>Buttheads</v>
      </c>
      <c r="D177" s="47"/>
      <c r="E177" s="48" t="str">
        <f>IFERROR(VLOOKUP($D177,PlayerDB!$F$2:$G261,2,FALSE),"")</f>
        <v/>
      </c>
      <c r="F177" s="48" t="str">
        <f>IFERROR(VLOOKUP($D177,PlayerDB!$F$2:$H261,3,FALSE),"")</f>
        <v/>
      </c>
      <c r="G177" s="49" t="str">
        <f>IFERROR(VLOOKUP($D177,PlayerDB!$F$2:$I261,4,FALSE),"")</f>
        <v/>
      </c>
      <c r="H177" s="38"/>
      <c r="I177" s="50" t="str">
        <f>IFERROR(__xludf.DUMMYFUNCTION("JOIN("" | "",'Team Stats'!C$6:H$6)"),"0 | 0 | 0 | 0 | 0 | 0")</f>
        <v>0 | 0 | 0 | 0 | 0 | 0</v>
      </c>
      <c r="J177" s="51" t="str">
        <f>IFERROR(__xludf.DUMMYFUNCTION("JOIN("" | "",'Team Stats'!I$9:K$9)"),"0 | 0 | 0")</f>
        <v>0 | 0 | 0</v>
      </c>
      <c r="L177" s="42"/>
      <c r="M177" s="52"/>
      <c r="N177" s="42"/>
      <c r="O177" s="42"/>
      <c r="P177" s="42"/>
      <c r="Q177" s="42"/>
    </row>
    <row r="178">
      <c r="A178" s="33"/>
      <c r="B178" s="34">
        <v>177.0</v>
      </c>
      <c r="C178" s="34" t="str">
        <f>'Teams &amp; Draft Order'!$C$9</f>
        <v>El Nino</v>
      </c>
      <c r="D178" s="35"/>
      <c r="E178" s="36" t="str">
        <f>IFERROR(VLOOKUP($D178,PlayerDB!$F$2:$G261,2,FALSE),"")</f>
        <v/>
      </c>
      <c r="F178" s="36" t="str">
        <f>IFERROR(VLOOKUP($D178,PlayerDB!$F$2:$H261,3,FALSE),"")</f>
        <v/>
      </c>
      <c r="G178" s="37" t="str">
        <f>IFERROR(VLOOKUP($D178,PlayerDB!$F$2:$I261,4,FALSE),"")</f>
        <v/>
      </c>
      <c r="H178" s="38"/>
      <c r="I178" s="39" t="str">
        <f>IFERROR(__xludf.DUMMYFUNCTION("JOIN("" | "",'Team Stats'!C$5:H$5)"),"0 | 0 | 0 | 0 | 0 | 0")</f>
        <v>0 | 0 | 0 | 0 | 0 | 0</v>
      </c>
      <c r="J178" s="40" t="str">
        <f>IFERROR(__xludf.DUMMYFUNCTION("JOIN("" | "",'Team Stats'!I$10:K$10)"),"0 | 0 | 0")</f>
        <v>0 | 0 | 0</v>
      </c>
      <c r="L178" s="42"/>
      <c r="M178" s="52"/>
      <c r="N178" s="42"/>
      <c r="O178" s="42"/>
      <c r="P178" s="42"/>
      <c r="Q178" s="42"/>
    </row>
    <row r="179">
      <c r="A179" s="45"/>
      <c r="B179" s="46">
        <v>178.0</v>
      </c>
      <c r="C179" s="46" t="str">
        <f>'Teams &amp; Draft Order'!$C$8</f>
        <v>Icelanders</v>
      </c>
      <c r="D179" s="47"/>
      <c r="E179" s="48" t="str">
        <f>IFERROR(VLOOKUP($D179,PlayerDB!$F$2:$G261,2,FALSE),"")</f>
        <v/>
      </c>
      <c r="F179" s="48" t="str">
        <f>IFERROR(VLOOKUP($D179,PlayerDB!$F$2:$H261,3,FALSE),"")</f>
        <v/>
      </c>
      <c r="G179" s="49" t="str">
        <f>IFERROR(VLOOKUP($D179,PlayerDB!$F$2:$I261,4,FALSE),"")</f>
        <v/>
      </c>
      <c r="H179" s="38"/>
      <c r="I179" s="50" t="str">
        <f>IFERROR(__xludf.DUMMYFUNCTION("JOIN("" | "",'Team Stats'!C$4:H$4)"),"0 | 0 | 0 | 0 | 0 | 0")</f>
        <v>0 | 0 | 0 | 0 | 0 | 0</v>
      </c>
      <c r="J179" s="51" t="str">
        <f>IFERROR(__xludf.DUMMYFUNCTION("JOIN("" | "",'Team Stats'!I$11:K$11)"),"0 | 0 | 0")</f>
        <v>0 | 0 | 0</v>
      </c>
      <c r="L179" s="42"/>
      <c r="M179" s="52"/>
      <c r="N179" s="42"/>
      <c r="O179" s="42"/>
      <c r="P179" s="42"/>
      <c r="Q179" s="42"/>
    </row>
    <row r="180">
      <c r="A180" s="33"/>
      <c r="B180" s="34">
        <v>179.0</v>
      </c>
      <c r="C180" s="34" t="str">
        <f>'Teams &amp; Draft Order'!$C$7</f>
        <v>Phantasm</v>
      </c>
      <c r="D180" s="35"/>
      <c r="E180" s="36" t="str">
        <f>IFERROR(VLOOKUP($D180,PlayerDB!$F$2:$G261,2,FALSE),"")</f>
        <v/>
      </c>
      <c r="F180" s="36" t="str">
        <f>IFERROR(VLOOKUP($D180,PlayerDB!$F$2:$H261,3,FALSE),"")</f>
        <v/>
      </c>
      <c r="G180" s="37" t="str">
        <f>IFERROR(VLOOKUP($D180,PlayerDB!$F$2:$I261,4,FALSE),"")</f>
        <v/>
      </c>
      <c r="H180" s="38"/>
      <c r="I180" s="39" t="str">
        <f>IFERROR(__xludf.DUMMYFUNCTION("JOIN("" | "",'Team Stats'!C$3:H$3)"),"0 | 0 | 0 | 0 | 0 | 0")</f>
        <v>0 | 0 | 0 | 0 | 0 | 0</v>
      </c>
      <c r="J180" s="40" t="str">
        <f>IFERROR(__xludf.DUMMYFUNCTION("JOIN("" | "",#REF!)"),"#REF!")</f>
        <v>#REF!</v>
      </c>
      <c r="L180" s="42"/>
      <c r="M180" s="52"/>
      <c r="N180" s="42"/>
      <c r="O180" s="42"/>
      <c r="P180" s="42"/>
      <c r="Q180" s="42"/>
    </row>
    <row r="181">
      <c r="A181" s="54"/>
      <c r="B181" s="55">
        <v>180.0</v>
      </c>
      <c r="C181" s="55" t="str">
        <f>'Teams &amp; Draft Order'!$C$6</f>
        <v>Sleeper Cell </v>
      </c>
      <c r="D181" s="56"/>
      <c r="E181" s="57" t="str">
        <f>IFERROR(VLOOKUP($D181,PlayerDB!$F$2:$G261,2,FALSE),"")</f>
        <v/>
      </c>
      <c r="F181" s="57" t="str">
        <f>IFERROR(VLOOKUP($D181,PlayerDB!$F$2:$H261,3,FALSE),"")</f>
        <v/>
      </c>
      <c r="G181" s="58" t="str">
        <f>IFERROR(VLOOKUP($D181,PlayerDB!$F$2:$I261,4,FALSE),"")</f>
        <v/>
      </c>
      <c r="H181" s="59"/>
      <c r="I181" s="60" t="str">
        <f>IFERROR(__xludf.DUMMYFUNCTION("JOIN("" | "",'Team Stats'!C$2:H$2)"),"1 | 0 | 0 | 0 | 0 | 0")</f>
        <v>1 | 0 | 0 | 0 | 0 | 0</v>
      </c>
      <c r="J181" s="51" t="str">
        <f>IFERROR(__xludf.DUMMYFUNCTION("JOIN("" | "",#REF!)"),"#REF!")</f>
        <v>#REF!</v>
      </c>
      <c r="L181" s="42"/>
      <c r="M181" s="52"/>
      <c r="N181" s="42"/>
      <c r="O181" s="42"/>
      <c r="P181" s="42"/>
      <c r="Q181" s="42"/>
    </row>
    <row r="182">
      <c r="A182" s="33" t="s">
        <v>103</v>
      </c>
      <c r="B182" s="34">
        <v>181.0</v>
      </c>
      <c r="C182" s="34" t="str">
        <f>'Teams &amp; Draft Order'!$C$6</f>
        <v>Sleeper Cell </v>
      </c>
      <c r="D182" s="35"/>
      <c r="E182" s="36" t="str">
        <f>IFERROR(VLOOKUP($D182,PlayerDB!$F$2:$G261,2,FALSE),"")</f>
        <v/>
      </c>
      <c r="F182" s="36" t="str">
        <f>IFERROR(VLOOKUP($D182,PlayerDB!$F$2:$H261,3,FALSE),"")</f>
        <v/>
      </c>
      <c r="G182" s="37" t="str">
        <f>IFERROR(VLOOKUP($D182,PlayerDB!$F$2:$I261,4,FALSE),"")</f>
        <v/>
      </c>
      <c r="H182" s="38"/>
      <c r="I182" s="39" t="str">
        <f>IFERROR(__xludf.DUMMYFUNCTION("JOIN("" | "",'Team Stats'!C$2:H$2)"),"1 | 0 | 0 | 0 | 0 | 0")</f>
        <v>1 | 0 | 0 | 0 | 0 | 0</v>
      </c>
      <c r="J182" s="62" t="str">
        <f>IFERROR(__xludf.DUMMYFUNCTION("JOIN("" | "",#REF!)"),"#REF!")</f>
        <v>#REF!</v>
      </c>
      <c r="L182" s="42"/>
      <c r="M182" s="52"/>
      <c r="N182" s="42"/>
      <c r="O182" s="42"/>
      <c r="P182" s="42"/>
      <c r="Q182" s="42"/>
    </row>
    <row r="183">
      <c r="A183" s="45"/>
      <c r="B183" s="46">
        <v>182.0</v>
      </c>
      <c r="C183" s="46" t="str">
        <f>'Teams &amp; Draft Order'!$C$7</f>
        <v>Phantasm</v>
      </c>
      <c r="D183" s="47"/>
      <c r="E183" s="48" t="str">
        <f>IFERROR(VLOOKUP($D183,PlayerDB!$F$2:$G261,2,FALSE),"")</f>
        <v/>
      </c>
      <c r="F183" s="48" t="str">
        <f>IFERROR(VLOOKUP($D183,PlayerDB!$F$2:$H261,3,FALSE),"")</f>
        <v/>
      </c>
      <c r="G183" s="49" t="str">
        <f>IFERROR(VLOOKUP($D183,PlayerDB!$F$2:$I261,4,FALSE),"")</f>
        <v/>
      </c>
      <c r="H183" s="38"/>
      <c r="I183" s="50" t="str">
        <f>IFERROR(__xludf.DUMMYFUNCTION("JOIN("" | "",'Team Stats'!C$3:H$3)"),"0 | 0 | 0 | 0 | 0 | 0")</f>
        <v>0 | 0 | 0 | 0 | 0 | 0</v>
      </c>
      <c r="J183" s="51" t="str">
        <f>IFERROR(__xludf.DUMMYFUNCTION("JOIN("" | "",#REF!)"),"#REF!")</f>
        <v>#REF!</v>
      </c>
      <c r="L183" s="42"/>
      <c r="M183" s="52"/>
      <c r="N183" s="42"/>
      <c r="O183" s="42"/>
      <c r="P183" s="42"/>
      <c r="Q183" s="42"/>
    </row>
    <row r="184">
      <c r="A184" s="33"/>
      <c r="B184" s="34">
        <v>183.0</v>
      </c>
      <c r="C184" s="34" t="str">
        <f>'Teams &amp; Draft Order'!$C$8</f>
        <v>Icelanders</v>
      </c>
      <c r="D184" s="35"/>
      <c r="E184" s="36" t="str">
        <f>IFERROR(VLOOKUP($D184,PlayerDB!$F$2:$G261,2,FALSE),"")</f>
        <v/>
      </c>
      <c r="F184" s="36" t="str">
        <f>IFERROR(VLOOKUP($D184,PlayerDB!$F$2:$H261,3,FALSE),"")</f>
        <v/>
      </c>
      <c r="G184" s="37" t="str">
        <f>IFERROR(VLOOKUP($D184,PlayerDB!$F$2:$I261,4,FALSE),"")</f>
        <v/>
      </c>
      <c r="H184" s="38"/>
      <c r="I184" s="39" t="str">
        <f>IFERROR(__xludf.DUMMYFUNCTION("JOIN("" | "",'Team Stats'!C$4:H$4)"),"0 | 0 | 0 | 0 | 0 | 0")</f>
        <v>0 | 0 | 0 | 0 | 0 | 0</v>
      </c>
      <c r="J184" s="40" t="str">
        <f>IFERROR(__xludf.DUMMYFUNCTION("JOIN("" | "",'Team Stats'!I$11:K$11)"),"0 | 0 | 0")</f>
        <v>0 | 0 | 0</v>
      </c>
      <c r="L184" s="42"/>
      <c r="M184" s="52"/>
      <c r="N184" s="42"/>
      <c r="O184" s="42"/>
      <c r="P184" s="42"/>
      <c r="Q184" s="42"/>
    </row>
    <row r="185">
      <c r="A185" s="45"/>
      <c r="B185" s="46">
        <v>184.0</v>
      </c>
      <c r="C185" s="46" t="str">
        <f>'Teams &amp; Draft Order'!$C$9</f>
        <v>El Nino</v>
      </c>
      <c r="D185" s="47"/>
      <c r="E185" s="48" t="str">
        <f>IFERROR(VLOOKUP($D185,PlayerDB!$F$2:$G261,2,FALSE),"")</f>
        <v/>
      </c>
      <c r="F185" s="48" t="str">
        <f>IFERROR(VLOOKUP($D185,PlayerDB!$F$2:$H261,3,FALSE),"")</f>
        <v/>
      </c>
      <c r="G185" s="49" t="str">
        <f>IFERROR(VLOOKUP($D185,PlayerDB!$F$2:$I261,4,FALSE),"")</f>
        <v/>
      </c>
      <c r="H185" s="38"/>
      <c r="I185" s="50" t="str">
        <f>IFERROR(__xludf.DUMMYFUNCTION("JOIN("" | "",'Team Stats'!C$5:H$5)"),"0 | 0 | 0 | 0 | 0 | 0")</f>
        <v>0 | 0 | 0 | 0 | 0 | 0</v>
      </c>
      <c r="J185" s="51" t="str">
        <f>IFERROR(__xludf.DUMMYFUNCTION("JOIN("" | "",'Team Stats'!I$10:K$10)"),"0 | 0 | 0")</f>
        <v>0 | 0 | 0</v>
      </c>
      <c r="L185" s="42"/>
      <c r="M185" s="52"/>
      <c r="N185" s="42"/>
      <c r="O185" s="42"/>
      <c r="P185" s="42"/>
      <c r="Q185" s="42"/>
    </row>
    <row r="186">
      <c r="A186" s="33"/>
      <c r="B186" s="34">
        <v>185.0</v>
      </c>
      <c r="C186" s="34" t="str">
        <f>'Teams &amp; Draft Order'!$C$10</f>
        <v>Buttheads</v>
      </c>
      <c r="D186" s="35"/>
      <c r="E186" s="36" t="str">
        <f>IFERROR(VLOOKUP($D186,PlayerDB!$F$2:$G261,2,FALSE),"")</f>
        <v/>
      </c>
      <c r="F186" s="36" t="str">
        <f>IFERROR(VLOOKUP($D186,PlayerDB!$F$2:$H261,3,FALSE),"")</f>
        <v/>
      </c>
      <c r="G186" s="37" t="str">
        <f>IFERROR(VLOOKUP($D186,PlayerDB!$F$2:$I261,4,FALSE),"")</f>
        <v/>
      </c>
      <c r="H186" s="38"/>
      <c r="I186" s="39" t="str">
        <f>IFERROR(__xludf.DUMMYFUNCTION("JOIN("" | "",'Team Stats'!C$6:H$6)"),"0 | 0 | 0 | 0 | 0 | 0")</f>
        <v>0 | 0 | 0 | 0 | 0 | 0</v>
      </c>
      <c r="J186" s="40" t="str">
        <f>IFERROR(__xludf.DUMMYFUNCTION("JOIN("" | "",'Team Stats'!I$9:K$9)"),"0 | 0 | 0")</f>
        <v>0 | 0 | 0</v>
      </c>
      <c r="L186" s="42"/>
      <c r="M186" s="52"/>
      <c r="N186" s="42"/>
      <c r="O186" s="42"/>
      <c r="P186" s="42"/>
      <c r="Q186" s="42"/>
    </row>
    <row r="187">
      <c r="A187" s="45"/>
      <c r="B187" s="46">
        <v>186.0</v>
      </c>
      <c r="C187" s="46" t="str">
        <f>'Teams &amp; Draft Order'!$C$11</f>
        <v>Big Boys Big Work</v>
      </c>
      <c r="D187" s="47"/>
      <c r="E187" s="48" t="str">
        <f>IFERROR(VLOOKUP($D187,PlayerDB!$F$2:$G261,2,FALSE),"")</f>
        <v/>
      </c>
      <c r="F187" s="48" t="str">
        <f>IFERROR(VLOOKUP($D187,PlayerDB!$F$2:$H261,3,FALSE),"")</f>
        <v/>
      </c>
      <c r="G187" s="49" t="str">
        <f>IFERROR(VLOOKUP($D187,PlayerDB!$F$2:$I261,4,FALSE),"")</f>
        <v/>
      </c>
      <c r="H187" s="38"/>
      <c r="I187" s="50" t="str">
        <f>IFERROR(__xludf.DUMMYFUNCTION("JOIN("" | "",'Team Stats'!C$7:H$7)"),"0 | 0 | 0 | 0 | 0 | 0")</f>
        <v>0 | 0 | 0 | 0 | 0 | 0</v>
      </c>
      <c r="J187" s="51" t="str">
        <f>IFERROR(__xludf.DUMMYFUNCTION("JOIN("" | "",'Team Stats'!I$8:K$8)"),"0 | 0 | 0")</f>
        <v>0 | 0 | 0</v>
      </c>
      <c r="L187" s="42"/>
      <c r="M187" s="52"/>
      <c r="N187" s="42"/>
      <c r="O187" s="42"/>
      <c r="P187" s="42"/>
      <c r="Q187" s="42"/>
    </row>
    <row r="188">
      <c r="A188" s="33"/>
      <c r="B188" s="34">
        <v>187.0</v>
      </c>
      <c r="C188" s="34" t="str">
        <f>'Teams &amp; Draft Order'!$C$12</f>
        <v>Turbo-Ginz</v>
      </c>
      <c r="D188" s="35"/>
      <c r="E188" s="36" t="str">
        <f>IFERROR(VLOOKUP($D188,PlayerDB!$F$2:$G261,2,FALSE),"")</f>
        <v/>
      </c>
      <c r="F188" s="36" t="str">
        <f>IFERROR(VLOOKUP($D188,PlayerDB!$F$2:$H261,3,FALSE),"")</f>
        <v/>
      </c>
      <c r="G188" s="37" t="str">
        <f>IFERROR(VLOOKUP($D188,PlayerDB!$F$2:$I261,4,FALSE),"")</f>
        <v/>
      </c>
      <c r="H188" s="38"/>
      <c r="I188" s="39" t="str">
        <f>IFERROR(__xludf.DUMMYFUNCTION("JOIN("" | "",'Team Stats'!C$8:H$8)"),"0 | 0 | 0 | 0 | 0 | 0")</f>
        <v>0 | 0 | 0 | 0 | 0 | 0</v>
      </c>
      <c r="J188" s="40" t="str">
        <f>IFERROR(__xludf.DUMMYFUNCTION("JOIN("" | "",'Team Stats'!I$7:K$7)"),"0 | 0 | 0")</f>
        <v>0 | 0 | 0</v>
      </c>
      <c r="L188" s="42"/>
      <c r="M188" s="52"/>
      <c r="N188" s="42"/>
      <c r="O188" s="42"/>
      <c r="P188" s="42"/>
      <c r="Q188" s="42"/>
    </row>
    <row r="189">
      <c r="A189" s="45"/>
      <c r="B189" s="46">
        <v>188.0</v>
      </c>
      <c r="C189" s="46" t="str">
        <f>'Teams &amp; Draft Order'!$C$13</f>
        <v>Luddite</v>
      </c>
      <c r="D189" s="47"/>
      <c r="E189" s="48" t="str">
        <f>IFERROR(VLOOKUP($D189,PlayerDB!$F$2:$G261,2,FALSE),"")</f>
        <v/>
      </c>
      <c r="F189" s="48" t="str">
        <f>IFERROR(VLOOKUP($D189,PlayerDB!$F$2:$H261,3,FALSE),"")</f>
        <v/>
      </c>
      <c r="G189" s="49" t="str">
        <f>IFERROR(VLOOKUP($D189,PlayerDB!$F$2:$I261,4,FALSE),"")</f>
        <v/>
      </c>
      <c r="H189" s="38"/>
      <c r="I189" s="50" t="str">
        <f>IFERROR(__xludf.DUMMYFUNCTION("JOIN("" | "",'Team Stats'!C$9:H$9)"),"0 | 0 | 0 | 0 | 0 | 0")</f>
        <v>0 | 0 | 0 | 0 | 0 | 0</v>
      </c>
      <c r="J189" s="51" t="str">
        <f>IFERROR(__xludf.DUMMYFUNCTION("JOIN("" | "",'Team Stats'!I$6:K$6)"),"0 | 0 | 0")</f>
        <v>0 | 0 | 0</v>
      </c>
      <c r="L189" s="42"/>
      <c r="M189" s="52"/>
      <c r="N189" s="42"/>
      <c r="O189" s="42"/>
      <c r="P189" s="42"/>
      <c r="Q189" s="42"/>
    </row>
    <row r="190">
      <c r="A190" s="33"/>
      <c r="B190" s="34">
        <v>189.0</v>
      </c>
      <c r="C190" s="34" t="str">
        <f>'Teams &amp; Draft Order'!$C$14</f>
        <v>Achaians</v>
      </c>
      <c r="D190" s="35"/>
      <c r="E190" s="36" t="str">
        <f>IFERROR(VLOOKUP($D190,PlayerDB!$F$2:$G261,2,FALSE),"")</f>
        <v/>
      </c>
      <c r="F190" s="36" t="str">
        <f>IFERROR(VLOOKUP($D190,PlayerDB!$F$2:$H261,3,FALSE),"")</f>
        <v/>
      </c>
      <c r="G190" s="37" t="str">
        <f>IFERROR(VLOOKUP($D190,PlayerDB!$F$2:$I261,4,FALSE),"")</f>
        <v/>
      </c>
      <c r="H190" s="38"/>
      <c r="I190" s="39" t="str">
        <f>IFERROR(__xludf.DUMMYFUNCTION("JOIN("" | "",'Team Stats'!C$10:H$10)"),"0 | 0 | 0 | 0 | 0 | 0")</f>
        <v>0 | 0 | 0 | 0 | 0 | 0</v>
      </c>
      <c r="J190" s="40" t="str">
        <f>IFERROR(__xludf.DUMMYFUNCTION("JOIN("" | "",'Team Stats'!I$5:K$5)"),"0 | 0 | 0")</f>
        <v>0 | 0 | 0</v>
      </c>
      <c r="L190" s="42"/>
      <c r="M190" s="52"/>
      <c r="N190" s="42"/>
      <c r="O190" s="42"/>
      <c r="P190" s="42"/>
      <c r="Q190" s="42"/>
    </row>
    <row r="191">
      <c r="A191" s="54"/>
      <c r="B191" s="55">
        <v>190.0</v>
      </c>
      <c r="C191" s="55" t="str">
        <f>'Teams &amp; Draft Order'!$C$15</f>
        <v>Daddy's Dogs</v>
      </c>
      <c r="D191" s="56"/>
      <c r="E191" s="57" t="str">
        <f>IFERROR(VLOOKUP($D191,PlayerDB!$F$2:$G261,2,FALSE),"")</f>
        <v/>
      </c>
      <c r="F191" s="57" t="str">
        <f>IFERROR(VLOOKUP($D191,PlayerDB!$F$2:$H261,3,FALSE),"")</f>
        <v/>
      </c>
      <c r="G191" s="58" t="str">
        <f>IFERROR(VLOOKUP($D191,PlayerDB!$F$2:$I261,4,FALSE),"")</f>
        <v/>
      </c>
      <c r="H191" s="59"/>
      <c r="I191" s="60" t="str">
        <f>IFERROR(__xludf.DUMMYFUNCTION("JOIN("" | "",'Team Stats'!C$11:H$11)"),"0 | 0 | 0 | 0 | 0 | 0")</f>
        <v>0 | 0 | 0 | 0 | 0 | 0</v>
      </c>
      <c r="J191" s="51" t="str">
        <f>IFERROR(__xludf.DUMMYFUNCTION("JOIN("" | "",'Team Stats'!I$4:K$4)"),"0 | 0 | 0")</f>
        <v>0 | 0 | 0</v>
      </c>
      <c r="L191" s="42"/>
      <c r="M191" s="42"/>
      <c r="N191" s="42"/>
      <c r="O191" s="42"/>
      <c r="P191" s="42"/>
      <c r="Q191" s="42"/>
    </row>
    <row r="192">
      <c r="A192" s="72" t="s">
        <v>104</v>
      </c>
      <c r="B192" s="34">
        <v>191.0</v>
      </c>
      <c r="C192" s="73" t="str">
        <f>'Teams &amp; Draft Order'!$C$15</f>
        <v>Daddy's Dogs</v>
      </c>
      <c r="D192" s="74"/>
      <c r="E192" s="36" t="str">
        <f>IFERROR(VLOOKUP($D192,PlayerDB!$F$2:$G261,2,FALSE),"")</f>
        <v/>
      </c>
      <c r="F192" s="36" t="str">
        <f>IFERROR(VLOOKUP($D192,PlayerDB!$F$2:$H261,3,FALSE),"")</f>
        <v/>
      </c>
      <c r="G192" s="37" t="str">
        <f>IFERROR(VLOOKUP($D192,PlayerDB!$F$2:$I261,4,FALSE),"")</f>
        <v/>
      </c>
      <c r="H192" s="75"/>
      <c r="I192" s="76" t="str">
        <f>IFERROR(__xludf.DUMMYFUNCTION("JOIN("" | "",'Team Stats'!C$11:H$11)"),"0 | 0 | 0 | 0 | 0 | 0")</f>
        <v>0 | 0 | 0 | 0 | 0 | 0</v>
      </c>
      <c r="J192" s="40" t="str">
        <f>IFERROR(__xludf.DUMMYFUNCTION("JOIN("" | "",'Team Stats'!I$3:K$3)"),"0 | 0 | 0")</f>
        <v>0 | 0 | 0</v>
      </c>
      <c r="L192" s="42"/>
      <c r="M192" s="42"/>
      <c r="N192" s="42"/>
      <c r="O192" s="42"/>
      <c r="P192" s="42"/>
      <c r="Q192" s="42"/>
    </row>
    <row r="193">
      <c r="A193" s="45"/>
      <c r="B193" s="46">
        <v>192.0</v>
      </c>
      <c r="C193" s="46" t="str">
        <f>'Teams &amp; Draft Order'!$C$14</f>
        <v>Achaians</v>
      </c>
      <c r="D193" s="47"/>
      <c r="E193" s="48" t="str">
        <f>IFERROR(VLOOKUP($D193,PlayerDB!$F$2:$G261,2,FALSE),"")</f>
        <v/>
      </c>
      <c r="F193" s="48" t="str">
        <f>IFERROR(VLOOKUP($D193,PlayerDB!$F$2:$H261,3,FALSE),"")</f>
        <v/>
      </c>
      <c r="G193" s="49" t="str">
        <f>IFERROR(VLOOKUP($D193,PlayerDB!$F$2:$I261,4,FALSE),"")</f>
        <v/>
      </c>
      <c r="H193" s="38"/>
      <c r="I193" s="50" t="str">
        <f>IFERROR(__xludf.DUMMYFUNCTION("JOIN("" | "",'Team Stats'!C$10:H$10)"),"0 | 0 | 0 | 0 | 0 | 0")</f>
        <v>0 | 0 | 0 | 0 | 0 | 0</v>
      </c>
      <c r="J193" s="64" t="str">
        <f>IFERROR(__xludf.DUMMYFUNCTION("JOIN("" | "",'Team Stats'!I$2:K$2)"),"0 | 0 | 0")</f>
        <v>0 | 0 | 0</v>
      </c>
      <c r="L193" s="42"/>
      <c r="M193" s="42"/>
      <c r="N193" s="42"/>
      <c r="O193" s="42"/>
      <c r="P193" s="42"/>
      <c r="Q193" s="42"/>
    </row>
    <row r="194">
      <c r="A194" s="33"/>
      <c r="B194" s="34">
        <v>193.0</v>
      </c>
      <c r="C194" s="34" t="str">
        <f>'Teams &amp; Draft Order'!$C$13</f>
        <v>Luddite</v>
      </c>
      <c r="D194" s="35"/>
      <c r="E194" s="36" t="str">
        <f>IFERROR(VLOOKUP($D194,PlayerDB!$F$2:$G261,2,FALSE),"")</f>
        <v/>
      </c>
      <c r="F194" s="36" t="str">
        <f>IFERROR(VLOOKUP($D194,PlayerDB!$F$2:$H261,3,FALSE),"")</f>
        <v/>
      </c>
      <c r="G194" s="37" t="str">
        <f>IFERROR(VLOOKUP($D194,PlayerDB!$F$2:$I261,4,FALSE),"")</f>
        <v/>
      </c>
      <c r="H194" s="38"/>
      <c r="I194" s="39" t="str">
        <f>IFERROR(__xludf.DUMMYFUNCTION("JOIN("" | "",'Team Stats'!C$9:H$9)"),"0 | 0 | 0 | 0 | 0 | 0")</f>
        <v>0 | 0 | 0 | 0 | 0 | 0</v>
      </c>
      <c r="J194" s="40" t="str">
        <f>IFERROR(__xludf.DUMMYFUNCTION("JOIN("" | "",'Team Stats'!I$2:K$2)"),"0 | 0 | 0")</f>
        <v>0 | 0 | 0</v>
      </c>
      <c r="L194" s="42"/>
      <c r="M194" s="42"/>
      <c r="N194" s="42"/>
      <c r="O194" s="42"/>
      <c r="P194" s="42"/>
      <c r="Q194" s="42"/>
    </row>
    <row r="195">
      <c r="A195" s="45"/>
      <c r="B195" s="46">
        <v>194.0</v>
      </c>
      <c r="C195" s="46" t="str">
        <f>'Teams &amp; Draft Order'!$C$12</f>
        <v>Turbo-Ginz</v>
      </c>
      <c r="D195" s="47"/>
      <c r="E195" s="48" t="str">
        <f>IFERROR(VLOOKUP($D195,PlayerDB!$F$2:$G261,2,FALSE),"")</f>
        <v/>
      </c>
      <c r="F195" s="48" t="str">
        <f>IFERROR(VLOOKUP($D195,PlayerDB!$F$2:$H261,3,FALSE),"")</f>
        <v/>
      </c>
      <c r="G195" s="49" t="str">
        <f>IFERROR(VLOOKUP($D195,PlayerDB!$F$2:$I261,4,FALSE),"")</f>
        <v/>
      </c>
      <c r="H195" s="38"/>
      <c r="I195" s="50" t="str">
        <f>IFERROR(__xludf.DUMMYFUNCTION("JOIN("" | "",'Team Stats'!C$8:H$8)"),"0 | 0 | 0 | 0 | 0 | 0")</f>
        <v>0 | 0 | 0 | 0 | 0 | 0</v>
      </c>
      <c r="J195" s="51" t="str">
        <f>IFERROR(__xludf.DUMMYFUNCTION("JOIN("" | "",'Team Stats'!I$3:K$3)"),"0 | 0 | 0")</f>
        <v>0 | 0 | 0</v>
      </c>
      <c r="L195" s="42"/>
      <c r="M195" s="42"/>
      <c r="N195" s="42"/>
      <c r="O195" s="42"/>
      <c r="P195" s="42"/>
      <c r="Q195" s="42"/>
    </row>
    <row r="196">
      <c r="A196" s="33"/>
      <c r="B196" s="34">
        <v>195.0</v>
      </c>
      <c r="C196" s="34" t="str">
        <f>'Teams &amp; Draft Order'!$C$11</f>
        <v>Big Boys Big Work</v>
      </c>
      <c r="D196" s="35"/>
      <c r="E196" s="36" t="str">
        <f>IFERROR(VLOOKUP($D196,PlayerDB!$F$2:$G261,2,FALSE),"")</f>
        <v/>
      </c>
      <c r="F196" s="36" t="str">
        <f>IFERROR(VLOOKUP($D196,PlayerDB!$F$2:$H261,3,FALSE),"")</f>
        <v/>
      </c>
      <c r="G196" s="37" t="str">
        <f>IFERROR(VLOOKUP($D196,PlayerDB!$F$2:$I261,4,FALSE),"")</f>
        <v/>
      </c>
      <c r="H196" s="38"/>
      <c r="I196" s="39" t="str">
        <f>IFERROR(__xludf.DUMMYFUNCTION("JOIN("" | "",'Team Stats'!C$7:H$7)"),"0 | 0 | 0 | 0 | 0 | 0")</f>
        <v>0 | 0 | 0 | 0 | 0 | 0</v>
      </c>
      <c r="J196" s="40" t="str">
        <f>IFERROR(__xludf.DUMMYFUNCTION("JOIN("" | "",'Team Stats'!I$4:K$4)"),"0 | 0 | 0")</f>
        <v>0 | 0 | 0</v>
      </c>
      <c r="L196" s="42"/>
      <c r="M196" s="42"/>
      <c r="N196" s="42"/>
      <c r="O196" s="42"/>
      <c r="P196" s="42"/>
      <c r="Q196" s="42"/>
    </row>
    <row r="197">
      <c r="A197" s="45"/>
      <c r="B197" s="46">
        <v>196.0</v>
      </c>
      <c r="C197" s="46" t="str">
        <f>'Teams &amp; Draft Order'!$C$10</f>
        <v>Buttheads</v>
      </c>
      <c r="D197" s="47"/>
      <c r="E197" s="48" t="str">
        <f>IFERROR(VLOOKUP($D197,PlayerDB!$F$2:$G261,2,FALSE),"")</f>
        <v/>
      </c>
      <c r="F197" s="48" t="str">
        <f>IFERROR(VLOOKUP($D197,PlayerDB!$F$2:$H261,3,FALSE),"")</f>
        <v/>
      </c>
      <c r="G197" s="49" t="str">
        <f>IFERROR(VLOOKUP($D197,PlayerDB!$F$2:$I261,4,FALSE),"")</f>
        <v/>
      </c>
      <c r="H197" s="38"/>
      <c r="I197" s="50" t="str">
        <f>IFERROR(__xludf.DUMMYFUNCTION("JOIN("" | "",'Team Stats'!C$6:H$6)"),"0 | 0 | 0 | 0 | 0 | 0")</f>
        <v>0 | 0 | 0 | 0 | 0 | 0</v>
      </c>
      <c r="J197" s="51" t="str">
        <f>IFERROR(__xludf.DUMMYFUNCTION("JOIN("" | "",'Team Stats'!I$5:K$5)"),"0 | 0 | 0")</f>
        <v>0 | 0 | 0</v>
      </c>
      <c r="L197" s="42"/>
      <c r="M197" s="42"/>
      <c r="N197" s="42"/>
      <c r="O197" s="42"/>
      <c r="P197" s="42"/>
      <c r="Q197" s="42"/>
    </row>
    <row r="198">
      <c r="A198" s="33"/>
      <c r="B198" s="34">
        <v>197.0</v>
      </c>
      <c r="C198" s="34" t="str">
        <f>'Teams &amp; Draft Order'!$C$9</f>
        <v>El Nino</v>
      </c>
      <c r="D198" s="35"/>
      <c r="E198" s="36" t="str">
        <f>IFERROR(VLOOKUP($D198,PlayerDB!$F$2:$G261,2,FALSE),"")</f>
        <v/>
      </c>
      <c r="F198" s="36" t="str">
        <f>IFERROR(VLOOKUP($D198,PlayerDB!$F$2:$H261,3,FALSE),"")</f>
        <v/>
      </c>
      <c r="G198" s="37" t="str">
        <f>IFERROR(VLOOKUP($D198,PlayerDB!$F$2:$I261,4,FALSE),"")</f>
        <v/>
      </c>
      <c r="H198" s="38"/>
      <c r="I198" s="39" t="str">
        <f>IFERROR(__xludf.DUMMYFUNCTION("JOIN("" | "",'Team Stats'!C$5:H$5)"),"0 | 0 | 0 | 0 | 0 | 0")</f>
        <v>0 | 0 | 0 | 0 | 0 | 0</v>
      </c>
      <c r="J198" s="40" t="str">
        <f>IFERROR(__xludf.DUMMYFUNCTION("JOIN("" | "",'Team Stats'!I$6:K$6)"),"0 | 0 | 0")</f>
        <v>0 | 0 | 0</v>
      </c>
      <c r="L198" s="42"/>
      <c r="M198" s="42"/>
      <c r="N198" s="42"/>
      <c r="O198" s="42"/>
      <c r="P198" s="42"/>
      <c r="Q198" s="42"/>
    </row>
    <row r="199">
      <c r="A199" s="45"/>
      <c r="B199" s="46">
        <v>198.0</v>
      </c>
      <c r="C199" s="46" t="str">
        <f>'Teams &amp; Draft Order'!$C$8</f>
        <v>Icelanders</v>
      </c>
      <c r="D199" s="47"/>
      <c r="E199" s="48" t="str">
        <f>IFERROR(VLOOKUP($D199,PlayerDB!$F$2:$G261,2,FALSE),"")</f>
        <v/>
      </c>
      <c r="F199" s="48" t="str">
        <f>IFERROR(VLOOKUP($D199,PlayerDB!$F$2:$H261,3,FALSE),"")</f>
        <v/>
      </c>
      <c r="G199" s="49" t="str">
        <f>IFERROR(VLOOKUP($D199,PlayerDB!$F$2:$I261,4,FALSE),"")</f>
        <v/>
      </c>
      <c r="H199" s="38"/>
      <c r="I199" s="50" t="str">
        <f>IFERROR(__xludf.DUMMYFUNCTION("JOIN("" | "",'Team Stats'!C$4:H$4)"),"0 | 0 | 0 | 0 | 0 | 0")</f>
        <v>0 | 0 | 0 | 0 | 0 | 0</v>
      </c>
      <c r="J199" s="51" t="str">
        <f>IFERROR(__xludf.DUMMYFUNCTION("JOIN("" | "",'Team Stats'!I$7:K$7)"),"0 | 0 | 0")</f>
        <v>0 | 0 | 0</v>
      </c>
      <c r="L199" s="42"/>
      <c r="M199" s="42"/>
      <c r="N199" s="42"/>
      <c r="O199" s="42"/>
      <c r="P199" s="42"/>
      <c r="Q199" s="42"/>
    </row>
    <row r="200">
      <c r="A200" s="33"/>
      <c r="B200" s="34">
        <v>199.0</v>
      </c>
      <c r="C200" s="34" t="str">
        <f>'Teams &amp; Draft Order'!$C$7</f>
        <v>Phantasm</v>
      </c>
      <c r="D200" s="35"/>
      <c r="E200" s="36" t="str">
        <f>IFERROR(VLOOKUP($D200,PlayerDB!$F$2:$G261,2,FALSE),"")</f>
        <v/>
      </c>
      <c r="F200" s="36" t="str">
        <f>IFERROR(VLOOKUP($D200,PlayerDB!$F$2:$H261,3,FALSE),"")</f>
        <v/>
      </c>
      <c r="G200" s="37" t="str">
        <f>IFERROR(VLOOKUP($D200,PlayerDB!$F$2:$I261,4,FALSE),"")</f>
        <v/>
      </c>
      <c r="H200" s="38"/>
      <c r="I200" s="39" t="str">
        <f>IFERROR(__xludf.DUMMYFUNCTION("JOIN("" | "",'Team Stats'!C$3:H$3)"),"0 | 0 | 0 | 0 | 0 | 0")</f>
        <v>0 | 0 | 0 | 0 | 0 | 0</v>
      </c>
      <c r="J200" s="40" t="str">
        <f>IFERROR(__xludf.DUMMYFUNCTION("JOIN("" | "",'Team Stats'!I$8:K$8)"),"0 | 0 | 0")</f>
        <v>0 | 0 | 0</v>
      </c>
      <c r="L200" s="42"/>
      <c r="M200" s="42"/>
      <c r="N200" s="42"/>
      <c r="O200" s="42"/>
      <c r="P200" s="42"/>
      <c r="Q200" s="42"/>
    </row>
    <row r="201">
      <c r="A201" s="54"/>
      <c r="B201" s="55">
        <v>200.0</v>
      </c>
      <c r="C201" s="55" t="str">
        <f>'Teams &amp; Draft Order'!$C$6</f>
        <v>Sleeper Cell </v>
      </c>
      <c r="D201" s="56"/>
      <c r="E201" s="57" t="str">
        <f>IFERROR(VLOOKUP($D201,PlayerDB!$F$2:$G261,2,FALSE),"")</f>
        <v/>
      </c>
      <c r="F201" s="57" t="str">
        <f>IFERROR(VLOOKUP($D201,PlayerDB!$F$2:$H261,3,FALSE),"")</f>
        <v/>
      </c>
      <c r="G201" s="58" t="str">
        <f>IFERROR(VLOOKUP($D201,PlayerDB!$F$2:$I261,4,FALSE),"")</f>
        <v/>
      </c>
      <c r="H201" s="59"/>
      <c r="I201" s="60" t="str">
        <f>IFERROR(__xludf.DUMMYFUNCTION("JOIN("" | "",'Team Stats'!C$2:H$2)"),"1 | 0 | 0 | 0 | 0 | 0")</f>
        <v>1 | 0 | 0 | 0 | 0 | 0</v>
      </c>
      <c r="J201" s="51" t="str">
        <f>IFERROR(__xludf.DUMMYFUNCTION("JOIN("" | "",'Team Stats'!I$9:K$9)"),"0 | 0 | 0")</f>
        <v>0 | 0 | 0</v>
      </c>
      <c r="L201" s="42"/>
      <c r="M201" s="42"/>
      <c r="N201" s="42"/>
      <c r="O201" s="42"/>
      <c r="P201" s="42"/>
      <c r="Q201" s="42"/>
    </row>
    <row r="202">
      <c r="A202" s="33" t="s">
        <v>105</v>
      </c>
      <c r="B202" s="34">
        <v>201.0</v>
      </c>
      <c r="C202" s="34" t="str">
        <f>'Teams &amp; Draft Order'!$C$6</f>
        <v>Sleeper Cell </v>
      </c>
      <c r="D202" s="35"/>
      <c r="E202" s="36" t="str">
        <f>IFERROR(VLOOKUP($D202,PlayerDB!$F$2:$G261,2,FALSE),"")</f>
        <v/>
      </c>
      <c r="F202" s="36" t="str">
        <f>IFERROR(VLOOKUP($D202,PlayerDB!$F$2:$H261,3,FALSE),"")</f>
        <v/>
      </c>
      <c r="G202" s="37" t="str">
        <f>IFERROR(VLOOKUP($D202,PlayerDB!$F$2:$I261,4,FALSE),"")</f>
        <v/>
      </c>
      <c r="H202" s="38"/>
      <c r="I202" s="39" t="str">
        <f>IFERROR(__xludf.DUMMYFUNCTION("JOIN("" | "",'Team Stats'!C$2:H$2)"),"1 | 0 | 0 | 0 | 0 | 0")</f>
        <v>1 | 0 | 0 | 0 | 0 | 0</v>
      </c>
      <c r="J202" s="40" t="str">
        <f>IFERROR(__xludf.DUMMYFUNCTION("JOIN("" | "",'Team Stats'!I$10:K$10)"),"0 | 0 | 0")</f>
        <v>0 | 0 | 0</v>
      </c>
      <c r="L202" s="42"/>
      <c r="M202" s="42"/>
      <c r="N202" s="42"/>
      <c r="O202" s="42"/>
      <c r="P202" s="42"/>
      <c r="Q202" s="42"/>
    </row>
    <row r="203">
      <c r="A203" s="45"/>
      <c r="B203" s="46">
        <v>202.0</v>
      </c>
      <c r="C203" s="46" t="str">
        <f>'Teams &amp; Draft Order'!$C$7</f>
        <v>Phantasm</v>
      </c>
      <c r="D203" s="47"/>
      <c r="E203" s="48" t="str">
        <f>IFERROR(VLOOKUP($D203,PlayerDB!$F$2:$G261,2,FALSE),"")</f>
        <v/>
      </c>
      <c r="F203" s="48" t="str">
        <f>IFERROR(VLOOKUP($D203,PlayerDB!$F$2:$H261,3,FALSE),"")</f>
        <v/>
      </c>
      <c r="G203" s="49" t="str">
        <f>IFERROR(VLOOKUP($D203,PlayerDB!$F$2:$I261,4,FALSE),"")</f>
        <v/>
      </c>
      <c r="H203" s="38"/>
      <c r="I203" s="50" t="str">
        <f>IFERROR(__xludf.DUMMYFUNCTION("JOIN("" | "",'Team Stats'!C$3:H$3)"),"0 | 0 | 0 | 0 | 0 | 0")</f>
        <v>0 | 0 | 0 | 0 | 0 | 0</v>
      </c>
      <c r="J203" s="51" t="str">
        <f>IFERROR(__xludf.DUMMYFUNCTION("JOIN("" | "",'Team Stats'!I$11:K$11)"),"0 | 0 | 0")</f>
        <v>0 | 0 | 0</v>
      </c>
      <c r="L203" s="42"/>
      <c r="M203" s="42"/>
      <c r="N203" s="42"/>
      <c r="O203" s="42"/>
      <c r="P203" s="42"/>
      <c r="Q203" s="42"/>
    </row>
    <row r="204">
      <c r="A204" s="33"/>
      <c r="B204" s="34">
        <v>203.0</v>
      </c>
      <c r="C204" s="34" t="str">
        <f>'Teams &amp; Draft Order'!$C$8</f>
        <v>Icelanders</v>
      </c>
      <c r="D204" s="35"/>
      <c r="E204" s="36" t="str">
        <f>IFERROR(VLOOKUP($D204,PlayerDB!$F$2:$G261,2,FALSE),"")</f>
        <v/>
      </c>
      <c r="F204" s="36" t="str">
        <f>IFERROR(VLOOKUP($D204,PlayerDB!$F$2:$H261,3,FALSE),"")</f>
        <v/>
      </c>
      <c r="G204" s="37" t="str">
        <f>IFERROR(VLOOKUP($D204,PlayerDB!$F$2:$I261,4,FALSE),"")</f>
        <v/>
      </c>
      <c r="H204" s="38"/>
      <c r="I204" s="39" t="str">
        <f>IFERROR(__xludf.DUMMYFUNCTION("JOIN("" | "",'Team Stats'!C$4:H$4)"),"0 | 0 | 0 | 0 | 0 | 0")</f>
        <v>0 | 0 | 0 | 0 | 0 | 0</v>
      </c>
      <c r="J204" s="40" t="str">
        <f>IFERROR(__xludf.DUMMYFUNCTION("JOIN("" | "",#REF!)"),"#REF!")</f>
        <v>#REF!</v>
      </c>
      <c r="L204" s="42"/>
      <c r="M204" s="42"/>
      <c r="N204" s="42"/>
      <c r="O204" s="42"/>
      <c r="P204" s="42"/>
      <c r="Q204" s="42"/>
    </row>
    <row r="205">
      <c r="A205" s="45"/>
      <c r="B205" s="46">
        <v>204.0</v>
      </c>
      <c r="C205" s="46" t="str">
        <f>'Teams &amp; Draft Order'!$C$9</f>
        <v>El Nino</v>
      </c>
      <c r="D205" s="47"/>
      <c r="E205" s="48" t="str">
        <f>IFERROR(VLOOKUP($D205,PlayerDB!$F$2:$G261,2,FALSE),"")</f>
        <v/>
      </c>
      <c r="F205" s="48" t="str">
        <f>IFERROR(VLOOKUP($D205,PlayerDB!$F$2:$H261,3,FALSE),"")</f>
        <v/>
      </c>
      <c r="G205" s="49" t="str">
        <f>IFERROR(VLOOKUP($D205,PlayerDB!$F$2:$I261,4,FALSE),"")</f>
        <v/>
      </c>
      <c r="H205" s="38"/>
      <c r="I205" s="50" t="str">
        <f>IFERROR(__xludf.DUMMYFUNCTION("JOIN("" | "",'Team Stats'!C$5:H$5)"),"0 | 0 | 0 | 0 | 0 | 0")</f>
        <v>0 | 0 | 0 | 0 | 0 | 0</v>
      </c>
      <c r="J205" s="51" t="str">
        <f>IFERROR(__xludf.DUMMYFUNCTION("JOIN("" | "",#REF!)"),"#REF!")</f>
        <v>#REF!</v>
      </c>
      <c r="L205" s="42"/>
      <c r="M205" s="42"/>
      <c r="N205" s="42"/>
      <c r="O205" s="42"/>
      <c r="P205" s="42"/>
      <c r="Q205" s="42"/>
    </row>
    <row r="206">
      <c r="A206" s="33"/>
      <c r="B206" s="34">
        <v>205.0</v>
      </c>
      <c r="C206" s="34" t="str">
        <f>'Teams &amp; Draft Order'!$C$10</f>
        <v>Buttheads</v>
      </c>
      <c r="D206" s="35"/>
      <c r="E206" s="36" t="str">
        <f>IFERROR(VLOOKUP($D206,PlayerDB!$F$2:$G261,2,FALSE),"")</f>
        <v/>
      </c>
      <c r="F206" s="36" t="str">
        <f>IFERROR(VLOOKUP($D206,PlayerDB!$F$2:$H261,3,FALSE),"")</f>
        <v/>
      </c>
      <c r="G206" s="37" t="str">
        <f>IFERROR(VLOOKUP($D206,PlayerDB!$F$2:$I261,4,FALSE),"")</f>
        <v/>
      </c>
      <c r="H206" s="38"/>
      <c r="I206" s="39" t="str">
        <f>IFERROR(__xludf.DUMMYFUNCTION("JOIN("" | "",'Team Stats'!C$6:H$6)"),"0 | 0 | 0 | 0 | 0 | 0")</f>
        <v>0 | 0 | 0 | 0 | 0 | 0</v>
      </c>
      <c r="J206" s="62" t="str">
        <f>IFERROR(__xludf.DUMMYFUNCTION("JOIN("" | "",#REF!)"),"#REF!")</f>
        <v>#REF!</v>
      </c>
      <c r="L206" s="42"/>
      <c r="M206" s="42"/>
      <c r="N206" s="42"/>
      <c r="O206" s="42"/>
      <c r="P206" s="42"/>
      <c r="Q206" s="42"/>
    </row>
    <row r="207">
      <c r="A207" s="45"/>
      <c r="B207" s="46">
        <v>206.0</v>
      </c>
      <c r="C207" s="46" t="str">
        <f>'Teams &amp; Draft Order'!$C$11</f>
        <v>Big Boys Big Work</v>
      </c>
      <c r="D207" s="47"/>
      <c r="E207" s="48" t="str">
        <f>IFERROR(VLOOKUP($D207,PlayerDB!$F$2:$G261,2,FALSE),"")</f>
        <v/>
      </c>
      <c r="F207" s="48" t="str">
        <f>IFERROR(VLOOKUP($D207,PlayerDB!$F$2:$H261,3,FALSE),"")</f>
        <v/>
      </c>
      <c r="G207" s="49" t="str">
        <f>IFERROR(VLOOKUP($D207,PlayerDB!$F$2:$I261,4,FALSE),"")</f>
        <v/>
      </c>
      <c r="H207" s="38"/>
      <c r="I207" s="50" t="str">
        <f>IFERROR(__xludf.DUMMYFUNCTION("JOIN("" | "",'Team Stats'!C$7:H$7)"),"0 | 0 | 0 | 0 | 0 | 0")</f>
        <v>0 | 0 | 0 | 0 | 0 | 0</v>
      </c>
      <c r="J207" s="51" t="str">
        <f>IFERROR(__xludf.DUMMYFUNCTION("JOIN("" | "",#REF!)"),"#REF!")</f>
        <v>#REF!</v>
      </c>
      <c r="L207" s="42"/>
      <c r="M207" s="42"/>
      <c r="N207" s="42"/>
      <c r="O207" s="42"/>
      <c r="P207" s="42"/>
      <c r="Q207" s="42"/>
    </row>
    <row r="208">
      <c r="A208" s="33"/>
      <c r="B208" s="34">
        <v>207.0</v>
      </c>
      <c r="C208" s="34" t="str">
        <f>'Teams &amp; Draft Order'!$C$12</f>
        <v>Turbo-Ginz</v>
      </c>
      <c r="D208" s="35"/>
      <c r="E208" s="36" t="str">
        <f>IFERROR(VLOOKUP($D208,PlayerDB!$F$2:$G261,2,FALSE),"")</f>
        <v/>
      </c>
      <c r="F208" s="36" t="str">
        <f>IFERROR(VLOOKUP($D208,PlayerDB!$F$2:$H261,3,FALSE),"")</f>
        <v/>
      </c>
      <c r="G208" s="37" t="str">
        <f>IFERROR(VLOOKUP($D208,PlayerDB!$F$2:$I261,4,FALSE),"")</f>
        <v/>
      </c>
      <c r="H208" s="38"/>
      <c r="I208" s="39" t="str">
        <f>IFERROR(__xludf.DUMMYFUNCTION("JOIN("" | "",'Team Stats'!C$8:H$8)"),"0 | 0 | 0 | 0 | 0 | 0")</f>
        <v>0 | 0 | 0 | 0 | 0 | 0</v>
      </c>
      <c r="J208" s="40" t="str">
        <f>IFERROR(__xludf.DUMMYFUNCTION("JOIN("" | "",'Team Stats'!I$11:K$11)"),"0 | 0 | 0")</f>
        <v>0 | 0 | 0</v>
      </c>
      <c r="L208" s="42"/>
      <c r="M208" s="42"/>
      <c r="N208" s="42"/>
      <c r="O208" s="42"/>
      <c r="P208" s="42"/>
      <c r="Q208" s="42"/>
    </row>
    <row r="209">
      <c r="A209" s="45"/>
      <c r="B209" s="46">
        <v>208.0</v>
      </c>
      <c r="C209" s="46" t="str">
        <f>'Teams &amp; Draft Order'!$C$13</f>
        <v>Luddite</v>
      </c>
      <c r="D209" s="47"/>
      <c r="E209" s="48" t="str">
        <f>IFERROR(VLOOKUP($D209,PlayerDB!$F$2:$G261,2,FALSE),"")</f>
        <v/>
      </c>
      <c r="F209" s="48" t="str">
        <f>IFERROR(VLOOKUP($D209,PlayerDB!$F$2:$H261,3,FALSE),"")</f>
        <v/>
      </c>
      <c r="G209" s="49" t="str">
        <f>IFERROR(VLOOKUP($D209,PlayerDB!$F$2:$I261,4,FALSE),"")</f>
        <v/>
      </c>
      <c r="H209" s="38"/>
      <c r="I209" s="50" t="str">
        <f>IFERROR(__xludf.DUMMYFUNCTION("JOIN("" | "",'Team Stats'!C$9:H$9)"),"0 | 0 | 0 | 0 | 0 | 0")</f>
        <v>0 | 0 | 0 | 0 | 0 | 0</v>
      </c>
      <c r="J209" s="51" t="str">
        <f>IFERROR(__xludf.DUMMYFUNCTION("JOIN("" | "",'Team Stats'!I$10:K$10)"),"0 | 0 | 0")</f>
        <v>0 | 0 | 0</v>
      </c>
      <c r="L209" s="42"/>
      <c r="M209" s="42"/>
      <c r="N209" s="42"/>
      <c r="O209" s="42"/>
      <c r="P209" s="42"/>
      <c r="Q209" s="42"/>
    </row>
    <row r="210">
      <c r="A210" s="33"/>
      <c r="B210" s="34">
        <v>209.0</v>
      </c>
      <c r="C210" s="34" t="str">
        <f>'Teams &amp; Draft Order'!$C$14</f>
        <v>Achaians</v>
      </c>
      <c r="D210" s="35"/>
      <c r="E210" s="36" t="str">
        <f>IFERROR(VLOOKUP($D210,PlayerDB!$F$2:$G261,2,FALSE),"")</f>
        <v/>
      </c>
      <c r="F210" s="36" t="str">
        <f>IFERROR(VLOOKUP($D210,PlayerDB!$F$2:$H261,3,FALSE),"")</f>
        <v/>
      </c>
      <c r="G210" s="37" t="str">
        <f>IFERROR(VLOOKUP($D210,PlayerDB!$F$2:$I261,4,FALSE),"")</f>
        <v/>
      </c>
      <c r="H210" s="38"/>
      <c r="I210" s="39" t="str">
        <f>IFERROR(__xludf.DUMMYFUNCTION("JOIN("" | "",'Team Stats'!C$10:H$10)"),"0 | 0 | 0 | 0 | 0 | 0")</f>
        <v>0 | 0 | 0 | 0 | 0 | 0</v>
      </c>
      <c r="J210" s="40" t="str">
        <f>IFERROR(__xludf.DUMMYFUNCTION("JOIN("" | "",'Team Stats'!I$9:K$9)"),"0 | 0 | 0")</f>
        <v>0 | 0 | 0</v>
      </c>
      <c r="L210" s="42"/>
      <c r="M210" s="42"/>
      <c r="N210" s="42"/>
      <c r="O210" s="42"/>
      <c r="P210" s="42"/>
      <c r="Q210" s="42"/>
    </row>
    <row r="211">
      <c r="A211" s="54"/>
      <c r="B211" s="55">
        <v>210.0</v>
      </c>
      <c r="C211" s="55" t="str">
        <f>'Teams &amp; Draft Order'!$C$15</f>
        <v>Daddy's Dogs</v>
      </c>
      <c r="D211" s="56"/>
      <c r="E211" s="57" t="str">
        <f>IFERROR(VLOOKUP($D211,PlayerDB!$F$2:$G261,2,FALSE),"")</f>
        <v/>
      </c>
      <c r="F211" s="57" t="str">
        <f>IFERROR(VLOOKUP($D211,PlayerDB!$F$2:$H261,3,FALSE),"")</f>
        <v/>
      </c>
      <c r="G211" s="58" t="str">
        <f>IFERROR(VLOOKUP($D211,PlayerDB!$F$2:$I261,4,FALSE),"")</f>
        <v/>
      </c>
      <c r="H211" s="59"/>
      <c r="I211" s="60" t="str">
        <f>IFERROR(__xludf.DUMMYFUNCTION("JOIN("" | "",'Team Stats'!C$11:H$11)"),"0 | 0 | 0 | 0 | 0 | 0")</f>
        <v>0 | 0 | 0 | 0 | 0 | 0</v>
      </c>
      <c r="J211" s="51" t="str">
        <f>IFERROR(__xludf.DUMMYFUNCTION("JOIN("" | "",'Team Stats'!I$8:K$8)"),"0 | 0 | 0")</f>
        <v>0 | 0 | 0</v>
      </c>
      <c r="L211" s="42"/>
      <c r="M211" s="42"/>
      <c r="N211" s="42"/>
      <c r="O211" s="42"/>
      <c r="P211" s="42"/>
      <c r="Q211" s="42"/>
    </row>
    <row r="212">
      <c r="A212" s="72" t="s">
        <v>106</v>
      </c>
      <c r="B212" s="34">
        <v>211.0</v>
      </c>
      <c r="C212" s="73" t="str">
        <f>'Teams &amp; Draft Order'!$C$15</f>
        <v>Daddy's Dogs</v>
      </c>
      <c r="D212" s="74"/>
      <c r="E212" s="36" t="str">
        <f>IFERROR(VLOOKUP($D212,PlayerDB!$F$2:$G261,2,FALSE),"")</f>
        <v/>
      </c>
      <c r="F212" s="36" t="str">
        <f>IFERROR(VLOOKUP($D212,PlayerDB!$F$2:$H261,3,FALSE),"")</f>
        <v/>
      </c>
      <c r="G212" s="37" t="str">
        <f>IFERROR(VLOOKUP($D212,PlayerDB!$F$2:$I261,4,FALSE),"")</f>
        <v/>
      </c>
      <c r="H212" s="75"/>
      <c r="I212" s="76" t="str">
        <f>IFERROR(__xludf.DUMMYFUNCTION("JOIN("" | "",'Team Stats'!C$11:H$11)"),"0 | 0 | 0 | 0 | 0 | 0")</f>
        <v>0 | 0 | 0 | 0 | 0 | 0</v>
      </c>
      <c r="J212" s="40" t="str">
        <f>IFERROR(__xludf.DUMMYFUNCTION("JOIN("" | "",'Team Stats'!I$7:K$7)"),"0 | 0 | 0")</f>
        <v>0 | 0 | 0</v>
      </c>
      <c r="L212" s="42"/>
      <c r="M212" s="42"/>
      <c r="N212" s="42"/>
      <c r="O212" s="42"/>
      <c r="P212" s="42"/>
      <c r="Q212" s="42"/>
    </row>
    <row r="213">
      <c r="A213" s="45"/>
      <c r="B213" s="46">
        <v>212.0</v>
      </c>
      <c r="C213" s="46" t="str">
        <f>'Teams &amp; Draft Order'!$C$14</f>
        <v>Achaians</v>
      </c>
      <c r="D213" s="47"/>
      <c r="E213" s="48" t="str">
        <f>IFERROR(VLOOKUP($D213,PlayerDB!$F$2:$G261,2,FALSE),"")</f>
        <v/>
      </c>
      <c r="F213" s="48" t="str">
        <f>IFERROR(VLOOKUP($D213,PlayerDB!$F$2:$H261,3,FALSE),"")</f>
        <v/>
      </c>
      <c r="G213" s="49" t="str">
        <f>IFERROR(VLOOKUP($D213,PlayerDB!$F$2:$I261,4,FALSE),"")</f>
        <v/>
      </c>
      <c r="H213" s="38"/>
      <c r="I213" s="50" t="str">
        <f>IFERROR(__xludf.DUMMYFUNCTION("JOIN("" | "",'Team Stats'!C$10:H$10)"),"0 | 0 | 0 | 0 | 0 | 0")</f>
        <v>0 | 0 | 0 | 0 | 0 | 0</v>
      </c>
      <c r="J213" s="51" t="str">
        <f>IFERROR(__xludf.DUMMYFUNCTION("JOIN("" | "",'Team Stats'!I$6:K$6)"),"0 | 0 | 0")</f>
        <v>0 | 0 | 0</v>
      </c>
      <c r="L213" s="42"/>
      <c r="M213" s="42"/>
      <c r="N213" s="42"/>
      <c r="O213" s="42"/>
      <c r="P213" s="42"/>
      <c r="Q213" s="42"/>
    </row>
    <row r="214">
      <c r="A214" s="33"/>
      <c r="B214" s="34">
        <v>213.0</v>
      </c>
      <c r="C214" s="34" t="str">
        <f>'Teams &amp; Draft Order'!$C$13</f>
        <v>Luddite</v>
      </c>
      <c r="D214" s="35"/>
      <c r="E214" s="36" t="str">
        <f>IFERROR(VLOOKUP($D214,PlayerDB!$F$2:$G261,2,FALSE),"")</f>
        <v/>
      </c>
      <c r="F214" s="36" t="str">
        <f>IFERROR(VLOOKUP($D214,PlayerDB!$F$2:$H261,3,FALSE),"")</f>
        <v/>
      </c>
      <c r="G214" s="37" t="str">
        <f>IFERROR(VLOOKUP($D214,PlayerDB!$F$2:$I261,4,FALSE),"")</f>
        <v/>
      </c>
      <c r="H214" s="38"/>
      <c r="I214" s="39" t="str">
        <f>IFERROR(__xludf.DUMMYFUNCTION("JOIN("" | "",'Team Stats'!C$9:H$9)"),"0 | 0 | 0 | 0 | 0 | 0")</f>
        <v>0 | 0 | 0 | 0 | 0 | 0</v>
      </c>
      <c r="J214" s="40" t="str">
        <f>IFERROR(__xludf.DUMMYFUNCTION("JOIN("" | "",'Team Stats'!I$5:K$5)"),"0 | 0 | 0")</f>
        <v>0 | 0 | 0</v>
      </c>
      <c r="L214" s="42"/>
      <c r="M214" s="42"/>
      <c r="N214" s="42"/>
      <c r="O214" s="42"/>
      <c r="P214" s="42"/>
      <c r="Q214" s="42"/>
    </row>
    <row r="215">
      <c r="A215" s="45"/>
      <c r="B215" s="46">
        <v>214.0</v>
      </c>
      <c r="C215" s="46" t="str">
        <f>'Teams &amp; Draft Order'!$C$12</f>
        <v>Turbo-Ginz</v>
      </c>
      <c r="D215" s="47"/>
      <c r="E215" s="48" t="str">
        <f>IFERROR(VLOOKUP($D215,PlayerDB!$F$2:$G261,2,FALSE),"")</f>
        <v/>
      </c>
      <c r="F215" s="48" t="str">
        <f>IFERROR(VLOOKUP($D215,PlayerDB!$F$2:$H261,3,FALSE),"")</f>
        <v/>
      </c>
      <c r="G215" s="49" t="str">
        <f>IFERROR(VLOOKUP($D215,PlayerDB!$F$2:$I261,4,FALSE),"")</f>
        <v/>
      </c>
      <c r="H215" s="38"/>
      <c r="I215" s="50" t="str">
        <f>IFERROR(__xludf.DUMMYFUNCTION("JOIN("" | "",'Team Stats'!C$8:H$8)"),"0 | 0 | 0 | 0 | 0 | 0")</f>
        <v>0 | 0 | 0 | 0 | 0 | 0</v>
      </c>
      <c r="J215" s="51" t="str">
        <f>IFERROR(__xludf.DUMMYFUNCTION("JOIN("" | "",'Team Stats'!I$4:K$4)"),"0 | 0 | 0")</f>
        <v>0 | 0 | 0</v>
      </c>
      <c r="L215" s="42"/>
      <c r="M215" s="42"/>
      <c r="N215" s="42"/>
      <c r="O215" s="42"/>
      <c r="P215" s="42"/>
      <c r="Q215" s="42"/>
    </row>
    <row r="216">
      <c r="A216" s="33"/>
      <c r="B216" s="34">
        <v>215.0</v>
      </c>
      <c r="C216" s="34" t="str">
        <f>'Teams &amp; Draft Order'!$C$11</f>
        <v>Big Boys Big Work</v>
      </c>
      <c r="D216" s="35"/>
      <c r="E216" s="36" t="str">
        <f>IFERROR(VLOOKUP($D216,PlayerDB!$F$2:$G261,2,FALSE),"")</f>
        <v/>
      </c>
      <c r="F216" s="36" t="str">
        <f>IFERROR(VLOOKUP($D216,PlayerDB!$F$2:$H261,3,FALSE),"")</f>
        <v/>
      </c>
      <c r="G216" s="37" t="str">
        <f>IFERROR(VLOOKUP($D216,PlayerDB!$F$2:$I261,4,FALSE),"")</f>
        <v/>
      </c>
      <c r="H216" s="38"/>
      <c r="I216" s="39" t="str">
        <f>IFERROR(__xludf.DUMMYFUNCTION("JOIN("" | "",'Team Stats'!C$7:H$7)"),"0 | 0 | 0 | 0 | 0 | 0")</f>
        <v>0 | 0 | 0 | 0 | 0 | 0</v>
      </c>
      <c r="J216" s="40" t="str">
        <f>IFERROR(__xludf.DUMMYFUNCTION("JOIN("" | "",'Team Stats'!I$3:K$3)"),"0 | 0 | 0")</f>
        <v>0 | 0 | 0</v>
      </c>
      <c r="L216" s="42"/>
      <c r="M216" s="42"/>
      <c r="N216" s="42"/>
      <c r="O216" s="42"/>
      <c r="P216" s="42"/>
      <c r="Q216" s="42"/>
    </row>
    <row r="217">
      <c r="A217" s="45"/>
      <c r="B217" s="46">
        <v>216.0</v>
      </c>
      <c r="C217" s="46" t="str">
        <f>'Teams &amp; Draft Order'!$C$10</f>
        <v>Buttheads</v>
      </c>
      <c r="D217" s="47"/>
      <c r="E217" s="48" t="str">
        <f>IFERROR(VLOOKUP($D217,PlayerDB!$F$2:$G261,2,FALSE),"")</f>
        <v/>
      </c>
      <c r="F217" s="48" t="str">
        <f>IFERROR(VLOOKUP($D217,PlayerDB!$F$2:$H261,3,FALSE),"")</f>
        <v/>
      </c>
      <c r="G217" s="49" t="str">
        <f>IFERROR(VLOOKUP($D217,PlayerDB!$F$2:$I261,4,FALSE),"")</f>
        <v/>
      </c>
      <c r="H217" s="38"/>
      <c r="I217" s="50" t="str">
        <f>IFERROR(__xludf.DUMMYFUNCTION("JOIN("" | "",'Team Stats'!C$6:H$6)"),"0 | 0 | 0 | 0 | 0 | 0")</f>
        <v>0 | 0 | 0 | 0 | 0 | 0</v>
      </c>
      <c r="J217" s="64" t="str">
        <f>IFERROR(__xludf.DUMMYFUNCTION("JOIN("" | "",'Team Stats'!I$2:K$2)"),"0 | 0 | 0")</f>
        <v>0 | 0 | 0</v>
      </c>
      <c r="L217" s="42"/>
      <c r="M217" s="42"/>
      <c r="N217" s="42"/>
      <c r="O217" s="42"/>
      <c r="P217" s="42"/>
      <c r="Q217" s="42"/>
    </row>
    <row r="218">
      <c r="A218" s="33"/>
      <c r="B218" s="34">
        <v>217.0</v>
      </c>
      <c r="C218" s="34" t="str">
        <f>'Teams &amp; Draft Order'!$C$9</f>
        <v>El Nino</v>
      </c>
      <c r="D218" s="35"/>
      <c r="E218" s="36" t="str">
        <f>IFERROR(VLOOKUP($D218,PlayerDB!$F$2:$G261,2,FALSE),"")</f>
        <v/>
      </c>
      <c r="F218" s="36" t="str">
        <f>IFERROR(VLOOKUP($D218,PlayerDB!$F$2:$H261,3,FALSE),"")</f>
        <v/>
      </c>
      <c r="G218" s="37" t="str">
        <f>IFERROR(VLOOKUP($D218,PlayerDB!$F$2:$I261,4,FALSE),"")</f>
        <v/>
      </c>
      <c r="H218" s="38"/>
      <c r="I218" s="39" t="str">
        <f>IFERROR(__xludf.DUMMYFUNCTION("JOIN("" | "",'Team Stats'!C$5:H$5)"),"0 | 0 | 0 | 0 | 0 | 0")</f>
        <v>0 | 0 | 0 | 0 | 0 | 0</v>
      </c>
      <c r="J218" s="77" t="str">
        <f>IFERROR(__xludf.DUMMYFUNCTION("JOIN("" | "",'Team Stats'!I$2:K$2)"),"0 | 0 | 0")</f>
        <v>0 | 0 | 0</v>
      </c>
      <c r="L218" s="42"/>
      <c r="M218" s="42"/>
      <c r="N218" s="42"/>
      <c r="O218" s="42"/>
      <c r="P218" s="42"/>
      <c r="Q218" s="42"/>
    </row>
    <row r="219">
      <c r="A219" s="45"/>
      <c r="B219" s="46">
        <v>218.0</v>
      </c>
      <c r="C219" s="46" t="str">
        <f>'Teams &amp; Draft Order'!$C$8</f>
        <v>Icelanders</v>
      </c>
      <c r="D219" s="47"/>
      <c r="E219" s="48" t="str">
        <f>IFERROR(VLOOKUP($D219,PlayerDB!$F$2:$G261,2,FALSE),"")</f>
        <v/>
      </c>
      <c r="F219" s="48" t="str">
        <f>IFERROR(VLOOKUP($D219,PlayerDB!$F$2:$H261,3,FALSE),"")</f>
        <v/>
      </c>
      <c r="G219" s="49" t="str">
        <f>IFERROR(VLOOKUP($D219,PlayerDB!$F$2:$I261,4,FALSE),"")</f>
        <v/>
      </c>
      <c r="H219" s="38"/>
      <c r="I219" s="50" t="str">
        <f>IFERROR(__xludf.DUMMYFUNCTION("JOIN("" | "",'Team Stats'!C$4:H$4)"),"0 | 0 | 0 | 0 | 0 | 0")</f>
        <v>0 | 0 | 0 | 0 | 0 | 0</v>
      </c>
      <c r="J219" s="78" t="str">
        <f>IFERROR(__xludf.DUMMYFUNCTION("JOIN("" | "",'Team Stats'!I$3:K$3)"),"0 | 0 | 0")</f>
        <v>0 | 0 | 0</v>
      </c>
      <c r="L219" s="42"/>
      <c r="M219" s="42"/>
      <c r="N219" s="42"/>
      <c r="O219" s="42"/>
      <c r="P219" s="42"/>
      <c r="Q219" s="42"/>
    </row>
    <row r="220">
      <c r="A220" s="33"/>
      <c r="B220" s="34">
        <v>219.0</v>
      </c>
      <c r="C220" s="34" t="str">
        <f>'Teams &amp; Draft Order'!$C$7</f>
        <v>Phantasm</v>
      </c>
      <c r="D220" s="35"/>
      <c r="E220" s="36" t="str">
        <f>IFERROR(VLOOKUP($D220,PlayerDB!$F$2:$G261,2,FALSE),"")</f>
        <v/>
      </c>
      <c r="F220" s="36" t="str">
        <f>IFERROR(VLOOKUP($D220,PlayerDB!$F$2:$H261,3,FALSE),"")</f>
        <v/>
      </c>
      <c r="G220" s="37" t="str">
        <f>IFERROR(VLOOKUP($D220,PlayerDB!$F$2:$I261,4,FALSE),"")</f>
        <v/>
      </c>
      <c r="H220" s="38"/>
      <c r="I220" s="39" t="str">
        <f>IFERROR(__xludf.DUMMYFUNCTION("JOIN("" | "",'Team Stats'!C$3:H$3)"),"0 | 0 | 0 | 0 | 0 | 0")</f>
        <v>0 | 0 | 0 | 0 | 0 | 0</v>
      </c>
      <c r="J220" s="79" t="str">
        <f>IFERROR(__xludf.DUMMYFUNCTION("JOIN("" | "",'Team Stats'!I$4:K$4)"),"0 | 0 | 0")</f>
        <v>0 | 0 | 0</v>
      </c>
      <c r="L220" s="42"/>
      <c r="M220" s="42"/>
      <c r="N220" s="42"/>
      <c r="O220" s="42"/>
      <c r="P220" s="42"/>
      <c r="Q220" s="42"/>
    </row>
    <row r="221">
      <c r="A221" s="54"/>
      <c r="B221" s="55">
        <v>220.0</v>
      </c>
      <c r="C221" s="55" t="str">
        <f>'Teams &amp; Draft Order'!$C$6</f>
        <v>Sleeper Cell </v>
      </c>
      <c r="D221" s="56"/>
      <c r="E221" s="57" t="str">
        <f>IFERROR(VLOOKUP($D221,PlayerDB!$F$2:$G261,2,FALSE),"")</f>
        <v/>
      </c>
      <c r="F221" s="57" t="str">
        <f>IFERROR(VLOOKUP($D221,PlayerDB!$F$2:$H261,3,FALSE),"")</f>
        <v/>
      </c>
      <c r="G221" s="58" t="str">
        <f>IFERROR(VLOOKUP($D221,PlayerDB!$F$2:$I261,4,FALSE),"")</f>
        <v/>
      </c>
      <c r="H221" s="59"/>
      <c r="I221" s="60" t="str">
        <f>IFERROR(__xludf.DUMMYFUNCTION("JOIN("" | "",'Team Stats'!C$2:H$2)"),"1 | 0 | 0 | 0 | 0 | 0")</f>
        <v>1 | 0 | 0 | 0 | 0 | 0</v>
      </c>
      <c r="J221" s="78" t="str">
        <f>IFERROR(__xludf.DUMMYFUNCTION("JOIN("" | "",'Team Stats'!I$5:K$5)"),"0 | 0 | 0")</f>
        <v>0 | 0 | 0</v>
      </c>
      <c r="L221" s="42"/>
      <c r="M221" s="42"/>
      <c r="N221" s="42"/>
      <c r="O221" s="42"/>
      <c r="P221" s="42"/>
      <c r="Q221" s="42"/>
    </row>
    <row r="222">
      <c r="A222" s="33" t="s">
        <v>107</v>
      </c>
      <c r="B222" s="34">
        <v>221.0</v>
      </c>
      <c r="C222" s="34" t="str">
        <f>'Teams &amp; Draft Order'!$C$6</f>
        <v>Sleeper Cell </v>
      </c>
      <c r="D222" s="35"/>
      <c r="E222" s="36" t="str">
        <f>IFERROR(VLOOKUP($D222,PlayerDB!$F$2:$G261,2,FALSE),"")</f>
        <v/>
      </c>
      <c r="F222" s="36" t="str">
        <f>IFERROR(VLOOKUP($D222,PlayerDB!$F$2:$H261,3,FALSE),"")</f>
        <v/>
      </c>
      <c r="G222" s="37" t="str">
        <f>IFERROR(VLOOKUP($D222,PlayerDB!$F$2:$I261,4,FALSE),"")</f>
        <v/>
      </c>
      <c r="H222" s="38"/>
      <c r="I222" s="39" t="str">
        <f>IFERROR(__xludf.DUMMYFUNCTION("JOIN("" | "",'Team Stats'!C$2:H$2)"),"1 | 0 | 0 | 0 | 0 | 0")</f>
        <v>1 | 0 | 0 | 0 | 0 | 0</v>
      </c>
      <c r="J222" s="79" t="str">
        <f>IFERROR(__xludf.DUMMYFUNCTION("JOIN("" | "",'Team Stats'!I$6:K$6)"),"0 | 0 | 0")</f>
        <v>0 | 0 | 0</v>
      </c>
      <c r="L222" s="42"/>
      <c r="M222" s="42"/>
      <c r="N222" s="42"/>
      <c r="O222" s="42"/>
      <c r="P222" s="42"/>
      <c r="Q222" s="42"/>
    </row>
    <row r="223">
      <c r="A223" s="45"/>
      <c r="B223" s="46">
        <v>222.0</v>
      </c>
      <c r="C223" s="46" t="str">
        <f>'Teams &amp; Draft Order'!$C$7</f>
        <v>Phantasm</v>
      </c>
      <c r="D223" s="47"/>
      <c r="E223" s="48" t="str">
        <f>IFERROR(VLOOKUP($D223,PlayerDB!$F$2:$G261,2,FALSE),"")</f>
        <v/>
      </c>
      <c r="F223" s="48" t="str">
        <f>IFERROR(VLOOKUP($D223,PlayerDB!$F$2:$H261,3,FALSE),"")</f>
        <v/>
      </c>
      <c r="G223" s="49" t="str">
        <f>IFERROR(VLOOKUP($D223,PlayerDB!$F$2:$I261,4,FALSE),"")</f>
        <v/>
      </c>
      <c r="H223" s="38"/>
      <c r="I223" s="50" t="str">
        <f>IFERROR(__xludf.DUMMYFUNCTION("JOIN("" | "",'Team Stats'!C$3:H$3)"),"0 | 0 | 0 | 0 | 0 | 0")</f>
        <v>0 | 0 | 0 | 0 | 0 | 0</v>
      </c>
      <c r="J223" s="78" t="str">
        <f>IFERROR(__xludf.DUMMYFUNCTION("JOIN("" | "",'Team Stats'!I$7:K$7)"),"0 | 0 | 0")</f>
        <v>0 | 0 | 0</v>
      </c>
      <c r="L223" s="42"/>
      <c r="M223" s="42"/>
      <c r="N223" s="42"/>
      <c r="O223" s="42"/>
      <c r="P223" s="42"/>
      <c r="Q223" s="42"/>
    </row>
    <row r="224">
      <c r="A224" s="33"/>
      <c r="B224" s="34">
        <v>223.0</v>
      </c>
      <c r="C224" s="34" t="str">
        <f>'Teams &amp; Draft Order'!$C$8</f>
        <v>Icelanders</v>
      </c>
      <c r="D224" s="35"/>
      <c r="E224" s="36" t="str">
        <f>IFERROR(VLOOKUP($D224,PlayerDB!$F$2:$G261,2,FALSE),"")</f>
        <v/>
      </c>
      <c r="F224" s="36" t="str">
        <f>IFERROR(VLOOKUP($D224,PlayerDB!$F$2:$H261,3,FALSE),"")</f>
        <v/>
      </c>
      <c r="G224" s="37" t="str">
        <f>IFERROR(VLOOKUP($D224,PlayerDB!$F$2:$I261,4,FALSE),"")</f>
        <v/>
      </c>
      <c r="H224" s="38"/>
      <c r="I224" s="39" t="str">
        <f>IFERROR(__xludf.DUMMYFUNCTION("JOIN("" | "",'Team Stats'!C$4:H$4)"),"0 | 0 | 0 | 0 | 0 | 0")</f>
        <v>0 | 0 | 0 | 0 | 0 | 0</v>
      </c>
      <c r="J224" s="79" t="str">
        <f>IFERROR(__xludf.DUMMYFUNCTION("JOIN("" | "",'Team Stats'!I$8:K$8)"),"0 | 0 | 0")</f>
        <v>0 | 0 | 0</v>
      </c>
      <c r="L224" s="42"/>
      <c r="M224" s="42"/>
      <c r="N224" s="42"/>
      <c r="O224" s="42"/>
      <c r="P224" s="42"/>
      <c r="Q224" s="42"/>
    </row>
    <row r="225">
      <c r="A225" s="45"/>
      <c r="B225" s="46">
        <v>224.0</v>
      </c>
      <c r="C225" s="46" t="str">
        <f>'Teams &amp; Draft Order'!$C$9</f>
        <v>El Nino</v>
      </c>
      <c r="D225" s="47"/>
      <c r="E225" s="48" t="str">
        <f>IFERROR(VLOOKUP($D225,PlayerDB!$F$2:$G261,2,FALSE),"")</f>
        <v/>
      </c>
      <c r="F225" s="48" t="str">
        <f>IFERROR(VLOOKUP($D225,PlayerDB!$F$2:$H261,3,FALSE),"")</f>
        <v/>
      </c>
      <c r="G225" s="49" t="str">
        <f>IFERROR(VLOOKUP($D225,PlayerDB!$F$2:$I261,4,FALSE),"")</f>
        <v/>
      </c>
      <c r="H225" s="38"/>
      <c r="I225" s="50" t="str">
        <f>IFERROR(__xludf.DUMMYFUNCTION("JOIN("" | "",'Team Stats'!C$5:H$5)"),"0 | 0 | 0 | 0 | 0 | 0")</f>
        <v>0 | 0 | 0 | 0 | 0 | 0</v>
      </c>
      <c r="J225" s="78" t="str">
        <f>IFERROR(__xludf.DUMMYFUNCTION("JOIN("" | "",'Team Stats'!I$9:K$9)"),"0 | 0 | 0")</f>
        <v>0 | 0 | 0</v>
      </c>
      <c r="L225" s="42"/>
      <c r="M225" s="42"/>
      <c r="N225" s="42"/>
      <c r="O225" s="42"/>
      <c r="P225" s="42"/>
      <c r="Q225" s="42"/>
    </row>
    <row r="226">
      <c r="A226" s="33"/>
      <c r="B226" s="34">
        <v>225.0</v>
      </c>
      <c r="C226" s="34" t="str">
        <f>'Teams &amp; Draft Order'!$C$10</f>
        <v>Buttheads</v>
      </c>
      <c r="D226" s="35"/>
      <c r="E226" s="36" t="str">
        <f>IFERROR(VLOOKUP($D226,PlayerDB!$F$2:$G261,2,FALSE),"")</f>
        <v/>
      </c>
      <c r="F226" s="36" t="str">
        <f>IFERROR(VLOOKUP($D226,PlayerDB!$F$2:$H261,3,FALSE),"")</f>
        <v/>
      </c>
      <c r="G226" s="37" t="str">
        <f>IFERROR(VLOOKUP($D226,PlayerDB!$F$2:$I261,4,FALSE),"")</f>
        <v/>
      </c>
      <c r="H226" s="38"/>
      <c r="I226" s="39" t="str">
        <f>IFERROR(__xludf.DUMMYFUNCTION("JOIN("" | "",'Team Stats'!C$6:H$6)"),"0 | 0 | 0 | 0 | 0 | 0")</f>
        <v>0 | 0 | 0 | 0 | 0 | 0</v>
      </c>
      <c r="J226" s="79" t="str">
        <f>IFERROR(__xludf.DUMMYFUNCTION("JOIN("" | "",'Team Stats'!I$10:K$10)"),"0 | 0 | 0")</f>
        <v>0 | 0 | 0</v>
      </c>
      <c r="L226" s="42"/>
      <c r="M226" s="42"/>
      <c r="N226" s="42"/>
      <c r="O226" s="42"/>
      <c r="P226" s="42"/>
      <c r="Q226" s="42"/>
    </row>
    <row r="227">
      <c r="A227" s="45"/>
      <c r="B227" s="46">
        <v>226.0</v>
      </c>
      <c r="C227" s="46" t="str">
        <f>'Teams &amp; Draft Order'!$C$11</f>
        <v>Big Boys Big Work</v>
      </c>
      <c r="D227" s="47"/>
      <c r="E227" s="48" t="str">
        <f>IFERROR(VLOOKUP($D227,PlayerDB!$F$2:$G261,2,FALSE),"")</f>
        <v/>
      </c>
      <c r="F227" s="48" t="str">
        <f>IFERROR(VLOOKUP($D227,PlayerDB!$F$2:$H261,3,FALSE),"")</f>
        <v/>
      </c>
      <c r="G227" s="49" t="str">
        <f>IFERROR(VLOOKUP($D227,PlayerDB!$F$2:$I261,4,FALSE),"")</f>
        <v/>
      </c>
      <c r="H227" s="38"/>
      <c r="I227" s="50" t="str">
        <f>IFERROR(__xludf.DUMMYFUNCTION("JOIN("" | "",'Team Stats'!C$7:H$7)"),"0 | 0 | 0 | 0 | 0 | 0")</f>
        <v>0 | 0 | 0 | 0 | 0 | 0</v>
      </c>
      <c r="J227" s="78" t="str">
        <f>IFERROR(__xludf.DUMMYFUNCTION("JOIN("" | "",'Team Stats'!I$11:K$11)"),"0 | 0 | 0")</f>
        <v>0 | 0 | 0</v>
      </c>
      <c r="L227" s="42"/>
      <c r="M227" s="42"/>
      <c r="N227" s="42"/>
      <c r="O227" s="42"/>
      <c r="P227" s="42"/>
      <c r="Q227" s="42"/>
    </row>
    <row r="228">
      <c r="A228" s="33"/>
      <c r="B228" s="34">
        <v>227.0</v>
      </c>
      <c r="C228" s="34" t="str">
        <f>'Teams &amp; Draft Order'!$C$12</f>
        <v>Turbo-Ginz</v>
      </c>
      <c r="D228" s="35"/>
      <c r="E228" s="36" t="str">
        <f>IFERROR(VLOOKUP($D228,PlayerDB!$F$2:$G261,2,FALSE),"")</f>
        <v/>
      </c>
      <c r="F228" s="36" t="str">
        <f>IFERROR(VLOOKUP($D228,PlayerDB!$F$2:$H261,3,FALSE),"")</f>
        <v/>
      </c>
      <c r="G228" s="37" t="str">
        <f>IFERROR(VLOOKUP($D228,PlayerDB!$F$2:$I261,4,FALSE),"")</f>
        <v/>
      </c>
      <c r="H228" s="38"/>
      <c r="I228" s="39" t="str">
        <f>IFERROR(__xludf.DUMMYFUNCTION("JOIN("" | "",'Team Stats'!C$8:H$8)"),"0 | 0 | 0 | 0 | 0 | 0")</f>
        <v>0 | 0 | 0 | 0 | 0 | 0</v>
      </c>
      <c r="J228" s="79" t="str">
        <f>IFERROR(__xludf.DUMMYFUNCTION("JOIN("" | "",#REF!)"),"#REF!")</f>
        <v>#REF!</v>
      </c>
      <c r="L228" s="42"/>
      <c r="M228" s="42"/>
      <c r="N228" s="42"/>
      <c r="O228" s="42"/>
      <c r="P228" s="42"/>
      <c r="Q228" s="42"/>
    </row>
    <row r="229">
      <c r="A229" s="45"/>
      <c r="B229" s="46">
        <v>228.0</v>
      </c>
      <c r="C229" s="46" t="str">
        <f>'Teams &amp; Draft Order'!$C$13</f>
        <v>Luddite</v>
      </c>
      <c r="D229" s="47"/>
      <c r="E229" s="48" t="str">
        <f>IFERROR(VLOOKUP($D229,PlayerDB!$F$2:$G261,2,FALSE),"")</f>
        <v/>
      </c>
      <c r="F229" s="48" t="str">
        <f>IFERROR(VLOOKUP($D229,PlayerDB!$F$2:$H261,3,FALSE),"")</f>
        <v/>
      </c>
      <c r="G229" s="49" t="str">
        <f>IFERROR(VLOOKUP($D229,PlayerDB!$F$2:$I261,4,FALSE),"")</f>
        <v/>
      </c>
      <c r="H229" s="38"/>
      <c r="I229" s="50" t="str">
        <f>IFERROR(__xludf.DUMMYFUNCTION("JOIN("" | "",'Team Stats'!C$9:H$9)"),"0 | 0 | 0 | 0 | 0 | 0")</f>
        <v>0 | 0 | 0 | 0 | 0 | 0</v>
      </c>
      <c r="J229" s="78" t="str">
        <f>IFERROR(__xludf.DUMMYFUNCTION("JOIN("" | "",#REF!)"),"#REF!")</f>
        <v>#REF!</v>
      </c>
      <c r="L229" s="42"/>
      <c r="M229" s="42"/>
      <c r="N229" s="42"/>
      <c r="O229" s="42"/>
      <c r="P229" s="42"/>
      <c r="Q229" s="42"/>
    </row>
    <row r="230">
      <c r="A230" s="33"/>
      <c r="B230" s="34">
        <v>229.0</v>
      </c>
      <c r="C230" s="34" t="str">
        <f>'Teams &amp; Draft Order'!$C$14</f>
        <v>Achaians</v>
      </c>
      <c r="D230" s="35"/>
      <c r="E230" s="36" t="str">
        <f>IFERROR(VLOOKUP($D230,PlayerDB!$F$2:$G261,2,FALSE),"")</f>
        <v/>
      </c>
      <c r="F230" s="36" t="str">
        <f>IFERROR(VLOOKUP($D230,PlayerDB!$F$2:$H261,3,FALSE),"")</f>
        <v/>
      </c>
      <c r="G230" s="37" t="str">
        <f>IFERROR(VLOOKUP($D230,PlayerDB!$F$2:$I261,4,FALSE),"")</f>
        <v/>
      </c>
      <c r="H230" s="38"/>
      <c r="I230" s="39" t="str">
        <f>IFERROR(__xludf.DUMMYFUNCTION("JOIN("" | "",'Team Stats'!C$10:H$10)"),"0 | 0 | 0 | 0 | 0 | 0")</f>
        <v>0 | 0 | 0 | 0 | 0 | 0</v>
      </c>
      <c r="J230" s="77" t="str">
        <f>IFERROR(__xludf.DUMMYFUNCTION("JOIN("" | "",#REF!)"),"#REF!")</f>
        <v>#REF!</v>
      </c>
      <c r="L230" s="42"/>
      <c r="M230" s="42"/>
      <c r="N230" s="42"/>
      <c r="O230" s="42"/>
      <c r="P230" s="42"/>
      <c r="Q230" s="42"/>
    </row>
    <row r="231">
      <c r="A231" s="54"/>
      <c r="B231" s="55">
        <v>230.0</v>
      </c>
      <c r="C231" s="55" t="str">
        <f>'Teams &amp; Draft Order'!$C$15</f>
        <v>Daddy's Dogs</v>
      </c>
      <c r="D231" s="56"/>
      <c r="E231" s="57" t="str">
        <f>IFERROR(VLOOKUP($D231,PlayerDB!$F$2:$G261,2,FALSE),"")</f>
        <v/>
      </c>
      <c r="F231" s="57" t="str">
        <f>IFERROR(VLOOKUP($D231,PlayerDB!$F$2:$H261,3,FALSE),"")</f>
        <v/>
      </c>
      <c r="G231" s="58" t="str">
        <f>IFERROR(VLOOKUP($D231,PlayerDB!$F$2:$I261,4,FALSE),"")</f>
        <v/>
      </c>
      <c r="H231" s="59"/>
      <c r="I231" s="60" t="str">
        <f>IFERROR(__xludf.DUMMYFUNCTION("JOIN("" | "",'Team Stats'!C$11:H$11)"),"0 | 0 | 0 | 0 | 0 | 0")</f>
        <v>0 | 0 | 0 | 0 | 0 | 0</v>
      </c>
      <c r="J231" s="78" t="str">
        <f>IFERROR(__xludf.DUMMYFUNCTION("JOIN("" | "",#REF!)"),"#REF!")</f>
        <v>#REF!</v>
      </c>
      <c r="L231" s="42"/>
      <c r="M231" s="42"/>
      <c r="N231" s="42"/>
      <c r="O231" s="42"/>
      <c r="P231" s="42"/>
      <c r="Q231" s="42"/>
    </row>
    <row r="232">
      <c r="A232" s="72" t="s">
        <v>108</v>
      </c>
      <c r="B232" s="34">
        <v>231.0</v>
      </c>
      <c r="C232" s="73" t="str">
        <f>'Teams &amp; Draft Order'!$C$15</f>
        <v>Daddy's Dogs</v>
      </c>
      <c r="D232" s="74"/>
      <c r="E232" s="36" t="str">
        <f>IFERROR(VLOOKUP($D232,PlayerDB!$F$2:$G261,2,FALSE),"")</f>
        <v/>
      </c>
      <c r="F232" s="36" t="str">
        <f>IFERROR(VLOOKUP($D232,PlayerDB!$F$2:$H261,3,FALSE),"")</f>
        <v/>
      </c>
      <c r="G232" s="37" t="str">
        <f>IFERROR(VLOOKUP($D232,PlayerDB!$F$2:$I261,4,FALSE),"")</f>
        <v/>
      </c>
      <c r="H232" s="75"/>
      <c r="I232" s="76" t="str">
        <f>IFERROR(__xludf.DUMMYFUNCTION("JOIN("" | "",'Team Stats'!C$11:H$11)"),"0 | 0 | 0 | 0 | 0 | 0")</f>
        <v>0 | 0 | 0 | 0 | 0 | 0</v>
      </c>
      <c r="J232" s="79" t="str">
        <f>IFERROR(__xludf.DUMMYFUNCTION("JOIN("" | "",'Team Stats'!I$11:K$11)"),"0 | 0 | 0")</f>
        <v>0 | 0 | 0</v>
      </c>
      <c r="L232" s="42"/>
      <c r="M232" s="42"/>
      <c r="N232" s="42"/>
      <c r="O232" s="42"/>
      <c r="P232" s="42"/>
      <c r="Q232" s="42"/>
    </row>
    <row r="233">
      <c r="A233" s="45"/>
      <c r="B233" s="46">
        <v>232.0</v>
      </c>
      <c r="C233" s="46" t="str">
        <f>'Teams &amp; Draft Order'!$C$14</f>
        <v>Achaians</v>
      </c>
      <c r="D233" s="47"/>
      <c r="E233" s="48" t="str">
        <f>IFERROR(VLOOKUP($D233,PlayerDB!$F$2:$G261,2,FALSE),"")</f>
        <v/>
      </c>
      <c r="F233" s="48" t="str">
        <f>IFERROR(VLOOKUP($D233,PlayerDB!$F$2:$H261,3,FALSE),"")</f>
        <v/>
      </c>
      <c r="G233" s="49" t="str">
        <f>IFERROR(VLOOKUP($D233,PlayerDB!$F$2:$I261,4,FALSE),"")</f>
        <v/>
      </c>
      <c r="H233" s="38"/>
      <c r="I233" s="50" t="str">
        <f>IFERROR(__xludf.DUMMYFUNCTION("JOIN("" | "",'Team Stats'!C$10:H$10)"),"0 | 0 | 0 | 0 | 0 | 0")</f>
        <v>0 | 0 | 0 | 0 | 0 | 0</v>
      </c>
      <c r="J233" s="78" t="str">
        <f>IFERROR(__xludf.DUMMYFUNCTION("JOIN("" | "",'Team Stats'!I$10:K$10)"),"0 | 0 | 0")</f>
        <v>0 | 0 | 0</v>
      </c>
      <c r="L233" s="42"/>
      <c r="M233" s="42"/>
      <c r="N233" s="42"/>
      <c r="O233" s="42"/>
      <c r="P233" s="42"/>
      <c r="Q233" s="42"/>
    </row>
    <row r="234">
      <c r="A234" s="33"/>
      <c r="B234" s="34">
        <v>233.0</v>
      </c>
      <c r="C234" s="34" t="str">
        <f>'Teams &amp; Draft Order'!$C$13</f>
        <v>Luddite</v>
      </c>
      <c r="D234" s="35"/>
      <c r="E234" s="36" t="str">
        <f>IFERROR(VLOOKUP($D234,PlayerDB!$F$2:$G261,2,FALSE),"")</f>
        <v/>
      </c>
      <c r="F234" s="36" t="str">
        <f>IFERROR(VLOOKUP($D234,PlayerDB!$F$2:$H261,3,FALSE),"")</f>
        <v/>
      </c>
      <c r="G234" s="37" t="str">
        <f>IFERROR(VLOOKUP($D234,PlayerDB!$F$2:$I261,4,FALSE),"")</f>
        <v/>
      </c>
      <c r="H234" s="38"/>
      <c r="I234" s="39" t="str">
        <f>IFERROR(__xludf.DUMMYFUNCTION("JOIN("" | "",'Team Stats'!C$9:H$9)"),"0 | 0 | 0 | 0 | 0 | 0")</f>
        <v>0 | 0 | 0 | 0 | 0 | 0</v>
      </c>
      <c r="J234" s="79" t="str">
        <f>IFERROR(__xludf.DUMMYFUNCTION("JOIN("" | "",'Team Stats'!I$9:K$9)"),"0 | 0 | 0")</f>
        <v>0 | 0 | 0</v>
      </c>
      <c r="L234" s="42"/>
      <c r="M234" s="42"/>
      <c r="N234" s="42"/>
      <c r="O234" s="42"/>
      <c r="P234" s="42"/>
      <c r="Q234" s="42"/>
    </row>
    <row r="235">
      <c r="A235" s="45"/>
      <c r="B235" s="46">
        <v>234.0</v>
      </c>
      <c r="C235" s="46" t="str">
        <f>'Teams &amp; Draft Order'!$C$12</f>
        <v>Turbo-Ginz</v>
      </c>
      <c r="D235" s="47"/>
      <c r="E235" s="48" t="str">
        <f>IFERROR(VLOOKUP($D235,PlayerDB!$F$2:$G261,2,FALSE),"")</f>
        <v/>
      </c>
      <c r="F235" s="48" t="str">
        <f>IFERROR(VLOOKUP($D235,PlayerDB!$F$2:$H261,3,FALSE),"")</f>
        <v/>
      </c>
      <c r="G235" s="49" t="str">
        <f>IFERROR(VLOOKUP($D235,PlayerDB!$F$2:$I261,4,FALSE),"")</f>
        <v/>
      </c>
      <c r="H235" s="38"/>
      <c r="I235" s="50" t="str">
        <f>IFERROR(__xludf.DUMMYFUNCTION("JOIN("" | "",'Team Stats'!C$8:H$8)"),"0 | 0 | 0 | 0 | 0 | 0")</f>
        <v>0 | 0 | 0 | 0 | 0 | 0</v>
      </c>
      <c r="J235" s="78" t="str">
        <f>IFERROR(__xludf.DUMMYFUNCTION("JOIN("" | "",'Team Stats'!I$8:K$8)"),"0 | 0 | 0")</f>
        <v>0 | 0 | 0</v>
      </c>
      <c r="L235" s="42"/>
      <c r="M235" s="42"/>
      <c r="N235" s="42"/>
      <c r="O235" s="42"/>
      <c r="P235" s="42"/>
      <c r="Q235" s="42"/>
    </row>
    <row r="236">
      <c r="A236" s="33"/>
      <c r="B236" s="34">
        <v>235.0</v>
      </c>
      <c r="C236" s="34" t="str">
        <f>'Teams &amp; Draft Order'!$C$11</f>
        <v>Big Boys Big Work</v>
      </c>
      <c r="D236" s="35"/>
      <c r="E236" s="36" t="str">
        <f>IFERROR(VLOOKUP($D236,PlayerDB!$F$2:$G261,2,FALSE),"")</f>
        <v/>
      </c>
      <c r="F236" s="36" t="str">
        <f>IFERROR(VLOOKUP($D236,PlayerDB!$F$2:$H261,3,FALSE),"")</f>
        <v/>
      </c>
      <c r="G236" s="37" t="str">
        <f>IFERROR(VLOOKUP($D236,PlayerDB!$F$2:$I261,4,FALSE),"")</f>
        <v/>
      </c>
      <c r="H236" s="38"/>
      <c r="I236" s="39" t="str">
        <f>IFERROR(__xludf.DUMMYFUNCTION("JOIN("" | "",'Team Stats'!C$7:H$7)"),"0 | 0 | 0 | 0 | 0 | 0")</f>
        <v>0 | 0 | 0 | 0 | 0 | 0</v>
      </c>
      <c r="J236" s="79" t="str">
        <f>IFERROR(__xludf.DUMMYFUNCTION("JOIN("" | "",'Team Stats'!I$7:K$7)"),"0 | 0 | 0")</f>
        <v>0 | 0 | 0</v>
      </c>
      <c r="L236" s="42"/>
      <c r="M236" s="42"/>
      <c r="N236" s="42"/>
      <c r="O236" s="42"/>
      <c r="P236" s="42"/>
      <c r="Q236" s="42"/>
    </row>
    <row r="237">
      <c r="A237" s="45"/>
      <c r="B237" s="46">
        <v>236.0</v>
      </c>
      <c r="C237" s="46" t="str">
        <f>'Teams &amp; Draft Order'!$C$10</f>
        <v>Buttheads</v>
      </c>
      <c r="D237" s="47"/>
      <c r="E237" s="48" t="str">
        <f>IFERROR(VLOOKUP($D237,PlayerDB!$F$2:$G261,2,FALSE),"")</f>
        <v/>
      </c>
      <c r="F237" s="48" t="str">
        <f>IFERROR(VLOOKUP($D237,PlayerDB!$F$2:$H261,3,FALSE),"")</f>
        <v/>
      </c>
      <c r="G237" s="49" t="str">
        <f>IFERROR(VLOOKUP($D237,PlayerDB!$F$2:$I261,4,FALSE),"")</f>
        <v/>
      </c>
      <c r="H237" s="38"/>
      <c r="I237" s="50" t="str">
        <f>IFERROR(__xludf.DUMMYFUNCTION("JOIN("" | "",'Team Stats'!C$6:H$6)"),"0 | 0 | 0 | 0 | 0 | 0")</f>
        <v>0 | 0 | 0 | 0 | 0 | 0</v>
      </c>
      <c r="J237" s="78" t="str">
        <f>IFERROR(__xludf.DUMMYFUNCTION("JOIN("" | "",'Team Stats'!I$6:K$6)"),"0 | 0 | 0")</f>
        <v>0 | 0 | 0</v>
      </c>
      <c r="L237" s="42"/>
      <c r="M237" s="42"/>
      <c r="N237" s="42"/>
      <c r="O237" s="42"/>
      <c r="P237" s="42"/>
      <c r="Q237" s="42"/>
    </row>
    <row r="238">
      <c r="A238" s="33"/>
      <c r="B238" s="34">
        <v>237.0</v>
      </c>
      <c r="C238" s="34" t="str">
        <f>'Teams &amp; Draft Order'!$C$9</f>
        <v>El Nino</v>
      </c>
      <c r="D238" s="35"/>
      <c r="E238" s="36" t="str">
        <f>IFERROR(VLOOKUP($D238,PlayerDB!$F$2:$G261,2,FALSE),"")</f>
        <v/>
      </c>
      <c r="F238" s="36" t="str">
        <f>IFERROR(VLOOKUP($D238,PlayerDB!$F$2:$H261,3,FALSE),"")</f>
        <v/>
      </c>
      <c r="G238" s="37" t="str">
        <f>IFERROR(VLOOKUP($D238,PlayerDB!$F$2:$I261,4,FALSE),"")</f>
        <v/>
      </c>
      <c r="H238" s="38"/>
      <c r="I238" s="39" t="str">
        <f>IFERROR(__xludf.DUMMYFUNCTION("JOIN("" | "",'Team Stats'!C$5:H$5)"),"0 | 0 | 0 | 0 | 0 | 0")</f>
        <v>0 | 0 | 0 | 0 | 0 | 0</v>
      </c>
      <c r="J238" s="79" t="str">
        <f>IFERROR(__xludf.DUMMYFUNCTION("JOIN("" | "",'Team Stats'!I$5:K$5)"),"0 | 0 | 0")</f>
        <v>0 | 0 | 0</v>
      </c>
      <c r="L238" s="42"/>
      <c r="M238" s="42"/>
      <c r="N238" s="42"/>
      <c r="O238" s="42"/>
      <c r="P238" s="42"/>
      <c r="Q238" s="42"/>
    </row>
    <row r="239">
      <c r="A239" s="45"/>
      <c r="B239" s="46">
        <v>238.0</v>
      </c>
      <c r="C239" s="46" t="str">
        <f>'Teams &amp; Draft Order'!$C$8</f>
        <v>Icelanders</v>
      </c>
      <c r="D239" s="47"/>
      <c r="E239" s="48" t="str">
        <f>IFERROR(VLOOKUP($D239,PlayerDB!$F$2:$G261,2,FALSE),"")</f>
        <v/>
      </c>
      <c r="F239" s="48" t="str">
        <f>IFERROR(VLOOKUP($D239,PlayerDB!$F$2:$H261,3,FALSE),"")</f>
        <v/>
      </c>
      <c r="G239" s="49" t="str">
        <f>IFERROR(VLOOKUP($D239,PlayerDB!$F$2:$I261,4,FALSE),"")</f>
        <v/>
      </c>
      <c r="H239" s="38"/>
      <c r="I239" s="50" t="str">
        <f>IFERROR(__xludf.DUMMYFUNCTION("JOIN("" | "",'Team Stats'!C$4:H$4)"),"0 | 0 | 0 | 0 | 0 | 0")</f>
        <v>0 | 0 | 0 | 0 | 0 | 0</v>
      </c>
      <c r="J239" s="78" t="str">
        <f>IFERROR(__xludf.DUMMYFUNCTION("JOIN("" | "",'Team Stats'!I$4:K$4)"),"0 | 0 | 0")</f>
        <v>0 | 0 | 0</v>
      </c>
      <c r="L239" s="42"/>
      <c r="M239" s="42"/>
      <c r="N239" s="42"/>
      <c r="O239" s="42"/>
      <c r="P239" s="42"/>
      <c r="Q239" s="42"/>
    </row>
    <row r="240">
      <c r="A240" s="33"/>
      <c r="B240" s="34">
        <v>239.0</v>
      </c>
      <c r="C240" s="34" t="str">
        <f>'Teams &amp; Draft Order'!$C$7</f>
        <v>Phantasm</v>
      </c>
      <c r="D240" s="35"/>
      <c r="E240" s="36" t="str">
        <f>IFERROR(VLOOKUP($D240,PlayerDB!$F$2:$G261,2,FALSE),"")</f>
        <v/>
      </c>
      <c r="F240" s="36" t="str">
        <f>IFERROR(VLOOKUP($D240,PlayerDB!$F$2:$H261,3,FALSE),"")</f>
        <v/>
      </c>
      <c r="G240" s="37" t="str">
        <f>IFERROR(VLOOKUP($D240,PlayerDB!$F$2:$I261,4,FALSE),"")</f>
        <v/>
      </c>
      <c r="H240" s="38"/>
      <c r="I240" s="39" t="str">
        <f>IFERROR(__xludf.DUMMYFUNCTION("JOIN("" | "",'Team Stats'!C$3:H$3)"),"0 | 0 | 0 | 0 | 0 | 0")</f>
        <v>0 | 0 | 0 | 0 | 0 | 0</v>
      </c>
      <c r="J240" s="79" t="str">
        <f>IFERROR(__xludf.DUMMYFUNCTION("JOIN("" | "",'Team Stats'!I$3:K$3)"),"0 | 0 | 0")</f>
        <v>0 | 0 | 0</v>
      </c>
      <c r="L240" s="42"/>
      <c r="M240" s="42"/>
      <c r="N240" s="42"/>
      <c r="O240" s="42"/>
      <c r="P240" s="42"/>
      <c r="Q240" s="42"/>
    </row>
    <row r="241">
      <c r="A241" s="54"/>
      <c r="B241" s="55">
        <v>240.0</v>
      </c>
      <c r="C241" s="55" t="str">
        <f>'Teams &amp; Draft Order'!$C$6</f>
        <v>Sleeper Cell </v>
      </c>
      <c r="D241" s="56"/>
      <c r="E241" s="57" t="str">
        <f>IFERROR(VLOOKUP($D241,PlayerDB!$F$2:$G261,2,FALSE),"")</f>
        <v/>
      </c>
      <c r="F241" s="57" t="str">
        <f>IFERROR(VLOOKUP($D241,PlayerDB!$F$2:$H261,3,FALSE),"")</f>
        <v/>
      </c>
      <c r="G241" s="58" t="str">
        <f>IFERROR(VLOOKUP($D241,PlayerDB!$F$2:$I261,4,FALSE),"")</f>
        <v/>
      </c>
      <c r="H241" s="59"/>
      <c r="I241" s="60" t="str">
        <f>IFERROR(__xludf.DUMMYFUNCTION("JOIN("" | "",'Team Stats'!C$2:H$2)"),"1 | 0 | 0 | 0 | 0 | 0")</f>
        <v>1 | 0 | 0 | 0 | 0 | 0</v>
      </c>
      <c r="J241" s="80" t="str">
        <f>IFERROR(__xludf.DUMMYFUNCTION("JOIN("" | "",'Team Stats'!I$2:K$2)"),"0 | 0 | 0")</f>
        <v>0 | 0 | 0</v>
      </c>
      <c r="L241" s="42"/>
      <c r="M241" s="42"/>
      <c r="N241" s="42"/>
      <c r="O241" s="42"/>
      <c r="P241" s="42"/>
      <c r="Q241" s="42"/>
    </row>
    <row r="242">
      <c r="A242" s="33" t="s">
        <v>109</v>
      </c>
      <c r="B242" s="34">
        <v>241.0</v>
      </c>
      <c r="C242" s="34" t="str">
        <f>'Teams &amp; Draft Order'!$C$6</f>
        <v>Sleeper Cell </v>
      </c>
      <c r="D242" s="35"/>
      <c r="E242" s="36" t="str">
        <f>IFERROR(VLOOKUP($D242,PlayerDB!$F$2:$G261,2,FALSE),"")</f>
        <v/>
      </c>
      <c r="F242" s="36" t="str">
        <f>IFERROR(VLOOKUP($D242,PlayerDB!$F$2:$H261,3,FALSE),"")</f>
        <v/>
      </c>
      <c r="G242" s="37" t="str">
        <f>IFERROR(VLOOKUP($D242,PlayerDB!$F$2:$I261,4,FALSE),"")</f>
        <v/>
      </c>
      <c r="H242" s="38"/>
      <c r="I242" s="39" t="str">
        <f>IFERROR(__xludf.DUMMYFUNCTION("JOIN("" | "",'Team Stats'!C$2:H$2)"),"1 | 0 | 0 | 0 | 0 | 0")</f>
        <v>1 | 0 | 0 | 0 | 0 | 0</v>
      </c>
      <c r="J242" s="77" t="str">
        <f>IFERROR(__xludf.DUMMYFUNCTION("JOIN("" | "",'Team Stats'!I$2:K$2)"),"0 | 0 | 0")</f>
        <v>0 | 0 | 0</v>
      </c>
      <c r="K242" s="32"/>
      <c r="L242" s="42"/>
      <c r="M242" s="42"/>
      <c r="N242" s="42"/>
      <c r="O242" s="42"/>
      <c r="P242" s="42"/>
      <c r="Q242" s="42"/>
      <c r="R242" s="44"/>
    </row>
    <row r="243">
      <c r="A243" s="45"/>
      <c r="B243" s="46">
        <v>242.0</v>
      </c>
      <c r="C243" s="46" t="str">
        <f>'Teams &amp; Draft Order'!$C$7</f>
        <v>Phantasm</v>
      </c>
      <c r="D243" s="47"/>
      <c r="E243" s="48" t="str">
        <f>IFERROR(VLOOKUP($D243,PlayerDB!$F$2:$G261,2,FALSE),"")</f>
        <v/>
      </c>
      <c r="F243" s="48" t="str">
        <f>IFERROR(VLOOKUP($D243,PlayerDB!$F$2:$H261,3,FALSE),"")</f>
        <v/>
      </c>
      <c r="G243" s="49" t="str">
        <f>IFERROR(VLOOKUP($D243,PlayerDB!$F$2:$I261,4,FALSE),"")</f>
        <v/>
      </c>
      <c r="H243" s="38"/>
      <c r="I243" s="50" t="str">
        <f>IFERROR(__xludf.DUMMYFUNCTION("JOIN("" | "",'Team Stats'!C$3:H$3)"),"0 | 0 | 0 | 0 | 0 | 0")</f>
        <v>0 | 0 | 0 | 0 | 0 | 0</v>
      </c>
      <c r="J243" s="78" t="str">
        <f>IFERROR(__xludf.DUMMYFUNCTION("JOIN("" | "",'Team Stats'!I$3:K$3)"),"0 | 0 | 0")</f>
        <v>0 | 0 | 0</v>
      </c>
      <c r="K243" s="32"/>
      <c r="L243" s="42"/>
      <c r="M243" s="42"/>
      <c r="N243" s="42"/>
      <c r="O243" s="42"/>
      <c r="P243" s="42"/>
      <c r="Q243" s="42"/>
      <c r="R243" s="44"/>
    </row>
    <row r="244">
      <c r="A244" s="33"/>
      <c r="B244" s="34">
        <v>243.0</v>
      </c>
      <c r="C244" s="34" t="str">
        <f>'Teams &amp; Draft Order'!$C$8</f>
        <v>Icelanders</v>
      </c>
      <c r="D244" s="35"/>
      <c r="E244" s="36" t="str">
        <f>IFERROR(VLOOKUP($D244,PlayerDB!$F$2:$G261,2,FALSE),"")</f>
        <v/>
      </c>
      <c r="F244" s="36" t="str">
        <f>IFERROR(VLOOKUP($D244,PlayerDB!$F$2:$H261,3,FALSE),"")</f>
        <v/>
      </c>
      <c r="G244" s="37" t="str">
        <f>IFERROR(VLOOKUP($D244,PlayerDB!$F$2:$I261,4,FALSE),"")</f>
        <v/>
      </c>
      <c r="H244" s="38"/>
      <c r="I244" s="39" t="str">
        <f>IFERROR(__xludf.DUMMYFUNCTION("JOIN("" | "",'Team Stats'!C$4:H$4)"),"0 | 0 | 0 | 0 | 0 | 0")</f>
        <v>0 | 0 | 0 | 0 | 0 | 0</v>
      </c>
      <c r="J244" s="79" t="str">
        <f>IFERROR(__xludf.DUMMYFUNCTION("JOIN("" | "",'Team Stats'!I$4:K$4)"),"0 | 0 | 0")</f>
        <v>0 | 0 | 0</v>
      </c>
      <c r="K244" s="32"/>
      <c r="L244" s="42"/>
      <c r="M244" s="42"/>
      <c r="N244" s="42"/>
      <c r="O244" s="42"/>
      <c r="P244" s="42"/>
      <c r="Q244" s="42"/>
      <c r="R244" s="44"/>
    </row>
    <row r="245">
      <c r="A245" s="45"/>
      <c r="B245" s="46">
        <v>244.0</v>
      </c>
      <c r="C245" s="46" t="str">
        <f>'Teams &amp; Draft Order'!$C$9</f>
        <v>El Nino</v>
      </c>
      <c r="D245" s="47"/>
      <c r="E245" s="48" t="str">
        <f>IFERROR(VLOOKUP($D245,PlayerDB!$F$2:$G261,2,FALSE),"")</f>
        <v/>
      </c>
      <c r="F245" s="48" t="str">
        <f>IFERROR(VLOOKUP($D245,PlayerDB!$F$2:$H261,3,FALSE),"")</f>
        <v/>
      </c>
      <c r="G245" s="49" t="str">
        <f>IFERROR(VLOOKUP($D245,PlayerDB!$F$2:$I261,4,FALSE),"")</f>
        <v/>
      </c>
      <c r="H245" s="38"/>
      <c r="I245" s="50" t="str">
        <f>IFERROR(__xludf.DUMMYFUNCTION("JOIN("" | "",'Team Stats'!C$5:H$5)"),"0 | 0 | 0 | 0 | 0 | 0")</f>
        <v>0 | 0 | 0 | 0 | 0 | 0</v>
      </c>
      <c r="J245" s="78" t="str">
        <f>IFERROR(__xludf.DUMMYFUNCTION("JOIN("" | "",'Team Stats'!I$5:K$5)"),"0 | 0 | 0")</f>
        <v>0 | 0 | 0</v>
      </c>
      <c r="K245" s="32"/>
      <c r="L245" s="42"/>
      <c r="M245" s="42"/>
      <c r="N245" s="42"/>
      <c r="O245" s="42"/>
      <c r="P245" s="42"/>
      <c r="Q245" s="42"/>
      <c r="R245" s="44"/>
    </row>
    <row r="246">
      <c r="A246" s="33"/>
      <c r="B246" s="34">
        <v>245.0</v>
      </c>
      <c r="C246" s="34" t="str">
        <f>'Teams &amp; Draft Order'!$C$10</f>
        <v>Buttheads</v>
      </c>
      <c r="D246" s="35"/>
      <c r="E246" s="36" t="str">
        <f>IFERROR(VLOOKUP($D246,PlayerDB!$F$2:$G261,2,FALSE),"")</f>
        <v/>
      </c>
      <c r="F246" s="36" t="str">
        <f>IFERROR(VLOOKUP($D246,PlayerDB!$F$2:$H261,3,FALSE),"")</f>
        <v/>
      </c>
      <c r="G246" s="37" t="str">
        <f>IFERROR(VLOOKUP($D246,PlayerDB!$F$2:$I261,4,FALSE),"")</f>
        <v/>
      </c>
      <c r="H246" s="38"/>
      <c r="I246" s="39" t="str">
        <f>IFERROR(__xludf.DUMMYFUNCTION("JOIN("" | "",'Team Stats'!C$6:H$6)"),"0 | 0 | 0 | 0 | 0 | 0")</f>
        <v>0 | 0 | 0 | 0 | 0 | 0</v>
      </c>
      <c r="J246" s="79" t="str">
        <f>IFERROR(__xludf.DUMMYFUNCTION("JOIN("" | "",'Team Stats'!I$6:K$6)"),"0 | 0 | 0")</f>
        <v>0 | 0 | 0</v>
      </c>
      <c r="K246" s="32"/>
      <c r="L246" s="42"/>
      <c r="M246" s="42"/>
      <c r="N246" s="42"/>
      <c r="O246" s="42"/>
      <c r="P246" s="42"/>
      <c r="Q246" s="42"/>
      <c r="R246" s="44"/>
    </row>
    <row r="247">
      <c r="A247" s="45"/>
      <c r="B247" s="46">
        <v>246.0</v>
      </c>
      <c r="C247" s="46" t="str">
        <f>'Teams &amp; Draft Order'!$C$11</f>
        <v>Big Boys Big Work</v>
      </c>
      <c r="D247" s="47"/>
      <c r="E247" s="48" t="str">
        <f>IFERROR(VLOOKUP($D247,PlayerDB!$F$2:$G261,2,FALSE),"")</f>
        <v/>
      </c>
      <c r="F247" s="48" t="str">
        <f>IFERROR(VLOOKUP($D247,PlayerDB!$F$2:$H261,3,FALSE),"")</f>
        <v/>
      </c>
      <c r="G247" s="49" t="str">
        <f>IFERROR(VLOOKUP($D247,PlayerDB!$F$2:$I261,4,FALSE),"")</f>
        <v/>
      </c>
      <c r="H247" s="38"/>
      <c r="I247" s="50" t="str">
        <f>IFERROR(__xludf.DUMMYFUNCTION("JOIN("" | "",'Team Stats'!C$7:H$7)"),"0 | 0 | 0 | 0 | 0 | 0")</f>
        <v>0 | 0 | 0 | 0 | 0 | 0</v>
      </c>
      <c r="J247" s="78" t="str">
        <f>IFERROR(__xludf.DUMMYFUNCTION("JOIN("" | "",'Team Stats'!I$7:K$7)"),"0 | 0 | 0")</f>
        <v>0 | 0 | 0</v>
      </c>
      <c r="K247" s="32"/>
      <c r="L247" s="42"/>
      <c r="M247" s="42"/>
      <c r="N247" s="42"/>
      <c r="O247" s="42"/>
      <c r="P247" s="42"/>
      <c r="Q247" s="42"/>
      <c r="R247" s="44"/>
    </row>
    <row r="248">
      <c r="A248" s="33"/>
      <c r="B248" s="34">
        <v>247.0</v>
      </c>
      <c r="C248" s="34" t="str">
        <f>'Teams &amp; Draft Order'!$C$12</f>
        <v>Turbo-Ginz</v>
      </c>
      <c r="D248" s="35"/>
      <c r="E248" s="36" t="str">
        <f>IFERROR(VLOOKUP($D248,PlayerDB!$F$2:$G261,2,FALSE),"")</f>
        <v/>
      </c>
      <c r="F248" s="36" t="str">
        <f>IFERROR(VLOOKUP($D248,PlayerDB!$F$2:$H261,3,FALSE),"")</f>
        <v/>
      </c>
      <c r="G248" s="37" t="str">
        <f>IFERROR(VLOOKUP($D248,PlayerDB!$F$2:$I261,4,FALSE),"")</f>
        <v/>
      </c>
      <c r="H248" s="38"/>
      <c r="I248" s="39" t="str">
        <f>IFERROR(__xludf.DUMMYFUNCTION("JOIN("" | "",'Team Stats'!C$8:H$8)"),"0 | 0 | 0 | 0 | 0 | 0")</f>
        <v>0 | 0 | 0 | 0 | 0 | 0</v>
      </c>
      <c r="J248" s="79" t="str">
        <f>IFERROR(__xludf.DUMMYFUNCTION("JOIN("" | "",'Team Stats'!I$8:K$8)"),"0 | 0 | 0")</f>
        <v>0 | 0 | 0</v>
      </c>
      <c r="K248" s="32"/>
      <c r="L248" s="42"/>
      <c r="M248" s="42"/>
      <c r="N248" s="42"/>
      <c r="O248" s="42"/>
      <c r="P248" s="42"/>
      <c r="Q248" s="42"/>
      <c r="R248" s="44"/>
    </row>
    <row r="249">
      <c r="A249" s="45"/>
      <c r="B249" s="46">
        <v>248.0</v>
      </c>
      <c r="C249" s="46" t="str">
        <f>'Teams &amp; Draft Order'!$C$13</f>
        <v>Luddite</v>
      </c>
      <c r="D249" s="47"/>
      <c r="E249" s="48" t="str">
        <f>IFERROR(VLOOKUP($D249,PlayerDB!$F$2:$G261,2,FALSE),"")</f>
        <v/>
      </c>
      <c r="F249" s="48" t="str">
        <f>IFERROR(VLOOKUP($D249,PlayerDB!$F$2:$H261,3,FALSE),"")</f>
        <v/>
      </c>
      <c r="G249" s="49" t="str">
        <f>IFERROR(VLOOKUP($D249,PlayerDB!$F$2:$I261,4,FALSE),"")</f>
        <v/>
      </c>
      <c r="H249" s="38"/>
      <c r="I249" s="50" t="str">
        <f>IFERROR(__xludf.DUMMYFUNCTION("JOIN("" | "",'Team Stats'!C$9:H$9)"),"0 | 0 | 0 | 0 | 0 | 0")</f>
        <v>0 | 0 | 0 | 0 | 0 | 0</v>
      </c>
      <c r="J249" s="78" t="str">
        <f>IFERROR(__xludf.DUMMYFUNCTION("JOIN("" | "",'Team Stats'!I$9:K$9)"),"0 | 0 | 0")</f>
        <v>0 | 0 | 0</v>
      </c>
      <c r="K249" s="32"/>
      <c r="L249" s="42"/>
      <c r="M249" s="42"/>
      <c r="N249" s="42"/>
      <c r="O249" s="42"/>
      <c r="P249" s="42"/>
      <c r="Q249" s="42"/>
      <c r="R249" s="44"/>
    </row>
    <row r="250">
      <c r="A250" s="33"/>
      <c r="B250" s="34">
        <v>249.0</v>
      </c>
      <c r="C250" s="34" t="str">
        <f>'Teams &amp; Draft Order'!$C$14</f>
        <v>Achaians</v>
      </c>
      <c r="D250" s="35"/>
      <c r="E250" s="36" t="str">
        <f>IFERROR(VLOOKUP($D250,PlayerDB!$F$2:$G261,2,FALSE),"")</f>
        <v/>
      </c>
      <c r="F250" s="36" t="str">
        <f>IFERROR(VLOOKUP($D250,PlayerDB!$F$2:$H261,3,FALSE),"")</f>
        <v/>
      </c>
      <c r="G250" s="37" t="str">
        <f>IFERROR(VLOOKUP($D250,PlayerDB!$F$2:$I261,4,FALSE),"")</f>
        <v/>
      </c>
      <c r="H250" s="38"/>
      <c r="I250" s="39" t="str">
        <f>IFERROR(__xludf.DUMMYFUNCTION("JOIN("" | "",'Team Stats'!C$10:H$10)"),"0 | 0 | 0 | 0 | 0 | 0")</f>
        <v>0 | 0 | 0 | 0 | 0 | 0</v>
      </c>
      <c r="J250" s="79" t="str">
        <f>IFERROR(__xludf.DUMMYFUNCTION("JOIN("" | "",'Team Stats'!I$10:K$10)"),"0 | 0 | 0")</f>
        <v>0 | 0 | 0</v>
      </c>
      <c r="K250" s="32"/>
      <c r="L250" s="42"/>
      <c r="M250" s="42"/>
      <c r="N250" s="42"/>
      <c r="O250" s="42"/>
      <c r="P250" s="42"/>
      <c r="Q250" s="42"/>
      <c r="R250" s="44"/>
    </row>
    <row r="251">
      <c r="A251" s="54"/>
      <c r="B251" s="55">
        <v>260.0</v>
      </c>
      <c r="C251" s="55" t="str">
        <f>'Teams &amp; Draft Order'!$C$15</f>
        <v>Daddy's Dogs</v>
      </c>
      <c r="D251" s="56"/>
      <c r="E251" s="57" t="str">
        <f>IFERROR(VLOOKUP($D251,PlayerDB!$F$2:$G261,2,FALSE),"")</f>
        <v/>
      </c>
      <c r="F251" s="57" t="str">
        <f>IFERROR(VLOOKUP($D251,PlayerDB!$F$2:$H261,3,FALSE),"")</f>
        <v/>
      </c>
      <c r="G251" s="58" t="str">
        <f>IFERROR(VLOOKUP($D251,PlayerDB!$F$2:$I261,4,FALSE),"")</f>
        <v/>
      </c>
      <c r="H251" s="59"/>
      <c r="I251" s="60" t="str">
        <f>IFERROR(__xludf.DUMMYFUNCTION("JOIN("" | "",'Team Stats'!C$11:H$11)"),"0 | 0 | 0 | 0 | 0 | 0")</f>
        <v>0 | 0 | 0 | 0 | 0 | 0</v>
      </c>
      <c r="J251" s="78" t="str">
        <f>IFERROR(__xludf.DUMMYFUNCTION("JOIN("" | "",'Team Stats'!I$11:K$11)"),"0 | 0 | 0")</f>
        <v>0 | 0 | 0</v>
      </c>
      <c r="K251" s="32"/>
      <c r="L251" s="42"/>
      <c r="M251" s="42"/>
      <c r="N251" s="42"/>
      <c r="O251" s="42"/>
      <c r="P251" s="42"/>
      <c r="Q251" s="42"/>
      <c r="R251" s="44"/>
    </row>
    <row r="252">
      <c r="A252" s="72" t="s">
        <v>110</v>
      </c>
      <c r="B252" s="34">
        <v>251.0</v>
      </c>
      <c r="C252" s="73" t="str">
        <f>'Teams &amp; Draft Order'!$C$15</f>
        <v>Daddy's Dogs</v>
      </c>
      <c r="D252" s="74"/>
      <c r="E252" s="36" t="str">
        <f>IFERROR(VLOOKUP($D252,PlayerDB!$F$2:$G261,2,FALSE),"")</f>
        <v/>
      </c>
      <c r="F252" s="36" t="str">
        <f>IFERROR(VLOOKUP($D252,PlayerDB!$F$2:$H261,3,FALSE),"")</f>
        <v/>
      </c>
      <c r="G252" s="37" t="str">
        <f>IFERROR(VLOOKUP($D252,PlayerDB!$F$2:$I261,4,FALSE),"")</f>
        <v/>
      </c>
      <c r="H252" s="75"/>
      <c r="I252" s="76" t="str">
        <f>IFERROR(__xludf.DUMMYFUNCTION("JOIN("" | "",'Team Stats'!C$11:H$11)"),"0 | 0 | 0 | 0 | 0 | 0")</f>
        <v>0 | 0 | 0 | 0 | 0 | 0</v>
      </c>
      <c r="J252" s="79" t="str">
        <f>IFERROR(__xludf.DUMMYFUNCTION("JOIN("" | "",#REF!)"),"#REF!")</f>
        <v>#REF!</v>
      </c>
      <c r="K252" s="32"/>
      <c r="L252" s="42"/>
      <c r="M252" s="42"/>
      <c r="N252" s="42"/>
      <c r="O252" s="42"/>
      <c r="P252" s="42"/>
      <c r="Q252" s="42"/>
      <c r="R252" s="44"/>
    </row>
    <row r="253">
      <c r="A253" s="45"/>
      <c r="B253" s="46">
        <v>252.0</v>
      </c>
      <c r="C253" s="46" t="str">
        <f>'Teams &amp; Draft Order'!$C$14</f>
        <v>Achaians</v>
      </c>
      <c r="D253" s="47"/>
      <c r="E253" s="48" t="str">
        <f>IFERROR(VLOOKUP($D253,PlayerDB!$F$2:$G261,2,FALSE),"")</f>
        <v/>
      </c>
      <c r="F253" s="48" t="str">
        <f>IFERROR(VLOOKUP($D253,PlayerDB!$F$2:$H261,3,FALSE),"")</f>
        <v/>
      </c>
      <c r="G253" s="49" t="str">
        <f>IFERROR(VLOOKUP($D253,PlayerDB!$F$2:$I261,4,FALSE),"")</f>
        <v/>
      </c>
      <c r="H253" s="38"/>
      <c r="I253" s="50" t="str">
        <f>IFERROR(__xludf.DUMMYFUNCTION("JOIN("" | "",'Team Stats'!C$10:H$10)"),"0 | 0 | 0 | 0 | 0 | 0")</f>
        <v>0 | 0 | 0 | 0 | 0 | 0</v>
      </c>
      <c r="J253" s="78" t="str">
        <f>IFERROR(__xludf.DUMMYFUNCTION("JOIN("" | "",#REF!)"),"#REF!")</f>
        <v>#REF!</v>
      </c>
      <c r="K253" s="32"/>
      <c r="L253" s="42"/>
      <c r="M253" s="42"/>
      <c r="N253" s="42"/>
      <c r="O253" s="42"/>
      <c r="P253" s="42"/>
      <c r="Q253" s="42"/>
      <c r="R253" s="44"/>
    </row>
    <row r="254">
      <c r="A254" s="33"/>
      <c r="B254" s="34">
        <v>253.0</v>
      </c>
      <c r="C254" s="34" t="str">
        <f>'Teams &amp; Draft Order'!$C$13</f>
        <v>Luddite</v>
      </c>
      <c r="D254" s="35"/>
      <c r="E254" s="36" t="str">
        <f>IFERROR(VLOOKUP($D254,PlayerDB!$F$2:$G261,2,FALSE),"")</f>
        <v/>
      </c>
      <c r="F254" s="36" t="str">
        <f>IFERROR(VLOOKUP($D254,PlayerDB!$F$2:$H261,3,FALSE),"")</f>
        <v/>
      </c>
      <c r="G254" s="37" t="str">
        <f>IFERROR(VLOOKUP($D254,PlayerDB!$F$2:$I261,4,FALSE),"")</f>
        <v/>
      </c>
      <c r="H254" s="38"/>
      <c r="I254" s="39" t="str">
        <f>IFERROR(__xludf.DUMMYFUNCTION("JOIN("" | "",'Team Stats'!C$9:H$9)"),"0 | 0 | 0 | 0 | 0 | 0")</f>
        <v>0 | 0 | 0 | 0 | 0 | 0</v>
      </c>
      <c r="J254" s="77" t="str">
        <f>IFERROR(__xludf.DUMMYFUNCTION("JOIN("" | "",#REF!)"),"#REF!")</f>
        <v>#REF!</v>
      </c>
      <c r="K254" s="32"/>
      <c r="L254" s="42"/>
      <c r="M254" s="42"/>
      <c r="N254" s="42"/>
      <c r="O254" s="42"/>
      <c r="P254" s="42"/>
      <c r="Q254" s="42"/>
      <c r="R254" s="44"/>
    </row>
    <row r="255">
      <c r="A255" s="45"/>
      <c r="B255" s="46">
        <v>254.0</v>
      </c>
      <c r="C255" s="46" t="str">
        <f>'Teams &amp; Draft Order'!$C$12</f>
        <v>Turbo-Ginz</v>
      </c>
      <c r="D255" s="47"/>
      <c r="E255" s="48" t="str">
        <f>IFERROR(VLOOKUP($D255,PlayerDB!$F$2:$G261,2,FALSE),"")</f>
        <v/>
      </c>
      <c r="F255" s="48" t="str">
        <f>IFERROR(VLOOKUP($D255,PlayerDB!$F$2:$H261,3,FALSE),"")</f>
        <v/>
      </c>
      <c r="G255" s="49" t="str">
        <f>IFERROR(VLOOKUP($D255,PlayerDB!$F$2:$I261,4,FALSE),"")</f>
        <v/>
      </c>
      <c r="H255" s="38"/>
      <c r="I255" s="50" t="str">
        <f>IFERROR(__xludf.DUMMYFUNCTION("JOIN("" | "",'Team Stats'!C$8:H$8)"),"0 | 0 | 0 | 0 | 0 | 0")</f>
        <v>0 | 0 | 0 | 0 | 0 | 0</v>
      </c>
      <c r="J255" s="78" t="str">
        <f>IFERROR(__xludf.DUMMYFUNCTION("JOIN("" | "",#REF!)"),"#REF!")</f>
        <v>#REF!</v>
      </c>
      <c r="K255" s="32"/>
      <c r="L255" s="42"/>
      <c r="M255" s="42"/>
      <c r="N255" s="42"/>
      <c r="O255" s="42"/>
      <c r="P255" s="42"/>
      <c r="Q255" s="42"/>
      <c r="R255" s="44"/>
    </row>
    <row r="256">
      <c r="A256" s="33"/>
      <c r="B256" s="34">
        <v>255.0</v>
      </c>
      <c r="C256" s="34" t="str">
        <f>'Teams &amp; Draft Order'!$C$11</f>
        <v>Big Boys Big Work</v>
      </c>
      <c r="D256" s="35"/>
      <c r="E256" s="36" t="str">
        <f>IFERROR(VLOOKUP($D256,PlayerDB!$F$2:$G261,2,FALSE),"")</f>
        <v/>
      </c>
      <c r="F256" s="36" t="str">
        <f>IFERROR(VLOOKUP($D256,PlayerDB!$F$2:$H261,3,FALSE),"")</f>
        <v/>
      </c>
      <c r="G256" s="37" t="str">
        <f>IFERROR(VLOOKUP($D256,PlayerDB!$F$2:$I261,4,FALSE),"")</f>
        <v/>
      </c>
      <c r="H256" s="38"/>
      <c r="I256" s="39" t="str">
        <f>IFERROR(__xludf.DUMMYFUNCTION("JOIN("" | "",'Team Stats'!C$7:H$7)"),"0 | 0 | 0 | 0 | 0 | 0")</f>
        <v>0 | 0 | 0 | 0 | 0 | 0</v>
      </c>
      <c r="J256" s="79" t="str">
        <f>IFERROR(__xludf.DUMMYFUNCTION("JOIN("" | "",'Team Stats'!I$11:K$11)"),"0 | 0 | 0")</f>
        <v>0 | 0 | 0</v>
      </c>
      <c r="K256" s="32"/>
      <c r="L256" s="42"/>
      <c r="M256" s="42"/>
      <c r="N256" s="42"/>
      <c r="O256" s="42"/>
      <c r="P256" s="42"/>
      <c r="Q256" s="42"/>
      <c r="R256" s="44"/>
    </row>
    <row r="257">
      <c r="A257" s="45"/>
      <c r="B257" s="46">
        <v>256.0</v>
      </c>
      <c r="C257" s="46" t="str">
        <f>'Teams &amp; Draft Order'!$C$10</f>
        <v>Buttheads</v>
      </c>
      <c r="D257" s="47"/>
      <c r="E257" s="48" t="str">
        <f>IFERROR(VLOOKUP($D257,PlayerDB!$F$2:$G261,2,FALSE),"")</f>
        <v/>
      </c>
      <c r="F257" s="48" t="str">
        <f>IFERROR(VLOOKUP($D257,PlayerDB!$F$2:$H261,3,FALSE),"")</f>
        <v/>
      </c>
      <c r="G257" s="49" t="str">
        <f>IFERROR(VLOOKUP($D257,PlayerDB!$F$2:$I261,4,FALSE),"")</f>
        <v/>
      </c>
      <c r="H257" s="38"/>
      <c r="I257" s="50" t="str">
        <f>IFERROR(__xludf.DUMMYFUNCTION("JOIN("" | "",'Team Stats'!C$6:H$6)"),"0 | 0 | 0 | 0 | 0 | 0")</f>
        <v>0 | 0 | 0 | 0 | 0 | 0</v>
      </c>
      <c r="J257" s="78" t="str">
        <f>IFERROR(__xludf.DUMMYFUNCTION("JOIN("" | "",'Team Stats'!I$10:K$10)"),"0 | 0 | 0")</f>
        <v>0 | 0 | 0</v>
      </c>
      <c r="K257" s="32"/>
      <c r="L257" s="42"/>
      <c r="M257" s="42"/>
      <c r="N257" s="42"/>
      <c r="O257" s="42"/>
      <c r="P257" s="42"/>
      <c r="Q257" s="42"/>
      <c r="R257" s="44"/>
    </row>
    <row r="258">
      <c r="A258" s="33"/>
      <c r="B258" s="34">
        <v>257.0</v>
      </c>
      <c r="C258" s="34" t="str">
        <f>'Teams &amp; Draft Order'!$C$9</f>
        <v>El Nino</v>
      </c>
      <c r="D258" s="35"/>
      <c r="E258" s="36" t="str">
        <f>IFERROR(VLOOKUP($D258,PlayerDB!$F$2:$G261,2,FALSE),"")</f>
        <v/>
      </c>
      <c r="F258" s="36" t="str">
        <f>IFERROR(VLOOKUP($D258,PlayerDB!$F$2:$H261,3,FALSE),"")</f>
        <v/>
      </c>
      <c r="G258" s="37" t="str">
        <f>IFERROR(VLOOKUP($D258,PlayerDB!$F$2:$I261,4,FALSE),"")</f>
        <v/>
      </c>
      <c r="H258" s="38"/>
      <c r="I258" s="39" t="str">
        <f>IFERROR(__xludf.DUMMYFUNCTION("JOIN("" | "",'Team Stats'!C$5:H$5)"),"0 | 0 | 0 | 0 | 0 | 0")</f>
        <v>0 | 0 | 0 | 0 | 0 | 0</v>
      </c>
      <c r="J258" s="79" t="str">
        <f>IFERROR(__xludf.DUMMYFUNCTION("JOIN("" | "",'Team Stats'!I$9:K$9)"),"0 | 0 | 0")</f>
        <v>0 | 0 | 0</v>
      </c>
      <c r="K258" s="32"/>
      <c r="L258" s="42"/>
      <c r="M258" s="42"/>
      <c r="N258" s="42"/>
      <c r="O258" s="42"/>
      <c r="P258" s="42"/>
      <c r="Q258" s="42"/>
      <c r="R258" s="44"/>
    </row>
    <row r="259">
      <c r="A259" s="45"/>
      <c r="B259" s="46">
        <v>258.0</v>
      </c>
      <c r="C259" s="46" t="str">
        <f>'Teams &amp; Draft Order'!$C$8</f>
        <v>Icelanders</v>
      </c>
      <c r="D259" s="47"/>
      <c r="E259" s="48" t="str">
        <f>IFERROR(VLOOKUP($D259,PlayerDB!$F$2:$G261,2,FALSE),"")</f>
        <v/>
      </c>
      <c r="F259" s="48" t="str">
        <f>IFERROR(VLOOKUP($D259,PlayerDB!$F$2:$H261,3,FALSE),"")</f>
        <v/>
      </c>
      <c r="G259" s="49" t="str">
        <f>IFERROR(VLOOKUP($D259,PlayerDB!$F$2:$I261,4,FALSE),"")</f>
        <v/>
      </c>
      <c r="H259" s="38"/>
      <c r="I259" s="50" t="str">
        <f>IFERROR(__xludf.DUMMYFUNCTION("JOIN("" | "",'Team Stats'!C$4:H$4)"),"0 | 0 | 0 | 0 | 0 | 0")</f>
        <v>0 | 0 | 0 | 0 | 0 | 0</v>
      </c>
      <c r="J259" s="78" t="str">
        <f>IFERROR(__xludf.DUMMYFUNCTION("JOIN("" | "",'Team Stats'!I$8:K$8)"),"0 | 0 | 0")</f>
        <v>0 | 0 | 0</v>
      </c>
      <c r="K259" s="32"/>
      <c r="L259" s="42"/>
      <c r="M259" s="42"/>
      <c r="N259" s="42"/>
      <c r="O259" s="42"/>
      <c r="P259" s="42"/>
      <c r="Q259" s="42"/>
      <c r="R259" s="44"/>
    </row>
    <row r="260">
      <c r="A260" s="33"/>
      <c r="B260" s="34">
        <v>259.0</v>
      </c>
      <c r="C260" s="34" t="str">
        <f>'Teams &amp; Draft Order'!$C$7</f>
        <v>Phantasm</v>
      </c>
      <c r="D260" s="35"/>
      <c r="E260" s="36" t="str">
        <f>IFERROR(VLOOKUP($D260,PlayerDB!$F$2:$G261,2,FALSE),"")</f>
        <v/>
      </c>
      <c r="F260" s="36" t="str">
        <f>IFERROR(VLOOKUP($D260,PlayerDB!$F$2:$H261,3,FALSE),"")</f>
        <v/>
      </c>
      <c r="G260" s="37" t="str">
        <f>IFERROR(VLOOKUP($D260,PlayerDB!$F$2:$I261,4,FALSE),"")</f>
        <v/>
      </c>
      <c r="H260" s="38"/>
      <c r="I260" s="39" t="str">
        <f>IFERROR(__xludf.DUMMYFUNCTION("JOIN("" | "",'Team Stats'!C$3:H$3)"),"0 | 0 | 0 | 0 | 0 | 0")</f>
        <v>0 | 0 | 0 | 0 | 0 | 0</v>
      </c>
      <c r="J260" s="79" t="str">
        <f>IFERROR(__xludf.DUMMYFUNCTION("JOIN("" | "",'Team Stats'!I$7:K$7)"),"0 | 0 | 0")</f>
        <v>0 | 0 | 0</v>
      </c>
      <c r="K260" s="32"/>
      <c r="L260" s="42"/>
      <c r="M260" s="42"/>
      <c r="N260" s="42"/>
      <c r="O260" s="42"/>
      <c r="P260" s="42"/>
      <c r="Q260" s="42"/>
      <c r="R260" s="44"/>
    </row>
    <row r="261">
      <c r="A261" s="54"/>
      <c r="B261" s="55">
        <v>260.0</v>
      </c>
      <c r="C261" s="55" t="str">
        <f>'Teams &amp; Draft Order'!$C$6</f>
        <v>Sleeper Cell </v>
      </c>
      <c r="D261" s="56"/>
      <c r="E261" s="57" t="str">
        <f>IFERROR(VLOOKUP($D261,PlayerDB!$F$2:$G261,2,FALSE),"")</f>
        <v/>
      </c>
      <c r="F261" s="57" t="str">
        <f>IFERROR(VLOOKUP($D261,PlayerDB!$F$2:$H261,3,FALSE),"")</f>
        <v/>
      </c>
      <c r="G261" s="58" t="str">
        <f>IFERROR(VLOOKUP($D261,PlayerDB!$F$2:$I261,4,FALSE),"")</f>
        <v/>
      </c>
      <c r="H261" s="59"/>
      <c r="I261" s="60" t="str">
        <f>IFERROR(__xludf.DUMMYFUNCTION("JOIN("" | "",'Team Stats'!C$2:H$2)"),"1 | 0 | 0 | 0 | 0 | 0")</f>
        <v>1 | 0 | 0 | 0 | 0 | 0</v>
      </c>
      <c r="J261" s="78" t="str">
        <f>IFERROR(__xludf.DUMMYFUNCTION("JOIN("" | "",'Team Stats'!I$6:K$6)"),"0 | 0 | 0")</f>
        <v>0 | 0 | 0</v>
      </c>
      <c r="K261" s="32"/>
      <c r="L261" s="42"/>
      <c r="M261" s="42"/>
      <c r="N261" s="42"/>
      <c r="O261" s="42"/>
      <c r="P261" s="42"/>
      <c r="Q261" s="42"/>
      <c r="R261" s="44"/>
    </row>
  </sheetData>
  <autoFilter ref="$B$1:$G$261"/>
  <mergeCells count="4">
    <mergeCell ref="L1:Q1"/>
    <mergeCell ref="K2:K241"/>
    <mergeCell ref="L2:N2"/>
    <mergeCell ref="R2:R241"/>
  </mergeCells>
  <conditionalFormatting sqref="G2:G261">
    <cfRule type="notContainsBlanks" dxfId="6" priority="1">
      <formula>LEN(TRIM(G2))&gt;0</formula>
    </cfRule>
  </conditionalFormatting>
  <conditionalFormatting sqref="A1:R261">
    <cfRule type="cellIs" dxfId="7" priority="2" operator="equal">
      <formula>"FA"</formula>
    </cfRule>
  </conditionalFormatting>
  <conditionalFormatting sqref="A1:R261">
    <cfRule type="cellIs" dxfId="8" priority="3" operator="equal">
      <formula>"ARI"</formula>
    </cfRule>
  </conditionalFormatting>
  <conditionalFormatting sqref="A1:R261">
    <cfRule type="cellIs" dxfId="9" priority="4" operator="equal">
      <formula>"ATL"</formula>
    </cfRule>
  </conditionalFormatting>
  <conditionalFormatting sqref="A1:R261">
    <cfRule type="cellIs" dxfId="10" priority="5" operator="equal">
      <formula>"BAL"</formula>
    </cfRule>
  </conditionalFormatting>
  <conditionalFormatting sqref="A1:R261">
    <cfRule type="cellIs" dxfId="11" priority="6" operator="equal">
      <formula>"BUF"</formula>
    </cfRule>
  </conditionalFormatting>
  <conditionalFormatting sqref="A1:R261">
    <cfRule type="cellIs" dxfId="12" priority="7" operator="equal">
      <formula>"CAR"</formula>
    </cfRule>
  </conditionalFormatting>
  <conditionalFormatting sqref="A1:R261">
    <cfRule type="cellIs" dxfId="13" priority="8" operator="equal">
      <formula>"CHI"</formula>
    </cfRule>
  </conditionalFormatting>
  <conditionalFormatting sqref="A1:R261">
    <cfRule type="cellIs" dxfId="14" priority="9" operator="equal">
      <formula>"CIN"</formula>
    </cfRule>
  </conditionalFormatting>
  <conditionalFormatting sqref="A1:R261">
    <cfRule type="cellIs" dxfId="15" priority="10" operator="equal">
      <formula>"CLE"</formula>
    </cfRule>
  </conditionalFormatting>
  <conditionalFormatting sqref="A1:R261">
    <cfRule type="cellIs" dxfId="16" priority="11" operator="equal">
      <formula>"DAL"</formula>
    </cfRule>
  </conditionalFormatting>
  <conditionalFormatting sqref="A1:R261">
    <cfRule type="cellIs" dxfId="17" priority="12" operator="equal">
      <formula>"DEN"</formula>
    </cfRule>
  </conditionalFormatting>
  <conditionalFormatting sqref="A1:R261">
    <cfRule type="cellIs" dxfId="18" priority="13" operator="equal">
      <formula>"DET"</formula>
    </cfRule>
  </conditionalFormatting>
  <conditionalFormatting sqref="A1:R261">
    <cfRule type="cellIs" dxfId="19" priority="14" operator="equal">
      <formula>"GBP"</formula>
    </cfRule>
  </conditionalFormatting>
  <conditionalFormatting sqref="A1:R261">
    <cfRule type="cellIs" dxfId="20" priority="15" operator="equal">
      <formula>"HOU"</formula>
    </cfRule>
  </conditionalFormatting>
  <conditionalFormatting sqref="A1:R261">
    <cfRule type="cellIs" dxfId="21" priority="16" operator="equal">
      <formula>"IND"</formula>
    </cfRule>
  </conditionalFormatting>
  <conditionalFormatting sqref="A1:R261">
    <cfRule type="cellIs" dxfId="22" priority="17" operator="equal">
      <formula>"JAC"</formula>
    </cfRule>
  </conditionalFormatting>
  <conditionalFormatting sqref="A1:R261">
    <cfRule type="cellIs" dxfId="23" priority="18" operator="equal">
      <formula>"KCC"</formula>
    </cfRule>
  </conditionalFormatting>
  <conditionalFormatting sqref="A1:R261">
    <cfRule type="cellIs" dxfId="24" priority="19" operator="equal">
      <formula>"LAC"</formula>
    </cfRule>
  </conditionalFormatting>
  <conditionalFormatting sqref="A1:R261">
    <cfRule type="cellIs" dxfId="25" priority="20" operator="equal">
      <formula>"LAR"</formula>
    </cfRule>
  </conditionalFormatting>
  <conditionalFormatting sqref="A1:R261">
    <cfRule type="cellIs" dxfId="26" priority="21" operator="equal">
      <formula>"MIA"</formula>
    </cfRule>
  </conditionalFormatting>
  <conditionalFormatting sqref="A1:R261">
    <cfRule type="cellIs" dxfId="27" priority="22" operator="equal">
      <formula>"MIN"</formula>
    </cfRule>
  </conditionalFormatting>
  <conditionalFormatting sqref="A1:R261">
    <cfRule type="cellIs" dxfId="28" priority="23" operator="equal">
      <formula>"NEP"</formula>
    </cfRule>
  </conditionalFormatting>
  <conditionalFormatting sqref="A1:R261">
    <cfRule type="cellIs" dxfId="29" priority="24" operator="equal">
      <formula>"NOS"</formula>
    </cfRule>
  </conditionalFormatting>
  <conditionalFormatting sqref="A1:R261">
    <cfRule type="cellIs" dxfId="30" priority="25" operator="equal">
      <formula>"NYG"</formula>
    </cfRule>
  </conditionalFormatting>
  <conditionalFormatting sqref="A1:R261">
    <cfRule type="cellIs" dxfId="31" priority="26" operator="equal">
      <formula>"NYJ"</formula>
    </cfRule>
  </conditionalFormatting>
  <conditionalFormatting sqref="A1:R261">
    <cfRule type="cellIs" dxfId="32" priority="27" operator="equal">
      <formula>"LVR"</formula>
    </cfRule>
  </conditionalFormatting>
  <conditionalFormatting sqref="A1:R261">
    <cfRule type="cellIs" dxfId="33" priority="28" operator="equal">
      <formula>"PHI"</formula>
    </cfRule>
  </conditionalFormatting>
  <conditionalFormatting sqref="A1:R261">
    <cfRule type="cellIs" dxfId="34" priority="29" operator="equal">
      <formula>"PIT"</formula>
    </cfRule>
  </conditionalFormatting>
  <conditionalFormatting sqref="A1:R261">
    <cfRule type="cellIs" dxfId="35" priority="30" operator="equal">
      <formula>"SFO"</formula>
    </cfRule>
  </conditionalFormatting>
  <conditionalFormatting sqref="A1:R261">
    <cfRule type="cellIs" dxfId="36" priority="31" operator="equal">
      <formula>"SEA"</formula>
    </cfRule>
  </conditionalFormatting>
  <conditionalFormatting sqref="A1:R261">
    <cfRule type="cellIs" dxfId="37" priority="32" operator="equal">
      <formula>"TBB"</formula>
    </cfRule>
  </conditionalFormatting>
  <conditionalFormatting sqref="A1:R261">
    <cfRule type="cellIs" dxfId="38" priority="33" operator="equal">
      <formula>"TEN"</formula>
    </cfRule>
  </conditionalFormatting>
  <conditionalFormatting sqref="A1:R261">
    <cfRule type="cellIs" dxfId="39" priority="34" operator="equal">
      <formula>"WAS"</formula>
    </cfRule>
  </conditionalFormatting>
  <conditionalFormatting sqref="A1:R261">
    <cfRule type="cellIs" dxfId="40" priority="35" operator="equal">
      <formula>"QB"</formula>
    </cfRule>
  </conditionalFormatting>
  <conditionalFormatting sqref="A1:R261">
    <cfRule type="cellIs" dxfId="41" priority="36" operator="equal">
      <formula>"WR"</formula>
    </cfRule>
  </conditionalFormatting>
  <conditionalFormatting sqref="A1:R261">
    <cfRule type="cellIs" dxfId="1" priority="37" operator="equal">
      <formula>"RB"</formula>
    </cfRule>
  </conditionalFormatting>
  <conditionalFormatting sqref="A1:R261">
    <cfRule type="cellIs" dxfId="0" priority="38" operator="equal">
      <formula>"TE"</formula>
    </cfRule>
  </conditionalFormatting>
  <conditionalFormatting sqref="E1:E261 F2:G261 N3:N22">
    <cfRule type="cellIs" dxfId="42" priority="39" operator="equal">
      <formula>"Draft"</formula>
    </cfRule>
  </conditionalFormatting>
  <conditionalFormatting sqref="A1:R261">
    <cfRule type="cellIs" dxfId="43" priority="40" operator="equal">
      <formula>"DL"</formula>
    </cfRule>
  </conditionalFormatting>
  <conditionalFormatting sqref="A1:R261">
    <cfRule type="cellIs" dxfId="44" priority="41" operator="equal">
      <formula>"LB"</formula>
    </cfRule>
  </conditionalFormatting>
  <conditionalFormatting sqref="A1:R261">
    <cfRule type="cellIs" dxfId="45" priority="42" operator="equal">
      <formula>"DB"</formula>
    </cfRule>
  </conditionalFormatting>
  <conditionalFormatting sqref="A1:R261">
    <cfRule type="cellIs" dxfId="46" priority="43" operator="equal">
      <formula>"K"</formula>
    </cfRule>
  </conditionalFormatting>
  <conditionalFormatting sqref="C1">
    <cfRule type="cellIs" dxfId="47" priority="44" operator="equal">
      <formula>"ENTER TEAMS FIRST"</formula>
    </cfRule>
  </conditionalFormatting>
  <conditionalFormatting sqref="D1">
    <cfRule type="cellIs" dxfId="3" priority="45" operator="equal">
      <formula>"SEE DRAFT ORDER TAB"</formula>
    </cfRule>
  </conditionalFormatting>
  <conditionalFormatting sqref="A1:R261">
    <cfRule type="cellIs" dxfId="48" priority="46" operator="equal">
      <formula>"D/ST"</formula>
    </cfRule>
  </conditionalFormatting>
  <dataValidations>
    <dataValidation type="list" allowBlank="1" sqref="D2:D261">
      <formula1>HELP_PlayersLeft!$A$2:$A261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6.88"/>
    <col customWidth="1" min="3" max="3" width="22.25"/>
    <col customWidth="1" min="4" max="4" width="25.63"/>
    <col customWidth="1" min="5" max="5" width="7.63"/>
    <col customWidth="1" min="6" max="7" width="6.5"/>
    <col customWidth="1" min="8" max="8" width="4.5"/>
    <col customWidth="1" min="9" max="9" width="22.75"/>
    <col customWidth="1" hidden="1" min="10" max="10" width="10.63"/>
    <col customWidth="1" min="11" max="11" width="6.63"/>
    <col customWidth="1" min="12" max="12" width="20.75"/>
    <col customWidth="1" min="13" max="13" width="5.75"/>
    <col customWidth="1" min="14" max="14" width="6.5"/>
    <col customWidth="1" min="15" max="15" width="4.5"/>
    <col customWidth="1" min="16" max="16" width="20.63"/>
    <col customWidth="1" min="17" max="18" width="6.0"/>
  </cols>
  <sheetData>
    <row r="1">
      <c r="A1" s="28" t="s">
        <v>79</v>
      </c>
      <c r="B1" s="29" t="s">
        <v>80</v>
      </c>
      <c r="C1" s="29" t="str">
        <f>IF(C2="","ENTER TEAMS FIRST","Team")</f>
        <v>Team</v>
      </c>
      <c r="D1" s="29" t="str">
        <f>IF(C2="","SEE DRAFT ORDER TAB","Player")</f>
        <v>Player</v>
      </c>
      <c r="E1" s="29" t="s">
        <v>81</v>
      </c>
      <c r="F1" s="29" t="s">
        <v>82</v>
      </c>
      <c r="G1" s="81" t="s">
        <v>83</v>
      </c>
      <c r="H1" s="29"/>
      <c r="I1" s="30" t="str">
        <f>IFERROR(__xludf.DUMMYFUNCTION("JOIN("" | "",'Team Stats'!C$1:H$1)"),"QB | RB | WR | TE | K | D/ST")</f>
        <v>QB | RB | WR | TE | K | D/ST</v>
      </c>
      <c r="J1" s="31" t="str">
        <f>IFERROR(__xludf.DUMMYFUNCTION("JOIN("" | "",'Team Stats'!I$1:K$1)"),"DL | LB | DB")</f>
        <v>DL | LB | DB</v>
      </c>
      <c r="K1" s="32"/>
      <c r="L1" s="16" t="str">
        <f>"ADP (Fantasypros, "&amp; HOME!C5 &amp;")"</f>
        <v>ADP (Fantasypros, 28.08.2023)</v>
      </c>
      <c r="R1" s="16"/>
    </row>
    <row r="2">
      <c r="A2" s="33" t="s">
        <v>84</v>
      </c>
      <c r="B2" s="34">
        <v>1.0</v>
      </c>
      <c r="C2" s="34" t="str">
        <f>'Teams &amp; Draft Order'!$C$6</f>
        <v>Sleeper Cell </v>
      </c>
      <c r="D2" s="35"/>
      <c r="E2" s="36" t="str">
        <f>IFERROR(VLOOKUP($D2,PlayerDB!$F$2:$G313,2,FALSE),"")</f>
        <v/>
      </c>
      <c r="F2" s="36" t="str">
        <f>IFERROR(VLOOKUP($D2,PlayerDB!$F$2:$H313,3,FALSE),"")</f>
        <v/>
      </c>
      <c r="G2" s="37" t="str">
        <f>IFERROR(VLOOKUP($D2,PlayerDB!$F$2:$I313,4,FALSE),"")</f>
        <v/>
      </c>
      <c r="H2" s="38"/>
      <c r="I2" s="39" t="str">
        <f>IFERROR(__xludf.DUMMYFUNCTION("JOIN("" | "",'Team Stats'!C$2:H$2)"),"1 | 0 | 0 | 0 | 0 | 0")</f>
        <v>1 | 0 | 0 | 0 | 0 | 0</v>
      </c>
      <c r="J2" s="40" t="str">
        <f>IFERROR(__xludf.DUMMYFUNCTION("JOIN("" | "",'Team Stats'!I$2:K$2)"),"0 | 0 | 0")</f>
        <v>0 | 0 | 0</v>
      </c>
      <c r="K2" s="32"/>
      <c r="L2" s="41" t="s">
        <v>85</v>
      </c>
      <c r="O2" s="42"/>
      <c r="P2" s="43" t="s">
        <v>28</v>
      </c>
      <c r="Q2" s="44">
        <f>COUNTIF(F:F,"QB")</f>
        <v>0</v>
      </c>
      <c r="R2" s="44"/>
    </row>
    <row r="3">
      <c r="A3" s="45"/>
      <c r="B3" s="46">
        <v>2.0</v>
      </c>
      <c r="C3" s="46" t="str">
        <f>'Teams &amp; Draft Order'!$C$7</f>
        <v>Phantasm</v>
      </c>
      <c r="D3" s="47"/>
      <c r="E3" s="48" t="str">
        <f>IFERROR(VLOOKUP($D3,PlayerDB!$F$2:$G313,2,FALSE),"")</f>
        <v/>
      </c>
      <c r="F3" s="48" t="str">
        <f>IFERROR(VLOOKUP($D3,PlayerDB!$F$2:$H313,3,FALSE),"")</f>
        <v/>
      </c>
      <c r="G3" s="49" t="str">
        <f>IFERROR(VLOOKUP($D3,PlayerDB!$F$2:$I313,4,FALSE),"")</f>
        <v/>
      </c>
      <c r="H3" s="38"/>
      <c r="I3" s="50" t="str">
        <f>IFERROR(__xludf.DUMMYFUNCTION("JOIN("" | "",'Team Stats'!C$3:H$3)"),"0 | 0 | 0 | 0 | 0 | 0")</f>
        <v>0 | 0 | 0 | 0 | 0 | 0</v>
      </c>
      <c r="J3" s="51" t="str">
        <f>IFERROR(__xludf.DUMMYFUNCTION("JOIN("" | "",'Team Stats'!I$3:K$3)"),"0 | 0 | 0")</f>
        <v>0 | 0 | 0</v>
      </c>
      <c r="L3" s="42" t="str">
        <f>IFERROR(__xludf.DUMMYFUNCTION("QUERY(HELP_PlayersLeft!A2:B313, ""select A LIMIT 20"")"),"Ja'Marr Chase – CIN")</f>
        <v>Ja'Marr Chase – CIN</v>
      </c>
      <c r="M3" s="52">
        <f>IFERROR(VLOOKUP(L3,PlayerDB!$F$2:$G313,2,FALSE),"")</f>
        <v>231.2</v>
      </c>
      <c r="N3" s="53" t="str">
        <f>IFERROR(VLOOKUP($L3,PlayerDB!$F$2:$H313,3,FALSE),"")</f>
        <v>WR</v>
      </c>
      <c r="O3" s="42"/>
      <c r="P3" s="42" t="str">
        <f>IFERROR(__xludf.DUMMYFUNCTION("QUERY(HELP_PlayersLeft!A2:B313, ""select A where B ='QB' LIMIT 20"")"),"Lamar Jackson – BAL")</f>
        <v>Lamar Jackson – BAL</v>
      </c>
      <c r="Q3" s="52">
        <f>IFERROR(VLOOKUP(P3,PlayerDB!$F$2:$G313,2,FALSE),"")</f>
        <v>378.8</v>
      </c>
    </row>
    <row r="4">
      <c r="A4" s="33"/>
      <c r="B4" s="34">
        <v>3.0</v>
      </c>
      <c r="C4" s="34" t="str">
        <f>'Teams &amp; Draft Order'!$C$8</f>
        <v>Icelanders</v>
      </c>
      <c r="D4" s="35"/>
      <c r="E4" s="36" t="str">
        <f>IFERROR(VLOOKUP($D4,PlayerDB!$F$2:$G313,2,FALSE),"")</f>
        <v/>
      </c>
      <c r="F4" s="36" t="str">
        <f>IFERROR(VLOOKUP($D4,PlayerDB!$F$2:$H313,3,FALSE),"")</f>
        <v/>
      </c>
      <c r="G4" s="37" t="str">
        <f>IFERROR(VLOOKUP($D4,PlayerDB!$F$2:$I313,4,FALSE),"")</f>
        <v/>
      </c>
      <c r="H4" s="38"/>
      <c r="I4" s="39" t="str">
        <f>IFERROR(__xludf.DUMMYFUNCTION("JOIN("" | "",'Team Stats'!C$4:H$4)"),"0 | 0 | 0 | 0 | 0 | 0")</f>
        <v>0 | 0 | 0 | 0 | 0 | 0</v>
      </c>
      <c r="J4" s="40" t="str">
        <f>IFERROR(__xludf.DUMMYFUNCTION("JOIN("" | "",'Team Stats'!I$4:K$4)"),"0 | 0 | 0")</f>
        <v>0 | 0 | 0</v>
      </c>
      <c r="L4" s="20" t="str">
        <f>IFERROR(__xludf.DUMMYFUNCTION("""COMPUTED_VALUE"""),"Lamar Jackson – BAL")</f>
        <v>Lamar Jackson – BAL</v>
      </c>
      <c r="M4" s="52">
        <f>IFERROR(VLOOKUP(L4,PlayerDB!$F$2:$G313,2,FALSE),"")</f>
        <v>378.8</v>
      </c>
      <c r="N4" s="53" t="str">
        <f>IFERROR(VLOOKUP($L4,PlayerDB!$F$2:$H313,3,FALSE),"")</f>
        <v>QB</v>
      </c>
      <c r="O4" s="42"/>
      <c r="P4" s="20" t="str">
        <f>IFERROR(__xludf.DUMMYFUNCTION("""COMPUTED_VALUE"""),"Josh Allen – BUF")</f>
        <v>Josh Allen – BUF</v>
      </c>
      <c r="Q4" s="52">
        <f>IFERROR(VLOOKUP(P4,PlayerDB!$F$2:$G313,2,FALSE),"")</f>
        <v>376.7</v>
      </c>
    </row>
    <row r="5">
      <c r="A5" s="45"/>
      <c r="B5" s="46">
        <v>4.0</v>
      </c>
      <c r="C5" s="46" t="str">
        <f>'Teams &amp; Draft Order'!$C$9</f>
        <v>El Nino</v>
      </c>
      <c r="D5" s="47"/>
      <c r="E5" s="48" t="str">
        <f>IFERROR(VLOOKUP($D5,PlayerDB!$F$2:$G313,2,FALSE),"")</f>
        <v/>
      </c>
      <c r="F5" s="48" t="str">
        <f>IFERROR(VLOOKUP($D5,PlayerDB!$F$2:$H313,3,FALSE),"")</f>
        <v/>
      </c>
      <c r="G5" s="49" t="str">
        <f>IFERROR(VLOOKUP($D5,PlayerDB!$F$2:$I313,4,FALSE),"")</f>
        <v/>
      </c>
      <c r="H5" s="38"/>
      <c r="I5" s="50" t="str">
        <f>IFERROR(__xludf.DUMMYFUNCTION("JOIN("" | "",'Team Stats'!C$5:H$5)"),"0 | 0 | 0 | 0 | 0 | 0")</f>
        <v>0 | 0 | 0 | 0 | 0 | 0</v>
      </c>
      <c r="J5" s="51" t="str">
        <f>IFERROR(__xludf.DUMMYFUNCTION("JOIN("" | "",'Team Stats'!I$5:K$5)"),"0 | 0 | 0")</f>
        <v>0 | 0 | 0</v>
      </c>
      <c r="L5" s="42" t="str">
        <f>IFERROR(__xludf.DUMMYFUNCTION("""COMPUTED_VALUE"""),"Brock Bowers – LV")</f>
        <v>Brock Bowers – LV</v>
      </c>
      <c r="M5" s="52">
        <f>IFERROR(VLOOKUP(L5,PlayerDB!$F$2:$G313,2,FALSE),"")</f>
        <v>149.7</v>
      </c>
      <c r="N5" s="53" t="str">
        <f>IFERROR(VLOOKUP($L5,PlayerDB!$F$2:$H313,3,FALSE),"")</f>
        <v>TE</v>
      </c>
      <c r="O5" s="42"/>
      <c r="P5" s="42" t="str">
        <f>IFERROR(__xludf.DUMMYFUNCTION("""COMPUTED_VALUE"""),"Jalen Hurts – PHI")</f>
        <v>Jalen Hurts – PHI</v>
      </c>
      <c r="Q5" s="52">
        <f>IFERROR(VLOOKUP(P5,PlayerDB!$F$2:$G313,2,FALSE),"")</f>
        <v>356.6</v>
      </c>
    </row>
    <row r="6">
      <c r="A6" s="33"/>
      <c r="B6" s="34">
        <v>5.0</v>
      </c>
      <c r="C6" s="34" t="str">
        <f>'Teams &amp; Draft Order'!$C$10</f>
        <v>Buttheads</v>
      </c>
      <c r="D6" s="35"/>
      <c r="E6" s="36" t="str">
        <f>IFERROR(VLOOKUP($D6,PlayerDB!$F$2:$G313,2,FALSE),"")</f>
        <v/>
      </c>
      <c r="F6" s="36" t="str">
        <f>IFERROR(VLOOKUP($D6,PlayerDB!$F$2:$H313,3,FALSE),"")</f>
        <v/>
      </c>
      <c r="G6" s="37" t="str">
        <f>IFERROR(VLOOKUP($D6,PlayerDB!$F$2:$I313,4,FALSE),"")</f>
        <v/>
      </c>
      <c r="H6" s="38"/>
      <c r="I6" s="39" t="str">
        <f>IFERROR(__xludf.DUMMYFUNCTION("JOIN("" | "",'Team Stats'!C$6:H$6)"),"0 | 0 | 0 | 0 | 0 | 0")</f>
        <v>0 | 0 | 0 | 0 | 0 | 0</v>
      </c>
      <c r="J6" s="40" t="str">
        <f>IFERROR(__xludf.DUMMYFUNCTION("JOIN("" | "",'Team Stats'!I$6:K$6)"),"0 | 0 | 0")</f>
        <v>0 | 0 | 0</v>
      </c>
      <c r="L6" s="42" t="str">
        <f>IFERROR(__xludf.DUMMYFUNCTION("""COMPUTED_VALUE"""),"Brandon Aubrey – DAL")</f>
        <v>Brandon Aubrey – DAL</v>
      </c>
      <c r="M6" s="52">
        <f>IFERROR(VLOOKUP(L6,PlayerDB!$F$2:$G313,2,FALSE),"")</f>
        <v>140</v>
      </c>
      <c r="N6" s="53" t="str">
        <f>IFERROR(VLOOKUP($L6,PlayerDB!$F$2:$H313,3,FALSE),"")</f>
        <v>K</v>
      </c>
      <c r="O6" s="42"/>
      <c r="P6" s="42" t="str">
        <f>IFERROR(__xludf.DUMMYFUNCTION("""COMPUTED_VALUE"""),"Jayden Daniels – WAS")</f>
        <v>Jayden Daniels – WAS</v>
      </c>
      <c r="Q6" s="52">
        <f>IFERROR(VLOOKUP(P6,PlayerDB!$F$2:$G313,2,FALSE),"")</f>
        <v>355.8</v>
      </c>
    </row>
    <row r="7">
      <c r="A7" s="45"/>
      <c r="B7" s="46">
        <v>6.0</v>
      </c>
      <c r="C7" s="46" t="str">
        <f>'Teams &amp; Draft Order'!$C$11</f>
        <v>Big Boys Big Work</v>
      </c>
      <c r="D7" s="47"/>
      <c r="E7" s="48" t="str">
        <f>IFERROR(VLOOKUP($D7,PlayerDB!$F$2:$G313,2,FALSE),"")</f>
        <v/>
      </c>
      <c r="F7" s="48" t="str">
        <f>IFERROR(VLOOKUP($D7,PlayerDB!$F$2:$H313,3,FALSE),"")</f>
        <v/>
      </c>
      <c r="G7" s="49" t="str">
        <f>IFERROR(VLOOKUP($D7,PlayerDB!$F$2:$I313,4,FALSE),"")</f>
        <v/>
      </c>
      <c r="H7" s="38"/>
      <c r="I7" s="50" t="str">
        <f>IFERROR(__xludf.DUMMYFUNCTION("JOIN("" | "",'Team Stats'!C$7:H$7)"),"0 | 0 | 0 | 0 | 0 | 0")</f>
        <v>0 | 0 | 0 | 0 | 0 | 0</v>
      </c>
      <c r="J7" s="51" t="str">
        <f>IFERROR(__xludf.DUMMYFUNCTION("JOIN("" | "",'Team Stats'!I$7:K$7)"),"0 | 0 | 0")</f>
        <v>0 | 0 | 0</v>
      </c>
      <c r="L7" s="42" t="str">
        <f>IFERROR(__xludf.DUMMYFUNCTION("""COMPUTED_VALUE"""),"Christian McCaffrey – SF")</f>
        <v>Christian McCaffrey – SF</v>
      </c>
      <c r="M7" s="52">
        <f>IFERROR(VLOOKUP(L7,PlayerDB!$F$2:$G313,2,FALSE),"")</f>
        <v>254</v>
      </c>
      <c r="N7" s="53" t="str">
        <f>IFERROR(VLOOKUP($L7,PlayerDB!$F$2:$H313,3,FALSE),"")</f>
        <v>RB</v>
      </c>
      <c r="O7" s="42"/>
      <c r="P7" s="42" t="str">
        <f>IFERROR(__xludf.DUMMYFUNCTION("""COMPUTED_VALUE"""),"Joe Burrow – CIN")</f>
        <v>Joe Burrow – CIN</v>
      </c>
      <c r="Q7" s="52">
        <f>IFERROR(VLOOKUP(P7,PlayerDB!$F$2:$G313,2,FALSE),"")</f>
        <v>341.6</v>
      </c>
    </row>
    <row r="8">
      <c r="A8" s="33"/>
      <c r="B8" s="34">
        <v>7.0</v>
      </c>
      <c r="C8" s="34" t="str">
        <f>'Teams &amp; Draft Order'!$C$12</f>
        <v>Turbo-Ginz</v>
      </c>
      <c r="D8" s="35"/>
      <c r="E8" s="36" t="str">
        <f>IFERROR(VLOOKUP($D8,PlayerDB!$F$2:$G313,2,FALSE),"")</f>
        <v/>
      </c>
      <c r="F8" s="36" t="str">
        <f>IFERROR(VLOOKUP($D8,PlayerDB!$F$2:$H313,3,FALSE),"")</f>
        <v/>
      </c>
      <c r="G8" s="37" t="str">
        <f>IFERROR(VLOOKUP($D8,PlayerDB!$F$2:$I313,4,FALSE),"")</f>
        <v/>
      </c>
      <c r="H8" s="38"/>
      <c r="I8" s="39" t="str">
        <f>IFERROR(__xludf.DUMMYFUNCTION("JOIN("" | "",'Team Stats'!C$8:H$8)"),"0 | 0 | 0 | 0 | 0 | 0")</f>
        <v>0 | 0 | 0 | 0 | 0 | 0</v>
      </c>
      <c r="J8" s="40" t="str">
        <f>IFERROR(__xludf.DUMMYFUNCTION("JOIN("" | "",'Team Stats'!I$8:K$8)"),"0 | 0 | 0")</f>
        <v>0 | 0 | 0</v>
      </c>
      <c r="L8" s="42" t="str">
        <f>IFERROR(__xludf.DUMMYFUNCTION("""COMPUTED_VALUE"""),"Justin Jefferson – MIN")</f>
        <v>Justin Jefferson – MIN</v>
      </c>
      <c r="M8" s="52">
        <f>IFERROR(VLOOKUP(L8,PlayerDB!$F$2:$G313,2,FALSE),"")</f>
        <v>205.2</v>
      </c>
      <c r="N8" s="53" t="str">
        <f>IFERROR(VLOOKUP($L8,PlayerDB!$F$2:$H313,3,FALSE),"")</f>
        <v>WR</v>
      </c>
      <c r="O8" s="42"/>
      <c r="P8" s="42" t="str">
        <f>IFERROR(__xludf.DUMMYFUNCTION("""COMPUTED_VALUE"""),"Patrick Mahomes – KC")</f>
        <v>Patrick Mahomes – KC</v>
      </c>
      <c r="Q8" s="52">
        <f>IFERROR(VLOOKUP(P8,PlayerDB!$F$2:$G313,2,FALSE),"")</f>
        <v>327.1</v>
      </c>
    </row>
    <row r="9">
      <c r="A9" s="45"/>
      <c r="B9" s="46">
        <v>8.0</v>
      </c>
      <c r="C9" s="46" t="str">
        <f>'Teams &amp; Draft Order'!$C$13</f>
        <v>Luddite</v>
      </c>
      <c r="D9" s="47"/>
      <c r="E9" s="48" t="str">
        <f>IFERROR(VLOOKUP($D9,PlayerDB!$F$2:$G313,2,FALSE),"")</f>
        <v/>
      </c>
      <c r="F9" s="48" t="str">
        <f>IFERROR(VLOOKUP($D9,PlayerDB!$F$2:$H313,3,FALSE),"")</f>
        <v/>
      </c>
      <c r="G9" s="49" t="str">
        <f>IFERROR(VLOOKUP($D9,PlayerDB!$F$2:$I313,4,FALSE),"")</f>
        <v/>
      </c>
      <c r="H9" s="38"/>
      <c r="I9" s="50" t="str">
        <f>IFERROR(__xludf.DUMMYFUNCTION("JOIN("" | "",'Team Stats'!C$9:H$9)"),"0 | 0 | 0 | 0 | 0 | 0")</f>
        <v>0 | 0 | 0 | 0 | 0 | 0</v>
      </c>
      <c r="J9" s="51" t="str">
        <f>IFERROR(__xludf.DUMMYFUNCTION("JOIN("" | "",'Team Stats'!I$9:K$9)"),"0 | 0 | 0")</f>
        <v>0 | 0 | 0</v>
      </c>
      <c r="L9" s="42" t="str">
        <f>IFERROR(__xludf.DUMMYFUNCTION("""COMPUTED_VALUE"""),"Josh Allen – BUF")</f>
        <v>Josh Allen – BUF</v>
      </c>
      <c r="M9" s="52">
        <f>IFERROR(VLOOKUP(L9,PlayerDB!$F$2:$G313,2,FALSE),"")</f>
        <v>376.7</v>
      </c>
      <c r="N9" s="53" t="str">
        <f>IFERROR(VLOOKUP($L9,PlayerDB!$F$2:$H313,3,FALSE),"")</f>
        <v>QB</v>
      </c>
      <c r="O9" s="42"/>
      <c r="P9" s="42" t="str">
        <f>IFERROR(__xludf.DUMMYFUNCTION("""COMPUTED_VALUE"""),"Baker Mayfield – TB")</f>
        <v>Baker Mayfield – TB</v>
      </c>
      <c r="Q9" s="52">
        <f>IFERROR(VLOOKUP(P9,PlayerDB!$F$2:$G313,2,FALSE),"")</f>
        <v>321.6</v>
      </c>
    </row>
    <row r="10">
      <c r="A10" s="33"/>
      <c r="B10" s="34">
        <v>9.0</v>
      </c>
      <c r="C10" s="34" t="str">
        <f>'Teams &amp; Draft Order'!$C$14</f>
        <v>Achaians</v>
      </c>
      <c r="D10" s="35"/>
      <c r="E10" s="36" t="str">
        <f>IFERROR(VLOOKUP($D10,PlayerDB!$F$2:$G313,2,FALSE),"")</f>
        <v/>
      </c>
      <c r="F10" s="36" t="str">
        <f>IFERROR(VLOOKUP($D10,PlayerDB!$F$2:$H313,3,FALSE),"")</f>
        <v/>
      </c>
      <c r="G10" s="37" t="str">
        <f>IFERROR(VLOOKUP($D10,PlayerDB!$F$2:$I313,4,FALSE),"")</f>
        <v/>
      </c>
      <c r="H10" s="38"/>
      <c r="I10" s="39" t="str">
        <f>IFERROR(__xludf.DUMMYFUNCTION("JOIN("" | "",'Team Stats'!C$10:H$10)"),"0 | 0 | 0 | 0 | 0 | 0")</f>
        <v>0 | 0 | 0 | 0 | 0 | 0</v>
      </c>
      <c r="J10" s="40" t="str">
        <f>IFERROR(__xludf.DUMMYFUNCTION("JOIN("" | "",'Team Stats'!I$10:K$10)"),"0 | 0 | 0")</f>
        <v>0 | 0 | 0</v>
      </c>
      <c r="L10" s="42" t="str">
        <f>IFERROR(__xludf.DUMMYFUNCTION("""COMPUTED_VALUE"""),"George Kittle – SF")</f>
        <v>George Kittle – SF</v>
      </c>
      <c r="M10" s="52">
        <f>IFERROR(VLOOKUP(L10,PlayerDB!$F$2:$G313,2,FALSE),"")</f>
        <v>147.6</v>
      </c>
      <c r="N10" s="53" t="str">
        <f>IFERROR(VLOOKUP($L10,PlayerDB!$F$2:$H313,3,FALSE),"")</f>
        <v>TE</v>
      </c>
      <c r="O10" s="42"/>
      <c r="P10" s="42" t="str">
        <f>IFERROR(__xludf.DUMMYFUNCTION("""COMPUTED_VALUE"""),"Kyler Murray – ARI")</f>
        <v>Kyler Murray – ARI</v>
      </c>
      <c r="Q10" s="52">
        <f>IFERROR(VLOOKUP(P10,PlayerDB!$F$2:$G313,2,FALSE),"")</f>
        <v>319</v>
      </c>
    </row>
    <row r="11">
      <c r="A11" s="45"/>
      <c r="B11" s="46">
        <v>10.0</v>
      </c>
      <c r="C11" s="46" t="str">
        <f>'Teams &amp; Draft Order'!$C$15</f>
        <v>Daddy's Dogs</v>
      </c>
      <c r="D11" s="47"/>
      <c r="E11" s="48" t="str">
        <f>IFERROR(VLOOKUP($D11,PlayerDB!$F$2:$G313,2,FALSE),"")</f>
        <v/>
      </c>
      <c r="F11" s="48" t="str">
        <f>IFERROR(VLOOKUP($D11,PlayerDB!$F$2:$H313,3,FALSE),"")</f>
        <v/>
      </c>
      <c r="G11" s="49" t="str">
        <f>IFERROR(VLOOKUP($D11,PlayerDB!$F$2:$I313,4,FALSE),"")</f>
        <v/>
      </c>
      <c r="H11" s="38"/>
      <c r="I11" s="50" t="str">
        <f>IFERROR(__xludf.DUMMYFUNCTION("JOIN("" | "",'Team Stats'!C$11:H$11)"),"0 | 0 | 0 | 0 | 0 | 0")</f>
        <v>0 | 0 | 0 | 0 | 0 | 0</v>
      </c>
      <c r="J11" s="51" t="str">
        <f>IFERROR(__xludf.DUMMYFUNCTION("JOIN("" | "",'Team Stats'!I$11:K$11)"),"0 | 0 | 0")</f>
        <v>0 | 0 | 0</v>
      </c>
      <c r="L11" s="42" t="str">
        <f>IFERROR(__xludf.DUMMYFUNCTION("""COMPUTED_VALUE"""),"Chase McLaughlin – TB")</f>
        <v>Chase McLaughlin – TB</v>
      </c>
      <c r="M11" s="52">
        <f>IFERROR(VLOOKUP(L11,PlayerDB!$F$2:$G313,2,FALSE),"")</f>
        <v>136</v>
      </c>
      <c r="N11" s="53" t="str">
        <f>IFERROR(VLOOKUP($L11,PlayerDB!$F$2:$H313,3,FALSE),"")</f>
        <v>K</v>
      </c>
      <c r="O11" s="42"/>
      <c r="P11" s="42" t="str">
        <f>IFERROR(__xludf.DUMMYFUNCTION("""COMPUTED_VALUE"""),"Brock Purdy – SF")</f>
        <v>Brock Purdy – SF</v>
      </c>
      <c r="Q11" s="52">
        <f>IFERROR(VLOOKUP(P11,PlayerDB!$F$2:$G313,2,FALSE),"")</f>
        <v>309.6</v>
      </c>
    </row>
    <row r="12">
      <c r="A12" s="33"/>
      <c r="B12" s="34">
        <v>11.0</v>
      </c>
      <c r="C12" s="34" t="str">
        <f>'Teams &amp; Draft Order'!$C$16</f>
        <v>TDs and Beers</v>
      </c>
      <c r="D12" s="35"/>
      <c r="E12" s="36" t="str">
        <f>IFERROR(VLOOKUP($D12,PlayerDB!$F$2:$G313,2,FALSE),"")</f>
        <v/>
      </c>
      <c r="F12" s="36" t="str">
        <f>IFERROR(VLOOKUP($D12,PlayerDB!$F$2:$H313,3,FALSE),"")</f>
        <v/>
      </c>
      <c r="G12" s="37" t="str">
        <f>IFERROR(VLOOKUP($D12,PlayerDB!$F$2:$I313,4,FALSE),"")</f>
        <v/>
      </c>
      <c r="H12" s="38"/>
      <c r="I12" s="39" t="str">
        <f>IFERROR(__xludf.DUMMYFUNCTION("JOIN("" | "",'Team Stats'!C$12:H$12)"),"0 | 0 | 0 | 0 | 0 | 0")</f>
        <v>0 | 0 | 0 | 0 | 0 | 0</v>
      </c>
      <c r="J12" s="40" t="str">
        <f>IFERROR(__xludf.DUMMYFUNCTION("JOIN("" | "",'Team Stats'!I$12:K$12)"),"0 | 0 | 0")</f>
        <v>0 | 0 | 0</v>
      </c>
      <c r="L12" s="42" t="str">
        <f>IFERROR(__xludf.DUMMYFUNCTION("""COMPUTED_VALUE"""),"Derrick Henry – BAL")</f>
        <v>Derrick Henry – BAL</v>
      </c>
      <c r="M12" s="52">
        <f>IFERROR(VLOOKUP(L12,PlayerDB!$F$2:$G313,2,FALSE),"")</f>
        <v>253</v>
      </c>
      <c r="N12" s="53" t="str">
        <f>IFERROR(VLOOKUP($L12,PlayerDB!$F$2:$H313,3,FALSE),"")</f>
        <v>RB</v>
      </c>
      <c r="O12" s="61"/>
      <c r="P12" s="42" t="str">
        <f>IFERROR(__xludf.DUMMYFUNCTION("""COMPUTED_VALUE"""),"Bo Nix – DEN")</f>
        <v>Bo Nix – DEN</v>
      </c>
      <c r="Q12" s="52">
        <f>IFERROR(VLOOKUP(P12,PlayerDB!$F$2:$G313,2,FALSE),"")</f>
        <v>308.8</v>
      </c>
    </row>
    <row r="13">
      <c r="A13" s="54"/>
      <c r="B13" s="55">
        <v>12.0</v>
      </c>
      <c r="C13" s="55" t="str">
        <f>'Teams &amp; Draft Order'!$C$17</f>
        <v>DD Riders</v>
      </c>
      <c r="D13" s="56"/>
      <c r="E13" s="57" t="str">
        <f>IFERROR(VLOOKUP($D13,PlayerDB!$F$2:$G313,2,FALSE),"")</f>
        <v/>
      </c>
      <c r="F13" s="57" t="str">
        <f>IFERROR(VLOOKUP($D13,PlayerDB!$F$2:$H313,3,FALSE),"")</f>
        <v/>
      </c>
      <c r="G13" s="58" t="str">
        <f>IFERROR(VLOOKUP($D13,PlayerDB!$F$2:$I313,4,FALSE),"")</f>
        <v/>
      </c>
      <c r="H13" s="59"/>
      <c r="I13" s="60" t="str">
        <f>IFERROR(__xludf.DUMMYFUNCTION("JOIN("" | "",'Team Stats'!C$13:H$13)"),"0 | 0 | 0 | 0 | 0 | 0")</f>
        <v>0 | 0 | 0 | 0 | 0 | 0</v>
      </c>
      <c r="J13" s="51" t="str">
        <f>IFERROR(__xludf.DUMMYFUNCTION("JOIN("" | "",'Team Stats'!I$13:K$13)"),"0 | 0 | 0")</f>
        <v>0 | 0 | 0</v>
      </c>
      <c r="L13" s="42" t="str">
        <f>IFERROR(__xludf.DUMMYFUNCTION("""COMPUTED_VALUE"""),"CeeDee Lamb – DAL")</f>
        <v>CeeDee Lamb – DAL</v>
      </c>
      <c r="M13" s="52">
        <f>IFERROR(VLOOKUP(L13,PlayerDB!$F$2:$G313,2,FALSE),"")</f>
        <v>193</v>
      </c>
      <c r="N13" s="53" t="str">
        <f>IFERROR(VLOOKUP($L13,PlayerDB!$F$2:$H313,3,FALSE),"")</f>
        <v>WR</v>
      </c>
      <c r="O13" s="42"/>
      <c r="P13" s="42" t="str">
        <f>IFERROR(__xludf.DUMMYFUNCTION("""COMPUTED_VALUE"""),"Justin Fields – NYJ")</f>
        <v>Justin Fields – NYJ</v>
      </c>
      <c r="Q13" s="52">
        <f>IFERROR(VLOOKUP(P13,PlayerDB!$F$2:$G313,2,FALSE),"")</f>
        <v>300.9</v>
      </c>
    </row>
    <row r="14">
      <c r="A14" s="72" t="s">
        <v>86</v>
      </c>
      <c r="B14" s="73">
        <v>13.0</v>
      </c>
      <c r="C14" s="73" t="str">
        <f>'Teams &amp; Draft Order'!$C$17</f>
        <v>DD Riders</v>
      </c>
      <c r="D14" s="74"/>
      <c r="E14" s="36" t="str">
        <f>IFERROR(VLOOKUP($D14,PlayerDB!$F$2:$G313,2,FALSE),"")</f>
        <v/>
      </c>
      <c r="F14" s="36" t="str">
        <f>IFERROR(VLOOKUP($D14,PlayerDB!$F$2:$H313,3,FALSE),"")</f>
        <v/>
      </c>
      <c r="G14" s="37" t="str">
        <f>IFERROR(VLOOKUP($D14,PlayerDB!$F$2:$I313,4,FALSE),"")</f>
        <v/>
      </c>
      <c r="H14" s="38"/>
      <c r="I14" s="76" t="str">
        <f>IFERROR(__xludf.DUMMYFUNCTION("JOIN("" | "",'Team Stats'!C$13:H$13)"),"0 | 0 | 0 | 0 | 0 | 0")</f>
        <v>0 | 0 | 0 | 0 | 0 | 0</v>
      </c>
      <c r="J14" s="62" t="str">
        <f>IFERROR(__xludf.DUMMYFUNCTION("JOIN("" | "",'Team Stats'!I$13:K$13)"),"0 | 0 | 0")</f>
        <v>0 | 0 | 0</v>
      </c>
      <c r="L14" s="42" t="str">
        <f>IFERROR(__xludf.DUMMYFUNCTION("""COMPUTED_VALUE"""),"Jalen Hurts – PHI")</f>
        <v>Jalen Hurts – PHI</v>
      </c>
      <c r="M14" s="52">
        <f>IFERROR(VLOOKUP(L14,PlayerDB!$F$2:$G313,2,FALSE),"")</f>
        <v>356.6</v>
      </c>
      <c r="N14" s="53" t="str">
        <f>IFERROR(VLOOKUP($L14,PlayerDB!$F$2:$H313,3,FALSE),"")</f>
        <v>QB</v>
      </c>
      <c r="O14" s="42"/>
      <c r="P14" s="42" t="str">
        <f>IFERROR(__xludf.DUMMYFUNCTION("""COMPUTED_VALUE"""),"Justin Herbert – LAC")</f>
        <v>Justin Herbert – LAC</v>
      </c>
      <c r="Q14" s="52">
        <f>IFERROR(VLOOKUP(P14,PlayerDB!$F$2:$G313,2,FALSE),"")</f>
        <v>293.8</v>
      </c>
    </row>
    <row r="15">
      <c r="A15" s="45"/>
      <c r="B15" s="46">
        <v>14.0</v>
      </c>
      <c r="C15" s="46" t="str">
        <f>'Teams &amp; Draft Order'!$C$16</f>
        <v>TDs and Beers</v>
      </c>
      <c r="D15" s="47"/>
      <c r="E15" s="48" t="str">
        <f>IFERROR(VLOOKUP($D15,PlayerDB!$F$2:$G313,2,FALSE),"")</f>
        <v/>
      </c>
      <c r="F15" s="48" t="str">
        <f>IFERROR(VLOOKUP($D15,PlayerDB!$F$2:$H313,3,FALSE),"")</f>
        <v/>
      </c>
      <c r="G15" s="49" t="str">
        <f>IFERROR(VLOOKUP($D15,PlayerDB!$F$2:$I313,4,FALSE),"")</f>
        <v/>
      </c>
      <c r="H15" s="38"/>
      <c r="I15" s="50" t="str">
        <f>IFERROR(__xludf.DUMMYFUNCTION("JOIN("" | "",'Team Stats'!C$12:H$12)"),"0 | 0 | 0 | 0 | 0 | 0")</f>
        <v>0 | 0 | 0 | 0 | 0 | 0</v>
      </c>
      <c r="J15" s="51" t="str">
        <f>IFERROR(__xludf.DUMMYFUNCTION("JOIN("" | "",'Team Stats'!I$12:K$12)"),"0 | 0 | 0")</f>
        <v>0 | 0 | 0</v>
      </c>
      <c r="L15" s="42" t="str">
        <f>IFERROR(__xludf.DUMMYFUNCTION("""COMPUTED_VALUE"""),"Trey McBride – ARI")</f>
        <v>Trey McBride – ARI</v>
      </c>
      <c r="M15" s="52">
        <f>IFERROR(VLOOKUP(L15,PlayerDB!$F$2:$G313,2,FALSE),"")</f>
        <v>139.4</v>
      </c>
      <c r="N15" s="53" t="str">
        <f>IFERROR(VLOOKUP($L15,PlayerDB!$F$2:$H313,3,FALSE),"")</f>
        <v>TE</v>
      </c>
      <c r="O15" s="42"/>
      <c r="P15" s="42" t="str">
        <f>IFERROR(__xludf.DUMMYFUNCTION("""COMPUTED_VALUE"""),"Jared Goff – DET")</f>
        <v>Jared Goff – DET</v>
      </c>
      <c r="Q15" s="52">
        <f>IFERROR(VLOOKUP(P15,PlayerDB!$F$2:$G313,2,FALSE),"")</f>
        <v>290</v>
      </c>
    </row>
    <row r="16">
      <c r="A16" s="33"/>
      <c r="B16" s="34">
        <v>15.0</v>
      </c>
      <c r="C16" s="34" t="str">
        <f>'Teams &amp; Draft Order'!$C$15</f>
        <v>Daddy's Dogs</v>
      </c>
      <c r="D16" s="35"/>
      <c r="E16" s="36" t="str">
        <f>IFERROR(VLOOKUP($D16,PlayerDB!$F$2:$G313,2,FALSE),"")</f>
        <v/>
      </c>
      <c r="F16" s="36" t="str">
        <f>IFERROR(VLOOKUP($D16,PlayerDB!$F$2:$H313,3,FALSE),"")</f>
        <v/>
      </c>
      <c r="G16" s="37" t="str">
        <f>IFERROR(VLOOKUP($D16,PlayerDB!$F$2:$I313,4,FALSE),"")</f>
        <v/>
      </c>
      <c r="H16" s="38"/>
      <c r="I16" s="39" t="str">
        <f>IFERROR(__xludf.DUMMYFUNCTION("JOIN("" | "",'Team Stats'!C$11:H$11)"),"0 | 0 | 0 | 0 | 0 | 0")</f>
        <v>0 | 0 | 0 | 0 | 0 | 0</v>
      </c>
      <c r="J16" s="40" t="str">
        <f>IFERROR(__xludf.DUMMYFUNCTION("JOIN("" | "",'Team Stats'!I$11:K$11)"),"0 | 0 | 0")</f>
        <v>0 | 0 | 0</v>
      </c>
      <c r="L16" s="42" t="str">
        <f>IFERROR(__xludf.DUMMYFUNCTION("""COMPUTED_VALUE"""),"Cameron Dicker – LAC")</f>
        <v>Cameron Dicker – LAC</v>
      </c>
      <c r="M16" s="52">
        <f>IFERROR(VLOOKUP(L16,PlayerDB!$F$2:$G313,2,FALSE),"")</f>
        <v>135</v>
      </c>
      <c r="N16" s="53" t="str">
        <f>IFERROR(VLOOKUP($L16,PlayerDB!$F$2:$H313,3,FALSE),"")</f>
        <v>K</v>
      </c>
      <c r="O16" s="42"/>
      <c r="P16" s="42" t="str">
        <f>IFERROR(__xludf.DUMMYFUNCTION("""COMPUTED_VALUE"""),"Dak Prescott – DAL")</f>
        <v>Dak Prescott – DAL</v>
      </c>
      <c r="Q16" s="52">
        <f>IFERROR(VLOOKUP(P16,PlayerDB!$F$2:$G313,2,FALSE),"")</f>
        <v>290</v>
      </c>
    </row>
    <row r="17">
      <c r="A17" s="45"/>
      <c r="B17" s="46">
        <v>16.0</v>
      </c>
      <c r="C17" s="46" t="str">
        <f>'Teams &amp; Draft Order'!$C$14</f>
        <v>Achaians</v>
      </c>
      <c r="D17" s="47"/>
      <c r="E17" s="48" t="str">
        <f>IFERROR(VLOOKUP($D17,PlayerDB!$F$2:$G313,2,FALSE),"")</f>
        <v/>
      </c>
      <c r="F17" s="48" t="str">
        <f>IFERROR(VLOOKUP($D17,PlayerDB!$F$2:$H313,3,FALSE),"")</f>
        <v/>
      </c>
      <c r="G17" s="49" t="str">
        <f>IFERROR(VLOOKUP($D17,PlayerDB!$F$2:$I313,4,FALSE),"")</f>
        <v/>
      </c>
      <c r="H17" s="38"/>
      <c r="I17" s="50" t="str">
        <f>IFERROR(__xludf.DUMMYFUNCTION("JOIN("" | "",'Team Stats'!C$10:H$10)"),"0 | 0 | 0 | 0 | 0 | 0")</f>
        <v>0 | 0 | 0 | 0 | 0 | 0</v>
      </c>
      <c r="J17" s="51" t="str">
        <f>IFERROR(__xludf.DUMMYFUNCTION("JOIN("" | "",'Team Stats'!I$10:K$10)"),"0 | 0 | 0")</f>
        <v>0 | 0 | 0</v>
      </c>
      <c r="L17" s="42" t="str">
        <f>IFERROR(__xludf.DUMMYFUNCTION("""COMPUTED_VALUE"""),"Saquon Barkley – PHI")</f>
        <v>Saquon Barkley – PHI</v>
      </c>
      <c r="M17" s="52">
        <f>IFERROR(VLOOKUP(L17,PlayerDB!$F$2:$G313,2,FALSE),"")</f>
        <v>231</v>
      </c>
      <c r="N17" s="53" t="str">
        <f>IFERROR(VLOOKUP($L17,PlayerDB!$F$2:$H313,3,FALSE),"")</f>
        <v>RB</v>
      </c>
      <c r="O17" s="42"/>
      <c r="P17" s="42" t="str">
        <f>IFERROR(__xludf.DUMMYFUNCTION("""COMPUTED_VALUE"""),"J.J. McCarthy – MIN")</f>
        <v>J.J. McCarthy – MIN</v>
      </c>
      <c r="Q17" s="52">
        <f>IFERROR(VLOOKUP(P17,PlayerDB!$F$2:$G313,2,FALSE),"")</f>
        <v>289.2</v>
      </c>
    </row>
    <row r="18">
      <c r="A18" s="33"/>
      <c r="B18" s="34">
        <v>17.0</v>
      </c>
      <c r="C18" s="34" t="str">
        <f>'Teams &amp; Draft Order'!$C$13</f>
        <v>Luddite</v>
      </c>
      <c r="D18" s="35"/>
      <c r="E18" s="36" t="str">
        <f>IFERROR(VLOOKUP($D18,PlayerDB!$F$2:$G313,2,FALSE),"")</f>
        <v/>
      </c>
      <c r="F18" s="36" t="str">
        <f>IFERROR(VLOOKUP($D18,PlayerDB!$F$2:$H313,3,FALSE),"")</f>
        <v/>
      </c>
      <c r="G18" s="37" t="str">
        <f>IFERROR(VLOOKUP($D18,PlayerDB!$F$2:$I313,4,FALSE),"")</f>
        <v/>
      </c>
      <c r="H18" s="38"/>
      <c r="I18" s="39" t="str">
        <f>IFERROR(__xludf.DUMMYFUNCTION("JOIN("" | "",'Team Stats'!C$9:H$9)"),"0 | 0 | 0 | 0 | 0 | 0")</f>
        <v>0 | 0 | 0 | 0 | 0 | 0</v>
      </c>
      <c r="J18" s="40" t="str">
        <f>IFERROR(__xludf.DUMMYFUNCTION("JOIN("" | "",'Team Stats'!I$9:K$9)"),"0 | 0 | 0")</f>
        <v>0 | 0 | 0</v>
      </c>
      <c r="L18" s="42" t="str">
        <f>IFERROR(__xludf.DUMMYFUNCTION("""COMPUTED_VALUE"""),"Puka Nacua – LAR")</f>
        <v>Puka Nacua – LAR</v>
      </c>
      <c r="M18" s="52">
        <f>IFERROR(VLOOKUP(L18,PlayerDB!$F$2:$G313,2,FALSE),"")</f>
        <v>187.7</v>
      </c>
      <c r="N18" s="53" t="str">
        <f>IFERROR(VLOOKUP($L18,PlayerDB!$F$2:$H313,3,FALSE),"")</f>
        <v>WR</v>
      </c>
      <c r="O18" s="42"/>
      <c r="P18" s="42" t="str">
        <f>IFERROR(__xludf.DUMMYFUNCTION("""COMPUTED_VALUE"""),"Caleb Williams – CHI")</f>
        <v>Caleb Williams – CHI</v>
      </c>
      <c r="Q18" s="52">
        <f>IFERROR(VLOOKUP(P18,PlayerDB!$F$2:$G313,2,FALSE),"")</f>
        <v>287.5</v>
      </c>
    </row>
    <row r="19">
      <c r="A19" s="45"/>
      <c r="B19" s="46">
        <v>18.0</v>
      </c>
      <c r="C19" s="46" t="str">
        <f>'Teams &amp; Draft Order'!$C$12</f>
        <v>Turbo-Ginz</v>
      </c>
      <c r="D19" s="47"/>
      <c r="E19" s="48" t="str">
        <f>IFERROR(VLOOKUP($D19,PlayerDB!$F$2:$G313,2,FALSE),"")</f>
        <v/>
      </c>
      <c r="F19" s="48" t="str">
        <f>IFERROR(VLOOKUP($D19,PlayerDB!$F$2:$H313,3,FALSE),"")</f>
        <v/>
      </c>
      <c r="G19" s="49" t="str">
        <f>IFERROR(VLOOKUP($D19,PlayerDB!$F$2:$I313,4,FALSE),"")</f>
        <v/>
      </c>
      <c r="H19" s="38"/>
      <c r="I19" s="50" t="str">
        <f>IFERROR(__xludf.DUMMYFUNCTION("JOIN("" | "",'Team Stats'!C$8:H$8)"),"0 | 0 | 0 | 0 | 0 | 0")</f>
        <v>0 | 0 | 0 | 0 | 0 | 0</v>
      </c>
      <c r="J19" s="51" t="str">
        <f>IFERROR(__xludf.DUMMYFUNCTION("JOIN("" | "",'Team Stats'!I$8:K$8)"),"0 | 0 | 0")</f>
        <v>0 | 0 | 0</v>
      </c>
      <c r="L19" s="42" t="str">
        <f>IFERROR(__xludf.DUMMYFUNCTION("""COMPUTED_VALUE"""),"Jayden Daniels – WAS")</f>
        <v>Jayden Daniels – WAS</v>
      </c>
      <c r="M19" s="52">
        <f>IFERROR(VLOOKUP(L19,PlayerDB!$F$2:$G313,2,FALSE),"")</f>
        <v>355.8</v>
      </c>
      <c r="N19" s="53" t="str">
        <f>IFERROR(VLOOKUP($L19,PlayerDB!$F$2:$H313,3,FALSE),"")</f>
        <v>QB</v>
      </c>
      <c r="O19" s="42"/>
      <c r="P19" s="42" t="str">
        <f>IFERROR(__xludf.DUMMYFUNCTION("""COMPUTED_VALUE"""),"C.J. Stroud – HOU")</f>
        <v>C.J. Stroud – HOU</v>
      </c>
      <c r="Q19" s="52">
        <f>IFERROR(VLOOKUP(P19,PlayerDB!$F$2:$G313,2,FALSE),"")</f>
        <v>279.8</v>
      </c>
    </row>
    <row r="20">
      <c r="A20" s="33"/>
      <c r="B20" s="34">
        <v>19.0</v>
      </c>
      <c r="C20" s="34" t="str">
        <f>'Teams &amp; Draft Order'!$C$11</f>
        <v>Big Boys Big Work</v>
      </c>
      <c r="D20" s="35"/>
      <c r="E20" s="36" t="str">
        <f>IFERROR(VLOOKUP($D20,PlayerDB!$F$2:$G313,2,FALSE),"")</f>
        <v/>
      </c>
      <c r="F20" s="36" t="str">
        <f>IFERROR(VLOOKUP($D20,PlayerDB!$F$2:$H313,3,FALSE),"")</f>
        <v/>
      </c>
      <c r="G20" s="37" t="str">
        <f>IFERROR(VLOOKUP($D20,PlayerDB!$F$2:$I313,4,FALSE),"")</f>
        <v/>
      </c>
      <c r="H20" s="38"/>
      <c r="I20" s="39" t="str">
        <f>IFERROR(__xludf.DUMMYFUNCTION("JOIN("" | "",'Team Stats'!C$7:H$7)"),"0 | 0 | 0 | 0 | 0 | 0")</f>
        <v>0 | 0 | 0 | 0 | 0 | 0</v>
      </c>
      <c r="J20" s="40" t="str">
        <f>IFERROR(__xludf.DUMMYFUNCTION("JOIN("" | "",'Team Stats'!I$7:K$7)"),"0 | 0 | 0")</f>
        <v>0 | 0 | 0</v>
      </c>
      <c r="L20" s="42" t="str">
        <f>IFERROR(__xludf.DUMMYFUNCTION("""COMPUTED_VALUE"""),"Mark Andrews – BAL")</f>
        <v>Mark Andrews – BAL</v>
      </c>
      <c r="M20" s="52">
        <f>IFERROR(VLOOKUP(L20,PlayerDB!$F$2:$G313,2,FALSE),"")</f>
        <v>117.3</v>
      </c>
      <c r="N20" s="53" t="str">
        <f>IFERROR(VLOOKUP($L20,PlayerDB!$F$2:$H313,3,FALSE),"")</f>
        <v>TE</v>
      </c>
      <c r="O20" s="42"/>
      <c r="P20" s="42" t="str">
        <f>IFERROR(__xludf.DUMMYFUNCTION("""COMPUTED_VALUE"""),"Jordan Love – GB")</f>
        <v>Jordan Love – GB</v>
      </c>
      <c r="Q20" s="52">
        <f>IFERROR(VLOOKUP(P20,PlayerDB!$F$2:$G313,2,FALSE),"")</f>
        <v>278.7</v>
      </c>
    </row>
    <row r="21">
      <c r="A21" s="45"/>
      <c r="B21" s="46">
        <v>20.0</v>
      </c>
      <c r="C21" s="46" t="str">
        <f>'Teams &amp; Draft Order'!$C$10</f>
        <v>Buttheads</v>
      </c>
      <c r="D21" s="47"/>
      <c r="E21" s="48" t="str">
        <f>IFERROR(VLOOKUP($D21,PlayerDB!$F$2:$G313,2,FALSE),"")</f>
        <v/>
      </c>
      <c r="F21" s="48" t="str">
        <f>IFERROR(VLOOKUP($D21,PlayerDB!$F$2:$H313,3,FALSE),"")</f>
        <v/>
      </c>
      <c r="G21" s="49" t="str">
        <f>IFERROR(VLOOKUP($D21,PlayerDB!$F$2:$I313,4,FALSE),"")</f>
        <v/>
      </c>
      <c r="H21" s="38"/>
      <c r="I21" s="50" t="str">
        <f>IFERROR(__xludf.DUMMYFUNCTION("JOIN("" | "",'Team Stats'!C$6:H$6)"),"0 | 0 | 0 | 0 | 0 | 0")</f>
        <v>0 | 0 | 0 | 0 | 0 | 0</v>
      </c>
      <c r="J21" s="51" t="str">
        <f>IFERROR(__xludf.DUMMYFUNCTION("JOIN("" | "",'Team Stats'!I$6:K$6)"),"0 | 0 | 0")</f>
        <v>0 | 0 | 0</v>
      </c>
      <c r="L21" s="42" t="str">
        <f>IFERROR(__xludf.DUMMYFUNCTION("""COMPUTED_VALUE"""),"Jake Elliott – PHI")</f>
        <v>Jake Elliott – PHI</v>
      </c>
      <c r="M21" s="52">
        <f>IFERROR(VLOOKUP(L21,PlayerDB!$F$2:$G313,2,FALSE),"")</f>
        <v>134</v>
      </c>
      <c r="N21" s="53" t="str">
        <f>IFERROR(VLOOKUP($L21,PlayerDB!$F$2:$H313,3,FALSE),"")</f>
        <v>K</v>
      </c>
      <c r="O21" s="42"/>
      <c r="P21" s="42" t="str">
        <f>IFERROR(__xludf.DUMMYFUNCTION("""COMPUTED_VALUE"""),"Trevor Lawrence – JAX")</f>
        <v>Trevor Lawrence – JAX</v>
      </c>
      <c r="Q21" s="52">
        <f>IFERROR(VLOOKUP(P21,PlayerDB!$F$2:$G313,2,FALSE),"")</f>
        <v>273.8</v>
      </c>
    </row>
    <row r="22">
      <c r="A22" s="33"/>
      <c r="B22" s="34">
        <v>21.0</v>
      </c>
      <c r="C22" s="34" t="str">
        <f>'Teams &amp; Draft Order'!$C$9</f>
        <v>El Nino</v>
      </c>
      <c r="D22" s="35"/>
      <c r="E22" s="36" t="str">
        <f>IFERROR(VLOOKUP($D22,PlayerDB!$F$2:$G313,2,FALSE),"")</f>
        <v/>
      </c>
      <c r="F22" s="36" t="str">
        <f>IFERROR(VLOOKUP($D22,PlayerDB!$F$2:$H313,3,FALSE),"")</f>
        <v/>
      </c>
      <c r="G22" s="37" t="str">
        <f>IFERROR(VLOOKUP($D22,PlayerDB!$F$2:$I313,4,FALSE),"")</f>
        <v/>
      </c>
      <c r="H22" s="38"/>
      <c r="I22" s="39" t="str">
        <f>IFERROR(__xludf.DUMMYFUNCTION("JOIN("" | "",'Team Stats'!C$5:H$5)"),"0 | 0 | 0 | 0 | 0 | 0")</f>
        <v>0 | 0 | 0 | 0 | 0 | 0</v>
      </c>
      <c r="J22" s="40" t="str">
        <f>IFERROR(__xludf.DUMMYFUNCTION("JOIN("" | "",'Team Stats'!I$5:K$5)"),"0 | 0 | 0")</f>
        <v>0 | 0 | 0</v>
      </c>
      <c r="L22" s="42" t="str">
        <f>IFERROR(__xludf.DUMMYFUNCTION("""COMPUTED_VALUE"""),"Jahmyr Gibbs – DET")</f>
        <v>Jahmyr Gibbs – DET</v>
      </c>
      <c r="M22" s="52">
        <f>IFERROR(VLOOKUP(L22,PlayerDB!$F$2:$G313,2,FALSE),"")</f>
        <v>244</v>
      </c>
      <c r="N22" s="53" t="str">
        <f>IFERROR(VLOOKUP($L22,PlayerDB!$F$2:$H313,3,FALSE),"")</f>
        <v>RB</v>
      </c>
      <c r="O22" s="42"/>
      <c r="P22" s="42" t="str">
        <f>IFERROR(__xludf.DUMMYFUNCTION("""COMPUTED_VALUE"""),"Drake Maye – NE")</f>
        <v>Drake Maye – NE</v>
      </c>
      <c r="Q22" s="52">
        <f>IFERROR(VLOOKUP(P22,PlayerDB!$F$2:$G313,2,FALSE),"")</f>
        <v>270.8</v>
      </c>
    </row>
    <row r="23">
      <c r="A23" s="45"/>
      <c r="B23" s="46">
        <v>22.0</v>
      </c>
      <c r="C23" s="46" t="str">
        <f>'Teams &amp; Draft Order'!$C$8</f>
        <v>Icelanders</v>
      </c>
      <c r="D23" s="47"/>
      <c r="E23" s="48" t="str">
        <f>IFERROR(VLOOKUP($D23,PlayerDB!$F$2:$G313,2,FALSE),"")</f>
        <v/>
      </c>
      <c r="F23" s="48" t="str">
        <f>IFERROR(VLOOKUP($D23,PlayerDB!$F$2:$H313,3,FALSE),"")</f>
        <v/>
      </c>
      <c r="G23" s="49" t="str">
        <f>IFERROR(VLOOKUP($D23,PlayerDB!$F$2:$I313,4,FALSE),"")</f>
        <v/>
      </c>
      <c r="H23" s="38"/>
      <c r="I23" s="50" t="str">
        <f>IFERROR(__xludf.DUMMYFUNCTION("JOIN("" | "",'Team Stats'!C$4:H$4)"),"0 | 0 | 0 | 0 | 0 | 0")</f>
        <v>0 | 0 | 0 | 0 | 0 | 0</v>
      </c>
      <c r="J23" s="51" t="str">
        <f>IFERROR(__xludf.DUMMYFUNCTION("JOIN("" | "",'Team Stats'!I$4:K$4)"),"0 | 0 | 0")</f>
        <v>0 | 0 | 0</v>
      </c>
      <c r="L23" s="42"/>
      <c r="M23" s="63"/>
      <c r="N23" s="42"/>
      <c r="O23" s="42"/>
      <c r="P23" s="42"/>
      <c r="Q23" s="63"/>
    </row>
    <row r="24">
      <c r="A24" s="33"/>
      <c r="B24" s="34">
        <v>23.0</v>
      </c>
      <c r="C24" s="34" t="str">
        <f>'Teams &amp; Draft Order'!$C$7</f>
        <v>Phantasm</v>
      </c>
      <c r="D24" s="35"/>
      <c r="E24" s="36" t="str">
        <f>IFERROR(VLOOKUP($D24,PlayerDB!$F$2:$G313,2,FALSE),"")</f>
        <v/>
      </c>
      <c r="F24" s="36" t="str">
        <f>IFERROR(VLOOKUP($D24,PlayerDB!$F$2:$H313,3,FALSE),"")</f>
        <v/>
      </c>
      <c r="G24" s="37" t="str">
        <f>IFERROR(VLOOKUP($D24,PlayerDB!$F$2:$I313,4,FALSE),"")</f>
        <v/>
      </c>
      <c r="H24" s="38"/>
      <c r="I24" s="39" t="str">
        <f>IFERROR(__xludf.DUMMYFUNCTION("JOIN("" | "",'Team Stats'!C$3:H$3)"),"0 | 0 | 0 | 0 | 0 | 0")</f>
        <v>0 | 0 | 0 | 0 | 0 | 0</v>
      </c>
      <c r="J24" s="40" t="str">
        <f>IFERROR(__xludf.DUMMYFUNCTION("JOIN("" | "",'Team Stats'!I$3:K$3)"),"0 | 0 | 0")</f>
        <v>0 | 0 | 0</v>
      </c>
      <c r="L24" s="42"/>
      <c r="M24" s="42"/>
      <c r="N24" s="42"/>
      <c r="O24" s="42"/>
      <c r="P24" s="42"/>
      <c r="Q24" s="42"/>
    </row>
    <row r="25">
      <c r="A25" s="45"/>
      <c r="B25" s="46">
        <v>24.0</v>
      </c>
      <c r="C25" s="46" t="str">
        <f>'Teams &amp; Draft Order'!$C$6</f>
        <v>Sleeper Cell </v>
      </c>
      <c r="D25" s="47"/>
      <c r="E25" s="57" t="str">
        <f>IFERROR(VLOOKUP($D25,PlayerDB!$F$2:$G313,2,FALSE),"")</f>
        <v/>
      </c>
      <c r="F25" s="57" t="str">
        <f>IFERROR(VLOOKUP($D25,PlayerDB!$F$2:$H313,3,FALSE),"")</f>
        <v/>
      </c>
      <c r="G25" s="58" t="str">
        <f>IFERROR(VLOOKUP($D25,PlayerDB!$F$2:$I313,4,FALSE),"")</f>
        <v/>
      </c>
      <c r="H25" s="59"/>
      <c r="I25" s="60" t="str">
        <f>IFERROR(__xludf.DUMMYFUNCTION("JOIN("" | "",'Team Stats'!C$2:H$2)"),"1 | 0 | 0 | 0 | 0 | 0")</f>
        <v>1 | 0 | 0 | 0 | 0 | 0</v>
      </c>
      <c r="J25" s="64" t="str">
        <f>IFERROR(__xludf.DUMMYFUNCTION("JOIN("" | "",'Team Stats'!I$2:K$2)"),"0 | 0 | 0")</f>
        <v>0 | 0 | 0</v>
      </c>
      <c r="L25" s="42"/>
      <c r="M25" s="42"/>
      <c r="N25" s="42"/>
      <c r="O25" s="42"/>
      <c r="P25" s="42"/>
      <c r="Q25" s="42"/>
    </row>
    <row r="26">
      <c r="A26" s="72" t="s">
        <v>87</v>
      </c>
      <c r="B26" s="73">
        <v>25.0</v>
      </c>
      <c r="C26" s="73" t="str">
        <f>'Teams &amp; Draft Order'!$C$6</f>
        <v>Sleeper Cell </v>
      </c>
      <c r="D26" s="74"/>
      <c r="E26" s="36" t="str">
        <f>IFERROR(VLOOKUP($D26,PlayerDB!$F$2:$G313,2,FALSE),"")</f>
        <v/>
      </c>
      <c r="F26" s="36" t="str">
        <f>IFERROR(VLOOKUP($D26,PlayerDB!$F$2:$H313,3,FALSE),"")</f>
        <v/>
      </c>
      <c r="G26" s="37" t="str">
        <f>IFERROR(VLOOKUP($D26,PlayerDB!$F$2:$I313,4,FALSE),"")</f>
        <v/>
      </c>
      <c r="H26" s="38"/>
      <c r="I26" s="39" t="str">
        <f>IFERROR(__xludf.DUMMYFUNCTION("JOIN("" | "",'Team Stats'!C$2:H$2)"),"1 | 0 | 0 | 0 | 0 | 0")</f>
        <v>1 | 0 | 0 | 0 | 0 | 0</v>
      </c>
      <c r="J26" s="40" t="str">
        <f>IFERROR(__xludf.DUMMYFUNCTION("JOIN("" | "",'Team Stats'!I$2:K$2)"),"0 | 0 | 0")</f>
        <v>0 | 0 | 0</v>
      </c>
      <c r="L26" s="65" t="s">
        <v>31</v>
      </c>
      <c r="M26" s="44">
        <f>COUNTIF(F:F,"RB")</f>
        <v>0</v>
      </c>
      <c r="N26" s="42"/>
      <c r="O26" s="42"/>
      <c r="P26" s="66" t="s">
        <v>35</v>
      </c>
      <c r="Q26" s="44">
        <f>COUNTIF(F:F,"WR")</f>
        <v>0</v>
      </c>
    </row>
    <row r="27">
      <c r="A27" s="45"/>
      <c r="B27" s="46">
        <v>26.0</v>
      </c>
      <c r="C27" s="46" t="str">
        <f>'Teams &amp; Draft Order'!$C$7</f>
        <v>Phantasm</v>
      </c>
      <c r="D27" s="47"/>
      <c r="E27" s="48" t="str">
        <f>IFERROR(VLOOKUP($D27,PlayerDB!$F$2:$G313,2,FALSE),"")</f>
        <v/>
      </c>
      <c r="F27" s="48" t="str">
        <f>IFERROR(VLOOKUP($D27,PlayerDB!$F$2:$H313,3,FALSE),"")</f>
        <v/>
      </c>
      <c r="G27" s="49" t="str">
        <f>IFERROR(VLOOKUP($D27,PlayerDB!$F$2:$I313,4,FALSE),"")</f>
        <v/>
      </c>
      <c r="H27" s="38"/>
      <c r="I27" s="50" t="str">
        <f>IFERROR(__xludf.DUMMYFUNCTION("JOIN("" | "",'Team Stats'!C$3:H$3)"),"0 | 0 | 0 | 0 | 0 | 0")</f>
        <v>0 | 0 | 0 | 0 | 0 | 0</v>
      </c>
      <c r="J27" s="51" t="str">
        <f>IFERROR(__xludf.DUMMYFUNCTION("JOIN("" | "",'Team Stats'!I$3:K$3)"),"0 | 0 | 0")</f>
        <v>0 | 0 | 0</v>
      </c>
      <c r="L27" s="67" t="str">
        <f>IFERROR(__xludf.DUMMYFUNCTION("QUERY(HELP_PlayersLeft!A2:B313, ""select A where B ='RB' LIMIT 20"")"),"Christian McCaffrey – SF")</f>
        <v>Christian McCaffrey – SF</v>
      </c>
      <c r="M27" s="52">
        <f>IFERROR(VLOOKUP(L27,PlayerDB!$F$2:$G313,2,FALSE),"")</f>
        <v>254</v>
      </c>
      <c r="N27" s="42"/>
      <c r="O27" s="42"/>
      <c r="P27" s="67" t="str">
        <f>IFERROR(__xludf.DUMMYFUNCTION("QUERY(HELP_PlayersLeft!A2:B313, ""select A where B ='WR' LIMIT 20"")"),"Ja'Marr Chase – CIN")</f>
        <v>Ja'Marr Chase – CIN</v>
      </c>
      <c r="Q27" s="52">
        <f>IFERROR(VLOOKUP(P27,PlayerDB!$F$2:$G313,2,FALSE),"")</f>
        <v>231.2</v>
      </c>
    </row>
    <row r="28">
      <c r="A28" s="33"/>
      <c r="B28" s="34">
        <v>27.0</v>
      </c>
      <c r="C28" s="34" t="str">
        <f>'Teams &amp; Draft Order'!$C$8</f>
        <v>Icelanders</v>
      </c>
      <c r="D28" s="35"/>
      <c r="E28" s="36" t="str">
        <f>IFERROR(VLOOKUP($D28,PlayerDB!$F$2:$G313,2,FALSE),"")</f>
        <v/>
      </c>
      <c r="F28" s="36" t="str">
        <f>IFERROR(VLOOKUP($D28,PlayerDB!$F$2:$H313,3,FALSE),"")</f>
        <v/>
      </c>
      <c r="G28" s="37" t="str">
        <f>IFERROR(VLOOKUP($D28,PlayerDB!$F$2:$I313,4,FALSE),"")</f>
        <v/>
      </c>
      <c r="H28" s="38"/>
      <c r="I28" s="39" t="str">
        <f>IFERROR(__xludf.DUMMYFUNCTION("JOIN("" | "",'Team Stats'!C$4:H$4)"),"0 | 0 | 0 | 0 | 0 | 0")</f>
        <v>0 | 0 | 0 | 0 | 0 | 0</v>
      </c>
      <c r="J28" s="40" t="str">
        <f>IFERROR(__xludf.DUMMYFUNCTION("JOIN("" | "",'Team Stats'!I$4:K$4)"),"0 | 0 | 0")</f>
        <v>0 | 0 | 0</v>
      </c>
      <c r="L28" s="20" t="str">
        <f>IFERROR(__xludf.DUMMYFUNCTION("""COMPUTED_VALUE"""),"Derrick Henry – BAL")</f>
        <v>Derrick Henry – BAL</v>
      </c>
      <c r="M28" s="52">
        <f>IFERROR(VLOOKUP(L28,PlayerDB!$F$2:$G313,2,FALSE),"")</f>
        <v>253</v>
      </c>
      <c r="N28" s="42"/>
      <c r="O28" s="42"/>
      <c r="P28" s="20" t="str">
        <f>IFERROR(__xludf.DUMMYFUNCTION("""COMPUTED_VALUE"""),"Justin Jefferson – MIN")</f>
        <v>Justin Jefferson – MIN</v>
      </c>
      <c r="Q28" s="52">
        <f>IFERROR(VLOOKUP(P28,PlayerDB!$F$2:$G313,2,FALSE),"")</f>
        <v>205.2</v>
      </c>
    </row>
    <row r="29">
      <c r="A29" s="45"/>
      <c r="B29" s="46">
        <v>28.0</v>
      </c>
      <c r="C29" s="46" t="str">
        <f>'Teams &amp; Draft Order'!$C$9</f>
        <v>El Nino</v>
      </c>
      <c r="D29" s="47"/>
      <c r="E29" s="48" t="str">
        <f>IFERROR(VLOOKUP($D29,PlayerDB!$F$2:$G313,2,FALSE),"")</f>
        <v/>
      </c>
      <c r="F29" s="48" t="str">
        <f>IFERROR(VLOOKUP($D29,PlayerDB!$F$2:$H313,3,FALSE),"")</f>
        <v/>
      </c>
      <c r="G29" s="49" t="str">
        <f>IFERROR(VLOOKUP($D29,PlayerDB!$F$2:$I313,4,FALSE),"")</f>
        <v/>
      </c>
      <c r="H29" s="38"/>
      <c r="I29" s="50" t="str">
        <f>IFERROR(__xludf.DUMMYFUNCTION("JOIN("" | "",'Team Stats'!C$5:H$5)"),"0 | 0 | 0 | 0 | 0 | 0")</f>
        <v>0 | 0 | 0 | 0 | 0 | 0</v>
      </c>
      <c r="J29" s="51" t="str">
        <f>IFERROR(__xludf.DUMMYFUNCTION("JOIN("" | "",'Team Stats'!I$5:K$5)"),"0 | 0 | 0")</f>
        <v>0 | 0 | 0</v>
      </c>
      <c r="L29" s="42" t="str">
        <f>IFERROR(__xludf.DUMMYFUNCTION("""COMPUTED_VALUE"""),"Saquon Barkley – PHI")</f>
        <v>Saquon Barkley – PHI</v>
      </c>
      <c r="M29" s="52">
        <f>IFERROR(VLOOKUP(L29,PlayerDB!$F$2:$G313,2,FALSE),"")</f>
        <v>231</v>
      </c>
      <c r="N29" s="42"/>
      <c r="O29" s="42"/>
      <c r="P29" s="42" t="str">
        <f>IFERROR(__xludf.DUMMYFUNCTION("""COMPUTED_VALUE"""),"CeeDee Lamb – DAL")</f>
        <v>CeeDee Lamb – DAL</v>
      </c>
      <c r="Q29" s="52">
        <f>IFERROR(VLOOKUP(P29,PlayerDB!$F$2:$G313,2,FALSE),"")</f>
        <v>193</v>
      </c>
    </row>
    <row r="30">
      <c r="A30" s="33"/>
      <c r="B30" s="34">
        <v>29.0</v>
      </c>
      <c r="C30" s="34" t="str">
        <f>'Teams &amp; Draft Order'!$C$10</f>
        <v>Buttheads</v>
      </c>
      <c r="D30" s="35"/>
      <c r="E30" s="36" t="str">
        <f>IFERROR(VLOOKUP($D30,PlayerDB!$F$2:$G313,2,FALSE),"")</f>
        <v/>
      </c>
      <c r="F30" s="36" t="str">
        <f>IFERROR(VLOOKUP($D30,PlayerDB!$F$2:$H313,3,FALSE),"")</f>
        <v/>
      </c>
      <c r="G30" s="37" t="str">
        <f>IFERROR(VLOOKUP($D30,PlayerDB!$F$2:$I313,4,FALSE),"")</f>
        <v/>
      </c>
      <c r="H30" s="38"/>
      <c r="I30" s="39" t="str">
        <f>IFERROR(__xludf.DUMMYFUNCTION("JOIN("" | "",'Team Stats'!C$6:H$6)"),"0 | 0 | 0 | 0 | 0 | 0")</f>
        <v>0 | 0 | 0 | 0 | 0 | 0</v>
      </c>
      <c r="J30" s="40" t="str">
        <f>IFERROR(__xludf.DUMMYFUNCTION("JOIN("" | "",'Team Stats'!I$6:K$6)"),"0 | 0 | 0")</f>
        <v>0 | 0 | 0</v>
      </c>
      <c r="L30" s="42" t="str">
        <f>IFERROR(__xludf.DUMMYFUNCTION("""COMPUTED_VALUE"""),"Jahmyr Gibbs – DET")</f>
        <v>Jahmyr Gibbs – DET</v>
      </c>
      <c r="M30" s="52">
        <f>IFERROR(VLOOKUP(L30,PlayerDB!$F$2:$G313,2,FALSE),"")</f>
        <v>244</v>
      </c>
      <c r="N30" s="42"/>
      <c r="O30" s="42"/>
      <c r="P30" s="42" t="str">
        <f>IFERROR(__xludf.DUMMYFUNCTION("""COMPUTED_VALUE"""),"Puka Nacua – LAR")</f>
        <v>Puka Nacua – LAR</v>
      </c>
      <c r="Q30" s="52">
        <f>IFERROR(VLOOKUP(P30,PlayerDB!$F$2:$G313,2,FALSE),"")</f>
        <v>187.7</v>
      </c>
    </row>
    <row r="31">
      <c r="A31" s="45"/>
      <c r="B31" s="46">
        <v>30.0</v>
      </c>
      <c r="C31" s="46" t="str">
        <f>'Teams &amp; Draft Order'!$C$11</f>
        <v>Big Boys Big Work</v>
      </c>
      <c r="D31" s="47"/>
      <c r="E31" s="48" t="str">
        <f>IFERROR(VLOOKUP($D31,PlayerDB!$F$2:$G313,2,FALSE),"")</f>
        <v/>
      </c>
      <c r="F31" s="48" t="str">
        <f>IFERROR(VLOOKUP($D31,PlayerDB!$F$2:$H313,3,FALSE),"")</f>
        <v/>
      </c>
      <c r="G31" s="49" t="str">
        <f>IFERROR(VLOOKUP($D31,PlayerDB!$F$2:$I313,4,FALSE),"")</f>
        <v/>
      </c>
      <c r="H31" s="38"/>
      <c r="I31" s="50" t="str">
        <f>IFERROR(__xludf.DUMMYFUNCTION("JOIN("" | "",'Team Stats'!C$7:H$7)"),"0 | 0 | 0 | 0 | 0 | 0")</f>
        <v>0 | 0 | 0 | 0 | 0 | 0</v>
      </c>
      <c r="J31" s="51" t="str">
        <f>IFERROR(__xludf.DUMMYFUNCTION("JOIN("" | "",'Team Stats'!I$7:K$7)"),"0 | 0 | 0")</f>
        <v>0 | 0 | 0</v>
      </c>
      <c r="L31" s="42" t="str">
        <f>IFERROR(__xludf.DUMMYFUNCTION("""COMPUTED_VALUE"""),"Jonathan Taylor – IND")</f>
        <v>Jonathan Taylor – IND</v>
      </c>
      <c r="M31" s="52">
        <f>IFERROR(VLOOKUP(L31,PlayerDB!$F$2:$G313,2,FALSE),"")</f>
        <v>224</v>
      </c>
      <c r="N31" s="42"/>
      <c r="O31" s="42"/>
      <c r="P31" s="42" t="str">
        <f>IFERROR(__xludf.DUMMYFUNCTION("""COMPUTED_VALUE"""),"Nico Collins – HOU")</f>
        <v>Nico Collins – HOU</v>
      </c>
      <c r="Q31" s="52">
        <f>IFERROR(VLOOKUP(P31,PlayerDB!$F$2:$G313,2,FALSE),"")</f>
        <v>183.6</v>
      </c>
    </row>
    <row r="32">
      <c r="A32" s="33"/>
      <c r="B32" s="34">
        <v>31.0</v>
      </c>
      <c r="C32" s="34" t="str">
        <f>'Teams &amp; Draft Order'!$C$12</f>
        <v>Turbo-Ginz</v>
      </c>
      <c r="D32" s="35"/>
      <c r="E32" s="36" t="str">
        <f>IFERROR(VLOOKUP($D32,PlayerDB!$F$2:$G313,2,FALSE),"")</f>
        <v/>
      </c>
      <c r="F32" s="36" t="str">
        <f>IFERROR(VLOOKUP($D32,PlayerDB!$F$2:$H313,3,FALSE),"")</f>
        <v/>
      </c>
      <c r="G32" s="37" t="str">
        <f>IFERROR(VLOOKUP($D32,PlayerDB!$F$2:$I313,4,FALSE),"")</f>
        <v/>
      </c>
      <c r="H32" s="38"/>
      <c r="I32" s="39" t="str">
        <f>IFERROR(__xludf.DUMMYFUNCTION("JOIN("" | "",'Team Stats'!C$8:H$8)"),"0 | 0 | 0 | 0 | 0 | 0")</f>
        <v>0 | 0 | 0 | 0 | 0 | 0</v>
      </c>
      <c r="J32" s="40" t="str">
        <f>IFERROR(__xludf.DUMMYFUNCTION("JOIN("" | "",'Team Stats'!I$8:K$8)"),"0 | 0 | 0")</f>
        <v>0 | 0 | 0</v>
      </c>
      <c r="L32" s="42" t="str">
        <f>IFERROR(__xludf.DUMMYFUNCTION("""COMPUTED_VALUE"""),"Josh Jacobs – GB")</f>
        <v>Josh Jacobs – GB</v>
      </c>
      <c r="M32" s="52">
        <f>IFERROR(VLOOKUP(L32,PlayerDB!$F$2:$G313,2,FALSE),"")</f>
        <v>224</v>
      </c>
      <c r="N32" s="42"/>
      <c r="O32" s="42"/>
      <c r="P32" s="42" t="str">
        <f>IFERROR(__xludf.DUMMYFUNCTION("""COMPUTED_VALUE"""),"Malik Nabers – NYG")</f>
        <v>Malik Nabers – NYG</v>
      </c>
      <c r="Q32" s="52">
        <f>IFERROR(VLOOKUP(P32,PlayerDB!$F$2:$G313,2,FALSE),"")</f>
        <v>183.3</v>
      </c>
    </row>
    <row r="33">
      <c r="A33" s="45"/>
      <c r="B33" s="46">
        <v>32.0</v>
      </c>
      <c r="C33" s="46" t="str">
        <f>'Teams &amp; Draft Order'!$C$13</f>
        <v>Luddite</v>
      </c>
      <c r="D33" s="47"/>
      <c r="E33" s="48" t="str">
        <f>IFERROR(VLOOKUP($D33,PlayerDB!$F$2:$G313,2,FALSE),"")</f>
        <v/>
      </c>
      <c r="F33" s="48" t="str">
        <f>IFERROR(VLOOKUP($D33,PlayerDB!$F$2:$H313,3,FALSE),"")</f>
        <v/>
      </c>
      <c r="G33" s="49" t="str">
        <f>IFERROR(VLOOKUP($D33,PlayerDB!$F$2:$I313,4,FALSE),"")</f>
        <v/>
      </c>
      <c r="H33" s="38"/>
      <c r="I33" s="50" t="str">
        <f>IFERROR(__xludf.DUMMYFUNCTION("JOIN("" | "",'Team Stats'!C$9:H$9)"),"0 | 0 | 0 | 0 | 0 | 0")</f>
        <v>0 | 0 | 0 | 0 | 0 | 0</v>
      </c>
      <c r="J33" s="51" t="str">
        <f>IFERROR(__xludf.DUMMYFUNCTION("JOIN("" | "",'Team Stats'!I$9:K$9)"),"0 | 0 | 0")</f>
        <v>0 | 0 | 0</v>
      </c>
      <c r="L33" s="42" t="str">
        <f>IFERROR(__xludf.DUMMYFUNCTION("""COMPUTED_VALUE"""),"Ashton Jeanty – LV")</f>
        <v>Ashton Jeanty – LV</v>
      </c>
      <c r="M33" s="52">
        <f>IFERROR(VLOOKUP(L33,PlayerDB!$F$2:$G313,2,FALSE),"")</f>
        <v>222</v>
      </c>
      <c r="N33" s="42"/>
      <c r="O33" s="42"/>
      <c r="P33" s="42" t="str">
        <f>IFERROR(__xludf.DUMMYFUNCTION("""COMPUTED_VALUE"""),"Brian Thomas Jr. – JAX")</f>
        <v>Brian Thomas Jr. – JAX</v>
      </c>
      <c r="Q33" s="52">
        <f>IFERROR(VLOOKUP(P33,PlayerDB!$F$2:$G313,2,FALSE),"")</f>
        <v>181.4</v>
      </c>
    </row>
    <row r="34">
      <c r="A34" s="33"/>
      <c r="B34" s="34">
        <v>33.0</v>
      </c>
      <c r="C34" s="34" t="str">
        <f>'Teams &amp; Draft Order'!$C$14</f>
        <v>Achaians</v>
      </c>
      <c r="D34" s="35"/>
      <c r="E34" s="36" t="str">
        <f>IFERROR(VLOOKUP($D34,PlayerDB!$F$2:$G313,2,FALSE),"")</f>
        <v/>
      </c>
      <c r="F34" s="36" t="str">
        <f>IFERROR(VLOOKUP($D34,PlayerDB!$F$2:$H313,3,FALSE),"")</f>
        <v/>
      </c>
      <c r="G34" s="37" t="str">
        <f>IFERROR(VLOOKUP($D34,PlayerDB!$F$2:$I313,4,FALSE),"")</f>
        <v/>
      </c>
      <c r="H34" s="38"/>
      <c r="I34" s="39" t="str">
        <f>IFERROR(__xludf.DUMMYFUNCTION("JOIN("" | "",'Team Stats'!C$10:H$10)"),"0 | 0 | 0 | 0 | 0 | 0")</f>
        <v>0 | 0 | 0 | 0 | 0 | 0</v>
      </c>
      <c r="J34" s="40" t="str">
        <f>IFERROR(__xludf.DUMMYFUNCTION("JOIN("" | "",'Team Stats'!I$10:K$10)"),"0 | 0 | 0")</f>
        <v>0 | 0 | 0</v>
      </c>
      <c r="L34" s="42" t="str">
        <f>IFERROR(__xludf.DUMMYFUNCTION("""COMPUTED_VALUE"""),"Kyren Williams – LAR")</f>
        <v>Kyren Williams – LAR</v>
      </c>
      <c r="M34" s="52">
        <f>IFERROR(VLOOKUP(L34,PlayerDB!$F$2:$G313,2,FALSE),"")</f>
        <v>215</v>
      </c>
      <c r="N34" s="42"/>
      <c r="O34" s="42"/>
      <c r="P34" s="42" t="str">
        <f>IFERROR(__xludf.DUMMYFUNCTION("""COMPUTED_VALUE"""),"Amon-Ra St. Brown – DET")</f>
        <v>Amon-Ra St. Brown – DET</v>
      </c>
      <c r="Q34" s="52">
        <f>IFERROR(VLOOKUP(P34,PlayerDB!$F$2:$G313,2,FALSE),"")</f>
        <v>180.8</v>
      </c>
    </row>
    <row r="35">
      <c r="A35" s="45"/>
      <c r="B35" s="46">
        <v>34.0</v>
      </c>
      <c r="C35" s="46" t="str">
        <f>'Teams &amp; Draft Order'!$C$15</f>
        <v>Daddy's Dogs</v>
      </c>
      <c r="D35" s="47"/>
      <c r="E35" s="48" t="str">
        <f>IFERROR(VLOOKUP($D35,PlayerDB!$F$2:$G313,2,FALSE),"")</f>
        <v/>
      </c>
      <c r="F35" s="48" t="str">
        <f>IFERROR(VLOOKUP($D35,PlayerDB!$F$2:$H313,3,FALSE),"")</f>
        <v/>
      </c>
      <c r="G35" s="49" t="str">
        <f>IFERROR(VLOOKUP($D35,PlayerDB!$F$2:$I313,4,FALSE),"")</f>
        <v/>
      </c>
      <c r="H35" s="38"/>
      <c r="I35" s="50" t="str">
        <f>IFERROR(__xludf.DUMMYFUNCTION("JOIN("" | "",'Team Stats'!C$11:H$11)"),"0 | 0 | 0 | 0 | 0 | 0")</f>
        <v>0 | 0 | 0 | 0 | 0 | 0</v>
      </c>
      <c r="J35" s="51" t="str">
        <f>IFERROR(__xludf.DUMMYFUNCTION("JOIN("" | "",'Team Stats'!I$11:K$11)"),"0 | 0 | 0")</f>
        <v>0 | 0 | 0</v>
      </c>
      <c r="L35" s="42" t="str">
        <f>IFERROR(__xludf.DUMMYFUNCTION("""COMPUTED_VALUE"""),"De'Von Achane – MIA")</f>
        <v>De'Von Achane – MIA</v>
      </c>
      <c r="M35" s="52">
        <f>IFERROR(VLOOKUP(L35,PlayerDB!$F$2:$G313,2,FALSE),"")</f>
        <v>212</v>
      </c>
      <c r="N35" s="42"/>
      <c r="O35" s="42"/>
      <c r="P35" s="42" t="str">
        <f>IFERROR(__xludf.DUMMYFUNCTION("""COMPUTED_VALUE"""),"A.J. Brown – PHI")</f>
        <v>A.J. Brown – PHI</v>
      </c>
      <c r="Q35" s="52">
        <f>IFERROR(VLOOKUP(P35,PlayerDB!$F$2:$G313,2,FALSE),"")</f>
        <v>172.8</v>
      </c>
    </row>
    <row r="36">
      <c r="A36" s="33"/>
      <c r="B36" s="34">
        <v>35.0</v>
      </c>
      <c r="C36" s="34" t="str">
        <f>'Teams &amp; Draft Order'!$C$16</f>
        <v>TDs and Beers</v>
      </c>
      <c r="D36" s="35"/>
      <c r="E36" s="36" t="str">
        <f>IFERROR(VLOOKUP($D36,PlayerDB!$F$2:$G313,2,FALSE),"")</f>
        <v/>
      </c>
      <c r="F36" s="36" t="str">
        <f>IFERROR(VLOOKUP($D36,PlayerDB!$F$2:$H313,3,FALSE),"")</f>
        <v/>
      </c>
      <c r="G36" s="37" t="str">
        <f>IFERROR(VLOOKUP($D36,PlayerDB!$F$2:$I313,4,FALSE),"")</f>
        <v/>
      </c>
      <c r="H36" s="38"/>
      <c r="I36" s="39" t="str">
        <f>IFERROR(__xludf.DUMMYFUNCTION("JOIN("" | "",'Team Stats'!C$12:H$12)"),"0 | 0 | 0 | 0 | 0 | 0")</f>
        <v>0 | 0 | 0 | 0 | 0 | 0</v>
      </c>
      <c r="J36" s="40" t="str">
        <f>IFERROR(__xludf.DUMMYFUNCTION("JOIN("" | "",'Team Stats'!I$12:K$12)"),"0 | 0 | 0")</f>
        <v>0 | 0 | 0</v>
      </c>
      <c r="L36" s="42" t="str">
        <f>IFERROR(__xludf.DUMMYFUNCTION("""COMPUTED_VALUE"""),"Bucky Irving – TB")</f>
        <v>Bucky Irving – TB</v>
      </c>
      <c r="M36" s="52">
        <f>IFERROR(VLOOKUP(L36,PlayerDB!$F$2:$G313,2,FALSE),"")</f>
        <v>210</v>
      </c>
      <c r="N36" s="42"/>
      <c r="O36" s="42"/>
      <c r="P36" s="42" t="str">
        <f>IFERROR(__xludf.DUMMYFUNCTION("""COMPUTED_VALUE"""),"Tyreek Hill – MIA")</f>
        <v>Tyreek Hill – MIA</v>
      </c>
      <c r="Q36" s="52">
        <f>IFERROR(VLOOKUP(P36,PlayerDB!$F$2:$G313,2,FALSE),"")</f>
        <v>168.5</v>
      </c>
    </row>
    <row r="37">
      <c r="A37" s="45"/>
      <c r="B37" s="46">
        <v>36.0</v>
      </c>
      <c r="C37" s="46" t="str">
        <f>'Teams &amp; Draft Order'!$C$17</f>
        <v>DD Riders</v>
      </c>
      <c r="D37" s="47"/>
      <c r="E37" s="57" t="str">
        <f>IFERROR(VLOOKUP($D37,PlayerDB!$F$2:$G313,2,FALSE),"")</f>
        <v/>
      </c>
      <c r="F37" s="57" t="str">
        <f>IFERROR(VLOOKUP($D37,PlayerDB!$F$2:$H313,3,FALSE),"")</f>
        <v/>
      </c>
      <c r="G37" s="58" t="str">
        <f>IFERROR(VLOOKUP($D37,PlayerDB!$F$2:$I313,4,FALSE),"")</f>
        <v/>
      </c>
      <c r="H37" s="59"/>
      <c r="I37" s="50" t="str">
        <f>IFERROR(__xludf.DUMMYFUNCTION("JOIN("" | "",'Team Stats'!C$13:H$13)"),"0 | 0 | 0 | 0 | 0 | 0")</f>
        <v>0 | 0 | 0 | 0 | 0 | 0</v>
      </c>
      <c r="J37" s="51" t="str">
        <f>IFERROR(__xludf.DUMMYFUNCTION("JOIN("" | "",'Team Stats'!I$13:K$13)"),"0 | 0 | 0")</f>
        <v>0 | 0 | 0</v>
      </c>
      <c r="L37" s="42" t="str">
        <f>IFERROR(__xludf.DUMMYFUNCTION("""COMPUTED_VALUE"""),"James Cook – BUF")</f>
        <v>James Cook – BUF</v>
      </c>
      <c r="M37" s="52">
        <f>IFERROR(VLOOKUP(L37,PlayerDB!$F$2:$G313,2,FALSE),"")</f>
        <v>195</v>
      </c>
      <c r="N37" s="42"/>
      <c r="O37" s="42"/>
      <c r="P37" s="42" t="str">
        <f>IFERROR(__xludf.DUMMYFUNCTION("""COMPUTED_VALUE"""),"Drake London – ATL")</f>
        <v>Drake London – ATL</v>
      </c>
      <c r="Q37" s="52">
        <f>IFERROR(VLOOKUP(P37,PlayerDB!$F$2:$G313,2,FALSE),"")</f>
        <v>167.1</v>
      </c>
    </row>
    <row r="38">
      <c r="A38" s="72" t="s">
        <v>88</v>
      </c>
      <c r="B38" s="73">
        <v>37.0</v>
      </c>
      <c r="C38" s="73" t="str">
        <f>'Teams &amp; Draft Order'!$C$17</f>
        <v>DD Riders</v>
      </c>
      <c r="D38" s="74"/>
      <c r="E38" s="36" t="str">
        <f>IFERROR(VLOOKUP($D38,PlayerDB!$F$2:$G313,2,FALSE),"")</f>
        <v/>
      </c>
      <c r="F38" s="36" t="str">
        <f>IFERROR(VLOOKUP($D38,PlayerDB!$F$2:$H313,3,FALSE),"")</f>
        <v/>
      </c>
      <c r="G38" s="37" t="str">
        <f>IFERROR(VLOOKUP($D38,PlayerDB!$F$2:$I313,4,FALSE),"")</f>
        <v/>
      </c>
      <c r="H38" s="38"/>
      <c r="I38" s="76" t="str">
        <f>IFERROR(__xludf.DUMMYFUNCTION("JOIN("" | "",'Team Stats'!C$13:H$13)"),"0 | 0 | 0 | 0 | 0 | 0")</f>
        <v>0 | 0 | 0 | 0 | 0 | 0</v>
      </c>
      <c r="J38" s="62" t="str">
        <f>IFERROR(__xludf.DUMMYFUNCTION("JOIN("" | "",'Team Stats'!I$13:K$13)"),"0 | 0 | 0")</f>
        <v>0 | 0 | 0</v>
      </c>
      <c r="L38" s="42" t="str">
        <f>IFERROR(__xludf.DUMMYFUNCTION("""COMPUTED_VALUE"""),"Chase Brown – CIN")</f>
        <v>Chase Brown – CIN</v>
      </c>
      <c r="M38" s="52">
        <f>IFERROR(VLOOKUP(L38,PlayerDB!$F$2:$G313,2,FALSE),"")</f>
        <v>186</v>
      </c>
      <c r="N38" s="42"/>
      <c r="O38" s="42"/>
      <c r="P38" s="42" t="str">
        <f>IFERROR(__xludf.DUMMYFUNCTION("""COMPUTED_VALUE"""),"Ladd McConkey – LAC")</f>
        <v>Ladd McConkey – LAC</v>
      </c>
      <c r="Q38" s="52">
        <f>IFERROR(VLOOKUP(P38,PlayerDB!$F$2:$G313,2,FALSE),"")</f>
        <v>165.4</v>
      </c>
    </row>
    <row r="39">
      <c r="A39" s="45"/>
      <c r="B39" s="46">
        <v>38.0</v>
      </c>
      <c r="C39" s="46" t="str">
        <f>'Teams &amp; Draft Order'!$C$16</f>
        <v>TDs and Beers</v>
      </c>
      <c r="D39" s="47"/>
      <c r="E39" s="48" t="str">
        <f>IFERROR(VLOOKUP($D39,PlayerDB!$F$2:$G313,2,FALSE),"")</f>
        <v/>
      </c>
      <c r="F39" s="48" t="str">
        <f>IFERROR(VLOOKUP($D39,PlayerDB!$F$2:$H313,3,FALSE),"")</f>
        <v/>
      </c>
      <c r="G39" s="49" t="str">
        <f>IFERROR(VLOOKUP($D39,PlayerDB!$F$2:$I313,4,FALSE),"")</f>
        <v/>
      </c>
      <c r="H39" s="38"/>
      <c r="I39" s="50" t="str">
        <f>IFERROR(__xludf.DUMMYFUNCTION("JOIN("" | "",'Team Stats'!C$12:H$12)"),"0 | 0 | 0 | 0 | 0 | 0")</f>
        <v>0 | 0 | 0 | 0 | 0 | 0</v>
      </c>
      <c r="J39" s="51" t="str">
        <f>IFERROR(__xludf.DUMMYFUNCTION("JOIN("" | "",'Team Stats'!I$12:K$12)"),"0 | 0 | 0")</f>
        <v>0 | 0 | 0</v>
      </c>
      <c r="L39" s="42" t="str">
        <f>IFERROR(__xludf.DUMMYFUNCTION("""COMPUTED_VALUE"""),"Omarion Hampton – LAC")</f>
        <v>Omarion Hampton – LAC</v>
      </c>
      <c r="M39" s="52">
        <f>IFERROR(VLOOKUP(L39,PlayerDB!$F$2:$G313,2,FALSE),"")</f>
        <v>177</v>
      </c>
      <c r="N39" s="42"/>
      <c r="O39" s="42"/>
      <c r="P39" s="42" t="str">
        <f>IFERROR(__xludf.DUMMYFUNCTION("""COMPUTED_VALUE"""),"Mike Evans – TB")</f>
        <v>Mike Evans – TB</v>
      </c>
      <c r="Q39" s="52">
        <f>IFERROR(VLOOKUP(P39,PlayerDB!$F$2:$G313,2,FALSE),"")</f>
        <v>164.5</v>
      </c>
    </row>
    <row r="40">
      <c r="A40" s="33"/>
      <c r="B40" s="34">
        <v>39.0</v>
      </c>
      <c r="C40" s="34" t="str">
        <f>'Teams &amp; Draft Order'!$C$15</f>
        <v>Daddy's Dogs</v>
      </c>
      <c r="D40" s="35"/>
      <c r="E40" s="36" t="str">
        <f>IFERROR(VLOOKUP($D40,PlayerDB!$F$2:$G313,2,FALSE),"")</f>
        <v/>
      </c>
      <c r="F40" s="36" t="str">
        <f>IFERROR(VLOOKUP($D40,PlayerDB!$F$2:$H313,3,FALSE),"")</f>
        <v/>
      </c>
      <c r="G40" s="37" t="str">
        <f>IFERROR(VLOOKUP($D40,PlayerDB!$F$2:$I313,4,FALSE),"")</f>
        <v/>
      </c>
      <c r="H40" s="38"/>
      <c r="I40" s="39" t="str">
        <f>IFERROR(__xludf.DUMMYFUNCTION("JOIN("" | "",'Team Stats'!C$11:H$11)"),"0 | 0 | 0 | 0 | 0 | 0")</f>
        <v>0 | 0 | 0 | 0 | 0 | 0</v>
      </c>
      <c r="J40" s="40" t="str">
        <f>IFERROR(__xludf.DUMMYFUNCTION("JOIN("" | "",'Team Stats'!I$11:K$11)"),"0 | 0 | 0")</f>
        <v>0 | 0 | 0</v>
      </c>
      <c r="L40" s="42" t="str">
        <f>IFERROR(__xludf.DUMMYFUNCTION("""COMPUTED_VALUE"""),"Kenneth Walker III – SEA")</f>
        <v>Kenneth Walker III – SEA</v>
      </c>
      <c r="M40" s="52">
        <f>IFERROR(VLOOKUP(L40,PlayerDB!$F$2:$G313,2,FALSE),"")</f>
        <v>180</v>
      </c>
      <c r="N40" s="42"/>
      <c r="O40" s="42"/>
      <c r="P40" s="42" t="str">
        <f>IFERROR(__xludf.DUMMYFUNCTION("""COMPUTED_VALUE"""),"Tee Higgins – CIN")</f>
        <v>Tee Higgins – CIN</v>
      </c>
      <c r="Q40" s="52">
        <f>IFERROR(VLOOKUP(P40,PlayerDB!$F$2:$G313,2,FALSE),"")</f>
        <v>161.1</v>
      </c>
    </row>
    <row r="41">
      <c r="A41" s="45"/>
      <c r="B41" s="46">
        <v>40.0</v>
      </c>
      <c r="C41" s="46" t="str">
        <f>'Teams &amp; Draft Order'!$C$14</f>
        <v>Achaians</v>
      </c>
      <c r="D41" s="47"/>
      <c r="E41" s="48" t="str">
        <f>IFERROR(VLOOKUP($D41,PlayerDB!$F$2:$G313,2,FALSE),"")</f>
        <v/>
      </c>
      <c r="F41" s="48" t="str">
        <f>IFERROR(VLOOKUP($D41,PlayerDB!$F$2:$H313,3,FALSE),"")</f>
        <v/>
      </c>
      <c r="G41" s="49" t="str">
        <f>IFERROR(VLOOKUP($D41,PlayerDB!$F$2:$I313,4,FALSE),"")</f>
        <v/>
      </c>
      <c r="H41" s="38"/>
      <c r="I41" s="50" t="str">
        <f>IFERROR(__xludf.DUMMYFUNCTION("JOIN("" | "",'Team Stats'!C$10:H$10)"),"0 | 0 | 0 | 0 | 0 | 0")</f>
        <v>0 | 0 | 0 | 0 | 0 | 0</v>
      </c>
      <c r="J41" s="51" t="str">
        <f>IFERROR(__xludf.DUMMYFUNCTION("JOIN("" | "",'Team Stats'!I$10:K$10)"),"0 | 0 | 0")</f>
        <v>0 | 0 | 0</v>
      </c>
      <c r="L41" s="42" t="str">
        <f>IFERROR(__xludf.DUMMYFUNCTION("""COMPUTED_VALUE"""),"Breece Hall – NYJ")</f>
        <v>Breece Hall – NYJ</v>
      </c>
      <c r="M41" s="52">
        <f>IFERROR(VLOOKUP(L41,PlayerDB!$F$2:$G313,2,FALSE),"")</f>
        <v>183</v>
      </c>
      <c r="N41" s="42"/>
      <c r="O41" s="42"/>
      <c r="P41" s="42" t="str">
        <f>IFERROR(__xludf.DUMMYFUNCTION("""COMPUTED_VALUE"""),"Terry McLaurin – WAS")</f>
        <v>Terry McLaurin – WAS</v>
      </c>
      <c r="Q41" s="52">
        <f>IFERROR(VLOOKUP(P41,PlayerDB!$F$2:$G313,2,FALSE),"")</f>
        <v>160.9</v>
      </c>
    </row>
    <row r="42">
      <c r="A42" s="33"/>
      <c r="B42" s="34">
        <v>41.0</v>
      </c>
      <c r="C42" s="34" t="str">
        <f>'Teams &amp; Draft Order'!$C$13</f>
        <v>Luddite</v>
      </c>
      <c r="D42" s="35"/>
      <c r="E42" s="36" t="str">
        <f>IFERROR(VLOOKUP($D42,PlayerDB!$F$2:$G313,2,FALSE),"")</f>
        <v/>
      </c>
      <c r="F42" s="36" t="str">
        <f>IFERROR(VLOOKUP($D42,PlayerDB!$F$2:$H313,3,FALSE),"")</f>
        <v/>
      </c>
      <c r="G42" s="37" t="str">
        <f>IFERROR(VLOOKUP($D42,PlayerDB!$F$2:$I313,4,FALSE),"")</f>
        <v/>
      </c>
      <c r="H42" s="38"/>
      <c r="I42" s="39" t="str">
        <f>IFERROR(__xludf.DUMMYFUNCTION("JOIN("" | "",'Team Stats'!C$9:H$9)"),"0 | 0 | 0 | 0 | 0 | 0")</f>
        <v>0 | 0 | 0 | 0 | 0 | 0</v>
      </c>
      <c r="J42" s="40" t="str">
        <f>IFERROR(__xludf.DUMMYFUNCTION("JOIN("" | "",'Team Stats'!I$9:K$9)"),"0 | 0 | 0")</f>
        <v>0 | 0 | 0</v>
      </c>
      <c r="L42" s="42" t="str">
        <f>IFERROR(__xludf.DUMMYFUNCTION("""COMPUTED_VALUE"""),"Chuba Hubbard – CAR")</f>
        <v>Chuba Hubbard – CAR</v>
      </c>
      <c r="M42" s="52">
        <f>IFERROR(VLOOKUP(L42,PlayerDB!$F$2:$G313,2,FALSE),"")</f>
        <v>176</v>
      </c>
      <c r="N42" s="42"/>
      <c r="O42" s="42"/>
      <c r="P42" s="42" t="str">
        <f>IFERROR(__xludf.DUMMYFUNCTION("""COMPUTED_VALUE"""),"Davante Adams – LAR")</f>
        <v>Davante Adams – LAR</v>
      </c>
      <c r="Q42" s="52">
        <f>IFERROR(VLOOKUP(P42,PlayerDB!$F$2:$G313,2,FALSE),"")</f>
        <v>159.2</v>
      </c>
    </row>
    <row r="43">
      <c r="A43" s="45"/>
      <c r="B43" s="46">
        <v>42.0</v>
      </c>
      <c r="C43" s="46" t="str">
        <f>'Teams &amp; Draft Order'!$C$12</f>
        <v>Turbo-Ginz</v>
      </c>
      <c r="D43" s="47"/>
      <c r="E43" s="48" t="str">
        <f>IFERROR(VLOOKUP($D43,PlayerDB!$F$2:$G313,2,FALSE),"")</f>
        <v/>
      </c>
      <c r="F43" s="48" t="str">
        <f>IFERROR(VLOOKUP($D43,PlayerDB!$F$2:$H313,3,FALSE),"")</f>
        <v/>
      </c>
      <c r="G43" s="49" t="str">
        <f>IFERROR(VLOOKUP($D43,PlayerDB!$F$2:$I313,4,FALSE),"")</f>
        <v/>
      </c>
      <c r="H43" s="38"/>
      <c r="I43" s="50" t="str">
        <f>IFERROR(__xludf.DUMMYFUNCTION("JOIN("" | "",'Team Stats'!C$8:H$8)"),"0 | 0 | 0 | 0 | 0 | 0")</f>
        <v>0 | 0 | 0 | 0 | 0 | 0</v>
      </c>
      <c r="J43" s="51" t="str">
        <f>IFERROR(__xludf.DUMMYFUNCTION("JOIN("" | "",'Team Stats'!I$8:K$8)"),"0 | 0 | 0")</f>
        <v>0 | 0 | 0</v>
      </c>
      <c r="L43" s="42" t="str">
        <f>IFERROR(__xludf.DUMMYFUNCTION("""COMPUTED_VALUE"""),"James Conner – ARI")</f>
        <v>James Conner – ARI</v>
      </c>
      <c r="M43" s="52">
        <f>IFERROR(VLOOKUP(L43,PlayerDB!$F$2:$G313,2,FALSE),"")</f>
        <v>177</v>
      </c>
      <c r="N43" s="42"/>
      <c r="O43" s="42"/>
      <c r="P43" s="42" t="str">
        <f>IFERROR(__xludf.DUMMYFUNCTION("""COMPUTED_VALUE"""),"Marvin Harrison Jr. – ARI")</f>
        <v>Marvin Harrison Jr. – ARI</v>
      </c>
      <c r="Q43" s="52">
        <f>IFERROR(VLOOKUP(P43,PlayerDB!$F$2:$G313,2,FALSE),"")</f>
        <v>154.5</v>
      </c>
    </row>
    <row r="44">
      <c r="A44" s="33"/>
      <c r="B44" s="34">
        <v>43.0</v>
      </c>
      <c r="C44" s="34" t="str">
        <f>'Teams &amp; Draft Order'!$C$11</f>
        <v>Big Boys Big Work</v>
      </c>
      <c r="D44" s="35"/>
      <c r="E44" s="36" t="str">
        <f>IFERROR(VLOOKUP($D44,PlayerDB!$F$2:$G313,2,FALSE),"")</f>
        <v/>
      </c>
      <c r="F44" s="36" t="str">
        <f>IFERROR(VLOOKUP($D44,PlayerDB!$F$2:$H313,3,FALSE),"")</f>
        <v/>
      </c>
      <c r="G44" s="37" t="str">
        <f>IFERROR(VLOOKUP($D44,PlayerDB!$F$2:$I313,4,FALSE),"")</f>
        <v/>
      </c>
      <c r="H44" s="38"/>
      <c r="I44" s="39" t="str">
        <f>IFERROR(__xludf.DUMMYFUNCTION("JOIN("" | "",'Team Stats'!C$7:H$7)"),"0 | 0 | 0 | 0 | 0 | 0")</f>
        <v>0 | 0 | 0 | 0 | 0 | 0</v>
      </c>
      <c r="J44" s="40" t="str">
        <f>IFERROR(__xludf.DUMMYFUNCTION("JOIN("" | "",'Team Stats'!I$7:K$7)"),"0 | 0 | 0")</f>
        <v>0 | 0 | 0</v>
      </c>
      <c r="L44" s="42" t="str">
        <f>IFERROR(__xludf.DUMMYFUNCTION("""COMPUTED_VALUE"""),"Alvin Kamara – NO")</f>
        <v>Alvin Kamara – NO</v>
      </c>
      <c r="M44" s="52">
        <f>IFERROR(VLOOKUP(L44,PlayerDB!$F$2:$G313,2,FALSE),"")</f>
        <v>174</v>
      </c>
      <c r="N44" s="42"/>
      <c r="O44" s="42"/>
      <c r="P44" s="42" t="str">
        <f>IFERROR(__xludf.DUMMYFUNCTION("""COMPUTED_VALUE"""),"DK Metcalf – PIT")</f>
        <v>DK Metcalf – PIT</v>
      </c>
      <c r="Q44" s="52">
        <f>IFERROR(VLOOKUP(P44,PlayerDB!$F$2:$G313,2,FALSE),"")</f>
        <v>151.9</v>
      </c>
    </row>
    <row r="45">
      <c r="A45" s="45"/>
      <c r="B45" s="46">
        <v>44.0</v>
      </c>
      <c r="C45" s="46" t="str">
        <f>'Teams &amp; Draft Order'!$C$10</f>
        <v>Buttheads</v>
      </c>
      <c r="D45" s="47"/>
      <c r="E45" s="48" t="str">
        <f>IFERROR(VLOOKUP($D45,PlayerDB!$F$2:$G313,2,FALSE),"")</f>
        <v/>
      </c>
      <c r="F45" s="48" t="str">
        <f>IFERROR(VLOOKUP($D45,PlayerDB!$F$2:$H313,3,FALSE),"")</f>
        <v/>
      </c>
      <c r="G45" s="49" t="str">
        <f>IFERROR(VLOOKUP($D45,PlayerDB!$F$2:$I313,4,FALSE),"")</f>
        <v/>
      </c>
      <c r="H45" s="38"/>
      <c r="I45" s="50" t="str">
        <f>IFERROR(__xludf.DUMMYFUNCTION("JOIN("" | "",'Team Stats'!C$6:H$6)"),"0 | 0 | 0 | 0 | 0 | 0")</f>
        <v>0 | 0 | 0 | 0 | 0 | 0</v>
      </c>
      <c r="J45" s="51" t="str">
        <f>IFERROR(__xludf.DUMMYFUNCTION("JOIN("" | "",'Team Stats'!I$6:K$6)"),"0 | 0 | 0")</f>
        <v>0 | 0 | 0</v>
      </c>
      <c r="L45" s="42" t="str">
        <f>IFERROR(__xludf.DUMMYFUNCTION("""COMPUTED_VALUE"""),"David Montgomery – DET")</f>
        <v>David Montgomery – DET</v>
      </c>
      <c r="M45" s="52">
        <f>IFERROR(VLOOKUP(L45,PlayerDB!$F$2:$G313,2,FALSE),"")</f>
        <v>159</v>
      </c>
      <c r="N45" s="42"/>
      <c r="O45" s="42"/>
      <c r="P45" s="42" t="str">
        <f>IFERROR(__xludf.DUMMYFUNCTION("""COMPUTED_VALUE"""),"Jaxon Smith-Njigba – SEA")</f>
        <v>Jaxon Smith-Njigba – SEA</v>
      </c>
      <c r="Q45" s="52">
        <f>IFERROR(VLOOKUP(P45,PlayerDB!$F$2:$G313,2,FALSE),"")</f>
        <v>151.5</v>
      </c>
    </row>
    <row r="46">
      <c r="A46" s="33"/>
      <c r="B46" s="34">
        <v>45.0</v>
      </c>
      <c r="C46" s="34" t="str">
        <f>'Teams &amp; Draft Order'!$C$9</f>
        <v>El Nino</v>
      </c>
      <c r="D46" s="35"/>
      <c r="E46" s="36" t="str">
        <f>IFERROR(VLOOKUP($D46,PlayerDB!$F$2:$G313,2,FALSE),"")</f>
        <v/>
      </c>
      <c r="F46" s="36" t="str">
        <f>IFERROR(VLOOKUP($D46,PlayerDB!$F$2:$H313,3,FALSE),"")</f>
        <v/>
      </c>
      <c r="G46" s="37" t="str">
        <f>IFERROR(VLOOKUP($D46,PlayerDB!$F$2:$I313,4,FALSE),"")</f>
        <v/>
      </c>
      <c r="H46" s="38"/>
      <c r="I46" s="39" t="str">
        <f>IFERROR(__xludf.DUMMYFUNCTION("JOIN("" | "",'Team Stats'!C$5:H$5)"),"0 | 0 | 0 | 0 | 0 | 0")</f>
        <v>0 | 0 | 0 | 0 | 0 | 0</v>
      </c>
      <c r="J46" s="40" t="str">
        <f>IFERROR(__xludf.DUMMYFUNCTION("JOIN("" | "",'Team Stats'!I$5:K$5)"),"0 | 0 | 0")</f>
        <v>0 | 0 | 0</v>
      </c>
      <c r="L46" s="42" t="str">
        <f>IFERROR(__xludf.DUMMYFUNCTION("""COMPUTED_VALUE"""),"Isiah Pacheco – KC")</f>
        <v>Isiah Pacheco – KC</v>
      </c>
      <c r="M46" s="52">
        <f>IFERROR(VLOOKUP(L46,PlayerDB!$F$2:$G313,2,FALSE),"")</f>
        <v>146</v>
      </c>
      <c r="N46" s="42"/>
      <c r="O46" s="42"/>
      <c r="P46" s="42" t="str">
        <f>IFERROR(__xludf.DUMMYFUNCTION("""COMPUTED_VALUE"""),"Zay Flowers – BAL")</f>
        <v>Zay Flowers – BAL</v>
      </c>
      <c r="Q46" s="52">
        <f>IFERROR(VLOOKUP(P46,PlayerDB!$F$2:$G313,2,FALSE),"")</f>
        <v>145.2</v>
      </c>
    </row>
    <row r="47">
      <c r="A47" s="45"/>
      <c r="B47" s="46">
        <v>46.0</v>
      </c>
      <c r="C47" s="46" t="str">
        <f>'Teams &amp; Draft Order'!$C$8</f>
        <v>Icelanders</v>
      </c>
      <c r="D47" s="47"/>
      <c r="E47" s="48" t="str">
        <f>IFERROR(VLOOKUP($D47,PlayerDB!$F$2:$G313,2,FALSE),"")</f>
        <v/>
      </c>
      <c r="F47" s="48" t="str">
        <f>IFERROR(VLOOKUP($D47,PlayerDB!$F$2:$H313,3,FALSE),"")</f>
        <v/>
      </c>
      <c r="G47" s="49" t="str">
        <f>IFERROR(VLOOKUP($D47,PlayerDB!$F$2:$I313,4,FALSE),"")</f>
        <v/>
      </c>
      <c r="H47" s="38"/>
      <c r="I47" s="50" t="str">
        <f>IFERROR(__xludf.DUMMYFUNCTION("JOIN("" | "",'Team Stats'!C$4:H$4)"),"0 | 0 | 0 | 0 | 0 | 0")</f>
        <v>0 | 0 | 0 | 0 | 0 | 0</v>
      </c>
      <c r="J47" s="51" t="str">
        <f>IFERROR(__xludf.DUMMYFUNCTION("JOIN("" | "",'Team Stats'!I$4:K$4)"),"0 | 0 | 0")</f>
        <v>0 | 0 | 0</v>
      </c>
      <c r="L47" s="42"/>
      <c r="M47" s="63"/>
      <c r="N47" s="42"/>
      <c r="O47" s="42"/>
      <c r="P47" s="42"/>
      <c r="Q47" s="63"/>
    </row>
    <row r="48">
      <c r="A48" s="33"/>
      <c r="B48" s="34">
        <v>47.0</v>
      </c>
      <c r="C48" s="34" t="str">
        <f>'Teams &amp; Draft Order'!$C$7</f>
        <v>Phantasm</v>
      </c>
      <c r="D48" s="35"/>
      <c r="E48" s="36" t="str">
        <f>IFERROR(VLOOKUP($D48,PlayerDB!$F$2:$G313,2,FALSE),"")</f>
        <v/>
      </c>
      <c r="F48" s="36" t="str">
        <f>IFERROR(VLOOKUP($D48,PlayerDB!$F$2:$H313,3,FALSE),"")</f>
        <v/>
      </c>
      <c r="G48" s="37" t="str">
        <f>IFERROR(VLOOKUP($D48,PlayerDB!$F$2:$I313,4,FALSE),"")</f>
        <v/>
      </c>
      <c r="H48" s="38"/>
      <c r="I48" s="39" t="str">
        <f>IFERROR(__xludf.DUMMYFUNCTION("JOIN("" | "",'Team Stats'!C$3:H$3)"),"0 | 0 | 0 | 0 | 0 | 0")</f>
        <v>0 | 0 | 0 | 0 | 0 | 0</v>
      </c>
      <c r="J48" s="40" t="str">
        <f>IFERROR(__xludf.DUMMYFUNCTION("JOIN("" | "",'Team Stats'!I$3:K$3)"),"0 | 0 | 0")</f>
        <v>0 | 0 | 0</v>
      </c>
      <c r="L48" s="42"/>
      <c r="M48" s="42"/>
      <c r="N48" s="42"/>
      <c r="O48" s="42"/>
      <c r="P48" s="42"/>
      <c r="Q48" s="42"/>
    </row>
    <row r="49">
      <c r="A49" s="45"/>
      <c r="B49" s="46">
        <v>48.0</v>
      </c>
      <c r="C49" s="46" t="str">
        <f>'Teams &amp; Draft Order'!$C$6</f>
        <v>Sleeper Cell </v>
      </c>
      <c r="D49" s="47"/>
      <c r="E49" s="57" t="str">
        <f>IFERROR(VLOOKUP($D49,PlayerDB!$F$2:$G313,2,FALSE),"")</f>
        <v/>
      </c>
      <c r="F49" s="57" t="str">
        <f>IFERROR(VLOOKUP($D49,PlayerDB!$F$2:$H313,3,FALSE),"")</f>
        <v/>
      </c>
      <c r="G49" s="58" t="str">
        <f>IFERROR(VLOOKUP($D49,PlayerDB!$F$2:$I313,4,FALSE),"")</f>
        <v/>
      </c>
      <c r="H49" s="59"/>
      <c r="I49" s="60" t="str">
        <f>IFERROR(__xludf.DUMMYFUNCTION("JOIN("" | "",'Team Stats'!C$2:H$2)"),"1 | 0 | 0 | 0 | 0 | 0")</f>
        <v>1 | 0 | 0 | 0 | 0 | 0</v>
      </c>
      <c r="J49" s="64" t="str">
        <f>IFERROR(__xludf.DUMMYFUNCTION("JOIN("" | "",'Team Stats'!I$2:K$2)"),"0 | 0 | 0")</f>
        <v>0 | 0 | 0</v>
      </c>
      <c r="L49" s="42"/>
      <c r="M49" s="42"/>
      <c r="N49" s="42"/>
      <c r="O49" s="42"/>
      <c r="P49" s="42"/>
      <c r="Q49" s="42"/>
    </row>
    <row r="50">
      <c r="A50" s="72" t="s">
        <v>89</v>
      </c>
      <c r="B50" s="73">
        <v>49.0</v>
      </c>
      <c r="C50" s="73" t="str">
        <f>'Teams &amp; Draft Order'!$C$6</f>
        <v>Sleeper Cell </v>
      </c>
      <c r="D50" s="74"/>
      <c r="E50" s="36" t="str">
        <f>IFERROR(VLOOKUP($D50,PlayerDB!$F$2:$G313,2,FALSE),"")</f>
        <v/>
      </c>
      <c r="F50" s="36" t="str">
        <f>IFERROR(VLOOKUP($D50,PlayerDB!$F$2:$H313,3,FALSE),"")</f>
        <v/>
      </c>
      <c r="G50" s="37" t="str">
        <f>IFERROR(VLOOKUP($D50,PlayerDB!$F$2:$I313,4,FALSE),"")</f>
        <v/>
      </c>
      <c r="H50" s="38"/>
      <c r="I50" s="39" t="str">
        <f>IFERROR(__xludf.DUMMYFUNCTION("JOIN("" | "",'Team Stats'!C$2:H$2)"),"1 | 0 | 0 | 0 | 0 | 0")</f>
        <v>1 | 0 | 0 | 0 | 0 | 0</v>
      </c>
      <c r="J50" s="40" t="str">
        <f>IFERROR(__xludf.DUMMYFUNCTION("JOIN("" | "",'Team Stats'!I$2:K$2)"),"0 | 0 | 0")</f>
        <v>0 | 0 | 0</v>
      </c>
      <c r="L50" s="68" t="s">
        <v>39</v>
      </c>
      <c r="M50" s="44">
        <f>COUNTIF(F:F,"TE")</f>
        <v>0</v>
      </c>
      <c r="N50" s="42"/>
      <c r="O50" s="42"/>
      <c r="P50" s="69" t="s">
        <v>40</v>
      </c>
      <c r="Q50" s="44">
        <f>COUNTIF(F:F,"K")</f>
        <v>0</v>
      </c>
    </row>
    <row r="51">
      <c r="A51" s="45"/>
      <c r="B51" s="46">
        <v>50.0</v>
      </c>
      <c r="C51" s="46" t="str">
        <f>'Teams &amp; Draft Order'!$C$7</f>
        <v>Phantasm</v>
      </c>
      <c r="D51" s="47"/>
      <c r="E51" s="48" t="str">
        <f>IFERROR(VLOOKUP($D51,PlayerDB!$F$2:$G313,2,FALSE),"")</f>
        <v/>
      </c>
      <c r="F51" s="48" t="str">
        <f>IFERROR(VLOOKUP($D51,PlayerDB!$F$2:$H313,3,FALSE),"")</f>
        <v/>
      </c>
      <c r="G51" s="49" t="str">
        <f>IFERROR(VLOOKUP($D51,PlayerDB!$F$2:$I313,4,FALSE),"")</f>
        <v/>
      </c>
      <c r="H51" s="38"/>
      <c r="I51" s="50" t="str">
        <f>IFERROR(__xludf.DUMMYFUNCTION("JOIN("" | "",'Team Stats'!C$3:H$3)"),"0 | 0 | 0 | 0 | 0 | 0")</f>
        <v>0 | 0 | 0 | 0 | 0 | 0</v>
      </c>
      <c r="J51" s="51" t="str">
        <f>IFERROR(__xludf.DUMMYFUNCTION("JOIN("" | "",'Team Stats'!I$3:K$3)"),"0 | 0 | 0")</f>
        <v>0 | 0 | 0</v>
      </c>
      <c r="L51" s="67" t="str">
        <f>IFERROR(__xludf.DUMMYFUNCTION("QUERY(HELP_PlayersLeft!A2:B313, ""select A where B ='TE' LIMIT 20"")"),"Brock Bowers – LV")</f>
        <v>Brock Bowers – LV</v>
      </c>
      <c r="M51" s="52">
        <f>IFERROR(VLOOKUP(L51,PlayerDB!$F$2:$G313,2,FALSE),"")</f>
        <v>149.7</v>
      </c>
      <c r="N51" s="42"/>
      <c r="O51" s="42"/>
      <c r="P51" s="42" t="str">
        <f>IFERROR(__xludf.DUMMYFUNCTION("QUERY(HELP_PlayersLeft!A2:B313, ""select A where B ='K' LIMIT 20"")"),"Brandon Aubrey – DAL")</f>
        <v>Brandon Aubrey – DAL</v>
      </c>
      <c r="Q51" s="52">
        <f>IFERROR(VLOOKUP(P51,PlayerDB!$F$2:$G313,2,FALSE),"")</f>
        <v>140</v>
      </c>
    </row>
    <row r="52">
      <c r="A52" s="33"/>
      <c r="B52" s="34">
        <v>51.0</v>
      </c>
      <c r="C52" s="34" t="str">
        <f>'Teams &amp; Draft Order'!$C$8</f>
        <v>Icelanders</v>
      </c>
      <c r="D52" s="35"/>
      <c r="E52" s="36" t="str">
        <f>IFERROR(VLOOKUP($D52,PlayerDB!$F$2:$G313,2,FALSE),"")</f>
        <v/>
      </c>
      <c r="F52" s="36" t="str">
        <f>IFERROR(VLOOKUP($D52,PlayerDB!$F$2:$H313,3,FALSE),"")</f>
        <v/>
      </c>
      <c r="G52" s="37" t="str">
        <f>IFERROR(VLOOKUP($D52,PlayerDB!$F$2:$I313,4,FALSE),"")</f>
        <v/>
      </c>
      <c r="H52" s="38"/>
      <c r="I52" s="39" t="str">
        <f>IFERROR(__xludf.DUMMYFUNCTION("JOIN("" | "",'Team Stats'!C$4:H$4)"),"0 | 0 | 0 | 0 | 0 | 0")</f>
        <v>0 | 0 | 0 | 0 | 0 | 0</v>
      </c>
      <c r="J52" s="40" t="str">
        <f>IFERROR(__xludf.DUMMYFUNCTION("JOIN("" | "",'Team Stats'!I$4:K$4)"),"0 | 0 | 0")</f>
        <v>0 | 0 | 0</v>
      </c>
      <c r="L52" s="20" t="str">
        <f>IFERROR(__xludf.DUMMYFUNCTION("""COMPUTED_VALUE"""),"George Kittle – SF")</f>
        <v>George Kittle – SF</v>
      </c>
      <c r="M52" s="52">
        <f>IFERROR(VLOOKUP(L52,PlayerDB!$F$2:$G313,2,FALSE),"")</f>
        <v>147.6</v>
      </c>
      <c r="N52" s="42"/>
      <c r="O52" s="42"/>
      <c r="P52" s="20" t="str">
        <f>IFERROR(__xludf.DUMMYFUNCTION("""COMPUTED_VALUE"""),"Chase McLaughlin – TB")</f>
        <v>Chase McLaughlin – TB</v>
      </c>
      <c r="Q52" s="52">
        <f>IFERROR(VLOOKUP(P52,PlayerDB!$F$2:$G313,2,FALSE),"")</f>
        <v>136</v>
      </c>
    </row>
    <row r="53">
      <c r="A53" s="45"/>
      <c r="B53" s="46">
        <v>52.0</v>
      </c>
      <c r="C53" s="46" t="str">
        <f>'Teams &amp; Draft Order'!$C$9</f>
        <v>El Nino</v>
      </c>
      <c r="D53" s="47"/>
      <c r="E53" s="48" t="str">
        <f>IFERROR(VLOOKUP($D53,PlayerDB!$F$2:$G313,2,FALSE),"")</f>
        <v/>
      </c>
      <c r="F53" s="48" t="str">
        <f>IFERROR(VLOOKUP($D53,PlayerDB!$F$2:$H313,3,FALSE),"")</f>
        <v/>
      </c>
      <c r="G53" s="49" t="str">
        <f>IFERROR(VLOOKUP($D53,PlayerDB!$F$2:$I313,4,FALSE),"")</f>
        <v/>
      </c>
      <c r="H53" s="38"/>
      <c r="I53" s="50" t="str">
        <f>IFERROR(__xludf.DUMMYFUNCTION("JOIN("" | "",'Team Stats'!C$5:H$5)"),"0 | 0 | 0 | 0 | 0 | 0")</f>
        <v>0 | 0 | 0 | 0 | 0 | 0</v>
      </c>
      <c r="J53" s="51" t="str">
        <f>IFERROR(__xludf.DUMMYFUNCTION("JOIN("" | "",'Team Stats'!I$5:K$5)"),"0 | 0 | 0")</f>
        <v>0 | 0 | 0</v>
      </c>
      <c r="L53" s="42" t="str">
        <f>IFERROR(__xludf.DUMMYFUNCTION("""COMPUTED_VALUE"""),"Trey McBride – ARI")</f>
        <v>Trey McBride – ARI</v>
      </c>
      <c r="M53" s="52">
        <f>IFERROR(VLOOKUP(L53,PlayerDB!$F$2:$G313,2,FALSE),"")</f>
        <v>139.4</v>
      </c>
      <c r="N53" s="42"/>
      <c r="O53" s="42"/>
      <c r="P53" s="42" t="str">
        <f>IFERROR(__xludf.DUMMYFUNCTION("""COMPUTED_VALUE"""),"Cameron Dicker – LAC")</f>
        <v>Cameron Dicker – LAC</v>
      </c>
      <c r="Q53" s="52">
        <f>IFERROR(VLOOKUP(P53,PlayerDB!$F$2:$G313,2,FALSE),"")</f>
        <v>135</v>
      </c>
    </row>
    <row r="54">
      <c r="A54" s="33"/>
      <c r="B54" s="34">
        <v>53.0</v>
      </c>
      <c r="C54" s="34" t="str">
        <f>'Teams &amp; Draft Order'!$C$10</f>
        <v>Buttheads</v>
      </c>
      <c r="D54" s="35"/>
      <c r="E54" s="36" t="str">
        <f>IFERROR(VLOOKUP($D54,PlayerDB!$F$2:$G313,2,FALSE),"")</f>
        <v/>
      </c>
      <c r="F54" s="36" t="str">
        <f>IFERROR(VLOOKUP($D54,PlayerDB!$F$2:$H313,3,FALSE),"")</f>
        <v/>
      </c>
      <c r="G54" s="37" t="str">
        <f>IFERROR(VLOOKUP($D54,PlayerDB!$F$2:$I313,4,FALSE),"")</f>
        <v/>
      </c>
      <c r="H54" s="38"/>
      <c r="I54" s="39" t="str">
        <f>IFERROR(__xludf.DUMMYFUNCTION("JOIN("" | "",'Team Stats'!C$6:H$6)"),"0 | 0 | 0 | 0 | 0 | 0")</f>
        <v>0 | 0 | 0 | 0 | 0 | 0</v>
      </c>
      <c r="J54" s="40" t="str">
        <f>IFERROR(__xludf.DUMMYFUNCTION("JOIN("" | "",'Team Stats'!I$6:K$6)"),"0 | 0 | 0")</f>
        <v>0 | 0 | 0</v>
      </c>
      <c r="L54" s="42" t="str">
        <f>IFERROR(__xludf.DUMMYFUNCTION("""COMPUTED_VALUE"""),"Mark Andrews – BAL")</f>
        <v>Mark Andrews – BAL</v>
      </c>
      <c r="M54" s="52">
        <f>IFERROR(VLOOKUP(L54,PlayerDB!$F$2:$G313,2,FALSE),"")</f>
        <v>117.3</v>
      </c>
      <c r="N54" s="42"/>
      <c r="O54" s="42"/>
      <c r="P54" s="42" t="str">
        <f>IFERROR(__xludf.DUMMYFUNCTION("""COMPUTED_VALUE"""),"Jake Elliott – PHI")</f>
        <v>Jake Elliott – PHI</v>
      </c>
      <c r="Q54" s="52">
        <f>IFERROR(VLOOKUP(P54,PlayerDB!$F$2:$G313,2,FALSE),"")</f>
        <v>134</v>
      </c>
    </row>
    <row r="55">
      <c r="A55" s="45"/>
      <c r="B55" s="46">
        <v>54.0</v>
      </c>
      <c r="C55" s="46" t="str">
        <f>'Teams &amp; Draft Order'!$C$11</f>
        <v>Big Boys Big Work</v>
      </c>
      <c r="D55" s="47"/>
      <c r="E55" s="48" t="str">
        <f>IFERROR(VLOOKUP($D55,PlayerDB!$F$2:$G313,2,FALSE),"")</f>
        <v/>
      </c>
      <c r="F55" s="48" t="str">
        <f>IFERROR(VLOOKUP($D55,PlayerDB!$F$2:$H313,3,FALSE),"")</f>
        <v/>
      </c>
      <c r="G55" s="49" t="str">
        <f>IFERROR(VLOOKUP($D55,PlayerDB!$F$2:$I313,4,FALSE),"")</f>
        <v/>
      </c>
      <c r="H55" s="38"/>
      <c r="I55" s="50" t="str">
        <f>IFERROR(__xludf.DUMMYFUNCTION("JOIN("" | "",'Team Stats'!C$7:H$7)"),"0 | 0 | 0 | 0 | 0 | 0")</f>
        <v>0 | 0 | 0 | 0 | 0 | 0</v>
      </c>
      <c r="J55" s="51" t="str">
        <f>IFERROR(__xludf.DUMMYFUNCTION("JOIN("" | "",'Team Stats'!I$7:K$7)"),"0 | 0 | 0")</f>
        <v>0 | 0 | 0</v>
      </c>
      <c r="L55" s="42" t="str">
        <f>IFERROR(__xludf.DUMMYFUNCTION("""COMPUTED_VALUE"""),"Sam LaPorta – DET")</f>
        <v>Sam LaPorta – DET</v>
      </c>
      <c r="M55" s="52">
        <f>IFERROR(VLOOKUP(L55,PlayerDB!$F$2:$G313,2,FALSE),"")</f>
        <v>115.6</v>
      </c>
      <c r="N55" s="42"/>
      <c r="O55" s="42"/>
      <c r="P55" s="42" t="str">
        <f>IFERROR(__xludf.DUMMYFUNCTION("""COMPUTED_VALUE"""),"Matt Gay – WAS")</f>
        <v>Matt Gay – WAS</v>
      </c>
      <c r="Q55" s="52">
        <f>IFERROR(VLOOKUP(P55,PlayerDB!$F$2:$G313,2,FALSE),"")</f>
        <v>134</v>
      </c>
    </row>
    <row r="56">
      <c r="A56" s="33"/>
      <c r="B56" s="34">
        <v>55.0</v>
      </c>
      <c r="C56" s="34" t="str">
        <f>'Teams &amp; Draft Order'!$C$12</f>
        <v>Turbo-Ginz</v>
      </c>
      <c r="D56" s="35"/>
      <c r="E56" s="36" t="str">
        <f>IFERROR(VLOOKUP($D56,PlayerDB!$F$2:$G313,2,FALSE),"")</f>
        <v/>
      </c>
      <c r="F56" s="36" t="str">
        <f>IFERROR(VLOOKUP($D56,PlayerDB!$F$2:$H313,3,FALSE),"")</f>
        <v/>
      </c>
      <c r="G56" s="37" t="str">
        <f>IFERROR(VLOOKUP($D56,PlayerDB!$F$2:$I313,4,FALSE),"")</f>
        <v/>
      </c>
      <c r="H56" s="38"/>
      <c r="I56" s="39" t="str">
        <f>IFERROR(__xludf.DUMMYFUNCTION("JOIN("" | "",'Team Stats'!C$8:H$8)"),"0 | 0 | 0 | 0 | 0 | 0")</f>
        <v>0 | 0 | 0 | 0 | 0 | 0</v>
      </c>
      <c r="J56" s="40" t="str">
        <f>IFERROR(__xludf.DUMMYFUNCTION("JOIN("" | "",'Team Stats'!I$8:K$8)"),"0 | 0 | 0")</f>
        <v>0 | 0 | 0</v>
      </c>
      <c r="L56" s="42" t="str">
        <f>IFERROR(__xludf.DUMMYFUNCTION("""COMPUTED_VALUE"""),"T.J. Hockenson – MIN")</f>
        <v>T.J. Hockenson – MIN</v>
      </c>
      <c r="M56" s="52">
        <f>IFERROR(VLOOKUP(L56,PlayerDB!$F$2:$G313,2,FALSE),"")</f>
        <v>106.5</v>
      </c>
      <c r="N56" s="42"/>
      <c r="O56" s="42"/>
      <c r="P56" s="42" t="str">
        <f>IFERROR(__xludf.DUMMYFUNCTION("""COMPUTED_VALUE"""),"Jake Bates – DET")</f>
        <v>Jake Bates – DET</v>
      </c>
      <c r="Q56" s="52">
        <f>IFERROR(VLOOKUP(P56,PlayerDB!$F$2:$G313,2,FALSE),"")</f>
        <v>132</v>
      </c>
    </row>
    <row r="57">
      <c r="A57" s="45"/>
      <c r="B57" s="46">
        <v>56.0</v>
      </c>
      <c r="C57" s="46" t="str">
        <f>'Teams &amp; Draft Order'!$C$13</f>
        <v>Luddite</v>
      </c>
      <c r="D57" s="47"/>
      <c r="E57" s="48" t="str">
        <f>IFERROR(VLOOKUP($D57,PlayerDB!$F$2:$G313,2,FALSE),"")</f>
        <v/>
      </c>
      <c r="F57" s="48" t="str">
        <f>IFERROR(VLOOKUP($D57,PlayerDB!$F$2:$H313,3,FALSE),"")</f>
        <v/>
      </c>
      <c r="G57" s="49" t="str">
        <f>IFERROR(VLOOKUP($D57,PlayerDB!$F$2:$I313,4,FALSE),"")</f>
        <v/>
      </c>
      <c r="H57" s="38"/>
      <c r="I57" s="50" t="str">
        <f>IFERROR(__xludf.DUMMYFUNCTION("JOIN("" | "",'Team Stats'!C$9:H$9)"),"0 | 0 | 0 | 0 | 0 | 0")</f>
        <v>0 | 0 | 0 | 0 | 0 | 0</v>
      </c>
      <c r="J57" s="51" t="str">
        <f>IFERROR(__xludf.DUMMYFUNCTION("JOIN("" | "",'Team Stats'!I$9:K$9)"),"0 | 0 | 0")</f>
        <v>0 | 0 | 0</v>
      </c>
      <c r="L57" s="42" t="str">
        <f>IFERROR(__xludf.DUMMYFUNCTION("""COMPUTED_VALUE"""),"Travis Kelce – KC")</f>
        <v>Travis Kelce – KC</v>
      </c>
      <c r="M57" s="52">
        <f>IFERROR(VLOOKUP(L57,PlayerDB!$F$2:$G313,2,FALSE),"")</f>
        <v>105.9</v>
      </c>
      <c r="N57" s="42"/>
      <c r="O57" s="42"/>
      <c r="P57" s="42" t="str">
        <f>IFERROR(__xludf.DUMMYFUNCTION("""COMPUTED_VALUE"""),"Chris Boswell – PIT")</f>
        <v>Chris Boswell – PIT</v>
      </c>
      <c r="Q57" s="52">
        <f>IFERROR(VLOOKUP(P57,PlayerDB!$F$2:$G313,2,FALSE),"")</f>
        <v>132</v>
      </c>
    </row>
    <row r="58">
      <c r="A58" s="33"/>
      <c r="B58" s="34">
        <v>57.0</v>
      </c>
      <c r="C58" s="34" t="str">
        <f>'Teams &amp; Draft Order'!$C$14</f>
        <v>Achaians</v>
      </c>
      <c r="D58" s="35"/>
      <c r="E58" s="36" t="str">
        <f>IFERROR(VLOOKUP($D58,PlayerDB!$F$2:$G313,2,FALSE),"")</f>
        <v/>
      </c>
      <c r="F58" s="36" t="str">
        <f>IFERROR(VLOOKUP($D58,PlayerDB!$F$2:$H313,3,FALSE),"")</f>
        <v/>
      </c>
      <c r="G58" s="37" t="str">
        <f>IFERROR(VLOOKUP($D58,PlayerDB!$F$2:$I313,4,FALSE),"")</f>
        <v/>
      </c>
      <c r="H58" s="38"/>
      <c r="I58" s="39" t="str">
        <f>IFERROR(__xludf.DUMMYFUNCTION("JOIN("" | "",'Team Stats'!C$10:H$10)"),"0 | 0 | 0 | 0 | 0 | 0")</f>
        <v>0 | 0 | 0 | 0 | 0 | 0</v>
      </c>
      <c r="J58" s="40" t="str">
        <f>IFERROR(__xludf.DUMMYFUNCTION("JOIN("" | "",'Team Stats'!I$10:K$10)"),"0 | 0 | 0")</f>
        <v>0 | 0 | 0</v>
      </c>
      <c r="L58" s="42" t="str">
        <f>IFERROR(__xludf.DUMMYFUNCTION("""COMPUTED_VALUE"""),"David Njoku – CLE")</f>
        <v>David Njoku – CLE</v>
      </c>
      <c r="M58" s="52">
        <f>IFERROR(VLOOKUP(L58,PlayerDB!$F$2:$G313,2,FALSE),"")</f>
        <v>101.1</v>
      </c>
      <c r="N58" s="42"/>
      <c r="O58" s="42"/>
      <c r="P58" s="42" t="str">
        <f>IFERROR(__xludf.DUMMYFUNCTION("""COMPUTED_VALUE"""),"Tyler Loop – BAL")</f>
        <v>Tyler Loop – BAL</v>
      </c>
      <c r="Q58" s="52">
        <f>IFERROR(VLOOKUP(P58,PlayerDB!$F$2:$G313,2,FALSE),"")</f>
        <v>130</v>
      </c>
    </row>
    <row r="59">
      <c r="A59" s="45"/>
      <c r="B59" s="46">
        <v>58.0</v>
      </c>
      <c r="C59" s="46" t="str">
        <f>'Teams &amp; Draft Order'!$C$15</f>
        <v>Daddy's Dogs</v>
      </c>
      <c r="D59" s="47"/>
      <c r="E59" s="48" t="str">
        <f>IFERROR(VLOOKUP($D59,PlayerDB!$F$2:$G313,2,FALSE),"")</f>
        <v/>
      </c>
      <c r="F59" s="48" t="str">
        <f>IFERROR(VLOOKUP($D59,PlayerDB!$F$2:$H313,3,FALSE),"")</f>
        <v/>
      </c>
      <c r="G59" s="49" t="str">
        <f>IFERROR(VLOOKUP($D59,PlayerDB!$F$2:$I313,4,FALSE),"")</f>
        <v/>
      </c>
      <c r="H59" s="38"/>
      <c r="I59" s="50" t="str">
        <f>IFERROR(__xludf.DUMMYFUNCTION("JOIN("" | "",'Team Stats'!C$11:H$11)"),"0 | 0 | 0 | 0 | 0 | 0")</f>
        <v>0 | 0 | 0 | 0 | 0 | 0</v>
      </c>
      <c r="J59" s="51" t="str">
        <f>IFERROR(__xludf.DUMMYFUNCTION("JOIN("" | "",'Team Stats'!I$11:K$11)"),"0 | 0 | 0")</f>
        <v>0 | 0 | 0</v>
      </c>
      <c r="L59" s="42" t="str">
        <f>IFERROR(__xludf.DUMMYFUNCTION("""COMPUTED_VALUE"""),"Tucker Kraft – GB")</f>
        <v>Tucker Kraft – GB</v>
      </c>
      <c r="M59" s="52">
        <f>IFERROR(VLOOKUP(L59,PlayerDB!$F$2:$G313,2,FALSE),"")</f>
        <v>92.6</v>
      </c>
      <c r="N59" s="42"/>
      <c r="O59" s="42"/>
      <c r="P59" s="42" t="str">
        <f>IFERROR(__xludf.DUMMYFUNCTION("""COMPUTED_VALUE"""),"Daniel Carlson – LV")</f>
        <v>Daniel Carlson – LV</v>
      </c>
      <c r="Q59" s="52">
        <f>IFERROR(VLOOKUP(P59,PlayerDB!$F$2:$G313,2,FALSE),"")</f>
        <v>129</v>
      </c>
    </row>
    <row r="60">
      <c r="A60" s="33"/>
      <c r="B60" s="34">
        <v>59.0</v>
      </c>
      <c r="C60" s="34" t="str">
        <f>'Teams &amp; Draft Order'!$C$16</f>
        <v>TDs and Beers</v>
      </c>
      <c r="D60" s="35"/>
      <c r="E60" s="36" t="str">
        <f>IFERROR(VLOOKUP($D60,PlayerDB!$F$2:$G313,2,FALSE),"")</f>
        <v/>
      </c>
      <c r="F60" s="36" t="str">
        <f>IFERROR(VLOOKUP($D60,PlayerDB!$F$2:$H313,3,FALSE),"")</f>
        <v/>
      </c>
      <c r="G60" s="37" t="str">
        <f>IFERROR(VLOOKUP($D60,PlayerDB!$F$2:$I313,4,FALSE),"")</f>
        <v/>
      </c>
      <c r="H60" s="38"/>
      <c r="I60" s="39" t="str">
        <f>IFERROR(__xludf.DUMMYFUNCTION("JOIN("" | "",'Team Stats'!C$12:H$12)"),"0 | 0 | 0 | 0 | 0 | 0")</f>
        <v>0 | 0 | 0 | 0 | 0 | 0</v>
      </c>
      <c r="J60" s="40" t="str">
        <f>IFERROR(__xludf.DUMMYFUNCTION("JOIN("" | "",'Team Stats'!I$12:K$12)"),"0 | 0 | 0")</f>
        <v>0 | 0 | 0</v>
      </c>
      <c r="L60" s="42" t="str">
        <f>IFERROR(__xludf.DUMMYFUNCTION("""COMPUTED_VALUE"""),"Tyler Warren – IND")</f>
        <v>Tyler Warren – IND</v>
      </c>
      <c r="M60" s="52">
        <f>IFERROR(VLOOKUP(L60,PlayerDB!$F$2:$G313,2,FALSE),"")</f>
        <v>88.7</v>
      </c>
      <c r="N60" s="42"/>
      <c r="O60" s="42"/>
      <c r="P60" s="42" t="str">
        <f>IFERROR(__xludf.DUMMYFUNCTION("""COMPUTED_VALUE"""),"Ka’imi Fairbairn – HOU")</f>
        <v>Ka’imi Fairbairn – HOU</v>
      </c>
      <c r="Q60" s="52">
        <f>IFERROR(VLOOKUP(P60,PlayerDB!$F$2:$G313,2,FALSE),"")</f>
        <v>128</v>
      </c>
    </row>
    <row r="61">
      <c r="A61" s="45"/>
      <c r="B61" s="46">
        <v>60.0</v>
      </c>
      <c r="C61" s="46" t="str">
        <f>'Teams &amp; Draft Order'!$C$17</f>
        <v>DD Riders</v>
      </c>
      <c r="D61" s="47"/>
      <c r="E61" s="57" t="str">
        <f>IFERROR(VLOOKUP($D61,PlayerDB!$F$2:$G313,2,FALSE),"")</f>
        <v/>
      </c>
      <c r="F61" s="57" t="str">
        <f>IFERROR(VLOOKUP($D61,PlayerDB!$F$2:$H313,3,FALSE),"")</f>
        <v/>
      </c>
      <c r="G61" s="58" t="str">
        <f>IFERROR(VLOOKUP($D61,PlayerDB!$F$2:$I313,4,FALSE),"")</f>
        <v/>
      </c>
      <c r="H61" s="59"/>
      <c r="I61" s="50" t="str">
        <f>IFERROR(__xludf.DUMMYFUNCTION("JOIN("" | "",'Team Stats'!C$13:H$13)"),"0 | 0 | 0 | 0 | 0 | 0")</f>
        <v>0 | 0 | 0 | 0 | 0 | 0</v>
      </c>
      <c r="J61" s="51" t="str">
        <f>IFERROR(__xludf.DUMMYFUNCTION("JOIN("" | "",'Team Stats'!I$13:K$13)"),"0 | 0 | 0")</f>
        <v>0 | 0 | 0</v>
      </c>
      <c r="L61" s="42" t="str">
        <f>IFERROR(__xludf.DUMMYFUNCTION("""COMPUTED_VALUE"""),"Dallas Goedert – PHI")</f>
        <v>Dallas Goedert – PHI</v>
      </c>
      <c r="M61" s="52">
        <f>IFERROR(VLOOKUP(L61,PlayerDB!$F$2:$G313,2,FALSE),"")</f>
        <v>85.8</v>
      </c>
      <c r="N61" s="42"/>
      <c r="O61" s="42"/>
      <c r="P61" s="42" t="str">
        <f>IFERROR(__xludf.DUMMYFUNCTION("""COMPUTED_VALUE"""),"Evan McPherson – CIN")</f>
        <v>Evan McPherson – CIN</v>
      </c>
      <c r="Q61" s="52">
        <f>IFERROR(VLOOKUP(P61,PlayerDB!$F$2:$G313,2,FALSE),"")</f>
        <v>127</v>
      </c>
    </row>
    <row r="62">
      <c r="A62" s="72" t="s">
        <v>90</v>
      </c>
      <c r="B62" s="73">
        <v>61.0</v>
      </c>
      <c r="C62" s="73" t="str">
        <f>'Teams &amp; Draft Order'!$C$17</f>
        <v>DD Riders</v>
      </c>
      <c r="D62" s="74"/>
      <c r="E62" s="36" t="str">
        <f>IFERROR(VLOOKUP($D62,PlayerDB!$F$2:$G313,2,FALSE),"")</f>
        <v/>
      </c>
      <c r="F62" s="36" t="str">
        <f>IFERROR(VLOOKUP($D62,PlayerDB!$F$2:$H313,3,FALSE),"")</f>
        <v/>
      </c>
      <c r="G62" s="37" t="str">
        <f>IFERROR(VLOOKUP($D62,PlayerDB!$F$2:$I313,4,FALSE),"")</f>
        <v/>
      </c>
      <c r="H62" s="38"/>
      <c r="I62" s="76" t="str">
        <f>IFERROR(__xludf.DUMMYFUNCTION("JOIN("" | "",'Team Stats'!C$13:H$13)"),"0 | 0 | 0 | 0 | 0 | 0")</f>
        <v>0 | 0 | 0 | 0 | 0 | 0</v>
      </c>
      <c r="J62" s="62" t="str">
        <f>IFERROR(__xludf.DUMMYFUNCTION("JOIN("" | "",'Team Stats'!I$13:K$13)"),"0 | 0 | 0")</f>
        <v>0 | 0 | 0</v>
      </c>
      <c r="L62" s="42" t="str">
        <f>IFERROR(__xludf.DUMMYFUNCTION("""COMPUTED_VALUE"""),"Zach Ertz – WAS")</f>
        <v>Zach Ertz – WAS</v>
      </c>
      <c r="M62" s="52">
        <f>IFERROR(VLOOKUP(L62,PlayerDB!$F$2:$G313,2,FALSE),"")</f>
        <v>84.2</v>
      </c>
      <c r="N62" s="42"/>
      <c r="O62" s="42"/>
      <c r="P62" s="42" t="str">
        <f>IFERROR(__xludf.DUMMYFUNCTION("""COMPUTED_VALUE"""),"Tyler Bass – BUF")</f>
        <v>Tyler Bass – BUF</v>
      </c>
      <c r="Q62" s="52">
        <f>IFERROR(VLOOKUP(P62,PlayerDB!$F$2:$G313,2,FALSE),"")</f>
        <v>126</v>
      </c>
    </row>
    <row r="63">
      <c r="A63" s="45"/>
      <c r="B63" s="46">
        <v>62.0</v>
      </c>
      <c r="C63" s="46" t="str">
        <f>'Teams &amp; Draft Order'!$C$16</f>
        <v>TDs and Beers</v>
      </c>
      <c r="D63" s="47"/>
      <c r="E63" s="48" t="str">
        <f>IFERROR(VLOOKUP($D63,PlayerDB!$F$2:$G313,2,FALSE),"")</f>
        <v/>
      </c>
      <c r="F63" s="48" t="str">
        <f>IFERROR(VLOOKUP($D63,PlayerDB!$F$2:$H313,3,FALSE),"")</f>
        <v/>
      </c>
      <c r="G63" s="49" t="str">
        <f>IFERROR(VLOOKUP($D63,PlayerDB!$F$2:$I313,4,FALSE),"")</f>
        <v/>
      </c>
      <c r="H63" s="38"/>
      <c r="I63" s="50" t="str">
        <f>IFERROR(__xludf.DUMMYFUNCTION("JOIN("" | "",'Team Stats'!C$12:H$12)"),"0 | 0 | 0 | 0 | 0 | 0")</f>
        <v>0 | 0 | 0 | 0 | 0 | 0</v>
      </c>
      <c r="J63" s="51" t="str">
        <f>IFERROR(__xludf.DUMMYFUNCTION("JOIN("" | "",'Team Stats'!I$12:K$12)"),"0 | 0 | 0")</f>
        <v>0 | 0 | 0</v>
      </c>
      <c r="L63" s="42" t="str">
        <f>IFERROR(__xludf.DUMMYFUNCTION("""COMPUTED_VALUE"""),"Dalton Kincaid – BUF")</f>
        <v>Dalton Kincaid – BUF</v>
      </c>
      <c r="M63" s="52">
        <f>IFERROR(VLOOKUP(L63,PlayerDB!$F$2:$G313,2,FALSE),"")</f>
        <v>83.6</v>
      </c>
      <c r="N63" s="42"/>
      <c r="O63" s="42"/>
      <c r="P63" s="42" t="str">
        <f>IFERROR(__xludf.DUMMYFUNCTION("""COMPUTED_VALUE"""),"Wil Lutz – DEN")</f>
        <v>Wil Lutz – DEN</v>
      </c>
      <c r="Q63" s="52">
        <f>IFERROR(VLOOKUP(P63,PlayerDB!$F$2:$G313,2,FALSE),"")</f>
        <v>126</v>
      </c>
    </row>
    <row r="64">
      <c r="A64" s="33"/>
      <c r="B64" s="34">
        <v>63.0</v>
      </c>
      <c r="C64" s="34" t="str">
        <f>'Teams &amp; Draft Order'!$C$15</f>
        <v>Daddy's Dogs</v>
      </c>
      <c r="D64" s="35"/>
      <c r="E64" s="36" t="str">
        <f>IFERROR(VLOOKUP($D64,PlayerDB!$F$2:$G313,2,FALSE),"")</f>
        <v/>
      </c>
      <c r="F64" s="36" t="str">
        <f>IFERROR(VLOOKUP($D64,PlayerDB!$F$2:$H313,3,FALSE),"")</f>
        <v/>
      </c>
      <c r="G64" s="37" t="str">
        <f>IFERROR(VLOOKUP($D64,PlayerDB!$F$2:$I313,4,FALSE),"")</f>
        <v/>
      </c>
      <c r="H64" s="38"/>
      <c r="I64" s="39" t="str">
        <f>IFERROR(__xludf.DUMMYFUNCTION("JOIN("" | "",'Team Stats'!C$11:H$11)"),"0 | 0 | 0 | 0 | 0 | 0")</f>
        <v>0 | 0 | 0 | 0 | 0 | 0</v>
      </c>
      <c r="J64" s="40" t="str">
        <f>IFERROR(__xludf.DUMMYFUNCTION("JOIN("" | "",'Team Stats'!I$11:K$11)"),"0 | 0 | 0")</f>
        <v>0 | 0 | 0</v>
      </c>
      <c r="L64" s="42" t="str">
        <f>IFERROR(__xludf.DUMMYFUNCTION("""COMPUTED_VALUE"""),"Evan Engram – DEN")</f>
        <v>Evan Engram – DEN</v>
      </c>
      <c r="M64" s="52">
        <f>IFERROR(VLOOKUP(L64,PlayerDB!$F$2:$G313,2,FALSE),"")</f>
        <v>83.4</v>
      </c>
      <c r="N64" s="42"/>
      <c r="O64" s="42"/>
      <c r="P64" s="42" t="str">
        <f>IFERROR(__xludf.DUMMYFUNCTION("""COMPUTED_VALUE"""),"Jason Sanders – MIA")</f>
        <v>Jason Sanders – MIA</v>
      </c>
      <c r="Q64" s="52">
        <f>IFERROR(VLOOKUP(P64,PlayerDB!$F$2:$G313,2,FALSE),"")</f>
        <v>125</v>
      </c>
    </row>
    <row r="65">
      <c r="A65" s="45"/>
      <c r="B65" s="46">
        <v>64.0</v>
      </c>
      <c r="C65" s="46" t="str">
        <f>'Teams &amp; Draft Order'!$C$14</f>
        <v>Achaians</v>
      </c>
      <c r="D65" s="47"/>
      <c r="E65" s="48" t="str">
        <f>IFERROR(VLOOKUP($D65,PlayerDB!$F$2:$G313,2,FALSE),"")</f>
        <v/>
      </c>
      <c r="F65" s="48" t="str">
        <f>IFERROR(VLOOKUP($D65,PlayerDB!$F$2:$H313,3,FALSE),"")</f>
        <v/>
      </c>
      <c r="G65" s="49" t="str">
        <f>IFERROR(VLOOKUP($D65,PlayerDB!$F$2:$I313,4,FALSE),"")</f>
        <v/>
      </c>
      <c r="H65" s="38"/>
      <c r="I65" s="50" t="str">
        <f>IFERROR(__xludf.DUMMYFUNCTION("JOIN("" | "",'Team Stats'!C$10:H$10)"),"0 | 0 | 0 | 0 | 0 | 0")</f>
        <v>0 | 0 | 0 | 0 | 0 | 0</v>
      </c>
      <c r="J65" s="51" t="str">
        <f>IFERROR(__xludf.DUMMYFUNCTION("JOIN("" | "",'Team Stats'!I$10:K$10)"),"0 | 0 | 0")</f>
        <v>0 | 0 | 0</v>
      </c>
      <c r="L65" s="42" t="str">
        <f>IFERROR(__xludf.DUMMYFUNCTION("""COMPUTED_VALUE"""),"Kyle Pitts – ATL")</f>
        <v>Kyle Pitts – ATL</v>
      </c>
      <c r="M65" s="52">
        <f>IFERROR(VLOOKUP(L65,PlayerDB!$F$2:$G313,2,FALSE),"")</f>
        <v>83.2</v>
      </c>
      <c r="N65" s="42"/>
      <c r="O65" s="42"/>
      <c r="P65" s="42" t="str">
        <f>IFERROR(__xludf.DUMMYFUNCTION("""COMPUTED_VALUE"""),"Jake Moody – SF")</f>
        <v>Jake Moody – SF</v>
      </c>
      <c r="Q65" s="52">
        <f>IFERROR(VLOOKUP(P65,PlayerDB!$F$2:$G313,2,FALSE),"")</f>
        <v>125</v>
      </c>
    </row>
    <row r="66">
      <c r="A66" s="33"/>
      <c r="B66" s="34">
        <v>65.0</v>
      </c>
      <c r="C66" s="34" t="str">
        <f>'Teams &amp; Draft Order'!$C$13</f>
        <v>Luddite</v>
      </c>
      <c r="D66" s="35"/>
      <c r="E66" s="36" t="str">
        <f>IFERROR(VLOOKUP($D66,PlayerDB!$F$2:$G313,2,FALSE),"")</f>
        <v/>
      </c>
      <c r="F66" s="36" t="str">
        <f>IFERROR(VLOOKUP($D66,PlayerDB!$F$2:$H313,3,FALSE),"")</f>
        <v/>
      </c>
      <c r="G66" s="37" t="str">
        <f>IFERROR(VLOOKUP($D66,PlayerDB!$F$2:$I313,4,FALSE),"")</f>
        <v/>
      </c>
      <c r="H66" s="38"/>
      <c r="I66" s="39" t="str">
        <f>IFERROR(__xludf.DUMMYFUNCTION("JOIN("" | "",'Team Stats'!C$9:H$9)"),"0 | 0 | 0 | 0 | 0 | 0")</f>
        <v>0 | 0 | 0 | 0 | 0 | 0</v>
      </c>
      <c r="J66" s="40" t="str">
        <f>IFERROR(__xludf.DUMMYFUNCTION("JOIN("" | "",'Team Stats'!I$9:K$9)"),"0 | 0 | 0")</f>
        <v>0 | 0 | 0</v>
      </c>
      <c r="L66" s="42" t="str">
        <f>IFERROR(__xludf.DUMMYFUNCTION("""COMPUTED_VALUE"""),"Jake Ferguson – DAL")</f>
        <v>Jake Ferguson – DAL</v>
      </c>
      <c r="M66" s="52">
        <f>IFERROR(VLOOKUP(L66,PlayerDB!$F$2:$G313,2,FALSE),"")</f>
        <v>82.5</v>
      </c>
      <c r="N66" s="42"/>
      <c r="O66" s="42"/>
      <c r="P66" s="42" t="str">
        <f>IFERROR(__xludf.DUMMYFUNCTION("""COMPUTED_VALUE"""),"Brandon McManus – GB")</f>
        <v>Brandon McManus – GB</v>
      </c>
      <c r="Q66" s="52">
        <f>IFERROR(VLOOKUP(P66,PlayerDB!$F$2:$G313,2,FALSE),"")</f>
        <v>123</v>
      </c>
    </row>
    <row r="67">
      <c r="A67" s="45"/>
      <c r="B67" s="46">
        <v>66.0</v>
      </c>
      <c r="C67" s="46" t="str">
        <f>'Teams &amp; Draft Order'!$C$12</f>
        <v>Turbo-Ginz</v>
      </c>
      <c r="D67" s="47"/>
      <c r="E67" s="48" t="str">
        <f>IFERROR(VLOOKUP($D67,PlayerDB!$F$2:$G313,2,FALSE),"")</f>
        <v/>
      </c>
      <c r="F67" s="48" t="str">
        <f>IFERROR(VLOOKUP($D67,PlayerDB!$F$2:$H313,3,FALSE),"")</f>
        <v/>
      </c>
      <c r="G67" s="49" t="str">
        <f>IFERROR(VLOOKUP($D67,PlayerDB!$F$2:$I313,4,FALSE),"")</f>
        <v/>
      </c>
      <c r="H67" s="38"/>
      <c r="I67" s="50" t="str">
        <f>IFERROR(__xludf.DUMMYFUNCTION("JOIN("" | "",'Team Stats'!C$8:H$8)"),"0 | 0 | 0 | 0 | 0 | 0")</f>
        <v>0 | 0 | 0 | 0 | 0 | 0</v>
      </c>
      <c r="J67" s="51" t="str">
        <f>IFERROR(__xludf.DUMMYFUNCTION("JOIN("" | "",'Team Stats'!I$8:K$8)"),"0 | 0 | 0")</f>
        <v>0 | 0 | 0</v>
      </c>
      <c r="L67" s="42" t="str">
        <f>IFERROR(__xludf.DUMMYFUNCTION("""COMPUTED_VALUE"""),"Hunter Henry – NE")</f>
        <v>Hunter Henry – NE</v>
      </c>
      <c r="M67" s="52">
        <f>IFERROR(VLOOKUP(L67,PlayerDB!$F$2:$G313,2,FALSE),"")</f>
        <v>78.5</v>
      </c>
      <c r="N67" s="42"/>
      <c r="O67" s="42"/>
      <c r="P67" s="42" t="str">
        <f>IFERROR(__xludf.DUMMYFUNCTION("""COMPUTED_VALUE"""),"Younghoe Koo – ATL")</f>
        <v>Younghoe Koo – ATL</v>
      </c>
      <c r="Q67" s="52">
        <f>IFERROR(VLOOKUP(P67,PlayerDB!$F$2:$G313,2,FALSE),"")</f>
        <v>122</v>
      </c>
    </row>
    <row r="68">
      <c r="A68" s="33"/>
      <c r="B68" s="34">
        <v>67.0</v>
      </c>
      <c r="C68" s="34" t="str">
        <f>'Teams &amp; Draft Order'!$C$11</f>
        <v>Big Boys Big Work</v>
      </c>
      <c r="D68" s="35"/>
      <c r="E68" s="36" t="str">
        <f>IFERROR(VLOOKUP($D68,PlayerDB!$F$2:$G313,2,FALSE),"")</f>
        <v/>
      </c>
      <c r="F68" s="36" t="str">
        <f>IFERROR(VLOOKUP($D68,PlayerDB!$F$2:$H313,3,FALSE),"")</f>
        <v/>
      </c>
      <c r="G68" s="37" t="str">
        <f>IFERROR(VLOOKUP($D68,PlayerDB!$F$2:$I313,4,FALSE),"")</f>
        <v/>
      </c>
      <c r="H68" s="38"/>
      <c r="I68" s="39" t="str">
        <f>IFERROR(__xludf.DUMMYFUNCTION("JOIN("" | "",'Team Stats'!C$7:H$7)"),"0 | 0 | 0 | 0 | 0 | 0")</f>
        <v>0 | 0 | 0 | 0 | 0 | 0</v>
      </c>
      <c r="J68" s="40" t="str">
        <f>IFERROR(__xludf.DUMMYFUNCTION("JOIN("" | "",'Team Stats'!I$7:K$7)"),"0 | 0 | 0")</f>
        <v>0 | 0 | 0</v>
      </c>
      <c r="L68" s="42" t="str">
        <f>IFERROR(__xludf.DUMMYFUNCTION("""COMPUTED_VALUE"""),"Darren Waller – MIA")</f>
        <v>Darren Waller – MIA</v>
      </c>
      <c r="M68" s="52">
        <f>IFERROR(VLOOKUP(L68,PlayerDB!$F$2:$G313,2,FALSE),"")</f>
        <v>77.9</v>
      </c>
      <c r="N68" s="42"/>
      <c r="O68" s="42"/>
      <c r="P68" s="42" t="str">
        <f>IFERROR(__xludf.DUMMYFUNCTION("""COMPUTED_VALUE"""),"Harrison Butker – KC")</f>
        <v>Harrison Butker – KC</v>
      </c>
      <c r="Q68" s="52">
        <f>IFERROR(VLOOKUP(P68,PlayerDB!$F$2:$G313,2,FALSE),"")</f>
        <v>122</v>
      </c>
    </row>
    <row r="69">
      <c r="A69" s="45"/>
      <c r="B69" s="46">
        <v>68.0</v>
      </c>
      <c r="C69" s="46" t="str">
        <f>'Teams &amp; Draft Order'!$C$10</f>
        <v>Buttheads</v>
      </c>
      <c r="D69" s="47"/>
      <c r="E69" s="48" t="str">
        <f>IFERROR(VLOOKUP($D69,PlayerDB!$F$2:$G313,2,FALSE),"")</f>
        <v/>
      </c>
      <c r="F69" s="48" t="str">
        <f>IFERROR(VLOOKUP($D69,PlayerDB!$F$2:$H313,3,FALSE),"")</f>
        <v/>
      </c>
      <c r="G69" s="49" t="str">
        <f>IFERROR(VLOOKUP($D69,PlayerDB!$F$2:$I313,4,FALSE),"")</f>
        <v/>
      </c>
      <c r="H69" s="38"/>
      <c r="I69" s="50" t="str">
        <f>IFERROR(__xludf.DUMMYFUNCTION("JOIN("" | "",'Team Stats'!C$6:H$6)"),"0 | 0 | 0 | 0 | 0 | 0")</f>
        <v>0 | 0 | 0 | 0 | 0 | 0</v>
      </c>
      <c r="J69" s="51" t="str">
        <f>IFERROR(__xludf.DUMMYFUNCTION("JOIN("" | "",'Team Stats'!I$6:K$6)"),"0 | 0 | 0")</f>
        <v>0 | 0 | 0</v>
      </c>
      <c r="L69" s="42" t="str">
        <f>IFERROR(__xludf.DUMMYFUNCTION("""COMPUTED_VALUE"""),"Isaiah Likely – BAL")</f>
        <v>Isaiah Likely – BAL</v>
      </c>
      <c r="M69" s="52">
        <f>IFERROR(VLOOKUP(L69,PlayerDB!$F$2:$G313,2,FALSE),"")</f>
        <v>77</v>
      </c>
      <c r="N69" s="42"/>
      <c r="O69" s="42"/>
      <c r="P69" s="42" t="str">
        <f>IFERROR(__xludf.DUMMYFUNCTION("""COMPUTED_VALUE"""),"Jason Myers – SEA")</f>
        <v>Jason Myers – SEA</v>
      </c>
      <c r="Q69" s="52">
        <f>IFERROR(VLOOKUP(P69,PlayerDB!$F$2:$G313,2,FALSE),"")</f>
        <v>121</v>
      </c>
    </row>
    <row r="70">
      <c r="A70" s="33"/>
      <c r="B70" s="34">
        <v>69.0</v>
      </c>
      <c r="C70" s="34" t="str">
        <f>'Teams &amp; Draft Order'!$C$9</f>
        <v>El Nino</v>
      </c>
      <c r="D70" s="35"/>
      <c r="E70" s="36" t="str">
        <f>IFERROR(VLOOKUP($D70,PlayerDB!$F$2:$G313,2,FALSE),"")</f>
        <v/>
      </c>
      <c r="F70" s="36" t="str">
        <f>IFERROR(VLOOKUP($D70,PlayerDB!$F$2:$H313,3,FALSE),"")</f>
        <v/>
      </c>
      <c r="G70" s="37" t="str">
        <f>IFERROR(VLOOKUP($D70,PlayerDB!$F$2:$I313,4,FALSE),"")</f>
        <v/>
      </c>
      <c r="H70" s="38"/>
      <c r="I70" s="39" t="str">
        <f>IFERROR(__xludf.DUMMYFUNCTION("JOIN("" | "",'Team Stats'!C$5:H$5)"),"0 | 0 | 0 | 0 | 0 | 0")</f>
        <v>0 | 0 | 0 | 0 | 0 | 0</v>
      </c>
      <c r="J70" s="40" t="str">
        <f>IFERROR(__xludf.DUMMYFUNCTION("JOIN("" | "",'Team Stats'!I$5:K$5)"),"0 | 0 | 0")</f>
        <v>0 | 0 | 0</v>
      </c>
      <c r="L70" s="42" t="str">
        <f>IFERROR(__xludf.DUMMYFUNCTION("""COMPUTED_VALUE"""),"Colston Loveland – CHI")</f>
        <v>Colston Loveland – CHI</v>
      </c>
      <c r="M70" s="52">
        <f>IFERROR(VLOOKUP(L70,PlayerDB!$F$2:$G313,2,FALSE),"")</f>
        <v>76.5</v>
      </c>
      <c r="N70" s="42"/>
      <c r="O70" s="42"/>
      <c r="P70" s="42" t="str">
        <f>IFERROR(__xludf.DUMMYFUNCTION("""COMPUTED_VALUE"""),"Joshua Karty – LAR")</f>
        <v>Joshua Karty – LAR</v>
      </c>
      <c r="Q70" s="52">
        <f>IFERROR(VLOOKUP(P70,PlayerDB!$F$2:$G313,2,FALSE),"")</f>
        <v>120</v>
      </c>
    </row>
    <row r="71">
      <c r="A71" s="45"/>
      <c r="B71" s="46">
        <v>70.0</v>
      </c>
      <c r="C71" s="46" t="str">
        <f>'Teams &amp; Draft Order'!$C$8</f>
        <v>Icelanders</v>
      </c>
      <c r="D71" s="47"/>
      <c r="E71" s="48" t="str">
        <f>IFERROR(VLOOKUP($D71,PlayerDB!$F$2:$G313,2,FALSE),"")</f>
        <v/>
      </c>
      <c r="F71" s="48" t="str">
        <f>IFERROR(VLOOKUP($D71,PlayerDB!$F$2:$H313,3,FALSE),"")</f>
        <v/>
      </c>
      <c r="G71" s="49" t="str">
        <f>IFERROR(VLOOKUP($D71,PlayerDB!$F$2:$I313,4,FALSE),"")</f>
        <v/>
      </c>
      <c r="H71" s="38"/>
      <c r="I71" s="50" t="str">
        <f>IFERROR(__xludf.DUMMYFUNCTION("JOIN("" | "",'Team Stats'!C$4:H$4)"),"0 | 0 | 0 | 0 | 0 | 0")</f>
        <v>0 | 0 | 0 | 0 | 0 | 0</v>
      </c>
      <c r="J71" s="51" t="str">
        <f>IFERROR(__xludf.DUMMYFUNCTION("JOIN("" | "",'Team Stats'!I$4:K$4)"),"0 | 0 | 0")</f>
        <v>0 | 0 | 0</v>
      </c>
      <c r="L71" s="42"/>
      <c r="M71" s="63"/>
      <c r="N71" s="42"/>
      <c r="O71" s="42"/>
      <c r="P71" s="42"/>
      <c r="Q71" s="63"/>
    </row>
    <row r="72">
      <c r="A72" s="33"/>
      <c r="B72" s="34">
        <v>71.0</v>
      </c>
      <c r="C72" s="34" t="str">
        <f>'Teams &amp; Draft Order'!$C$7</f>
        <v>Phantasm</v>
      </c>
      <c r="D72" s="35"/>
      <c r="E72" s="36" t="str">
        <f>IFERROR(VLOOKUP($D72,PlayerDB!$F$2:$G313,2,FALSE),"")</f>
        <v/>
      </c>
      <c r="F72" s="36" t="str">
        <f>IFERROR(VLOOKUP($D72,PlayerDB!$F$2:$H313,3,FALSE),"")</f>
        <v/>
      </c>
      <c r="G72" s="37" t="str">
        <f>IFERROR(VLOOKUP($D72,PlayerDB!$F$2:$I313,4,FALSE),"")</f>
        <v/>
      </c>
      <c r="H72" s="38"/>
      <c r="I72" s="39" t="str">
        <f>IFERROR(__xludf.DUMMYFUNCTION("JOIN("" | "",'Team Stats'!C$3:H$3)"),"0 | 0 | 0 | 0 | 0 | 0")</f>
        <v>0 | 0 | 0 | 0 | 0 | 0</v>
      </c>
      <c r="J72" s="40" t="str">
        <f>IFERROR(__xludf.DUMMYFUNCTION("JOIN("" | "",'Team Stats'!I$3:K$3)"),"0 | 0 | 0")</f>
        <v>0 | 0 | 0</v>
      </c>
      <c r="L72" s="42"/>
      <c r="M72" s="42"/>
      <c r="N72" s="42"/>
      <c r="O72" s="42"/>
      <c r="P72" s="42"/>
      <c r="Q72" s="42"/>
    </row>
    <row r="73">
      <c r="A73" s="45"/>
      <c r="B73" s="46">
        <v>72.0</v>
      </c>
      <c r="C73" s="46" t="str">
        <f>'Teams &amp; Draft Order'!$C$6</f>
        <v>Sleeper Cell </v>
      </c>
      <c r="D73" s="47"/>
      <c r="E73" s="57" t="str">
        <f>IFERROR(VLOOKUP($D73,PlayerDB!$F$2:$G313,2,FALSE),"")</f>
        <v/>
      </c>
      <c r="F73" s="57" t="str">
        <f>IFERROR(VLOOKUP($D73,PlayerDB!$F$2:$H313,3,FALSE),"")</f>
        <v/>
      </c>
      <c r="G73" s="58" t="str">
        <f>IFERROR(VLOOKUP($D73,PlayerDB!$F$2:$I313,4,FALSE),"")</f>
        <v/>
      </c>
      <c r="H73" s="59"/>
      <c r="I73" s="60" t="str">
        <f>IFERROR(__xludf.DUMMYFUNCTION("JOIN("" | "",'Team Stats'!C$2:H$2)"),"1 | 0 | 0 | 0 | 0 | 0")</f>
        <v>1 | 0 | 0 | 0 | 0 | 0</v>
      </c>
      <c r="J73" s="64" t="str">
        <f>IFERROR(__xludf.DUMMYFUNCTION("JOIN("" | "",'Team Stats'!I$2:K$2)"),"0 | 0 | 0")</f>
        <v>0 | 0 | 0</v>
      </c>
      <c r="L73" s="42"/>
      <c r="M73" s="42"/>
      <c r="N73" s="42"/>
      <c r="O73" s="42"/>
      <c r="P73" s="42"/>
      <c r="Q73" s="42"/>
    </row>
    <row r="74">
      <c r="A74" s="72" t="s">
        <v>91</v>
      </c>
      <c r="B74" s="73">
        <v>73.0</v>
      </c>
      <c r="C74" s="73" t="str">
        <f>'Teams &amp; Draft Order'!$C$6</f>
        <v>Sleeper Cell </v>
      </c>
      <c r="D74" s="74"/>
      <c r="E74" s="36" t="str">
        <f>IFERROR(VLOOKUP($D74,PlayerDB!$F$2:$G313,2,FALSE),"")</f>
        <v/>
      </c>
      <c r="F74" s="36" t="str">
        <f>IFERROR(VLOOKUP($D74,PlayerDB!$F$2:$H313,3,FALSE),"")</f>
        <v/>
      </c>
      <c r="G74" s="37" t="str">
        <f>IFERROR(VLOOKUP($D74,PlayerDB!$F$2:$I313,4,FALSE),"")</f>
        <v/>
      </c>
      <c r="H74" s="38"/>
      <c r="I74" s="39" t="str">
        <f>IFERROR(__xludf.DUMMYFUNCTION("JOIN("" | "",'Team Stats'!C$2:H$2)"),"1 | 0 | 0 | 0 | 0 | 0")</f>
        <v>1 | 0 | 0 | 0 | 0 | 0</v>
      </c>
      <c r="J74" s="40" t="str">
        <f>IFERROR(__xludf.DUMMYFUNCTION("JOIN("" | "",'Team Stats'!I$2:K$2)"),"0 | 0 | 0")</f>
        <v>0 | 0 | 0</v>
      </c>
      <c r="L74" s="70" t="s">
        <v>41</v>
      </c>
      <c r="M74" s="44">
        <f>COUNTIF(F:F,"D/ST")</f>
        <v>0</v>
      </c>
      <c r="N74" s="42"/>
      <c r="O74" s="42"/>
      <c r="P74" s="71"/>
      <c r="Q74" s="44"/>
    </row>
    <row r="75">
      <c r="A75" s="45"/>
      <c r="B75" s="46">
        <v>74.0</v>
      </c>
      <c r="C75" s="46" t="str">
        <f>'Teams &amp; Draft Order'!$C$7</f>
        <v>Phantasm</v>
      </c>
      <c r="D75" s="47"/>
      <c r="E75" s="48" t="str">
        <f>IFERROR(VLOOKUP($D75,PlayerDB!$F$2:$G313,2,FALSE),"")</f>
        <v/>
      </c>
      <c r="F75" s="48" t="str">
        <f>IFERROR(VLOOKUP($D75,PlayerDB!$F$2:$H313,3,FALSE),"")</f>
        <v/>
      </c>
      <c r="G75" s="49" t="str">
        <f>IFERROR(VLOOKUP($D75,PlayerDB!$F$2:$I313,4,FALSE),"")</f>
        <v/>
      </c>
      <c r="H75" s="38"/>
      <c r="I75" s="50" t="str">
        <f>IFERROR(__xludf.DUMMYFUNCTION("JOIN("" | "",'Team Stats'!C$3:H$3)"),"0 | 0 | 0 | 0 | 0 | 0")</f>
        <v>0 | 0 | 0 | 0 | 0 | 0</v>
      </c>
      <c r="J75" s="51" t="str">
        <f>IFERROR(__xludf.DUMMYFUNCTION("JOIN("" | "",'Team Stats'!I$3:K$3)"),"0 | 0 | 0")</f>
        <v>0 | 0 | 0</v>
      </c>
      <c r="L75" s="42" t="str">
        <f>IFERROR(__xludf.DUMMYFUNCTION("QUERY(HELP_PlayersLeft!A2:B313, ""select A where B ='D/ST' LIMIT 20"")"),"Denver Broncos – DEN")</f>
        <v>Denver Broncos – DEN</v>
      </c>
      <c r="M75" s="52">
        <f>IFERROR(VLOOKUP(L75,PlayerDB!$F$2:$G313,2,FALSE),"")</f>
        <v>142</v>
      </c>
      <c r="N75" s="42"/>
      <c r="O75" s="42"/>
      <c r="P75" s="42"/>
      <c r="Q75" s="52"/>
    </row>
    <row r="76">
      <c r="A76" s="33"/>
      <c r="B76" s="34">
        <v>75.0</v>
      </c>
      <c r="C76" s="34" t="str">
        <f>'Teams &amp; Draft Order'!$C$8</f>
        <v>Icelanders</v>
      </c>
      <c r="D76" s="35"/>
      <c r="E76" s="36" t="str">
        <f>IFERROR(VLOOKUP($D76,PlayerDB!$F$2:$G313,2,FALSE),"")</f>
        <v/>
      </c>
      <c r="F76" s="36" t="str">
        <f>IFERROR(VLOOKUP($D76,PlayerDB!$F$2:$H313,3,FALSE),"")</f>
        <v/>
      </c>
      <c r="G76" s="37" t="str">
        <f>IFERROR(VLOOKUP($D76,PlayerDB!$F$2:$I313,4,FALSE),"")</f>
        <v/>
      </c>
      <c r="H76" s="38"/>
      <c r="I76" s="39" t="str">
        <f>IFERROR(__xludf.DUMMYFUNCTION("JOIN("" | "",'Team Stats'!C$4:H$4)"),"0 | 0 | 0 | 0 | 0 | 0")</f>
        <v>0 | 0 | 0 | 0 | 0 | 0</v>
      </c>
      <c r="J76" s="40" t="str">
        <f>IFERROR(__xludf.DUMMYFUNCTION("JOIN("" | "",'Team Stats'!I$4:K$4)"),"0 | 0 | 0")</f>
        <v>0 | 0 | 0</v>
      </c>
      <c r="L76" s="20" t="str">
        <f>IFERROR(__xludf.DUMMYFUNCTION("""COMPUTED_VALUE"""),"Philadelphia Eagles – PHI")</f>
        <v>Philadelphia Eagles – PHI</v>
      </c>
      <c r="M76" s="52">
        <f>IFERROR(VLOOKUP(L76,PlayerDB!$F$2:$G313,2,FALSE),"")</f>
        <v>139</v>
      </c>
      <c r="N76" s="42"/>
      <c r="O76" s="42"/>
      <c r="P76" s="20"/>
      <c r="Q76" s="52"/>
    </row>
    <row r="77">
      <c r="A77" s="45"/>
      <c r="B77" s="46">
        <v>76.0</v>
      </c>
      <c r="C77" s="46" t="str">
        <f>'Teams &amp; Draft Order'!$C$9</f>
        <v>El Nino</v>
      </c>
      <c r="D77" s="47"/>
      <c r="E77" s="48" t="str">
        <f>IFERROR(VLOOKUP($D77,PlayerDB!$F$2:$G313,2,FALSE),"")</f>
        <v/>
      </c>
      <c r="F77" s="48" t="str">
        <f>IFERROR(VLOOKUP($D77,PlayerDB!$F$2:$H313,3,FALSE),"")</f>
        <v/>
      </c>
      <c r="G77" s="49" t="str">
        <f>IFERROR(VLOOKUP($D77,PlayerDB!$F$2:$I313,4,FALSE),"")</f>
        <v/>
      </c>
      <c r="H77" s="38"/>
      <c r="I77" s="50" t="str">
        <f>IFERROR(__xludf.DUMMYFUNCTION("JOIN("" | "",'Team Stats'!C$5:H$5)"),"0 | 0 | 0 | 0 | 0 | 0")</f>
        <v>0 | 0 | 0 | 0 | 0 | 0</v>
      </c>
      <c r="J77" s="51" t="str">
        <f>IFERROR(__xludf.DUMMYFUNCTION("JOIN("" | "",'Team Stats'!I$5:K$5)"),"0 | 0 | 0")</f>
        <v>0 | 0 | 0</v>
      </c>
      <c r="L77" s="42" t="str">
        <f>IFERROR(__xludf.DUMMYFUNCTION("""COMPUTED_VALUE"""),"Pittsburgh Steelers – PIT")</f>
        <v>Pittsburgh Steelers – PIT</v>
      </c>
      <c r="M77" s="52">
        <f>IFERROR(VLOOKUP(L77,PlayerDB!$F$2:$G313,2,FALSE),"")</f>
        <v>137</v>
      </c>
      <c r="N77" s="42"/>
      <c r="O77" s="42"/>
      <c r="P77" s="42"/>
      <c r="Q77" s="52"/>
    </row>
    <row r="78">
      <c r="A78" s="33"/>
      <c r="B78" s="34">
        <v>77.0</v>
      </c>
      <c r="C78" s="34" t="str">
        <f>'Teams &amp; Draft Order'!$C$10</f>
        <v>Buttheads</v>
      </c>
      <c r="D78" s="35"/>
      <c r="E78" s="36" t="str">
        <f>IFERROR(VLOOKUP($D78,PlayerDB!$F$2:$G313,2,FALSE),"")</f>
        <v/>
      </c>
      <c r="F78" s="36" t="str">
        <f>IFERROR(VLOOKUP($D78,PlayerDB!$F$2:$H313,3,FALSE),"")</f>
        <v/>
      </c>
      <c r="G78" s="37" t="str">
        <f>IFERROR(VLOOKUP($D78,PlayerDB!$F$2:$I313,4,FALSE),"")</f>
        <v/>
      </c>
      <c r="H78" s="38"/>
      <c r="I78" s="39" t="str">
        <f>IFERROR(__xludf.DUMMYFUNCTION("JOIN("" | "",'Team Stats'!C$6:H$6)"),"0 | 0 | 0 | 0 | 0 | 0")</f>
        <v>0 | 0 | 0 | 0 | 0 | 0</v>
      </c>
      <c r="J78" s="40" t="str">
        <f>IFERROR(__xludf.DUMMYFUNCTION("JOIN("" | "",'Team Stats'!I$6:K$6)"),"0 | 0 | 0")</f>
        <v>0 | 0 | 0</v>
      </c>
      <c r="L78" s="42" t="str">
        <f>IFERROR(__xludf.DUMMYFUNCTION("""COMPUTED_VALUE"""),"Baltimore Ravens – BAL")</f>
        <v>Baltimore Ravens – BAL</v>
      </c>
      <c r="M78" s="52">
        <f>IFERROR(VLOOKUP(L78,PlayerDB!$F$2:$G313,2,FALSE),"")</f>
        <v>135</v>
      </c>
      <c r="N78" s="42"/>
      <c r="O78" s="42"/>
      <c r="P78" s="42"/>
      <c r="Q78" s="52"/>
    </row>
    <row r="79">
      <c r="A79" s="45"/>
      <c r="B79" s="46">
        <v>78.0</v>
      </c>
      <c r="C79" s="46" t="str">
        <f>'Teams &amp; Draft Order'!$C$11</f>
        <v>Big Boys Big Work</v>
      </c>
      <c r="D79" s="47"/>
      <c r="E79" s="48" t="str">
        <f>IFERROR(VLOOKUP($D79,PlayerDB!$F$2:$G313,2,FALSE),"")</f>
        <v/>
      </c>
      <c r="F79" s="48" t="str">
        <f>IFERROR(VLOOKUP($D79,PlayerDB!$F$2:$H313,3,FALSE),"")</f>
        <v/>
      </c>
      <c r="G79" s="49" t="str">
        <f>IFERROR(VLOOKUP($D79,PlayerDB!$F$2:$I313,4,FALSE),"")</f>
        <v/>
      </c>
      <c r="H79" s="38"/>
      <c r="I79" s="50" t="str">
        <f>IFERROR(__xludf.DUMMYFUNCTION("JOIN("" | "",'Team Stats'!C$7:H$7)"),"0 | 0 | 0 | 0 | 0 | 0")</f>
        <v>0 | 0 | 0 | 0 | 0 | 0</v>
      </c>
      <c r="J79" s="51" t="str">
        <f>IFERROR(__xludf.DUMMYFUNCTION("JOIN("" | "",'Team Stats'!I$7:K$7)"),"0 | 0 | 0")</f>
        <v>0 | 0 | 0</v>
      </c>
      <c r="L79" s="42" t="str">
        <f>IFERROR(__xludf.DUMMYFUNCTION("""COMPUTED_VALUE"""),"Minnesota Vikings – MIN")</f>
        <v>Minnesota Vikings – MIN</v>
      </c>
      <c r="M79" s="52">
        <f>IFERROR(VLOOKUP(L79,PlayerDB!$F$2:$G313,2,FALSE),"")</f>
        <v>132</v>
      </c>
      <c r="N79" s="42"/>
      <c r="O79" s="42"/>
      <c r="P79" s="42"/>
      <c r="Q79" s="52"/>
    </row>
    <row r="80">
      <c r="A80" s="33"/>
      <c r="B80" s="34">
        <v>79.0</v>
      </c>
      <c r="C80" s="34" t="str">
        <f>'Teams &amp; Draft Order'!$C$12</f>
        <v>Turbo-Ginz</v>
      </c>
      <c r="D80" s="35"/>
      <c r="E80" s="36" t="str">
        <f>IFERROR(VLOOKUP($D80,PlayerDB!$F$2:$G313,2,FALSE),"")</f>
        <v/>
      </c>
      <c r="F80" s="36" t="str">
        <f>IFERROR(VLOOKUP($D80,PlayerDB!$F$2:$H313,3,FALSE),"")</f>
        <v/>
      </c>
      <c r="G80" s="37" t="str">
        <f>IFERROR(VLOOKUP($D80,PlayerDB!$F$2:$I313,4,FALSE),"")</f>
        <v/>
      </c>
      <c r="H80" s="38"/>
      <c r="I80" s="39" t="str">
        <f>IFERROR(__xludf.DUMMYFUNCTION("JOIN("" | "",'Team Stats'!C$8:H$8)"),"0 | 0 | 0 | 0 | 0 | 0")</f>
        <v>0 | 0 | 0 | 0 | 0 | 0</v>
      </c>
      <c r="J80" s="40" t="str">
        <f>IFERROR(__xludf.DUMMYFUNCTION("JOIN("" | "",'Team Stats'!I$8:K$8)"),"0 | 0 | 0")</f>
        <v>0 | 0 | 0</v>
      </c>
      <c r="L80" s="42" t="str">
        <f>IFERROR(__xludf.DUMMYFUNCTION("""COMPUTED_VALUE"""),"Kansas City Chiefs – KC")</f>
        <v>Kansas City Chiefs – KC</v>
      </c>
      <c r="M80" s="52">
        <f>IFERROR(VLOOKUP(L80,PlayerDB!$F$2:$G313,2,FALSE),"")</f>
        <v>130</v>
      </c>
      <c r="N80" s="42"/>
      <c r="O80" s="42"/>
      <c r="P80" s="42"/>
      <c r="Q80" s="52"/>
    </row>
    <row r="81">
      <c r="A81" s="45"/>
      <c r="B81" s="46">
        <v>80.0</v>
      </c>
      <c r="C81" s="46" t="str">
        <f>'Teams &amp; Draft Order'!$C$13</f>
        <v>Luddite</v>
      </c>
      <c r="D81" s="47"/>
      <c r="E81" s="48" t="str">
        <f>IFERROR(VLOOKUP($D81,PlayerDB!$F$2:$G313,2,FALSE),"")</f>
        <v/>
      </c>
      <c r="F81" s="48" t="str">
        <f>IFERROR(VLOOKUP($D81,PlayerDB!$F$2:$H313,3,FALSE),"")</f>
        <v/>
      </c>
      <c r="G81" s="49" t="str">
        <f>IFERROR(VLOOKUP($D81,PlayerDB!$F$2:$I313,4,FALSE),"")</f>
        <v/>
      </c>
      <c r="H81" s="38"/>
      <c r="I81" s="50" t="str">
        <f>IFERROR(__xludf.DUMMYFUNCTION("JOIN("" | "",'Team Stats'!C$9:H$9)"),"0 | 0 | 0 | 0 | 0 | 0")</f>
        <v>0 | 0 | 0 | 0 | 0 | 0</v>
      </c>
      <c r="J81" s="51" t="str">
        <f>IFERROR(__xludf.DUMMYFUNCTION("JOIN("" | "",'Team Stats'!I$9:K$9)"),"0 | 0 | 0")</f>
        <v>0 | 0 | 0</v>
      </c>
      <c r="L81" s="42" t="str">
        <f>IFERROR(__xludf.DUMMYFUNCTION("""COMPUTED_VALUE"""),"Detroit Lions – DET")</f>
        <v>Detroit Lions – DET</v>
      </c>
      <c r="M81" s="52">
        <f>IFERROR(VLOOKUP(L81,PlayerDB!$F$2:$G313,2,FALSE),"")</f>
        <v>129</v>
      </c>
      <c r="N81" s="42"/>
      <c r="O81" s="42"/>
      <c r="P81" s="42"/>
      <c r="Q81" s="52"/>
    </row>
    <row r="82">
      <c r="A82" s="33"/>
      <c r="B82" s="34">
        <v>81.0</v>
      </c>
      <c r="C82" s="34" t="str">
        <f>'Teams &amp; Draft Order'!$C$14</f>
        <v>Achaians</v>
      </c>
      <c r="D82" s="35"/>
      <c r="E82" s="36" t="str">
        <f>IFERROR(VLOOKUP($D82,PlayerDB!$F$2:$G313,2,FALSE),"")</f>
        <v/>
      </c>
      <c r="F82" s="36" t="str">
        <f>IFERROR(VLOOKUP($D82,PlayerDB!$F$2:$H313,3,FALSE),"")</f>
        <v/>
      </c>
      <c r="G82" s="37" t="str">
        <f>IFERROR(VLOOKUP($D82,PlayerDB!$F$2:$I313,4,FALSE),"")</f>
        <v/>
      </c>
      <c r="H82" s="38"/>
      <c r="I82" s="39" t="str">
        <f>IFERROR(__xludf.DUMMYFUNCTION("JOIN("" | "",'Team Stats'!C$10:H$10)"),"0 | 0 | 0 | 0 | 0 | 0")</f>
        <v>0 | 0 | 0 | 0 | 0 | 0</v>
      </c>
      <c r="J82" s="40" t="str">
        <f>IFERROR(__xludf.DUMMYFUNCTION("JOIN("" | "",'Team Stats'!I$10:K$10)"),"0 | 0 | 0")</f>
        <v>0 | 0 | 0</v>
      </c>
      <c r="L82" s="42" t="str">
        <f>IFERROR(__xludf.DUMMYFUNCTION("""COMPUTED_VALUE"""),"New York Jets – NYJ")</f>
        <v>New York Jets – NYJ</v>
      </c>
      <c r="M82" s="52">
        <f>IFERROR(VLOOKUP(L82,PlayerDB!$F$2:$G313,2,FALSE),"")</f>
        <v>128</v>
      </c>
      <c r="N82" s="42"/>
      <c r="O82" s="42"/>
      <c r="P82" s="42"/>
      <c r="Q82" s="52"/>
    </row>
    <row r="83">
      <c r="A83" s="45"/>
      <c r="B83" s="46">
        <v>82.0</v>
      </c>
      <c r="C83" s="46" t="str">
        <f>'Teams &amp; Draft Order'!$C$15</f>
        <v>Daddy's Dogs</v>
      </c>
      <c r="D83" s="47"/>
      <c r="E83" s="48" t="str">
        <f>IFERROR(VLOOKUP($D83,PlayerDB!$F$2:$G313,2,FALSE),"")</f>
        <v/>
      </c>
      <c r="F83" s="48" t="str">
        <f>IFERROR(VLOOKUP($D83,PlayerDB!$F$2:$H313,3,FALSE),"")</f>
        <v/>
      </c>
      <c r="G83" s="49" t="str">
        <f>IFERROR(VLOOKUP($D83,PlayerDB!$F$2:$I313,4,FALSE),"")</f>
        <v/>
      </c>
      <c r="H83" s="38"/>
      <c r="I83" s="50" t="str">
        <f>IFERROR(__xludf.DUMMYFUNCTION("JOIN("" | "",'Team Stats'!C$11:H$11)"),"0 | 0 | 0 | 0 | 0 | 0")</f>
        <v>0 | 0 | 0 | 0 | 0 | 0</v>
      </c>
      <c r="J83" s="51" t="str">
        <f>IFERROR(__xludf.DUMMYFUNCTION("JOIN("" | "",'Team Stats'!I$11:K$11)"),"0 | 0 | 0")</f>
        <v>0 | 0 | 0</v>
      </c>
      <c r="L83" s="42" t="str">
        <f>IFERROR(__xludf.DUMMYFUNCTION("""COMPUTED_VALUE"""),"Houston Texans – HOU")</f>
        <v>Houston Texans – HOU</v>
      </c>
      <c r="M83" s="52">
        <f>IFERROR(VLOOKUP(L83,PlayerDB!$F$2:$G313,2,FALSE),"")</f>
        <v>127</v>
      </c>
      <c r="N83" s="42"/>
      <c r="O83" s="42"/>
      <c r="P83" s="42"/>
      <c r="Q83" s="52"/>
    </row>
    <row r="84">
      <c r="A84" s="33"/>
      <c r="B84" s="34">
        <v>83.0</v>
      </c>
      <c r="C84" s="34" t="str">
        <f>'Teams &amp; Draft Order'!$C$16</f>
        <v>TDs and Beers</v>
      </c>
      <c r="D84" s="35"/>
      <c r="E84" s="36" t="str">
        <f>IFERROR(VLOOKUP($D84,PlayerDB!$F$2:$G313,2,FALSE),"")</f>
        <v/>
      </c>
      <c r="F84" s="36" t="str">
        <f>IFERROR(VLOOKUP($D84,PlayerDB!$F$2:$H313,3,FALSE),"")</f>
        <v/>
      </c>
      <c r="G84" s="37" t="str">
        <f>IFERROR(VLOOKUP($D84,PlayerDB!$F$2:$I313,4,FALSE),"")</f>
        <v/>
      </c>
      <c r="H84" s="38"/>
      <c r="I84" s="39" t="str">
        <f>IFERROR(__xludf.DUMMYFUNCTION("JOIN("" | "",'Team Stats'!C$12:H$12)"),"0 | 0 | 0 | 0 | 0 | 0")</f>
        <v>0 | 0 | 0 | 0 | 0 | 0</v>
      </c>
      <c r="J84" s="40" t="str">
        <f>IFERROR(__xludf.DUMMYFUNCTION("JOIN("" | "",'Team Stats'!I$12:K$12)"),"0 | 0 | 0")</f>
        <v>0 | 0 | 0</v>
      </c>
      <c r="L84" s="42" t="str">
        <f>IFERROR(__xludf.DUMMYFUNCTION("""COMPUTED_VALUE"""),"Los Angeles Chargers – LAC")</f>
        <v>Los Angeles Chargers – LAC</v>
      </c>
      <c r="M84" s="52">
        <f>IFERROR(VLOOKUP(L84,PlayerDB!$F$2:$G313,2,FALSE),"")</f>
        <v>126</v>
      </c>
      <c r="N84" s="42"/>
      <c r="O84" s="42"/>
      <c r="P84" s="42"/>
      <c r="Q84" s="52"/>
    </row>
    <row r="85">
      <c r="A85" s="45"/>
      <c r="B85" s="46">
        <v>84.0</v>
      </c>
      <c r="C85" s="46" t="str">
        <f>'Teams &amp; Draft Order'!$C$17</f>
        <v>DD Riders</v>
      </c>
      <c r="D85" s="47"/>
      <c r="E85" s="57" t="str">
        <f>IFERROR(VLOOKUP($D85,PlayerDB!$F$2:$G313,2,FALSE),"")</f>
        <v/>
      </c>
      <c r="F85" s="57" t="str">
        <f>IFERROR(VLOOKUP($D85,PlayerDB!$F$2:$H313,3,FALSE),"")</f>
        <v/>
      </c>
      <c r="G85" s="58" t="str">
        <f>IFERROR(VLOOKUP($D85,PlayerDB!$F$2:$I313,4,FALSE),"")</f>
        <v/>
      </c>
      <c r="H85" s="59"/>
      <c r="I85" s="50" t="str">
        <f>IFERROR(__xludf.DUMMYFUNCTION("JOIN("" | "",'Team Stats'!C$13:H$13)"),"0 | 0 | 0 | 0 | 0 | 0")</f>
        <v>0 | 0 | 0 | 0 | 0 | 0</v>
      </c>
      <c r="J85" s="51" t="str">
        <f>IFERROR(__xludf.DUMMYFUNCTION("JOIN("" | "",'Team Stats'!I$13:K$13)"),"0 | 0 | 0")</f>
        <v>0 | 0 | 0</v>
      </c>
      <c r="L85" s="42" t="str">
        <f>IFERROR(__xludf.DUMMYFUNCTION("""COMPUTED_VALUE"""),"Buffalo Bills – BUF")</f>
        <v>Buffalo Bills – BUF</v>
      </c>
      <c r="M85" s="52">
        <f>IFERROR(VLOOKUP(L85,PlayerDB!$F$2:$G313,2,FALSE),"")</f>
        <v>125</v>
      </c>
      <c r="N85" s="42"/>
      <c r="O85" s="42"/>
      <c r="P85" s="42"/>
      <c r="Q85" s="52"/>
    </row>
    <row r="86">
      <c r="A86" s="72" t="s">
        <v>92</v>
      </c>
      <c r="B86" s="73">
        <v>85.0</v>
      </c>
      <c r="C86" s="73" t="str">
        <f>'Teams &amp; Draft Order'!$C$17</f>
        <v>DD Riders</v>
      </c>
      <c r="D86" s="74"/>
      <c r="E86" s="36" t="str">
        <f>IFERROR(VLOOKUP($D86,PlayerDB!$F$2:$G313,2,FALSE),"")</f>
        <v/>
      </c>
      <c r="F86" s="36" t="str">
        <f>IFERROR(VLOOKUP($D86,PlayerDB!$F$2:$H313,3,FALSE),"")</f>
        <v/>
      </c>
      <c r="G86" s="37" t="str">
        <f>IFERROR(VLOOKUP($D86,PlayerDB!$F$2:$I313,4,FALSE),"")</f>
        <v/>
      </c>
      <c r="H86" s="38"/>
      <c r="I86" s="76" t="str">
        <f>IFERROR(__xludf.DUMMYFUNCTION("JOIN("" | "",'Team Stats'!C$13:H$13)"),"0 | 0 | 0 | 0 | 0 | 0")</f>
        <v>0 | 0 | 0 | 0 | 0 | 0</v>
      </c>
      <c r="J86" s="62" t="str">
        <f>IFERROR(__xludf.DUMMYFUNCTION("JOIN("" | "",'Team Stats'!I$13:K$13)"),"0 | 0 | 0")</f>
        <v>0 | 0 | 0</v>
      </c>
      <c r="L86" s="42" t="str">
        <f>IFERROR(__xludf.DUMMYFUNCTION("""COMPUTED_VALUE"""),"Seattle Seahawks – SEA")</f>
        <v>Seattle Seahawks – SEA</v>
      </c>
      <c r="M86" s="52">
        <f>IFERROR(VLOOKUP(L86,PlayerDB!$F$2:$G313,2,FALSE),"")</f>
        <v>124</v>
      </c>
      <c r="N86" s="42"/>
      <c r="O86" s="42"/>
      <c r="P86" s="42"/>
      <c r="Q86" s="52"/>
    </row>
    <row r="87">
      <c r="A87" s="45"/>
      <c r="B87" s="46">
        <v>86.0</v>
      </c>
      <c r="C87" s="46" t="str">
        <f>'Teams &amp; Draft Order'!$C$16</f>
        <v>TDs and Beers</v>
      </c>
      <c r="D87" s="47"/>
      <c r="E87" s="48" t="str">
        <f>IFERROR(VLOOKUP($D87,PlayerDB!$F$2:$G313,2,FALSE),"")</f>
        <v/>
      </c>
      <c r="F87" s="48" t="str">
        <f>IFERROR(VLOOKUP($D87,PlayerDB!$F$2:$H313,3,FALSE),"")</f>
        <v/>
      </c>
      <c r="G87" s="49" t="str">
        <f>IFERROR(VLOOKUP($D87,PlayerDB!$F$2:$I313,4,FALSE),"")</f>
        <v/>
      </c>
      <c r="H87" s="38"/>
      <c r="I87" s="50" t="str">
        <f>IFERROR(__xludf.DUMMYFUNCTION("JOIN("" | "",'Team Stats'!C$12:H$12)"),"0 | 0 | 0 | 0 | 0 | 0")</f>
        <v>0 | 0 | 0 | 0 | 0 | 0</v>
      </c>
      <c r="J87" s="51" t="str">
        <f>IFERROR(__xludf.DUMMYFUNCTION("JOIN("" | "",'Team Stats'!I$12:K$12)"),"0 | 0 | 0")</f>
        <v>0 | 0 | 0</v>
      </c>
      <c r="L87" s="42" t="str">
        <f>IFERROR(__xludf.DUMMYFUNCTION("""COMPUTED_VALUE"""),"Los Angeles Rams – LAR")</f>
        <v>Los Angeles Rams – LAR</v>
      </c>
      <c r="M87" s="52">
        <f>IFERROR(VLOOKUP(L87,PlayerDB!$F$2:$G313,2,FALSE),"")</f>
        <v>122</v>
      </c>
      <c r="N87" s="42"/>
      <c r="O87" s="42"/>
      <c r="P87" s="42"/>
      <c r="Q87" s="52"/>
    </row>
    <row r="88">
      <c r="A88" s="33"/>
      <c r="B88" s="34">
        <v>87.0</v>
      </c>
      <c r="C88" s="34" t="str">
        <f>'Teams &amp; Draft Order'!$C$15</f>
        <v>Daddy's Dogs</v>
      </c>
      <c r="D88" s="35"/>
      <c r="E88" s="36" t="str">
        <f>IFERROR(VLOOKUP($D88,PlayerDB!$F$2:$G313,2,FALSE),"")</f>
        <v/>
      </c>
      <c r="F88" s="36" t="str">
        <f>IFERROR(VLOOKUP($D88,PlayerDB!$F$2:$H313,3,FALSE),"")</f>
        <v/>
      </c>
      <c r="G88" s="37" t="str">
        <f>IFERROR(VLOOKUP($D88,PlayerDB!$F$2:$I313,4,FALSE),"")</f>
        <v/>
      </c>
      <c r="H88" s="38"/>
      <c r="I88" s="39" t="str">
        <f>IFERROR(__xludf.DUMMYFUNCTION("JOIN("" | "",'Team Stats'!C$11:H$11)"),"0 | 0 | 0 | 0 | 0 | 0")</f>
        <v>0 | 0 | 0 | 0 | 0 | 0</v>
      </c>
      <c r="J88" s="40" t="str">
        <f>IFERROR(__xludf.DUMMYFUNCTION("JOIN("" | "",'Team Stats'!I$11:K$11)"),"0 | 0 | 0")</f>
        <v>0 | 0 | 0</v>
      </c>
      <c r="L88" s="42" t="str">
        <f>IFERROR(__xludf.DUMMYFUNCTION("""COMPUTED_VALUE"""),"Green Bay Packers – GB")</f>
        <v>Green Bay Packers – GB</v>
      </c>
      <c r="M88" s="52">
        <f>IFERROR(VLOOKUP(L88,PlayerDB!$F$2:$G313,2,FALSE),"")</f>
        <v>121</v>
      </c>
      <c r="N88" s="42"/>
      <c r="O88" s="42"/>
      <c r="P88" s="42"/>
      <c r="Q88" s="52"/>
    </row>
    <row r="89">
      <c r="A89" s="45"/>
      <c r="B89" s="46">
        <v>88.0</v>
      </c>
      <c r="C89" s="46" t="str">
        <f>'Teams &amp; Draft Order'!$C$14</f>
        <v>Achaians</v>
      </c>
      <c r="D89" s="47"/>
      <c r="E89" s="48" t="str">
        <f>IFERROR(VLOOKUP($D89,PlayerDB!$F$2:$G313,2,FALSE),"")</f>
        <v/>
      </c>
      <c r="F89" s="48" t="str">
        <f>IFERROR(VLOOKUP($D89,PlayerDB!$F$2:$H313,3,FALSE),"")</f>
        <v/>
      </c>
      <c r="G89" s="49" t="str">
        <f>IFERROR(VLOOKUP($D89,PlayerDB!$F$2:$I313,4,FALSE),"")</f>
        <v/>
      </c>
      <c r="H89" s="38"/>
      <c r="I89" s="50" t="str">
        <f>IFERROR(__xludf.DUMMYFUNCTION("JOIN("" | "",'Team Stats'!C$10:H$10)"),"0 | 0 | 0 | 0 | 0 | 0")</f>
        <v>0 | 0 | 0 | 0 | 0 | 0</v>
      </c>
      <c r="J89" s="51" t="str">
        <f>IFERROR(__xludf.DUMMYFUNCTION("JOIN("" | "",'Team Stats'!I$10:K$10)"),"0 | 0 | 0")</f>
        <v>0 | 0 | 0</v>
      </c>
      <c r="L89" s="42" t="str">
        <f>IFERROR(__xludf.DUMMYFUNCTION("""COMPUTED_VALUE"""),"Dallas Cowboys – DAL")</f>
        <v>Dallas Cowboys – DAL</v>
      </c>
      <c r="M89" s="52">
        <f>IFERROR(VLOOKUP(L89,PlayerDB!$F$2:$G313,2,FALSE),"")</f>
        <v>120</v>
      </c>
      <c r="N89" s="42"/>
      <c r="O89" s="42"/>
      <c r="P89" s="42"/>
      <c r="Q89" s="52"/>
    </row>
    <row r="90">
      <c r="A90" s="33"/>
      <c r="B90" s="34">
        <v>89.0</v>
      </c>
      <c r="C90" s="34" t="str">
        <f>'Teams &amp; Draft Order'!$C$13</f>
        <v>Luddite</v>
      </c>
      <c r="D90" s="35"/>
      <c r="E90" s="36" t="str">
        <f>IFERROR(VLOOKUP($D90,PlayerDB!$F$2:$G313,2,FALSE),"")</f>
        <v/>
      </c>
      <c r="F90" s="36" t="str">
        <f>IFERROR(VLOOKUP($D90,PlayerDB!$F$2:$H313,3,FALSE),"")</f>
        <v/>
      </c>
      <c r="G90" s="37" t="str">
        <f>IFERROR(VLOOKUP($D90,PlayerDB!$F$2:$I313,4,FALSE),"")</f>
        <v/>
      </c>
      <c r="H90" s="38"/>
      <c r="I90" s="39" t="str">
        <f>IFERROR(__xludf.DUMMYFUNCTION("JOIN("" | "",'Team Stats'!C$9:H$9)"),"0 | 0 | 0 | 0 | 0 | 0")</f>
        <v>0 | 0 | 0 | 0 | 0 | 0</v>
      </c>
      <c r="J90" s="40" t="str">
        <f>IFERROR(__xludf.DUMMYFUNCTION("JOIN("" | "",'Team Stats'!I$9:K$9)"),"0 | 0 | 0")</f>
        <v>0 | 0 | 0</v>
      </c>
      <c r="L90" s="42" t="str">
        <f>IFERROR(__xludf.DUMMYFUNCTION("""COMPUTED_VALUE"""),"New York Giants – NYG")</f>
        <v>New York Giants – NYG</v>
      </c>
      <c r="M90" s="52">
        <f>IFERROR(VLOOKUP(L90,PlayerDB!$F$2:$G313,2,FALSE),"")</f>
        <v>118</v>
      </c>
      <c r="N90" s="42"/>
      <c r="O90" s="42"/>
      <c r="P90" s="42"/>
      <c r="Q90" s="52"/>
    </row>
    <row r="91">
      <c r="A91" s="45"/>
      <c r="B91" s="46">
        <v>90.0</v>
      </c>
      <c r="C91" s="46" t="str">
        <f>'Teams &amp; Draft Order'!$C$12</f>
        <v>Turbo-Ginz</v>
      </c>
      <c r="D91" s="47"/>
      <c r="E91" s="48" t="str">
        <f>IFERROR(VLOOKUP($D91,PlayerDB!$F$2:$G313,2,FALSE),"")</f>
        <v/>
      </c>
      <c r="F91" s="48" t="str">
        <f>IFERROR(VLOOKUP($D91,PlayerDB!$F$2:$H313,3,FALSE),"")</f>
        <v/>
      </c>
      <c r="G91" s="49" t="str">
        <f>IFERROR(VLOOKUP($D91,PlayerDB!$F$2:$I313,4,FALSE),"")</f>
        <v/>
      </c>
      <c r="H91" s="38"/>
      <c r="I91" s="50" t="str">
        <f>IFERROR(__xludf.DUMMYFUNCTION("JOIN("" | "",'Team Stats'!C$8:H$8)"),"0 | 0 | 0 | 0 | 0 | 0")</f>
        <v>0 | 0 | 0 | 0 | 0 | 0</v>
      </c>
      <c r="J91" s="51" t="str">
        <f>IFERROR(__xludf.DUMMYFUNCTION("JOIN("" | "",'Team Stats'!I$8:K$8)"),"0 | 0 | 0")</f>
        <v>0 | 0 | 0</v>
      </c>
      <c r="L91" s="42" t="str">
        <f>IFERROR(__xludf.DUMMYFUNCTION("""COMPUTED_VALUE"""),"Cleveland Browns – CLE")</f>
        <v>Cleveland Browns – CLE</v>
      </c>
      <c r="M91" s="52">
        <f>IFERROR(VLOOKUP(L91,PlayerDB!$F$2:$G313,2,FALSE),"")</f>
        <v>117</v>
      </c>
      <c r="N91" s="42"/>
      <c r="O91" s="42"/>
      <c r="P91" s="42"/>
      <c r="Q91" s="52"/>
    </row>
    <row r="92">
      <c r="A92" s="33"/>
      <c r="B92" s="34">
        <v>91.0</v>
      </c>
      <c r="C92" s="34" t="str">
        <f>'Teams &amp; Draft Order'!$C$11</f>
        <v>Big Boys Big Work</v>
      </c>
      <c r="D92" s="35"/>
      <c r="E92" s="36" t="str">
        <f>IFERROR(VLOOKUP($D92,PlayerDB!$F$2:$G313,2,FALSE),"")</f>
        <v/>
      </c>
      <c r="F92" s="36" t="str">
        <f>IFERROR(VLOOKUP($D92,PlayerDB!$F$2:$H313,3,FALSE),"")</f>
        <v/>
      </c>
      <c r="G92" s="37" t="str">
        <f>IFERROR(VLOOKUP($D92,PlayerDB!$F$2:$I313,4,FALSE),"")</f>
        <v/>
      </c>
      <c r="H92" s="38"/>
      <c r="I92" s="39" t="str">
        <f>IFERROR(__xludf.DUMMYFUNCTION("JOIN("" | "",'Team Stats'!C$7:H$7)"),"0 | 0 | 0 | 0 | 0 | 0")</f>
        <v>0 | 0 | 0 | 0 | 0 | 0</v>
      </c>
      <c r="J92" s="40" t="str">
        <f>IFERROR(__xludf.DUMMYFUNCTION("JOIN("" | "",'Team Stats'!I$7:K$7)"),"0 | 0 | 0")</f>
        <v>0 | 0 | 0</v>
      </c>
      <c r="L92" s="42" t="str">
        <f>IFERROR(__xludf.DUMMYFUNCTION("""COMPUTED_VALUE"""),"San Francisco 49ers – SF")</f>
        <v>San Francisco 49ers – SF</v>
      </c>
      <c r="M92" s="52">
        <f>IFERROR(VLOOKUP(L92,PlayerDB!$F$2:$G313,2,FALSE),"")</f>
        <v>116</v>
      </c>
      <c r="N92" s="42"/>
      <c r="O92" s="42"/>
      <c r="P92" s="42"/>
      <c r="Q92" s="52"/>
    </row>
    <row r="93">
      <c r="A93" s="45"/>
      <c r="B93" s="46">
        <v>92.0</v>
      </c>
      <c r="C93" s="46" t="str">
        <f>'Teams &amp; Draft Order'!$C$10</f>
        <v>Buttheads</v>
      </c>
      <c r="D93" s="47"/>
      <c r="E93" s="48" t="str">
        <f>IFERROR(VLOOKUP($D93,PlayerDB!$F$2:$G313,2,FALSE),"")</f>
        <v/>
      </c>
      <c r="F93" s="48" t="str">
        <f>IFERROR(VLOOKUP($D93,PlayerDB!$F$2:$H313,3,FALSE),"")</f>
        <v/>
      </c>
      <c r="G93" s="49" t="str">
        <f>IFERROR(VLOOKUP($D93,PlayerDB!$F$2:$I313,4,FALSE),"")</f>
        <v/>
      </c>
      <c r="H93" s="38"/>
      <c r="I93" s="50" t="str">
        <f>IFERROR(__xludf.DUMMYFUNCTION("JOIN("" | "",'Team Stats'!C$6:H$6)"),"0 | 0 | 0 | 0 | 0 | 0")</f>
        <v>0 | 0 | 0 | 0 | 0 | 0</v>
      </c>
      <c r="J93" s="51" t="str">
        <f>IFERROR(__xludf.DUMMYFUNCTION("JOIN("" | "",'Team Stats'!I$6:K$6)"),"0 | 0 | 0")</f>
        <v>0 | 0 | 0</v>
      </c>
      <c r="L93" s="42" t="str">
        <f>IFERROR(__xludf.DUMMYFUNCTION("""COMPUTED_VALUE"""),"Tampa Bay Buccaneers – TB")</f>
        <v>Tampa Bay Buccaneers – TB</v>
      </c>
      <c r="M93" s="52">
        <f>IFERROR(VLOOKUP(L93,PlayerDB!$F$2:$G313,2,FALSE),"")</f>
        <v>115</v>
      </c>
      <c r="N93" s="42"/>
      <c r="O93" s="42"/>
      <c r="P93" s="42"/>
      <c r="Q93" s="52"/>
    </row>
    <row r="94">
      <c r="A94" s="33"/>
      <c r="B94" s="34">
        <v>93.0</v>
      </c>
      <c r="C94" s="34" t="str">
        <f>'Teams &amp; Draft Order'!$C$9</f>
        <v>El Nino</v>
      </c>
      <c r="D94" s="35"/>
      <c r="E94" s="36" t="str">
        <f>IFERROR(VLOOKUP($D94,PlayerDB!$F$2:$G313,2,FALSE),"")</f>
        <v/>
      </c>
      <c r="F94" s="36" t="str">
        <f>IFERROR(VLOOKUP($D94,PlayerDB!$F$2:$H313,3,FALSE),"")</f>
        <v/>
      </c>
      <c r="G94" s="37" t="str">
        <f>IFERROR(VLOOKUP($D94,PlayerDB!$F$2:$I313,4,FALSE),"")</f>
        <v/>
      </c>
      <c r="H94" s="38"/>
      <c r="I94" s="39" t="str">
        <f>IFERROR(__xludf.DUMMYFUNCTION("JOIN("" | "",'Team Stats'!C$5:H$5)"),"0 | 0 | 0 | 0 | 0 | 0")</f>
        <v>0 | 0 | 0 | 0 | 0 | 0</v>
      </c>
      <c r="J94" s="40" t="str">
        <f>IFERROR(__xludf.DUMMYFUNCTION("JOIN("" | "",'Team Stats'!I$5:K$5)"),"0 | 0 | 0")</f>
        <v>0 | 0 | 0</v>
      </c>
      <c r="L94" s="42" t="str">
        <f>IFERROR(__xludf.DUMMYFUNCTION("""COMPUTED_VALUE"""),"Miami Dolphins – MIA")</f>
        <v>Miami Dolphins – MIA</v>
      </c>
      <c r="M94" s="52">
        <f>IFERROR(VLOOKUP(L94,PlayerDB!$F$2:$G313,2,FALSE),"")</f>
        <v>114</v>
      </c>
      <c r="N94" s="42"/>
      <c r="O94" s="42"/>
      <c r="P94" s="42"/>
      <c r="Q94" s="52"/>
    </row>
    <row r="95">
      <c r="A95" s="45"/>
      <c r="B95" s="46">
        <v>94.0</v>
      </c>
      <c r="C95" s="46" t="str">
        <f>'Teams &amp; Draft Order'!$C$8</f>
        <v>Icelanders</v>
      </c>
      <c r="D95" s="47"/>
      <c r="E95" s="48" t="str">
        <f>IFERROR(VLOOKUP($D95,PlayerDB!$F$2:$G313,2,FALSE),"")</f>
        <v/>
      </c>
      <c r="F95" s="48" t="str">
        <f>IFERROR(VLOOKUP($D95,PlayerDB!$F$2:$H313,3,FALSE),"")</f>
        <v/>
      </c>
      <c r="G95" s="49" t="str">
        <f>IFERROR(VLOOKUP($D95,PlayerDB!$F$2:$I313,4,FALSE),"")</f>
        <v/>
      </c>
      <c r="H95" s="38"/>
      <c r="I95" s="50" t="str">
        <f>IFERROR(__xludf.DUMMYFUNCTION("JOIN("" | "",'Team Stats'!C$4:H$4)"),"0 | 0 | 0 | 0 | 0 | 0")</f>
        <v>0 | 0 | 0 | 0 | 0 | 0</v>
      </c>
      <c r="J95" s="51" t="str">
        <f>IFERROR(__xludf.DUMMYFUNCTION("JOIN("" | "",'Team Stats'!I$4:K$4)"),"0 | 0 | 0")</f>
        <v>0 | 0 | 0</v>
      </c>
      <c r="L95" s="20"/>
      <c r="M95" s="20"/>
      <c r="N95" s="20"/>
      <c r="O95" s="20"/>
      <c r="P95" s="20"/>
      <c r="Q95" s="20"/>
    </row>
    <row r="96">
      <c r="A96" s="33"/>
      <c r="B96" s="34">
        <v>95.0</v>
      </c>
      <c r="C96" s="34" t="str">
        <f>'Teams &amp; Draft Order'!$C$7</f>
        <v>Phantasm</v>
      </c>
      <c r="D96" s="35"/>
      <c r="E96" s="36" t="str">
        <f>IFERROR(VLOOKUP($D96,PlayerDB!$F$2:$G313,2,FALSE),"")</f>
        <v/>
      </c>
      <c r="F96" s="36" t="str">
        <f>IFERROR(VLOOKUP($D96,PlayerDB!$F$2:$H313,3,FALSE),"")</f>
        <v/>
      </c>
      <c r="G96" s="37" t="str">
        <f>IFERROR(VLOOKUP($D96,PlayerDB!$F$2:$I313,4,FALSE),"")</f>
        <v/>
      </c>
      <c r="H96" s="38"/>
      <c r="I96" s="39" t="str">
        <f>IFERROR(__xludf.DUMMYFUNCTION("JOIN("" | "",'Team Stats'!C$3:H$3)"),"0 | 0 | 0 | 0 | 0 | 0")</f>
        <v>0 | 0 | 0 | 0 | 0 | 0</v>
      </c>
      <c r="J96" s="40" t="str">
        <f>IFERROR(__xludf.DUMMYFUNCTION("JOIN("" | "",'Team Stats'!I$3:K$3)"),"0 | 0 | 0")</f>
        <v>0 | 0 | 0</v>
      </c>
      <c r="L96" s="42"/>
      <c r="M96" s="42"/>
      <c r="N96" s="42"/>
      <c r="O96" s="42"/>
      <c r="P96" s="42"/>
      <c r="Q96" s="42"/>
    </row>
    <row r="97">
      <c r="A97" s="45"/>
      <c r="B97" s="46">
        <v>96.0</v>
      </c>
      <c r="C97" s="46" t="str">
        <f>'Teams &amp; Draft Order'!$C$6</f>
        <v>Sleeper Cell </v>
      </c>
      <c r="D97" s="47"/>
      <c r="E97" s="57" t="str">
        <f>IFERROR(VLOOKUP($D97,PlayerDB!$F$2:$G313,2,FALSE),"")</f>
        <v/>
      </c>
      <c r="F97" s="57" t="str">
        <f>IFERROR(VLOOKUP($D97,PlayerDB!$F$2:$H313,3,FALSE),"")</f>
        <v/>
      </c>
      <c r="G97" s="58" t="str">
        <f>IFERROR(VLOOKUP($D97,PlayerDB!$F$2:$I313,4,FALSE),"")</f>
        <v/>
      </c>
      <c r="H97" s="59"/>
      <c r="I97" s="60" t="str">
        <f>IFERROR(__xludf.DUMMYFUNCTION("JOIN("" | "",'Team Stats'!C$2:H$2)"),"1 | 0 | 0 | 0 | 0 | 0")</f>
        <v>1 | 0 | 0 | 0 | 0 | 0</v>
      </c>
      <c r="J97" s="64" t="str">
        <f>IFERROR(__xludf.DUMMYFUNCTION("JOIN("" | "",'Team Stats'!I$2:K$2)"),"0 | 0 | 0")</f>
        <v>0 | 0 | 0</v>
      </c>
      <c r="L97" s="42"/>
      <c r="M97" s="42"/>
      <c r="N97" s="42"/>
      <c r="O97" s="42"/>
      <c r="P97" s="42"/>
      <c r="Q97" s="42"/>
    </row>
    <row r="98">
      <c r="A98" s="72" t="s">
        <v>93</v>
      </c>
      <c r="B98" s="73">
        <v>97.0</v>
      </c>
      <c r="C98" s="73" t="str">
        <f>'Teams &amp; Draft Order'!$C$6</f>
        <v>Sleeper Cell </v>
      </c>
      <c r="D98" s="74"/>
      <c r="E98" s="36" t="str">
        <f>IFERROR(VLOOKUP($D98,PlayerDB!$F$2:$G313,2,FALSE),"")</f>
        <v/>
      </c>
      <c r="F98" s="36" t="str">
        <f>IFERROR(VLOOKUP($D98,PlayerDB!$F$2:$H313,3,FALSE),"")</f>
        <v/>
      </c>
      <c r="G98" s="37" t="str">
        <f>IFERROR(VLOOKUP($D98,PlayerDB!$F$2:$I313,4,FALSE),"")</f>
        <v/>
      </c>
      <c r="H98" s="38"/>
      <c r="I98" s="39" t="str">
        <f>IFERROR(__xludf.DUMMYFUNCTION("JOIN("" | "",'Team Stats'!C$2:H$2)"),"1 | 0 | 0 | 0 | 0 | 0")</f>
        <v>1 | 0 | 0 | 0 | 0 | 0</v>
      </c>
      <c r="J98" s="40" t="str">
        <f>IFERROR(__xludf.DUMMYFUNCTION("JOIN("" | "",'Team Stats'!I$2:K$2)"),"0 | 0 | 0")</f>
        <v>0 | 0 | 0</v>
      </c>
      <c r="L98" s="71"/>
      <c r="M98" s="44"/>
      <c r="N98" s="42"/>
      <c r="O98" s="42"/>
      <c r="P98" s="71"/>
      <c r="Q98" s="44"/>
    </row>
    <row r="99">
      <c r="A99" s="45"/>
      <c r="B99" s="46">
        <v>98.0</v>
      </c>
      <c r="C99" s="46" t="str">
        <f>'Teams &amp; Draft Order'!$C$7</f>
        <v>Phantasm</v>
      </c>
      <c r="D99" s="47"/>
      <c r="E99" s="48" t="str">
        <f>IFERROR(VLOOKUP($D99,PlayerDB!$F$2:$G313,2,FALSE),"")</f>
        <v/>
      </c>
      <c r="F99" s="48" t="str">
        <f>IFERROR(VLOOKUP($D99,PlayerDB!$F$2:$H313,3,FALSE),"")</f>
        <v/>
      </c>
      <c r="G99" s="49" t="str">
        <f>IFERROR(VLOOKUP($D99,PlayerDB!$F$2:$I313,4,FALSE),"")</f>
        <v/>
      </c>
      <c r="H99" s="38"/>
      <c r="I99" s="50" t="str">
        <f>IFERROR(__xludf.DUMMYFUNCTION("JOIN("" | "",'Team Stats'!C$3:H$3)"),"0 | 0 | 0 | 0 | 0 | 0")</f>
        <v>0 | 0 | 0 | 0 | 0 | 0</v>
      </c>
      <c r="J99" s="51" t="str">
        <f>IFERROR(__xludf.DUMMYFUNCTION("JOIN("" | "",'Team Stats'!I$3:K$3)"),"0 | 0 | 0")</f>
        <v>0 | 0 | 0</v>
      </c>
      <c r="L99" s="42"/>
      <c r="M99" s="52"/>
      <c r="N99" s="42"/>
      <c r="O99" s="42"/>
      <c r="P99" s="42"/>
      <c r="Q99" s="52"/>
    </row>
    <row r="100">
      <c r="A100" s="33"/>
      <c r="B100" s="34">
        <v>99.0</v>
      </c>
      <c r="C100" s="34" t="str">
        <f>'Teams &amp; Draft Order'!$C$8</f>
        <v>Icelanders</v>
      </c>
      <c r="D100" s="35"/>
      <c r="E100" s="36" t="str">
        <f>IFERROR(VLOOKUP($D100,PlayerDB!$F$2:$G313,2,FALSE),"")</f>
        <v/>
      </c>
      <c r="F100" s="36" t="str">
        <f>IFERROR(VLOOKUP($D100,PlayerDB!$F$2:$H313,3,FALSE),"")</f>
        <v/>
      </c>
      <c r="G100" s="37" t="str">
        <f>IFERROR(VLOOKUP($D100,PlayerDB!$F$2:$I313,4,FALSE),"")</f>
        <v/>
      </c>
      <c r="H100" s="38"/>
      <c r="I100" s="39" t="str">
        <f>IFERROR(__xludf.DUMMYFUNCTION("JOIN("" | "",'Team Stats'!C$4:H$4)"),"0 | 0 | 0 | 0 | 0 | 0")</f>
        <v>0 | 0 | 0 | 0 | 0 | 0</v>
      </c>
      <c r="J100" s="40" t="str">
        <f>IFERROR(__xludf.DUMMYFUNCTION("JOIN("" | "",'Team Stats'!I$4:K$4)"),"0 | 0 | 0")</f>
        <v>0 | 0 | 0</v>
      </c>
      <c r="L100" s="42"/>
      <c r="M100" s="52"/>
      <c r="N100" s="42"/>
      <c r="O100" s="42"/>
      <c r="P100" s="42"/>
      <c r="Q100" s="52"/>
    </row>
    <row r="101">
      <c r="A101" s="45"/>
      <c r="B101" s="46">
        <v>100.0</v>
      </c>
      <c r="C101" s="46" t="str">
        <f>'Teams &amp; Draft Order'!$C$9</f>
        <v>El Nino</v>
      </c>
      <c r="D101" s="47"/>
      <c r="E101" s="48" t="str">
        <f>IFERROR(VLOOKUP($D101,PlayerDB!$F$2:$G313,2,FALSE),"")</f>
        <v/>
      </c>
      <c r="F101" s="48" t="str">
        <f>IFERROR(VLOOKUP($D101,PlayerDB!$F$2:$H313,3,FALSE),"")</f>
        <v/>
      </c>
      <c r="G101" s="49" t="str">
        <f>IFERROR(VLOOKUP($D101,PlayerDB!$F$2:$I313,4,FALSE),"")</f>
        <v/>
      </c>
      <c r="H101" s="38"/>
      <c r="I101" s="50" t="str">
        <f>IFERROR(__xludf.DUMMYFUNCTION("JOIN("" | "",'Team Stats'!C$5:H$5)"),"0 | 0 | 0 | 0 | 0 | 0")</f>
        <v>0 | 0 | 0 | 0 | 0 | 0</v>
      </c>
      <c r="J101" s="51" t="str">
        <f>IFERROR(__xludf.DUMMYFUNCTION("JOIN("" | "",'Team Stats'!I$5:K$5)"),"0 | 0 | 0")</f>
        <v>0 | 0 | 0</v>
      </c>
      <c r="L101" s="20"/>
      <c r="M101" s="52"/>
      <c r="N101" s="42"/>
      <c r="O101" s="42"/>
      <c r="P101" s="42"/>
      <c r="Q101" s="52"/>
    </row>
    <row r="102">
      <c r="A102" s="33"/>
      <c r="B102" s="34">
        <v>101.0</v>
      </c>
      <c r="C102" s="34" t="str">
        <f>'Teams &amp; Draft Order'!$C$10</f>
        <v>Buttheads</v>
      </c>
      <c r="D102" s="35"/>
      <c r="E102" s="36" t="str">
        <f>IFERROR(VLOOKUP($D102,PlayerDB!$F$2:$G313,2,FALSE),"")</f>
        <v/>
      </c>
      <c r="F102" s="36" t="str">
        <f>IFERROR(VLOOKUP($D102,PlayerDB!$F$2:$H313,3,FALSE),"")</f>
        <v/>
      </c>
      <c r="G102" s="37" t="str">
        <f>IFERROR(VLOOKUP($D102,PlayerDB!$F$2:$I313,4,FALSE),"")</f>
        <v/>
      </c>
      <c r="H102" s="38"/>
      <c r="I102" s="39" t="str">
        <f>IFERROR(__xludf.DUMMYFUNCTION("JOIN("" | "",'Team Stats'!C$6:H$6)"),"0 | 0 | 0 | 0 | 0 | 0")</f>
        <v>0 | 0 | 0 | 0 | 0 | 0</v>
      </c>
      <c r="J102" s="40" t="str">
        <f>IFERROR(__xludf.DUMMYFUNCTION("JOIN("" | "",'Team Stats'!I$6:K$6)"),"0 | 0 | 0")</f>
        <v>0 | 0 | 0</v>
      </c>
      <c r="L102" s="42"/>
      <c r="M102" s="52"/>
      <c r="N102" s="42"/>
      <c r="O102" s="42"/>
      <c r="P102" s="42"/>
      <c r="Q102" s="52"/>
    </row>
    <row r="103">
      <c r="A103" s="45"/>
      <c r="B103" s="46">
        <v>102.0</v>
      </c>
      <c r="C103" s="46" t="str">
        <f>'Teams &amp; Draft Order'!$C$11</f>
        <v>Big Boys Big Work</v>
      </c>
      <c r="D103" s="47"/>
      <c r="E103" s="48" t="str">
        <f>IFERROR(VLOOKUP($D103,PlayerDB!$F$2:$G313,2,FALSE),"")</f>
        <v/>
      </c>
      <c r="F103" s="48" t="str">
        <f>IFERROR(VLOOKUP($D103,PlayerDB!$F$2:$H313,3,FALSE),"")</f>
        <v/>
      </c>
      <c r="G103" s="49" t="str">
        <f>IFERROR(VLOOKUP($D103,PlayerDB!$F$2:$I313,4,FALSE),"")</f>
        <v/>
      </c>
      <c r="H103" s="38"/>
      <c r="I103" s="50" t="str">
        <f>IFERROR(__xludf.DUMMYFUNCTION("JOIN("" | "",'Team Stats'!C$7:H$7)"),"0 | 0 | 0 | 0 | 0 | 0")</f>
        <v>0 | 0 | 0 | 0 | 0 | 0</v>
      </c>
      <c r="J103" s="51" t="str">
        <f>IFERROR(__xludf.DUMMYFUNCTION("JOIN("" | "",'Team Stats'!I$7:K$7)"),"0 | 0 | 0")</f>
        <v>0 | 0 | 0</v>
      </c>
      <c r="L103" s="42"/>
      <c r="M103" s="52"/>
      <c r="N103" s="42"/>
      <c r="O103" s="42"/>
      <c r="P103" s="42"/>
      <c r="Q103" s="52"/>
    </row>
    <row r="104">
      <c r="A104" s="33"/>
      <c r="B104" s="34">
        <v>103.0</v>
      </c>
      <c r="C104" s="34" t="str">
        <f>'Teams &amp; Draft Order'!$C$12</f>
        <v>Turbo-Ginz</v>
      </c>
      <c r="D104" s="35"/>
      <c r="E104" s="36" t="str">
        <f>IFERROR(VLOOKUP($D104,PlayerDB!$F$2:$G313,2,FALSE),"")</f>
        <v/>
      </c>
      <c r="F104" s="36" t="str">
        <f>IFERROR(VLOOKUP($D104,PlayerDB!$F$2:$H313,3,FALSE),"")</f>
        <v/>
      </c>
      <c r="G104" s="37" t="str">
        <f>IFERROR(VLOOKUP($D104,PlayerDB!$F$2:$I313,4,FALSE),"")</f>
        <v/>
      </c>
      <c r="H104" s="38"/>
      <c r="I104" s="39" t="str">
        <f>IFERROR(__xludf.DUMMYFUNCTION("JOIN("" | "",'Team Stats'!C$8:H$8)"),"0 | 0 | 0 | 0 | 0 | 0")</f>
        <v>0 | 0 | 0 | 0 | 0 | 0</v>
      </c>
      <c r="J104" s="40" t="str">
        <f>IFERROR(__xludf.DUMMYFUNCTION("JOIN("" | "",'Team Stats'!I$8:K$8)"),"0 | 0 | 0")</f>
        <v>0 | 0 | 0</v>
      </c>
      <c r="L104" s="42"/>
      <c r="M104" s="52"/>
      <c r="N104" s="42"/>
      <c r="O104" s="42"/>
      <c r="P104" s="42"/>
      <c r="Q104" s="52"/>
    </row>
    <row r="105">
      <c r="A105" s="45"/>
      <c r="B105" s="46">
        <v>104.0</v>
      </c>
      <c r="C105" s="46" t="str">
        <f>'Teams &amp; Draft Order'!$C$13</f>
        <v>Luddite</v>
      </c>
      <c r="D105" s="47"/>
      <c r="E105" s="48" t="str">
        <f>IFERROR(VLOOKUP($D105,PlayerDB!$F$2:$G313,2,FALSE),"")</f>
        <v/>
      </c>
      <c r="F105" s="48" t="str">
        <f>IFERROR(VLOOKUP($D105,PlayerDB!$F$2:$H313,3,FALSE),"")</f>
        <v/>
      </c>
      <c r="G105" s="49" t="str">
        <f>IFERROR(VLOOKUP($D105,PlayerDB!$F$2:$I313,4,FALSE),"")</f>
        <v/>
      </c>
      <c r="H105" s="38"/>
      <c r="I105" s="50" t="str">
        <f>IFERROR(__xludf.DUMMYFUNCTION("JOIN("" | "",'Team Stats'!C$9:H$9)"),"0 | 0 | 0 | 0 | 0 | 0")</f>
        <v>0 | 0 | 0 | 0 | 0 | 0</v>
      </c>
      <c r="J105" s="51" t="str">
        <f>IFERROR(__xludf.DUMMYFUNCTION("JOIN("" | "",'Team Stats'!I$9:K$9)"),"0 | 0 | 0")</f>
        <v>0 | 0 | 0</v>
      </c>
      <c r="L105" s="42"/>
      <c r="M105" s="52"/>
      <c r="N105" s="42"/>
      <c r="O105" s="42"/>
      <c r="P105" s="42"/>
      <c r="Q105" s="52"/>
    </row>
    <row r="106">
      <c r="A106" s="33"/>
      <c r="B106" s="34">
        <v>105.0</v>
      </c>
      <c r="C106" s="34" t="str">
        <f>'Teams &amp; Draft Order'!$C$14</f>
        <v>Achaians</v>
      </c>
      <c r="D106" s="35"/>
      <c r="E106" s="36" t="str">
        <f>IFERROR(VLOOKUP($D106,PlayerDB!$F$2:$G313,2,FALSE),"")</f>
        <v/>
      </c>
      <c r="F106" s="36" t="str">
        <f>IFERROR(VLOOKUP($D106,PlayerDB!$F$2:$H313,3,FALSE),"")</f>
        <v/>
      </c>
      <c r="G106" s="37" t="str">
        <f>IFERROR(VLOOKUP($D106,PlayerDB!$F$2:$I313,4,FALSE),"")</f>
        <v/>
      </c>
      <c r="H106" s="38"/>
      <c r="I106" s="39" t="str">
        <f>IFERROR(__xludf.DUMMYFUNCTION("JOIN("" | "",'Team Stats'!C$10:H$10)"),"0 | 0 | 0 | 0 | 0 | 0")</f>
        <v>0 | 0 | 0 | 0 | 0 | 0</v>
      </c>
      <c r="J106" s="40" t="str">
        <f>IFERROR(__xludf.DUMMYFUNCTION("JOIN("" | "",'Team Stats'!I$10:K$10)"),"0 | 0 | 0")</f>
        <v>0 | 0 | 0</v>
      </c>
      <c r="L106" s="42"/>
      <c r="M106" s="52"/>
      <c r="N106" s="42"/>
      <c r="O106" s="42"/>
      <c r="P106" s="42"/>
      <c r="Q106" s="52"/>
    </row>
    <row r="107">
      <c r="A107" s="45"/>
      <c r="B107" s="46">
        <v>106.0</v>
      </c>
      <c r="C107" s="46" t="str">
        <f>'Teams &amp; Draft Order'!$C$15</f>
        <v>Daddy's Dogs</v>
      </c>
      <c r="D107" s="47"/>
      <c r="E107" s="48" t="str">
        <f>IFERROR(VLOOKUP($D107,PlayerDB!$F$2:$G313,2,FALSE),"")</f>
        <v/>
      </c>
      <c r="F107" s="48" t="str">
        <f>IFERROR(VLOOKUP($D107,PlayerDB!$F$2:$H313,3,FALSE),"")</f>
        <v/>
      </c>
      <c r="G107" s="49" t="str">
        <f>IFERROR(VLOOKUP($D107,PlayerDB!$F$2:$I313,4,FALSE),"")</f>
        <v/>
      </c>
      <c r="H107" s="38"/>
      <c r="I107" s="50" t="str">
        <f>IFERROR(__xludf.DUMMYFUNCTION("JOIN("" | "",'Team Stats'!C$11:H$11)"),"0 | 0 | 0 | 0 | 0 | 0")</f>
        <v>0 | 0 | 0 | 0 | 0 | 0</v>
      </c>
      <c r="J107" s="51" t="str">
        <f>IFERROR(__xludf.DUMMYFUNCTION("JOIN("" | "",'Team Stats'!I$11:K$11)"),"0 | 0 | 0")</f>
        <v>0 | 0 | 0</v>
      </c>
      <c r="L107" s="42"/>
      <c r="M107" s="52"/>
      <c r="N107" s="42"/>
      <c r="O107" s="42"/>
      <c r="P107" s="42"/>
      <c r="Q107" s="52"/>
    </row>
    <row r="108">
      <c r="A108" s="33"/>
      <c r="B108" s="34">
        <v>107.0</v>
      </c>
      <c r="C108" s="34" t="str">
        <f>'Teams &amp; Draft Order'!$C$16</f>
        <v>TDs and Beers</v>
      </c>
      <c r="D108" s="35"/>
      <c r="E108" s="36" t="str">
        <f>IFERROR(VLOOKUP($D108,PlayerDB!$F$2:$G313,2,FALSE),"")</f>
        <v/>
      </c>
      <c r="F108" s="36" t="str">
        <f>IFERROR(VLOOKUP($D108,PlayerDB!$F$2:$H313,3,FALSE),"")</f>
        <v/>
      </c>
      <c r="G108" s="37" t="str">
        <f>IFERROR(VLOOKUP($D108,PlayerDB!$F$2:$I313,4,FALSE),"")</f>
        <v/>
      </c>
      <c r="H108" s="38"/>
      <c r="I108" s="39" t="str">
        <f>IFERROR(__xludf.DUMMYFUNCTION("JOIN("" | "",'Team Stats'!C$12:H$12)"),"0 | 0 | 0 | 0 | 0 | 0")</f>
        <v>0 | 0 | 0 | 0 | 0 | 0</v>
      </c>
      <c r="J108" s="40" t="str">
        <f>IFERROR(__xludf.DUMMYFUNCTION("JOIN("" | "",'Team Stats'!I$12:K$12)"),"0 | 0 | 0")</f>
        <v>0 | 0 | 0</v>
      </c>
      <c r="L108" s="42"/>
      <c r="M108" s="52"/>
      <c r="N108" s="42"/>
      <c r="O108" s="42"/>
      <c r="P108" s="42"/>
      <c r="Q108" s="52"/>
    </row>
    <row r="109">
      <c r="A109" s="45"/>
      <c r="B109" s="46">
        <v>108.0</v>
      </c>
      <c r="C109" s="46" t="str">
        <f>'Teams &amp; Draft Order'!$C$17</f>
        <v>DD Riders</v>
      </c>
      <c r="D109" s="47"/>
      <c r="E109" s="57" t="str">
        <f>IFERROR(VLOOKUP($D109,PlayerDB!$F$2:$G313,2,FALSE),"")</f>
        <v/>
      </c>
      <c r="F109" s="57" t="str">
        <f>IFERROR(VLOOKUP($D109,PlayerDB!$F$2:$H313,3,FALSE),"")</f>
        <v/>
      </c>
      <c r="G109" s="58" t="str">
        <f>IFERROR(VLOOKUP($D109,PlayerDB!$F$2:$I313,4,FALSE),"")</f>
        <v/>
      </c>
      <c r="H109" s="59"/>
      <c r="I109" s="50" t="str">
        <f>IFERROR(__xludf.DUMMYFUNCTION("JOIN("" | "",'Team Stats'!C$13:H$13)"),"0 | 0 | 0 | 0 | 0 | 0")</f>
        <v>0 | 0 | 0 | 0 | 0 | 0</v>
      </c>
      <c r="J109" s="51" t="str">
        <f>IFERROR(__xludf.DUMMYFUNCTION("JOIN("" | "",'Team Stats'!I$13:K$13)"),"0 | 0 | 0")</f>
        <v>0 | 0 | 0</v>
      </c>
      <c r="L109" s="42"/>
      <c r="M109" s="52"/>
      <c r="N109" s="42"/>
      <c r="O109" s="42"/>
      <c r="P109" s="42"/>
      <c r="Q109" s="52"/>
    </row>
    <row r="110">
      <c r="A110" s="72" t="s">
        <v>94</v>
      </c>
      <c r="B110" s="73">
        <v>109.0</v>
      </c>
      <c r="C110" s="73" t="str">
        <f>'Teams &amp; Draft Order'!$C$17</f>
        <v>DD Riders</v>
      </c>
      <c r="D110" s="74"/>
      <c r="E110" s="36" t="str">
        <f>IFERROR(VLOOKUP($D110,PlayerDB!$F$2:$G313,2,FALSE),"")</f>
        <v/>
      </c>
      <c r="F110" s="36" t="str">
        <f>IFERROR(VLOOKUP($D110,PlayerDB!$F$2:$H313,3,FALSE),"")</f>
        <v/>
      </c>
      <c r="G110" s="37" t="str">
        <f>IFERROR(VLOOKUP($D110,PlayerDB!$F$2:$I313,4,FALSE),"")</f>
        <v/>
      </c>
      <c r="H110" s="38"/>
      <c r="I110" s="76" t="str">
        <f>IFERROR(__xludf.DUMMYFUNCTION("JOIN("" | "",'Team Stats'!C$13:H$13)"),"0 | 0 | 0 | 0 | 0 | 0")</f>
        <v>0 | 0 | 0 | 0 | 0 | 0</v>
      </c>
      <c r="J110" s="62" t="str">
        <f>IFERROR(__xludf.DUMMYFUNCTION("JOIN("" | "",'Team Stats'!I$13:K$13)"),"0 | 0 | 0")</f>
        <v>0 | 0 | 0</v>
      </c>
      <c r="L110" s="42"/>
      <c r="M110" s="52"/>
      <c r="N110" s="42"/>
      <c r="O110" s="42"/>
      <c r="P110" s="42"/>
      <c r="Q110" s="52"/>
    </row>
    <row r="111">
      <c r="A111" s="45"/>
      <c r="B111" s="46">
        <v>110.0</v>
      </c>
      <c r="C111" s="46" t="str">
        <f>'Teams &amp; Draft Order'!$C$16</f>
        <v>TDs and Beers</v>
      </c>
      <c r="D111" s="47"/>
      <c r="E111" s="48" t="str">
        <f>IFERROR(VLOOKUP($D111,PlayerDB!$F$2:$G313,2,FALSE),"")</f>
        <v/>
      </c>
      <c r="F111" s="48" t="str">
        <f>IFERROR(VLOOKUP($D111,PlayerDB!$F$2:$H313,3,FALSE),"")</f>
        <v/>
      </c>
      <c r="G111" s="49" t="str">
        <f>IFERROR(VLOOKUP($D111,PlayerDB!$F$2:$I313,4,FALSE),"")</f>
        <v/>
      </c>
      <c r="H111" s="38"/>
      <c r="I111" s="50" t="str">
        <f>IFERROR(__xludf.DUMMYFUNCTION("JOIN("" | "",'Team Stats'!C$12:H$12)"),"0 | 0 | 0 | 0 | 0 | 0")</f>
        <v>0 | 0 | 0 | 0 | 0 | 0</v>
      </c>
      <c r="J111" s="51" t="str">
        <f>IFERROR(__xludf.DUMMYFUNCTION("JOIN("" | "",'Team Stats'!I$12:K$12)"),"0 | 0 | 0")</f>
        <v>0 | 0 | 0</v>
      </c>
      <c r="L111" s="42"/>
      <c r="M111" s="52"/>
      <c r="N111" s="42"/>
      <c r="O111" s="42"/>
      <c r="P111" s="42"/>
      <c r="Q111" s="52"/>
    </row>
    <row r="112">
      <c r="A112" s="33"/>
      <c r="B112" s="34">
        <v>111.0</v>
      </c>
      <c r="C112" s="34" t="str">
        <f>'Teams &amp; Draft Order'!$C$15</f>
        <v>Daddy's Dogs</v>
      </c>
      <c r="D112" s="35"/>
      <c r="E112" s="36" t="str">
        <f>IFERROR(VLOOKUP($D112,PlayerDB!$F$2:$G313,2,FALSE),"")</f>
        <v/>
      </c>
      <c r="F112" s="36" t="str">
        <f>IFERROR(VLOOKUP($D112,PlayerDB!$F$2:$H313,3,FALSE),"")</f>
        <v/>
      </c>
      <c r="G112" s="37" t="str">
        <f>IFERROR(VLOOKUP($D112,PlayerDB!$F$2:$I313,4,FALSE),"")</f>
        <v/>
      </c>
      <c r="H112" s="38"/>
      <c r="I112" s="39" t="str">
        <f>IFERROR(__xludf.DUMMYFUNCTION("JOIN("" | "",'Team Stats'!C$11:H$11)"),"0 | 0 | 0 | 0 | 0 | 0")</f>
        <v>0 | 0 | 0 | 0 | 0 | 0</v>
      </c>
      <c r="J112" s="40" t="str">
        <f>IFERROR(__xludf.DUMMYFUNCTION("JOIN("" | "",'Team Stats'!I$11:K$11)"),"0 | 0 | 0")</f>
        <v>0 | 0 | 0</v>
      </c>
      <c r="L112" s="42"/>
      <c r="M112" s="52"/>
      <c r="N112" s="42"/>
      <c r="O112" s="42"/>
      <c r="P112" s="42"/>
      <c r="Q112" s="52"/>
    </row>
    <row r="113">
      <c r="A113" s="45"/>
      <c r="B113" s="46">
        <v>112.0</v>
      </c>
      <c r="C113" s="46" t="str">
        <f>'Teams &amp; Draft Order'!$C$14</f>
        <v>Achaians</v>
      </c>
      <c r="D113" s="47"/>
      <c r="E113" s="48" t="str">
        <f>IFERROR(VLOOKUP($D113,PlayerDB!$F$2:$G313,2,FALSE),"")</f>
        <v/>
      </c>
      <c r="F113" s="48" t="str">
        <f>IFERROR(VLOOKUP($D113,PlayerDB!$F$2:$H313,3,FALSE),"")</f>
        <v/>
      </c>
      <c r="G113" s="49" t="str">
        <f>IFERROR(VLOOKUP($D113,PlayerDB!$F$2:$I313,4,FALSE),"")</f>
        <v/>
      </c>
      <c r="H113" s="38"/>
      <c r="I113" s="50" t="str">
        <f>IFERROR(__xludf.DUMMYFUNCTION("JOIN("" | "",'Team Stats'!C$10:H$10)"),"0 | 0 | 0 | 0 | 0 | 0")</f>
        <v>0 | 0 | 0 | 0 | 0 | 0</v>
      </c>
      <c r="J113" s="51" t="str">
        <f>IFERROR(__xludf.DUMMYFUNCTION("JOIN("" | "",'Team Stats'!I$10:K$10)"),"0 | 0 | 0")</f>
        <v>0 | 0 | 0</v>
      </c>
      <c r="L113" s="42"/>
      <c r="M113" s="52"/>
      <c r="N113" s="42"/>
      <c r="O113" s="42"/>
      <c r="P113" s="42"/>
      <c r="Q113" s="52"/>
    </row>
    <row r="114">
      <c r="A114" s="33"/>
      <c r="B114" s="34">
        <v>113.0</v>
      </c>
      <c r="C114" s="34" t="str">
        <f>'Teams &amp; Draft Order'!$C$13</f>
        <v>Luddite</v>
      </c>
      <c r="D114" s="35"/>
      <c r="E114" s="36" t="str">
        <f>IFERROR(VLOOKUP($D114,PlayerDB!$F$2:$G313,2,FALSE),"")</f>
        <v/>
      </c>
      <c r="F114" s="36" t="str">
        <f>IFERROR(VLOOKUP($D114,PlayerDB!$F$2:$H313,3,FALSE),"")</f>
        <v/>
      </c>
      <c r="G114" s="37" t="str">
        <f>IFERROR(VLOOKUP($D114,PlayerDB!$F$2:$I313,4,FALSE),"")</f>
        <v/>
      </c>
      <c r="H114" s="38"/>
      <c r="I114" s="39" t="str">
        <f>IFERROR(__xludf.DUMMYFUNCTION("JOIN("" | "",'Team Stats'!C$9:H$9)"),"0 | 0 | 0 | 0 | 0 | 0")</f>
        <v>0 | 0 | 0 | 0 | 0 | 0</v>
      </c>
      <c r="J114" s="40" t="str">
        <f>IFERROR(__xludf.DUMMYFUNCTION("JOIN("" | "",'Team Stats'!I$9:K$9)"),"0 | 0 | 0")</f>
        <v>0 | 0 | 0</v>
      </c>
      <c r="L114" s="42"/>
      <c r="M114" s="52"/>
      <c r="N114" s="42"/>
      <c r="O114" s="42"/>
      <c r="P114" s="42"/>
      <c r="Q114" s="52"/>
    </row>
    <row r="115">
      <c r="A115" s="45"/>
      <c r="B115" s="46">
        <v>114.0</v>
      </c>
      <c r="C115" s="46" t="str">
        <f>'Teams &amp; Draft Order'!$C$12</f>
        <v>Turbo-Ginz</v>
      </c>
      <c r="D115" s="47"/>
      <c r="E115" s="48" t="str">
        <f>IFERROR(VLOOKUP($D115,PlayerDB!$F$2:$G313,2,FALSE),"")</f>
        <v/>
      </c>
      <c r="F115" s="48" t="str">
        <f>IFERROR(VLOOKUP($D115,PlayerDB!$F$2:$H313,3,FALSE),"")</f>
        <v/>
      </c>
      <c r="G115" s="49" t="str">
        <f>IFERROR(VLOOKUP($D115,PlayerDB!$F$2:$I313,4,FALSE),"")</f>
        <v/>
      </c>
      <c r="H115" s="38"/>
      <c r="I115" s="50" t="str">
        <f>IFERROR(__xludf.DUMMYFUNCTION("JOIN("" | "",'Team Stats'!C$8:H$8)"),"0 | 0 | 0 | 0 | 0 | 0")</f>
        <v>0 | 0 | 0 | 0 | 0 | 0</v>
      </c>
      <c r="J115" s="51" t="str">
        <f>IFERROR(__xludf.DUMMYFUNCTION("JOIN("" | "",'Team Stats'!I$8:K$8)"),"0 | 0 | 0")</f>
        <v>0 | 0 | 0</v>
      </c>
      <c r="L115" s="42"/>
      <c r="M115" s="52"/>
      <c r="N115" s="42"/>
      <c r="O115" s="42"/>
      <c r="P115" s="42"/>
      <c r="Q115" s="52"/>
    </row>
    <row r="116">
      <c r="A116" s="33"/>
      <c r="B116" s="34">
        <v>115.0</v>
      </c>
      <c r="C116" s="34" t="str">
        <f>'Teams &amp; Draft Order'!$C$11</f>
        <v>Big Boys Big Work</v>
      </c>
      <c r="D116" s="35"/>
      <c r="E116" s="36" t="str">
        <f>IFERROR(VLOOKUP($D116,PlayerDB!$F$2:$G313,2,FALSE),"")</f>
        <v/>
      </c>
      <c r="F116" s="36" t="str">
        <f>IFERROR(VLOOKUP($D116,PlayerDB!$F$2:$H313,3,FALSE),"")</f>
        <v/>
      </c>
      <c r="G116" s="37" t="str">
        <f>IFERROR(VLOOKUP($D116,PlayerDB!$F$2:$I313,4,FALSE),"")</f>
        <v/>
      </c>
      <c r="H116" s="38"/>
      <c r="I116" s="39" t="str">
        <f>IFERROR(__xludf.DUMMYFUNCTION("JOIN("" | "",'Team Stats'!C$7:H$7)"),"0 | 0 | 0 | 0 | 0 | 0")</f>
        <v>0 | 0 | 0 | 0 | 0 | 0</v>
      </c>
      <c r="J116" s="40" t="str">
        <f>IFERROR(__xludf.DUMMYFUNCTION("JOIN("" | "",'Team Stats'!I$7:K$7)"),"0 | 0 | 0")</f>
        <v>0 | 0 | 0</v>
      </c>
      <c r="L116" s="42"/>
      <c r="M116" s="52"/>
      <c r="N116" s="42"/>
      <c r="O116" s="42"/>
      <c r="P116" s="42"/>
      <c r="Q116" s="52"/>
    </row>
    <row r="117">
      <c r="A117" s="45"/>
      <c r="B117" s="46">
        <v>116.0</v>
      </c>
      <c r="C117" s="46" t="str">
        <f>'Teams &amp; Draft Order'!$C$10</f>
        <v>Buttheads</v>
      </c>
      <c r="D117" s="47"/>
      <c r="E117" s="48" t="str">
        <f>IFERROR(VLOOKUP($D117,PlayerDB!$F$2:$G313,2,FALSE),"")</f>
        <v/>
      </c>
      <c r="F117" s="48" t="str">
        <f>IFERROR(VLOOKUP($D117,PlayerDB!$F$2:$H313,3,FALSE),"")</f>
        <v/>
      </c>
      <c r="G117" s="49" t="str">
        <f>IFERROR(VLOOKUP($D117,PlayerDB!$F$2:$I313,4,FALSE),"")</f>
        <v/>
      </c>
      <c r="H117" s="38"/>
      <c r="I117" s="50" t="str">
        <f>IFERROR(__xludf.DUMMYFUNCTION("JOIN("" | "",'Team Stats'!C$6:H$6)"),"0 | 0 | 0 | 0 | 0 | 0")</f>
        <v>0 | 0 | 0 | 0 | 0 | 0</v>
      </c>
      <c r="J117" s="51" t="str">
        <f>IFERROR(__xludf.DUMMYFUNCTION("JOIN("" | "",'Team Stats'!I$6:K$6)"),"0 | 0 | 0")</f>
        <v>0 | 0 | 0</v>
      </c>
      <c r="L117" s="42"/>
      <c r="M117" s="52"/>
      <c r="N117" s="42"/>
      <c r="O117" s="42"/>
      <c r="P117" s="42"/>
      <c r="Q117" s="52"/>
    </row>
    <row r="118">
      <c r="A118" s="33"/>
      <c r="B118" s="34">
        <v>117.0</v>
      </c>
      <c r="C118" s="34" t="str">
        <f>'Teams &amp; Draft Order'!$C$9</f>
        <v>El Nino</v>
      </c>
      <c r="D118" s="35"/>
      <c r="E118" s="36" t="str">
        <f>IFERROR(VLOOKUP($D118,PlayerDB!$F$2:$G313,2,FALSE),"")</f>
        <v/>
      </c>
      <c r="F118" s="36" t="str">
        <f>IFERROR(VLOOKUP($D118,PlayerDB!$F$2:$H313,3,FALSE),"")</f>
        <v/>
      </c>
      <c r="G118" s="37" t="str">
        <f>IFERROR(VLOOKUP($D118,PlayerDB!$F$2:$I313,4,FALSE),"")</f>
        <v/>
      </c>
      <c r="H118" s="38"/>
      <c r="I118" s="39" t="str">
        <f>IFERROR(__xludf.DUMMYFUNCTION("JOIN("" | "",'Team Stats'!C$5:H$5)"),"0 | 0 | 0 | 0 | 0 | 0")</f>
        <v>0 | 0 | 0 | 0 | 0 | 0</v>
      </c>
      <c r="J118" s="40" t="str">
        <f>IFERROR(__xludf.DUMMYFUNCTION("JOIN("" | "",'Team Stats'!I$5:K$5)"),"0 | 0 | 0")</f>
        <v>0 | 0 | 0</v>
      </c>
      <c r="L118" s="42"/>
      <c r="M118" s="52"/>
      <c r="N118" s="42"/>
      <c r="O118" s="42"/>
      <c r="P118" s="42"/>
      <c r="Q118" s="52"/>
    </row>
    <row r="119">
      <c r="A119" s="45"/>
      <c r="B119" s="46">
        <v>118.0</v>
      </c>
      <c r="C119" s="46" t="str">
        <f>'Teams &amp; Draft Order'!$C$8</f>
        <v>Icelanders</v>
      </c>
      <c r="D119" s="47"/>
      <c r="E119" s="48" t="str">
        <f>IFERROR(VLOOKUP($D119,PlayerDB!$F$2:$G313,2,FALSE),"")</f>
        <v/>
      </c>
      <c r="F119" s="48" t="str">
        <f>IFERROR(VLOOKUP($D119,PlayerDB!$F$2:$H313,3,FALSE),"")</f>
        <v/>
      </c>
      <c r="G119" s="49" t="str">
        <f>IFERROR(VLOOKUP($D119,PlayerDB!$F$2:$I313,4,FALSE),"")</f>
        <v/>
      </c>
      <c r="H119" s="38"/>
      <c r="I119" s="50" t="str">
        <f>IFERROR(__xludf.DUMMYFUNCTION("JOIN("" | "",'Team Stats'!C$4:H$4)"),"0 | 0 | 0 | 0 | 0 | 0")</f>
        <v>0 | 0 | 0 | 0 | 0 | 0</v>
      </c>
      <c r="J119" s="51" t="str">
        <f>IFERROR(__xludf.DUMMYFUNCTION("JOIN("" | "",'Team Stats'!I$4:K$4)"),"0 | 0 | 0")</f>
        <v>0 | 0 | 0</v>
      </c>
      <c r="L119" s="42"/>
      <c r="M119" s="42"/>
      <c r="N119" s="42"/>
      <c r="O119" s="42"/>
      <c r="P119" s="42"/>
      <c r="Q119" s="42"/>
    </row>
    <row r="120">
      <c r="A120" s="33"/>
      <c r="B120" s="34">
        <v>119.0</v>
      </c>
      <c r="C120" s="34" t="str">
        <f>'Teams &amp; Draft Order'!$C$7</f>
        <v>Phantasm</v>
      </c>
      <c r="D120" s="35"/>
      <c r="E120" s="36" t="str">
        <f>IFERROR(VLOOKUP($D120,PlayerDB!$F$2:$G313,2,FALSE),"")</f>
        <v/>
      </c>
      <c r="F120" s="36" t="str">
        <f>IFERROR(VLOOKUP($D120,PlayerDB!$F$2:$H313,3,FALSE),"")</f>
        <v/>
      </c>
      <c r="G120" s="37" t="str">
        <f>IFERROR(VLOOKUP($D120,PlayerDB!$F$2:$I313,4,FALSE),"")</f>
        <v/>
      </c>
      <c r="H120" s="38"/>
      <c r="I120" s="39" t="str">
        <f>IFERROR(__xludf.DUMMYFUNCTION("JOIN("" | "",'Team Stats'!C$3:H$3)"),"0 | 0 | 0 | 0 | 0 | 0")</f>
        <v>0 | 0 | 0 | 0 | 0 | 0</v>
      </c>
      <c r="J120" s="40" t="str">
        <f>IFERROR(__xludf.DUMMYFUNCTION("JOIN("" | "",'Team Stats'!I$3:K$3)"),"0 | 0 | 0")</f>
        <v>0 | 0 | 0</v>
      </c>
      <c r="L120" s="42"/>
      <c r="M120" s="42"/>
      <c r="N120" s="42"/>
      <c r="O120" s="42"/>
      <c r="P120" s="42"/>
      <c r="Q120" s="42"/>
    </row>
    <row r="121">
      <c r="A121" s="45"/>
      <c r="B121" s="46">
        <v>120.0</v>
      </c>
      <c r="C121" s="46" t="str">
        <f>'Teams &amp; Draft Order'!$C$6</f>
        <v>Sleeper Cell </v>
      </c>
      <c r="D121" s="47"/>
      <c r="E121" s="57" t="str">
        <f>IFERROR(VLOOKUP($D121,PlayerDB!$F$2:$G313,2,FALSE),"")</f>
        <v/>
      </c>
      <c r="F121" s="57" t="str">
        <f>IFERROR(VLOOKUP($D121,PlayerDB!$F$2:$H313,3,FALSE),"")</f>
        <v/>
      </c>
      <c r="G121" s="58" t="str">
        <f>IFERROR(VLOOKUP($D121,PlayerDB!$F$2:$I313,4,FALSE),"")</f>
        <v/>
      </c>
      <c r="H121" s="59"/>
      <c r="I121" s="60" t="str">
        <f>IFERROR(__xludf.DUMMYFUNCTION("JOIN("" | "",'Team Stats'!C$2:H$2)"),"1 | 0 | 0 | 0 | 0 | 0")</f>
        <v>1 | 0 | 0 | 0 | 0 | 0</v>
      </c>
      <c r="J121" s="64" t="str">
        <f>IFERROR(__xludf.DUMMYFUNCTION("JOIN("" | "",'Team Stats'!I$2:K$2)"),"0 | 0 | 0")</f>
        <v>0 | 0 | 0</v>
      </c>
      <c r="L121" s="42"/>
      <c r="M121" s="42"/>
      <c r="N121" s="42"/>
      <c r="O121" s="42"/>
      <c r="P121" s="42"/>
      <c r="Q121" s="42"/>
    </row>
    <row r="122">
      <c r="A122" s="72" t="s">
        <v>95</v>
      </c>
      <c r="B122" s="73">
        <v>121.0</v>
      </c>
      <c r="C122" s="73" t="str">
        <f>'Teams &amp; Draft Order'!$C$6</f>
        <v>Sleeper Cell </v>
      </c>
      <c r="D122" s="74"/>
      <c r="E122" s="36" t="str">
        <f>IFERROR(VLOOKUP($D122,PlayerDB!$F$2:$G313,2,FALSE),"")</f>
        <v/>
      </c>
      <c r="F122" s="36" t="str">
        <f>IFERROR(VLOOKUP($D122,PlayerDB!$F$2:$H313,3,FALSE),"")</f>
        <v/>
      </c>
      <c r="G122" s="37" t="str">
        <f>IFERROR(VLOOKUP($D122,PlayerDB!$F$2:$I313,4,FALSE),"")</f>
        <v/>
      </c>
      <c r="H122" s="38"/>
      <c r="I122" s="39" t="str">
        <f>IFERROR(__xludf.DUMMYFUNCTION("JOIN("" | "",'Team Stats'!C$2:H$2)"),"1 | 0 | 0 | 0 | 0 | 0")</f>
        <v>1 | 0 | 0 | 0 | 0 | 0</v>
      </c>
      <c r="J122" s="40" t="str">
        <f>IFERROR(__xludf.DUMMYFUNCTION("JOIN("" | "",'Team Stats'!I$2:K$2)"),"0 | 0 | 0")</f>
        <v>0 | 0 | 0</v>
      </c>
      <c r="L122" s="71"/>
      <c r="M122" s="44"/>
      <c r="N122" s="42"/>
      <c r="O122" s="42"/>
      <c r="P122" s="71"/>
      <c r="Q122" s="44"/>
    </row>
    <row r="123">
      <c r="A123" s="45"/>
      <c r="B123" s="46">
        <v>122.0</v>
      </c>
      <c r="C123" s="46" t="str">
        <f>'Teams &amp; Draft Order'!$C$7</f>
        <v>Phantasm</v>
      </c>
      <c r="D123" s="47"/>
      <c r="E123" s="48" t="str">
        <f>IFERROR(VLOOKUP($D123,PlayerDB!$F$2:$G313,2,FALSE),"")</f>
        <v/>
      </c>
      <c r="F123" s="48" t="str">
        <f>IFERROR(VLOOKUP($D123,PlayerDB!$F$2:$H313,3,FALSE),"")</f>
        <v/>
      </c>
      <c r="G123" s="49" t="str">
        <f>IFERROR(VLOOKUP($D123,PlayerDB!$F$2:$I313,4,FALSE),"")</f>
        <v/>
      </c>
      <c r="H123" s="38"/>
      <c r="I123" s="50" t="str">
        <f>IFERROR(__xludf.DUMMYFUNCTION("JOIN("" | "",'Team Stats'!C$3:H$3)"),"0 | 0 | 0 | 0 | 0 | 0")</f>
        <v>0 | 0 | 0 | 0 | 0 | 0</v>
      </c>
      <c r="J123" s="51" t="str">
        <f>IFERROR(__xludf.DUMMYFUNCTION("JOIN("" | "",'Team Stats'!I$3:K$3)"),"0 | 0 | 0")</f>
        <v>0 | 0 | 0</v>
      </c>
      <c r="L123" s="42"/>
      <c r="M123" s="52"/>
      <c r="N123" s="42"/>
      <c r="O123" s="42"/>
      <c r="P123" s="42"/>
      <c r="Q123" s="52"/>
    </row>
    <row r="124">
      <c r="A124" s="33"/>
      <c r="B124" s="34">
        <v>123.0</v>
      </c>
      <c r="C124" s="34" t="str">
        <f>'Teams &amp; Draft Order'!$C$8</f>
        <v>Icelanders</v>
      </c>
      <c r="D124" s="35"/>
      <c r="E124" s="36" t="str">
        <f>IFERROR(VLOOKUP($D124,PlayerDB!$F$2:$G313,2,FALSE),"")</f>
        <v/>
      </c>
      <c r="F124" s="36" t="str">
        <f>IFERROR(VLOOKUP($D124,PlayerDB!$F$2:$H313,3,FALSE),"")</f>
        <v/>
      </c>
      <c r="G124" s="37" t="str">
        <f>IFERROR(VLOOKUP($D124,PlayerDB!$F$2:$I313,4,FALSE),"")</f>
        <v/>
      </c>
      <c r="H124" s="38"/>
      <c r="I124" s="39" t="str">
        <f>IFERROR(__xludf.DUMMYFUNCTION("JOIN("" | "",'Team Stats'!C$4:H$4)"),"0 | 0 | 0 | 0 | 0 | 0")</f>
        <v>0 | 0 | 0 | 0 | 0 | 0</v>
      </c>
      <c r="J124" s="40" t="str">
        <f>IFERROR(__xludf.DUMMYFUNCTION("JOIN("" | "",'Team Stats'!I$4:K$4)"),"0 | 0 | 0")</f>
        <v>0 | 0 | 0</v>
      </c>
      <c r="L124" s="42"/>
      <c r="M124" s="52"/>
      <c r="N124" s="42"/>
      <c r="O124" s="42"/>
      <c r="P124" s="42"/>
      <c r="Q124" s="52"/>
    </row>
    <row r="125">
      <c r="A125" s="45"/>
      <c r="B125" s="46">
        <v>124.0</v>
      </c>
      <c r="C125" s="46" t="str">
        <f>'Teams &amp; Draft Order'!$C$9</f>
        <v>El Nino</v>
      </c>
      <c r="D125" s="47"/>
      <c r="E125" s="48" t="str">
        <f>IFERROR(VLOOKUP($D125,PlayerDB!$F$2:$G313,2,FALSE),"")</f>
        <v/>
      </c>
      <c r="F125" s="48" t="str">
        <f>IFERROR(VLOOKUP($D125,PlayerDB!$F$2:$H313,3,FALSE),"")</f>
        <v/>
      </c>
      <c r="G125" s="49" t="str">
        <f>IFERROR(VLOOKUP($D125,PlayerDB!$F$2:$I313,4,FALSE),"")</f>
        <v/>
      </c>
      <c r="H125" s="38"/>
      <c r="I125" s="50" t="str">
        <f>IFERROR(__xludf.DUMMYFUNCTION("JOIN("" | "",'Team Stats'!C$5:H$5)"),"0 | 0 | 0 | 0 | 0 | 0")</f>
        <v>0 | 0 | 0 | 0 | 0 | 0</v>
      </c>
      <c r="J125" s="51" t="str">
        <f>IFERROR(__xludf.DUMMYFUNCTION("JOIN("" | "",'Team Stats'!I$5:K$5)"),"0 | 0 | 0")</f>
        <v>0 | 0 | 0</v>
      </c>
      <c r="L125" s="42"/>
      <c r="M125" s="52"/>
      <c r="N125" s="42"/>
      <c r="O125" s="42"/>
      <c r="P125" s="42"/>
      <c r="Q125" s="52"/>
    </row>
    <row r="126">
      <c r="A126" s="33"/>
      <c r="B126" s="34">
        <v>125.0</v>
      </c>
      <c r="C126" s="34" t="str">
        <f>'Teams &amp; Draft Order'!$C$10</f>
        <v>Buttheads</v>
      </c>
      <c r="D126" s="35"/>
      <c r="E126" s="36" t="str">
        <f>IFERROR(VLOOKUP($D126,PlayerDB!$F$2:$G313,2,FALSE),"")</f>
        <v/>
      </c>
      <c r="F126" s="36" t="str">
        <f>IFERROR(VLOOKUP($D126,PlayerDB!$F$2:$H313,3,FALSE),"")</f>
        <v/>
      </c>
      <c r="G126" s="37" t="str">
        <f>IFERROR(VLOOKUP($D126,PlayerDB!$F$2:$I313,4,FALSE),"")</f>
        <v/>
      </c>
      <c r="H126" s="38"/>
      <c r="I126" s="39" t="str">
        <f>IFERROR(__xludf.DUMMYFUNCTION("JOIN("" | "",'Team Stats'!C$6:H$6)"),"0 | 0 | 0 | 0 | 0 | 0")</f>
        <v>0 | 0 | 0 | 0 | 0 | 0</v>
      </c>
      <c r="J126" s="40" t="str">
        <f>IFERROR(__xludf.DUMMYFUNCTION("JOIN("" | "",'Team Stats'!I$6:K$6)"),"0 | 0 | 0")</f>
        <v>0 | 0 | 0</v>
      </c>
      <c r="L126" s="42"/>
      <c r="M126" s="52"/>
      <c r="N126" s="42"/>
      <c r="O126" s="42"/>
      <c r="P126" s="42"/>
      <c r="Q126" s="52"/>
    </row>
    <row r="127">
      <c r="A127" s="45"/>
      <c r="B127" s="46">
        <v>126.0</v>
      </c>
      <c r="C127" s="46" t="str">
        <f>'Teams &amp; Draft Order'!$C$11</f>
        <v>Big Boys Big Work</v>
      </c>
      <c r="D127" s="47"/>
      <c r="E127" s="48" t="str">
        <f>IFERROR(VLOOKUP($D127,PlayerDB!$F$2:$G313,2,FALSE),"")</f>
        <v/>
      </c>
      <c r="F127" s="48" t="str">
        <f>IFERROR(VLOOKUP($D127,PlayerDB!$F$2:$H313,3,FALSE),"")</f>
        <v/>
      </c>
      <c r="G127" s="49" t="str">
        <f>IFERROR(VLOOKUP($D127,PlayerDB!$F$2:$I313,4,FALSE),"")</f>
        <v/>
      </c>
      <c r="H127" s="38"/>
      <c r="I127" s="50" t="str">
        <f>IFERROR(__xludf.DUMMYFUNCTION("JOIN("" | "",'Team Stats'!C$7:H$7)"),"0 | 0 | 0 | 0 | 0 | 0")</f>
        <v>0 | 0 | 0 | 0 | 0 | 0</v>
      </c>
      <c r="J127" s="51" t="str">
        <f>IFERROR(__xludf.DUMMYFUNCTION("JOIN("" | "",'Team Stats'!I$7:K$7)"),"0 | 0 | 0")</f>
        <v>0 | 0 | 0</v>
      </c>
      <c r="L127" s="42"/>
      <c r="M127" s="52"/>
      <c r="N127" s="42"/>
      <c r="O127" s="42"/>
      <c r="P127" s="42"/>
      <c r="Q127" s="52"/>
    </row>
    <row r="128">
      <c r="A128" s="33"/>
      <c r="B128" s="34">
        <v>127.0</v>
      </c>
      <c r="C128" s="34" t="str">
        <f>'Teams &amp; Draft Order'!$C$12</f>
        <v>Turbo-Ginz</v>
      </c>
      <c r="D128" s="35"/>
      <c r="E128" s="36" t="str">
        <f>IFERROR(VLOOKUP($D128,PlayerDB!$F$2:$G313,2,FALSE),"")</f>
        <v/>
      </c>
      <c r="F128" s="36" t="str">
        <f>IFERROR(VLOOKUP($D128,PlayerDB!$F$2:$H313,3,FALSE),"")</f>
        <v/>
      </c>
      <c r="G128" s="37" t="str">
        <f>IFERROR(VLOOKUP($D128,PlayerDB!$F$2:$I313,4,FALSE),"")</f>
        <v/>
      </c>
      <c r="H128" s="38"/>
      <c r="I128" s="39" t="str">
        <f>IFERROR(__xludf.DUMMYFUNCTION("JOIN("" | "",'Team Stats'!C$8:H$8)"),"0 | 0 | 0 | 0 | 0 | 0")</f>
        <v>0 | 0 | 0 | 0 | 0 | 0</v>
      </c>
      <c r="J128" s="40" t="str">
        <f>IFERROR(__xludf.DUMMYFUNCTION("JOIN("" | "",'Team Stats'!I$8:K$8)"),"0 | 0 | 0")</f>
        <v>0 | 0 | 0</v>
      </c>
      <c r="L128" s="42"/>
      <c r="M128" s="52"/>
      <c r="N128" s="42"/>
      <c r="O128" s="42"/>
      <c r="P128" s="42"/>
      <c r="Q128" s="52"/>
    </row>
    <row r="129">
      <c r="A129" s="45"/>
      <c r="B129" s="46">
        <v>128.0</v>
      </c>
      <c r="C129" s="46" t="str">
        <f>'Teams &amp; Draft Order'!$C$13</f>
        <v>Luddite</v>
      </c>
      <c r="D129" s="47"/>
      <c r="E129" s="48" t="str">
        <f>IFERROR(VLOOKUP($D129,PlayerDB!$F$2:$G313,2,FALSE),"")</f>
        <v/>
      </c>
      <c r="F129" s="48" t="str">
        <f>IFERROR(VLOOKUP($D129,PlayerDB!$F$2:$H313,3,FALSE),"")</f>
        <v/>
      </c>
      <c r="G129" s="49" t="str">
        <f>IFERROR(VLOOKUP($D129,PlayerDB!$F$2:$I313,4,FALSE),"")</f>
        <v/>
      </c>
      <c r="H129" s="38"/>
      <c r="I129" s="50" t="str">
        <f>IFERROR(__xludf.DUMMYFUNCTION("JOIN("" | "",'Team Stats'!C$9:H$9)"),"0 | 0 | 0 | 0 | 0 | 0")</f>
        <v>0 | 0 | 0 | 0 | 0 | 0</v>
      </c>
      <c r="J129" s="51" t="str">
        <f>IFERROR(__xludf.DUMMYFUNCTION("JOIN("" | "",'Team Stats'!I$9:K$9)"),"0 | 0 | 0")</f>
        <v>0 | 0 | 0</v>
      </c>
      <c r="L129" s="42"/>
      <c r="M129" s="52"/>
      <c r="N129" s="42"/>
      <c r="O129" s="42"/>
      <c r="P129" s="42"/>
      <c r="Q129" s="52"/>
    </row>
    <row r="130">
      <c r="A130" s="33"/>
      <c r="B130" s="34">
        <v>129.0</v>
      </c>
      <c r="C130" s="34" t="str">
        <f>'Teams &amp; Draft Order'!$C$14</f>
        <v>Achaians</v>
      </c>
      <c r="D130" s="35"/>
      <c r="E130" s="36" t="str">
        <f>IFERROR(VLOOKUP($D130,PlayerDB!$F$2:$G313,2,FALSE),"")</f>
        <v/>
      </c>
      <c r="F130" s="36" t="str">
        <f>IFERROR(VLOOKUP($D130,PlayerDB!$F$2:$H313,3,FALSE),"")</f>
        <v/>
      </c>
      <c r="G130" s="37" t="str">
        <f>IFERROR(VLOOKUP($D130,PlayerDB!$F$2:$I313,4,FALSE),"")</f>
        <v/>
      </c>
      <c r="H130" s="38"/>
      <c r="I130" s="39" t="str">
        <f>IFERROR(__xludf.DUMMYFUNCTION("JOIN("" | "",'Team Stats'!C$10:H$10)"),"0 | 0 | 0 | 0 | 0 | 0")</f>
        <v>0 | 0 | 0 | 0 | 0 | 0</v>
      </c>
      <c r="J130" s="40" t="str">
        <f>IFERROR(__xludf.DUMMYFUNCTION("JOIN("" | "",'Team Stats'!I$10:K$10)"),"0 | 0 | 0")</f>
        <v>0 | 0 | 0</v>
      </c>
      <c r="L130" s="42"/>
      <c r="M130" s="52"/>
      <c r="N130" s="42"/>
      <c r="O130" s="42"/>
      <c r="P130" s="42"/>
      <c r="Q130" s="52"/>
    </row>
    <row r="131">
      <c r="A131" s="45"/>
      <c r="B131" s="46">
        <v>130.0</v>
      </c>
      <c r="C131" s="46" t="str">
        <f>'Teams &amp; Draft Order'!$C$15</f>
        <v>Daddy's Dogs</v>
      </c>
      <c r="D131" s="47"/>
      <c r="E131" s="48" t="str">
        <f>IFERROR(VLOOKUP($D131,PlayerDB!$F$2:$G313,2,FALSE),"")</f>
        <v/>
      </c>
      <c r="F131" s="48" t="str">
        <f>IFERROR(VLOOKUP($D131,PlayerDB!$F$2:$H313,3,FALSE),"")</f>
        <v/>
      </c>
      <c r="G131" s="49" t="str">
        <f>IFERROR(VLOOKUP($D131,PlayerDB!$F$2:$I313,4,FALSE),"")</f>
        <v/>
      </c>
      <c r="H131" s="38"/>
      <c r="I131" s="50" t="str">
        <f>IFERROR(__xludf.DUMMYFUNCTION("JOIN("" | "",'Team Stats'!C$11:H$11)"),"0 | 0 | 0 | 0 | 0 | 0")</f>
        <v>0 | 0 | 0 | 0 | 0 | 0</v>
      </c>
      <c r="J131" s="51" t="str">
        <f>IFERROR(__xludf.DUMMYFUNCTION("JOIN("" | "",'Team Stats'!I$11:K$11)"),"0 | 0 | 0")</f>
        <v>0 | 0 | 0</v>
      </c>
      <c r="L131" s="42"/>
      <c r="M131" s="52"/>
      <c r="N131" s="42"/>
      <c r="O131" s="42"/>
      <c r="P131" s="42"/>
      <c r="Q131" s="52"/>
    </row>
    <row r="132">
      <c r="A132" s="33"/>
      <c r="B132" s="34">
        <v>131.0</v>
      </c>
      <c r="C132" s="34" t="str">
        <f>'Teams &amp; Draft Order'!$C$16</f>
        <v>TDs and Beers</v>
      </c>
      <c r="D132" s="35"/>
      <c r="E132" s="36" t="str">
        <f>IFERROR(VLOOKUP($D132,PlayerDB!$F$2:$G313,2,FALSE),"")</f>
        <v/>
      </c>
      <c r="F132" s="36" t="str">
        <f>IFERROR(VLOOKUP($D132,PlayerDB!$F$2:$H313,3,FALSE),"")</f>
        <v/>
      </c>
      <c r="G132" s="37" t="str">
        <f>IFERROR(VLOOKUP($D132,PlayerDB!$F$2:$I313,4,FALSE),"")</f>
        <v/>
      </c>
      <c r="H132" s="38"/>
      <c r="I132" s="39" t="str">
        <f>IFERROR(__xludf.DUMMYFUNCTION("JOIN("" | "",'Team Stats'!C$12:H$12)"),"0 | 0 | 0 | 0 | 0 | 0")</f>
        <v>0 | 0 | 0 | 0 | 0 | 0</v>
      </c>
      <c r="J132" s="40" t="str">
        <f>IFERROR(__xludf.DUMMYFUNCTION("JOIN("" | "",'Team Stats'!I$12:K$12)"),"0 | 0 | 0")</f>
        <v>0 | 0 | 0</v>
      </c>
      <c r="L132" s="42"/>
      <c r="M132" s="52"/>
      <c r="N132" s="42"/>
      <c r="O132" s="42"/>
      <c r="P132" s="42"/>
      <c r="Q132" s="52"/>
    </row>
    <row r="133">
      <c r="A133" s="45"/>
      <c r="B133" s="46">
        <v>132.0</v>
      </c>
      <c r="C133" s="46" t="str">
        <f>'Teams &amp; Draft Order'!$C$17</f>
        <v>DD Riders</v>
      </c>
      <c r="D133" s="47"/>
      <c r="E133" s="57" t="str">
        <f>IFERROR(VLOOKUP($D133,PlayerDB!$F$2:$G313,2,FALSE),"")</f>
        <v/>
      </c>
      <c r="F133" s="57" t="str">
        <f>IFERROR(VLOOKUP($D133,PlayerDB!$F$2:$H313,3,FALSE),"")</f>
        <v/>
      </c>
      <c r="G133" s="58" t="str">
        <f>IFERROR(VLOOKUP($D133,PlayerDB!$F$2:$I313,4,FALSE),"")</f>
        <v/>
      </c>
      <c r="H133" s="59"/>
      <c r="I133" s="50" t="str">
        <f>IFERROR(__xludf.DUMMYFUNCTION("JOIN("" | "",'Team Stats'!C$13:H$13)"),"0 | 0 | 0 | 0 | 0 | 0")</f>
        <v>0 | 0 | 0 | 0 | 0 | 0</v>
      </c>
      <c r="J133" s="51" t="str">
        <f>IFERROR(__xludf.DUMMYFUNCTION("JOIN("" | "",'Team Stats'!I$13:K$13)"),"0 | 0 | 0")</f>
        <v>0 | 0 | 0</v>
      </c>
      <c r="L133" s="42"/>
      <c r="M133" s="52"/>
      <c r="N133" s="42"/>
      <c r="O133" s="42"/>
      <c r="P133" s="42"/>
      <c r="Q133" s="52"/>
    </row>
    <row r="134">
      <c r="A134" s="72" t="s">
        <v>96</v>
      </c>
      <c r="B134" s="73">
        <v>133.0</v>
      </c>
      <c r="C134" s="73" t="str">
        <f>'Teams &amp; Draft Order'!$C$17</f>
        <v>DD Riders</v>
      </c>
      <c r="D134" s="74"/>
      <c r="E134" s="36" t="str">
        <f>IFERROR(VLOOKUP($D134,PlayerDB!$F$2:$G313,2,FALSE),"")</f>
        <v/>
      </c>
      <c r="F134" s="36" t="str">
        <f>IFERROR(VLOOKUP($D134,PlayerDB!$F$2:$H313,3,FALSE),"")</f>
        <v/>
      </c>
      <c r="G134" s="37" t="str">
        <f>IFERROR(VLOOKUP($D134,PlayerDB!$F$2:$I313,4,FALSE),"")</f>
        <v/>
      </c>
      <c r="H134" s="38"/>
      <c r="I134" s="76" t="str">
        <f>IFERROR(__xludf.DUMMYFUNCTION("JOIN("" | "",'Team Stats'!C$13:H$13)"),"0 | 0 | 0 | 0 | 0 | 0")</f>
        <v>0 | 0 | 0 | 0 | 0 | 0</v>
      </c>
      <c r="J134" s="62" t="str">
        <f>IFERROR(__xludf.DUMMYFUNCTION("JOIN("" | "",'Team Stats'!I$13:K$13)"),"0 | 0 | 0")</f>
        <v>0 | 0 | 0</v>
      </c>
      <c r="L134" s="42"/>
      <c r="M134" s="52"/>
      <c r="N134" s="42"/>
      <c r="O134" s="42"/>
      <c r="P134" s="42"/>
      <c r="Q134" s="52"/>
    </row>
    <row r="135">
      <c r="A135" s="45"/>
      <c r="B135" s="46">
        <v>134.0</v>
      </c>
      <c r="C135" s="46" t="str">
        <f>'Teams &amp; Draft Order'!$C$16</f>
        <v>TDs and Beers</v>
      </c>
      <c r="D135" s="47"/>
      <c r="E135" s="48" t="str">
        <f>IFERROR(VLOOKUP($D135,PlayerDB!$F$2:$G313,2,FALSE),"")</f>
        <v/>
      </c>
      <c r="F135" s="48" t="str">
        <f>IFERROR(VLOOKUP($D135,PlayerDB!$F$2:$H313,3,FALSE),"")</f>
        <v/>
      </c>
      <c r="G135" s="49" t="str">
        <f>IFERROR(VLOOKUP($D135,PlayerDB!$F$2:$I313,4,FALSE),"")</f>
        <v/>
      </c>
      <c r="H135" s="38"/>
      <c r="I135" s="50" t="str">
        <f>IFERROR(__xludf.DUMMYFUNCTION("JOIN("" | "",'Team Stats'!C$12:H$12)"),"0 | 0 | 0 | 0 | 0 | 0")</f>
        <v>0 | 0 | 0 | 0 | 0 | 0</v>
      </c>
      <c r="J135" s="51" t="str">
        <f>IFERROR(__xludf.DUMMYFUNCTION("JOIN("" | "",'Team Stats'!I$12:K$12)"),"0 | 0 | 0")</f>
        <v>0 | 0 | 0</v>
      </c>
      <c r="L135" s="42"/>
      <c r="M135" s="52"/>
      <c r="N135" s="42"/>
      <c r="O135" s="42"/>
      <c r="P135" s="42"/>
      <c r="Q135" s="52"/>
    </row>
    <row r="136">
      <c r="A136" s="33"/>
      <c r="B136" s="34">
        <v>135.0</v>
      </c>
      <c r="C136" s="34" t="str">
        <f>'Teams &amp; Draft Order'!$C$15</f>
        <v>Daddy's Dogs</v>
      </c>
      <c r="D136" s="35"/>
      <c r="E136" s="36" t="str">
        <f>IFERROR(VLOOKUP($D136,PlayerDB!$F$2:$G313,2,FALSE),"")</f>
        <v/>
      </c>
      <c r="F136" s="36" t="str">
        <f>IFERROR(VLOOKUP($D136,PlayerDB!$F$2:$H313,3,FALSE),"")</f>
        <v/>
      </c>
      <c r="G136" s="37" t="str">
        <f>IFERROR(VLOOKUP($D136,PlayerDB!$F$2:$I313,4,FALSE),"")</f>
        <v/>
      </c>
      <c r="H136" s="38"/>
      <c r="I136" s="39" t="str">
        <f>IFERROR(__xludf.DUMMYFUNCTION("JOIN("" | "",'Team Stats'!C$11:H$11)"),"0 | 0 | 0 | 0 | 0 | 0")</f>
        <v>0 | 0 | 0 | 0 | 0 | 0</v>
      </c>
      <c r="J136" s="40" t="str">
        <f>IFERROR(__xludf.DUMMYFUNCTION("JOIN("" | "",'Team Stats'!I$11:K$11)"),"0 | 0 | 0")</f>
        <v>0 | 0 | 0</v>
      </c>
      <c r="L136" s="42"/>
      <c r="M136" s="52"/>
      <c r="N136" s="42"/>
      <c r="O136" s="42"/>
      <c r="P136" s="42"/>
      <c r="Q136" s="52"/>
    </row>
    <row r="137">
      <c r="A137" s="45"/>
      <c r="B137" s="46">
        <v>136.0</v>
      </c>
      <c r="C137" s="46" t="str">
        <f>'Teams &amp; Draft Order'!$C$14</f>
        <v>Achaians</v>
      </c>
      <c r="D137" s="47"/>
      <c r="E137" s="48" t="str">
        <f>IFERROR(VLOOKUP($D137,PlayerDB!$F$2:$G313,2,FALSE),"")</f>
        <v/>
      </c>
      <c r="F137" s="48" t="str">
        <f>IFERROR(VLOOKUP($D137,PlayerDB!$F$2:$H313,3,FALSE),"")</f>
        <v/>
      </c>
      <c r="G137" s="49" t="str">
        <f>IFERROR(VLOOKUP($D137,PlayerDB!$F$2:$I313,4,FALSE),"")</f>
        <v/>
      </c>
      <c r="H137" s="38"/>
      <c r="I137" s="50" t="str">
        <f>IFERROR(__xludf.DUMMYFUNCTION("JOIN("" | "",'Team Stats'!C$10:H$10)"),"0 | 0 | 0 | 0 | 0 | 0")</f>
        <v>0 | 0 | 0 | 0 | 0 | 0</v>
      </c>
      <c r="J137" s="51" t="str">
        <f>IFERROR(__xludf.DUMMYFUNCTION("JOIN("" | "",'Team Stats'!I$10:K$10)"),"0 | 0 | 0")</f>
        <v>0 | 0 | 0</v>
      </c>
      <c r="L137" s="42"/>
      <c r="M137" s="52"/>
      <c r="N137" s="42"/>
      <c r="O137" s="42"/>
      <c r="P137" s="42"/>
      <c r="Q137" s="52"/>
    </row>
    <row r="138">
      <c r="A138" s="33"/>
      <c r="B138" s="34">
        <v>137.0</v>
      </c>
      <c r="C138" s="34" t="str">
        <f>'Teams &amp; Draft Order'!$C$13</f>
        <v>Luddite</v>
      </c>
      <c r="D138" s="35"/>
      <c r="E138" s="36" t="str">
        <f>IFERROR(VLOOKUP($D138,PlayerDB!$F$2:$G313,2,FALSE),"")</f>
        <v/>
      </c>
      <c r="F138" s="36" t="str">
        <f>IFERROR(VLOOKUP($D138,PlayerDB!$F$2:$H313,3,FALSE),"")</f>
        <v/>
      </c>
      <c r="G138" s="37" t="str">
        <f>IFERROR(VLOOKUP($D138,PlayerDB!$F$2:$I313,4,FALSE),"")</f>
        <v/>
      </c>
      <c r="H138" s="38"/>
      <c r="I138" s="39" t="str">
        <f>IFERROR(__xludf.DUMMYFUNCTION("JOIN("" | "",'Team Stats'!C$9:H$9)"),"0 | 0 | 0 | 0 | 0 | 0")</f>
        <v>0 | 0 | 0 | 0 | 0 | 0</v>
      </c>
      <c r="J138" s="40" t="str">
        <f>IFERROR(__xludf.DUMMYFUNCTION("JOIN("" | "",'Team Stats'!I$9:K$9)"),"0 | 0 | 0")</f>
        <v>0 | 0 | 0</v>
      </c>
      <c r="L138" s="42"/>
      <c r="M138" s="52"/>
      <c r="N138" s="42"/>
      <c r="O138" s="42"/>
      <c r="P138" s="42"/>
      <c r="Q138" s="52"/>
    </row>
    <row r="139">
      <c r="A139" s="45"/>
      <c r="B139" s="46">
        <v>138.0</v>
      </c>
      <c r="C139" s="46" t="str">
        <f>'Teams &amp; Draft Order'!$C$12</f>
        <v>Turbo-Ginz</v>
      </c>
      <c r="D139" s="47"/>
      <c r="E139" s="48" t="str">
        <f>IFERROR(VLOOKUP($D139,PlayerDB!$F$2:$G313,2,FALSE),"")</f>
        <v/>
      </c>
      <c r="F139" s="48" t="str">
        <f>IFERROR(VLOOKUP($D139,PlayerDB!$F$2:$H313,3,FALSE),"")</f>
        <v/>
      </c>
      <c r="G139" s="49" t="str">
        <f>IFERROR(VLOOKUP($D139,PlayerDB!$F$2:$I313,4,FALSE),"")</f>
        <v/>
      </c>
      <c r="H139" s="38"/>
      <c r="I139" s="50" t="str">
        <f>IFERROR(__xludf.DUMMYFUNCTION("JOIN("" | "",'Team Stats'!C$8:H$8)"),"0 | 0 | 0 | 0 | 0 | 0")</f>
        <v>0 | 0 | 0 | 0 | 0 | 0</v>
      </c>
      <c r="J139" s="51" t="str">
        <f>IFERROR(__xludf.DUMMYFUNCTION("JOIN("" | "",'Team Stats'!I$8:K$8)"),"0 | 0 | 0")</f>
        <v>0 | 0 | 0</v>
      </c>
      <c r="L139" s="42"/>
      <c r="M139" s="52"/>
      <c r="N139" s="42"/>
      <c r="O139" s="42"/>
      <c r="P139" s="42"/>
      <c r="Q139" s="52"/>
    </row>
    <row r="140">
      <c r="A140" s="33"/>
      <c r="B140" s="34">
        <v>139.0</v>
      </c>
      <c r="C140" s="34" t="str">
        <f>'Teams &amp; Draft Order'!$C$11</f>
        <v>Big Boys Big Work</v>
      </c>
      <c r="D140" s="35"/>
      <c r="E140" s="36" t="str">
        <f>IFERROR(VLOOKUP($D140,PlayerDB!$F$2:$G313,2,FALSE),"")</f>
        <v/>
      </c>
      <c r="F140" s="36" t="str">
        <f>IFERROR(VLOOKUP($D140,PlayerDB!$F$2:$H313,3,FALSE),"")</f>
        <v/>
      </c>
      <c r="G140" s="37" t="str">
        <f>IFERROR(VLOOKUP($D140,PlayerDB!$F$2:$I313,4,FALSE),"")</f>
        <v/>
      </c>
      <c r="H140" s="38"/>
      <c r="I140" s="39" t="str">
        <f>IFERROR(__xludf.DUMMYFUNCTION("JOIN("" | "",'Team Stats'!C$7:H$7)"),"0 | 0 | 0 | 0 | 0 | 0")</f>
        <v>0 | 0 | 0 | 0 | 0 | 0</v>
      </c>
      <c r="J140" s="40" t="str">
        <f>IFERROR(__xludf.DUMMYFUNCTION("JOIN("" | "",'Team Stats'!I$7:K$7)"),"0 | 0 | 0")</f>
        <v>0 | 0 | 0</v>
      </c>
      <c r="L140" s="42"/>
      <c r="M140" s="52"/>
      <c r="N140" s="42"/>
      <c r="O140" s="42"/>
      <c r="P140" s="42"/>
      <c r="Q140" s="52"/>
    </row>
    <row r="141">
      <c r="A141" s="45"/>
      <c r="B141" s="46">
        <v>140.0</v>
      </c>
      <c r="C141" s="46" t="str">
        <f>'Teams &amp; Draft Order'!$C$10</f>
        <v>Buttheads</v>
      </c>
      <c r="D141" s="47"/>
      <c r="E141" s="48" t="str">
        <f>IFERROR(VLOOKUP($D141,PlayerDB!$F$2:$G313,2,FALSE),"")</f>
        <v/>
      </c>
      <c r="F141" s="48" t="str">
        <f>IFERROR(VLOOKUP($D141,PlayerDB!$F$2:$H313,3,FALSE),"")</f>
        <v/>
      </c>
      <c r="G141" s="49" t="str">
        <f>IFERROR(VLOOKUP($D141,PlayerDB!$F$2:$I313,4,FALSE),"")</f>
        <v/>
      </c>
      <c r="H141" s="38"/>
      <c r="I141" s="50" t="str">
        <f>IFERROR(__xludf.DUMMYFUNCTION("JOIN("" | "",'Team Stats'!C$6:H$6)"),"0 | 0 | 0 | 0 | 0 | 0")</f>
        <v>0 | 0 | 0 | 0 | 0 | 0</v>
      </c>
      <c r="J141" s="51" t="str">
        <f>IFERROR(__xludf.DUMMYFUNCTION("JOIN("" | "",'Team Stats'!I$6:K$6)"),"0 | 0 | 0")</f>
        <v>0 | 0 | 0</v>
      </c>
      <c r="L141" s="42"/>
      <c r="M141" s="52"/>
      <c r="N141" s="42"/>
      <c r="O141" s="42"/>
      <c r="P141" s="42"/>
      <c r="Q141" s="52"/>
    </row>
    <row r="142">
      <c r="A142" s="33"/>
      <c r="B142" s="34">
        <v>141.0</v>
      </c>
      <c r="C142" s="34" t="str">
        <f>'Teams &amp; Draft Order'!$C$9</f>
        <v>El Nino</v>
      </c>
      <c r="D142" s="35"/>
      <c r="E142" s="36" t="str">
        <f>IFERROR(VLOOKUP($D142,PlayerDB!$F$2:$G313,2,FALSE),"")</f>
        <v/>
      </c>
      <c r="F142" s="36" t="str">
        <f>IFERROR(VLOOKUP($D142,PlayerDB!$F$2:$H313,3,FALSE),"")</f>
        <v/>
      </c>
      <c r="G142" s="37" t="str">
        <f>IFERROR(VLOOKUP($D142,PlayerDB!$F$2:$I313,4,FALSE),"")</f>
        <v/>
      </c>
      <c r="H142" s="38"/>
      <c r="I142" s="39" t="str">
        <f>IFERROR(__xludf.DUMMYFUNCTION("JOIN("" | "",'Team Stats'!C$5:H$5)"),"0 | 0 | 0 | 0 | 0 | 0")</f>
        <v>0 | 0 | 0 | 0 | 0 | 0</v>
      </c>
      <c r="J142" s="40" t="str">
        <f>IFERROR(__xludf.DUMMYFUNCTION("JOIN("" | "",'Team Stats'!I$5:K$5)"),"0 | 0 | 0")</f>
        <v>0 | 0 | 0</v>
      </c>
      <c r="L142" s="42"/>
      <c r="M142" s="52"/>
      <c r="N142" s="42"/>
      <c r="O142" s="42"/>
      <c r="P142" s="42"/>
      <c r="Q142" s="52"/>
    </row>
    <row r="143">
      <c r="A143" s="45"/>
      <c r="B143" s="46">
        <v>142.0</v>
      </c>
      <c r="C143" s="46" t="str">
        <f>'Teams &amp; Draft Order'!$C$8</f>
        <v>Icelanders</v>
      </c>
      <c r="D143" s="47"/>
      <c r="E143" s="48" t="str">
        <f>IFERROR(VLOOKUP($D143,PlayerDB!$F$2:$G313,2,FALSE),"")</f>
        <v/>
      </c>
      <c r="F143" s="48" t="str">
        <f>IFERROR(VLOOKUP($D143,PlayerDB!$F$2:$H313,3,FALSE),"")</f>
        <v/>
      </c>
      <c r="G143" s="49" t="str">
        <f>IFERROR(VLOOKUP($D143,PlayerDB!$F$2:$I313,4,FALSE),"")</f>
        <v/>
      </c>
      <c r="H143" s="38"/>
      <c r="I143" s="50" t="str">
        <f>IFERROR(__xludf.DUMMYFUNCTION("JOIN("" | "",'Team Stats'!C$4:H$4)"),"0 | 0 | 0 | 0 | 0 | 0")</f>
        <v>0 | 0 | 0 | 0 | 0 | 0</v>
      </c>
      <c r="J143" s="51" t="str">
        <f>IFERROR(__xludf.DUMMYFUNCTION("JOIN("" | "",'Team Stats'!I$4:K$4)"),"0 | 0 | 0")</f>
        <v>0 | 0 | 0</v>
      </c>
      <c r="L143" s="42"/>
      <c r="M143" s="42"/>
      <c r="N143" s="42"/>
      <c r="O143" s="42"/>
      <c r="P143" s="42"/>
      <c r="Q143" s="42"/>
    </row>
    <row r="144">
      <c r="A144" s="33"/>
      <c r="B144" s="34">
        <v>143.0</v>
      </c>
      <c r="C144" s="34" t="str">
        <f>'Teams &amp; Draft Order'!$C$7</f>
        <v>Phantasm</v>
      </c>
      <c r="D144" s="35"/>
      <c r="E144" s="36" t="str">
        <f>IFERROR(VLOOKUP($D144,PlayerDB!$F$2:$G313,2,FALSE),"")</f>
        <v/>
      </c>
      <c r="F144" s="36" t="str">
        <f>IFERROR(VLOOKUP($D144,PlayerDB!$F$2:$H313,3,FALSE),"")</f>
        <v/>
      </c>
      <c r="G144" s="37" t="str">
        <f>IFERROR(VLOOKUP($D144,PlayerDB!$F$2:$I313,4,FALSE),"")</f>
        <v/>
      </c>
      <c r="H144" s="38"/>
      <c r="I144" s="39" t="str">
        <f>IFERROR(__xludf.DUMMYFUNCTION("JOIN("" | "",'Team Stats'!C$3:H$3)"),"0 | 0 | 0 | 0 | 0 | 0")</f>
        <v>0 | 0 | 0 | 0 | 0 | 0</v>
      </c>
      <c r="J144" s="40" t="str">
        <f>IFERROR(__xludf.DUMMYFUNCTION("JOIN("" | "",'Team Stats'!I$3:K$3)"),"0 | 0 | 0")</f>
        <v>0 | 0 | 0</v>
      </c>
      <c r="L144" s="42"/>
      <c r="M144" s="42"/>
      <c r="N144" s="42"/>
      <c r="O144" s="42"/>
      <c r="P144" s="42"/>
      <c r="Q144" s="42"/>
    </row>
    <row r="145">
      <c r="A145" s="45"/>
      <c r="B145" s="46">
        <v>144.0</v>
      </c>
      <c r="C145" s="46" t="str">
        <f>'Teams &amp; Draft Order'!$C$6</f>
        <v>Sleeper Cell </v>
      </c>
      <c r="D145" s="47"/>
      <c r="E145" s="57" t="str">
        <f>IFERROR(VLOOKUP($D145,PlayerDB!$F$2:$G313,2,FALSE),"")</f>
        <v/>
      </c>
      <c r="F145" s="57" t="str">
        <f>IFERROR(VLOOKUP($D145,PlayerDB!$F$2:$H313,3,FALSE),"")</f>
        <v/>
      </c>
      <c r="G145" s="58" t="str">
        <f>IFERROR(VLOOKUP($D145,PlayerDB!$F$2:$I313,4,FALSE),"")</f>
        <v/>
      </c>
      <c r="H145" s="59"/>
      <c r="I145" s="60" t="str">
        <f>IFERROR(__xludf.DUMMYFUNCTION("JOIN("" | "",'Team Stats'!C$2:H$2)"),"1 | 0 | 0 | 0 | 0 | 0")</f>
        <v>1 | 0 | 0 | 0 | 0 | 0</v>
      </c>
      <c r="J145" s="64" t="str">
        <f>IFERROR(__xludf.DUMMYFUNCTION("JOIN("" | "",'Team Stats'!I$2:K$2)"),"0 | 0 | 0")</f>
        <v>0 | 0 | 0</v>
      </c>
      <c r="L145" s="42"/>
      <c r="M145" s="42"/>
      <c r="N145" s="42"/>
      <c r="O145" s="42"/>
      <c r="P145" s="42"/>
      <c r="Q145" s="42"/>
    </row>
    <row r="146">
      <c r="A146" s="72" t="s">
        <v>97</v>
      </c>
      <c r="B146" s="73">
        <v>145.0</v>
      </c>
      <c r="C146" s="73" t="str">
        <f>'Teams &amp; Draft Order'!$C$6</f>
        <v>Sleeper Cell </v>
      </c>
      <c r="D146" s="74"/>
      <c r="E146" s="36" t="str">
        <f>IFERROR(VLOOKUP($D146,PlayerDB!$F$2:$G313,2,FALSE),"")</f>
        <v/>
      </c>
      <c r="F146" s="36" t="str">
        <f>IFERROR(VLOOKUP($D146,PlayerDB!$F$2:$H313,3,FALSE),"")</f>
        <v/>
      </c>
      <c r="G146" s="37" t="str">
        <f>IFERROR(VLOOKUP($D146,PlayerDB!$F$2:$I313,4,FALSE),"")</f>
        <v/>
      </c>
      <c r="H146" s="38"/>
      <c r="I146" s="39" t="str">
        <f>IFERROR(__xludf.DUMMYFUNCTION("JOIN("" | "",'Team Stats'!C$2:H$2)"),"1 | 0 | 0 | 0 | 0 | 0")</f>
        <v>1 | 0 | 0 | 0 | 0 | 0</v>
      </c>
      <c r="J146" s="40" t="str">
        <f>IFERROR(__xludf.DUMMYFUNCTION("JOIN("" | "",'Team Stats'!I$2:K$2)"),"0 | 0 | 0")</f>
        <v>0 | 0 | 0</v>
      </c>
      <c r="L146" s="71"/>
      <c r="M146" s="44"/>
      <c r="N146" s="42"/>
      <c r="O146" s="42"/>
      <c r="P146" s="71"/>
      <c r="Q146" s="44"/>
    </row>
    <row r="147">
      <c r="A147" s="45"/>
      <c r="B147" s="46">
        <v>146.0</v>
      </c>
      <c r="C147" s="46" t="str">
        <f>'Teams &amp; Draft Order'!$C$7</f>
        <v>Phantasm</v>
      </c>
      <c r="D147" s="47"/>
      <c r="E147" s="48" t="str">
        <f>IFERROR(VLOOKUP($D147,PlayerDB!$F$2:$G313,2,FALSE),"")</f>
        <v/>
      </c>
      <c r="F147" s="48" t="str">
        <f>IFERROR(VLOOKUP($D147,PlayerDB!$F$2:$H313,3,FALSE),"")</f>
        <v/>
      </c>
      <c r="G147" s="49" t="str">
        <f>IFERROR(VLOOKUP($D147,PlayerDB!$F$2:$I313,4,FALSE),"")</f>
        <v/>
      </c>
      <c r="H147" s="38"/>
      <c r="I147" s="50" t="str">
        <f>IFERROR(__xludf.DUMMYFUNCTION("JOIN("" | "",'Team Stats'!C$3:H$3)"),"0 | 0 | 0 | 0 | 0 | 0")</f>
        <v>0 | 0 | 0 | 0 | 0 | 0</v>
      </c>
      <c r="J147" s="51" t="str">
        <f>IFERROR(__xludf.DUMMYFUNCTION("JOIN("" | "",'Team Stats'!I$3:K$3)"),"0 | 0 | 0")</f>
        <v>0 | 0 | 0</v>
      </c>
      <c r="L147" s="42"/>
      <c r="M147" s="52"/>
      <c r="N147" s="42"/>
      <c r="O147" s="42"/>
      <c r="P147" s="42"/>
      <c r="Q147" s="52"/>
    </row>
    <row r="148">
      <c r="A148" s="33"/>
      <c r="B148" s="34">
        <v>147.0</v>
      </c>
      <c r="C148" s="34" t="str">
        <f>'Teams &amp; Draft Order'!$C$8</f>
        <v>Icelanders</v>
      </c>
      <c r="D148" s="35"/>
      <c r="E148" s="36" t="str">
        <f>IFERROR(VLOOKUP($D148,PlayerDB!$F$2:$G313,2,FALSE),"")</f>
        <v/>
      </c>
      <c r="F148" s="36" t="str">
        <f>IFERROR(VLOOKUP($D148,PlayerDB!$F$2:$H313,3,FALSE),"")</f>
        <v/>
      </c>
      <c r="G148" s="37" t="str">
        <f>IFERROR(VLOOKUP($D148,PlayerDB!$F$2:$I313,4,FALSE),"")</f>
        <v/>
      </c>
      <c r="H148" s="38"/>
      <c r="I148" s="39" t="str">
        <f>IFERROR(__xludf.DUMMYFUNCTION("JOIN("" | "",'Team Stats'!C$4:H$4)"),"0 | 0 | 0 | 0 | 0 | 0")</f>
        <v>0 | 0 | 0 | 0 | 0 | 0</v>
      </c>
      <c r="J148" s="40" t="str">
        <f>IFERROR(__xludf.DUMMYFUNCTION("JOIN("" | "",'Team Stats'!I$4:K$4)"),"0 | 0 | 0")</f>
        <v>0 | 0 | 0</v>
      </c>
      <c r="L148" s="42"/>
      <c r="M148" s="52"/>
      <c r="N148" s="42"/>
      <c r="O148" s="42"/>
      <c r="P148" s="42"/>
      <c r="Q148" s="52"/>
    </row>
    <row r="149">
      <c r="A149" s="45"/>
      <c r="B149" s="46">
        <v>148.0</v>
      </c>
      <c r="C149" s="46" t="str">
        <f>'Teams &amp; Draft Order'!$C$9</f>
        <v>El Nino</v>
      </c>
      <c r="D149" s="47"/>
      <c r="E149" s="48" t="str">
        <f>IFERROR(VLOOKUP($D149,PlayerDB!$F$2:$G313,2,FALSE),"")</f>
        <v/>
      </c>
      <c r="F149" s="48" t="str">
        <f>IFERROR(VLOOKUP($D149,PlayerDB!$F$2:$H313,3,FALSE),"")</f>
        <v/>
      </c>
      <c r="G149" s="49" t="str">
        <f>IFERROR(VLOOKUP($D149,PlayerDB!$F$2:$I313,4,FALSE),"")</f>
        <v/>
      </c>
      <c r="H149" s="38"/>
      <c r="I149" s="50" t="str">
        <f>IFERROR(__xludf.DUMMYFUNCTION("JOIN("" | "",'Team Stats'!C$5:H$5)"),"0 | 0 | 0 | 0 | 0 | 0")</f>
        <v>0 | 0 | 0 | 0 | 0 | 0</v>
      </c>
      <c r="J149" s="51" t="str">
        <f>IFERROR(__xludf.DUMMYFUNCTION("JOIN("" | "",'Team Stats'!I$5:K$5)"),"0 | 0 | 0")</f>
        <v>0 | 0 | 0</v>
      </c>
      <c r="L149" s="42"/>
      <c r="M149" s="52"/>
      <c r="N149" s="42"/>
      <c r="O149" s="42"/>
      <c r="P149" s="42"/>
      <c r="Q149" s="52"/>
    </row>
    <row r="150">
      <c r="A150" s="33"/>
      <c r="B150" s="34">
        <v>149.0</v>
      </c>
      <c r="C150" s="34" t="str">
        <f>'Teams &amp; Draft Order'!$C$10</f>
        <v>Buttheads</v>
      </c>
      <c r="D150" s="35"/>
      <c r="E150" s="36" t="str">
        <f>IFERROR(VLOOKUP($D150,PlayerDB!$F$2:$G313,2,FALSE),"")</f>
        <v/>
      </c>
      <c r="F150" s="36" t="str">
        <f>IFERROR(VLOOKUP($D150,PlayerDB!$F$2:$H313,3,FALSE),"")</f>
        <v/>
      </c>
      <c r="G150" s="37" t="str">
        <f>IFERROR(VLOOKUP($D150,PlayerDB!$F$2:$I313,4,FALSE),"")</f>
        <v/>
      </c>
      <c r="H150" s="38"/>
      <c r="I150" s="39" t="str">
        <f>IFERROR(__xludf.DUMMYFUNCTION("JOIN("" | "",'Team Stats'!C$6:H$6)"),"0 | 0 | 0 | 0 | 0 | 0")</f>
        <v>0 | 0 | 0 | 0 | 0 | 0</v>
      </c>
      <c r="J150" s="40" t="str">
        <f>IFERROR(__xludf.DUMMYFUNCTION("JOIN("" | "",'Team Stats'!I$6:K$6)"),"0 | 0 | 0")</f>
        <v>0 | 0 | 0</v>
      </c>
      <c r="L150" s="42"/>
      <c r="M150" s="52"/>
      <c r="N150" s="42"/>
      <c r="O150" s="42"/>
      <c r="P150" s="42"/>
      <c r="Q150" s="52"/>
    </row>
    <row r="151">
      <c r="A151" s="45"/>
      <c r="B151" s="46">
        <v>150.0</v>
      </c>
      <c r="C151" s="46" t="str">
        <f>'Teams &amp; Draft Order'!$C$11</f>
        <v>Big Boys Big Work</v>
      </c>
      <c r="D151" s="47"/>
      <c r="E151" s="48" t="str">
        <f>IFERROR(VLOOKUP($D151,PlayerDB!$F$2:$G313,2,FALSE),"")</f>
        <v/>
      </c>
      <c r="F151" s="48" t="str">
        <f>IFERROR(VLOOKUP($D151,PlayerDB!$F$2:$H313,3,FALSE),"")</f>
        <v/>
      </c>
      <c r="G151" s="49" t="str">
        <f>IFERROR(VLOOKUP($D151,PlayerDB!$F$2:$I313,4,FALSE),"")</f>
        <v/>
      </c>
      <c r="H151" s="38"/>
      <c r="I151" s="50" t="str">
        <f>IFERROR(__xludf.DUMMYFUNCTION("JOIN("" | "",'Team Stats'!C$7:H$7)"),"0 | 0 | 0 | 0 | 0 | 0")</f>
        <v>0 | 0 | 0 | 0 | 0 | 0</v>
      </c>
      <c r="J151" s="51" t="str">
        <f>IFERROR(__xludf.DUMMYFUNCTION("JOIN("" | "",'Team Stats'!I$7:K$7)"),"0 | 0 | 0")</f>
        <v>0 | 0 | 0</v>
      </c>
      <c r="L151" s="42"/>
      <c r="M151" s="52"/>
      <c r="N151" s="42"/>
      <c r="O151" s="42"/>
      <c r="P151" s="42"/>
      <c r="Q151" s="52"/>
    </row>
    <row r="152">
      <c r="A152" s="33"/>
      <c r="B152" s="34">
        <v>151.0</v>
      </c>
      <c r="C152" s="34" t="str">
        <f>'Teams &amp; Draft Order'!$C$12</f>
        <v>Turbo-Ginz</v>
      </c>
      <c r="D152" s="35"/>
      <c r="E152" s="36" t="str">
        <f>IFERROR(VLOOKUP($D152,PlayerDB!$F$2:$G313,2,FALSE),"")</f>
        <v/>
      </c>
      <c r="F152" s="36" t="str">
        <f>IFERROR(VLOOKUP($D152,PlayerDB!$F$2:$H313,3,FALSE),"")</f>
        <v/>
      </c>
      <c r="G152" s="37" t="str">
        <f>IFERROR(VLOOKUP($D152,PlayerDB!$F$2:$I313,4,FALSE),"")</f>
        <v/>
      </c>
      <c r="H152" s="38"/>
      <c r="I152" s="39" t="str">
        <f>IFERROR(__xludf.DUMMYFUNCTION("JOIN("" | "",'Team Stats'!C$8:H$8)"),"0 | 0 | 0 | 0 | 0 | 0")</f>
        <v>0 | 0 | 0 | 0 | 0 | 0</v>
      </c>
      <c r="J152" s="40" t="str">
        <f>IFERROR(__xludf.DUMMYFUNCTION("JOIN("" | "",'Team Stats'!I$8:K$8)"),"0 | 0 | 0")</f>
        <v>0 | 0 | 0</v>
      </c>
      <c r="L152" s="42"/>
      <c r="M152" s="52"/>
      <c r="N152" s="42"/>
      <c r="O152" s="42"/>
      <c r="P152" s="42"/>
      <c r="Q152" s="52"/>
    </row>
    <row r="153">
      <c r="A153" s="45"/>
      <c r="B153" s="46">
        <v>152.0</v>
      </c>
      <c r="C153" s="46" t="str">
        <f>'Teams &amp; Draft Order'!$C$13</f>
        <v>Luddite</v>
      </c>
      <c r="D153" s="47"/>
      <c r="E153" s="48" t="str">
        <f>IFERROR(VLOOKUP($D153,PlayerDB!$F$2:$G313,2,FALSE),"")</f>
        <v/>
      </c>
      <c r="F153" s="48" t="str">
        <f>IFERROR(VLOOKUP($D153,PlayerDB!$F$2:$H313,3,FALSE),"")</f>
        <v/>
      </c>
      <c r="G153" s="49" t="str">
        <f>IFERROR(VLOOKUP($D153,PlayerDB!$F$2:$I313,4,FALSE),"")</f>
        <v/>
      </c>
      <c r="H153" s="38"/>
      <c r="I153" s="50" t="str">
        <f>IFERROR(__xludf.DUMMYFUNCTION("JOIN("" | "",'Team Stats'!C$9:H$9)"),"0 | 0 | 0 | 0 | 0 | 0")</f>
        <v>0 | 0 | 0 | 0 | 0 | 0</v>
      </c>
      <c r="J153" s="51" t="str">
        <f>IFERROR(__xludf.DUMMYFUNCTION("JOIN("" | "",'Team Stats'!I$9:K$9)"),"0 | 0 | 0")</f>
        <v>0 | 0 | 0</v>
      </c>
      <c r="L153" s="42"/>
      <c r="M153" s="52"/>
      <c r="N153" s="42"/>
      <c r="O153" s="42"/>
      <c r="P153" s="42"/>
      <c r="Q153" s="52"/>
    </row>
    <row r="154">
      <c r="A154" s="33"/>
      <c r="B154" s="34">
        <v>153.0</v>
      </c>
      <c r="C154" s="34" t="str">
        <f>'Teams &amp; Draft Order'!$C$14</f>
        <v>Achaians</v>
      </c>
      <c r="D154" s="35"/>
      <c r="E154" s="36" t="str">
        <f>IFERROR(VLOOKUP($D154,PlayerDB!$F$2:$G313,2,FALSE),"")</f>
        <v/>
      </c>
      <c r="F154" s="36" t="str">
        <f>IFERROR(VLOOKUP($D154,PlayerDB!$F$2:$H313,3,FALSE),"")</f>
        <v/>
      </c>
      <c r="G154" s="37" t="str">
        <f>IFERROR(VLOOKUP($D154,PlayerDB!$F$2:$I313,4,FALSE),"")</f>
        <v/>
      </c>
      <c r="H154" s="38"/>
      <c r="I154" s="39" t="str">
        <f>IFERROR(__xludf.DUMMYFUNCTION("JOIN("" | "",'Team Stats'!C$10:H$10)"),"0 | 0 | 0 | 0 | 0 | 0")</f>
        <v>0 | 0 | 0 | 0 | 0 | 0</v>
      </c>
      <c r="J154" s="40" t="str">
        <f>IFERROR(__xludf.DUMMYFUNCTION("JOIN("" | "",'Team Stats'!I$10:K$10)"),"0 | 0 | 0")</f>
        <v>0 | 0 | 0</v>
      </c>
      <c r="L154" s="42"/>
      <c r="M154" s="52"/>
      <c r="N154" s="42"/>
      <c r="O154" s="42"/>
      <c r="P154" s="42"/>
      <c r="Q154" s="52"/>
    </row>
    <row r="155">
      <c r="A155" s="45"/>
      <c r="B155" s="46">
        <v>154.0</v>
      </c>
      <c r="C155" s="46" t="str">
        <f>'Teams &amp; Draft Order'!$C$15</f>
        <v>Daddy's Dogs</v>
      </c>
      <c r="D155" s="47"/>
      <c r="E155" s="48" t="str">
        <f>IFERROR(VLOOKUP($D155,PlayerDB!$F$2:$G313,2,FALSE),"")</f>
        <v/>
      </c>
      <c r="F155" s="48" t="str">
        <f>IFERROR(VLOOKUP($D155,PlayerDB!$F$2:$H313,3,FALSE),"")</f>
        <v/>
      </c>
      <c r="G155" s="49" t="str">
        <f>IFERROR(VLOOKUP($D155,PlayerDB!$F$2:$I313,4,FALSE),"")</f>
        <v/>
      </c>
      <c r="H155" s="38"/>
      <c r="I155" s="50" t="str">
        <f>IFERROR(__xludf.DUMMYFUNCTION("JOIN("" | "",'Team Stats'!C$11:H$11)"),"0 | 0 | 0 | 0 | 0 | 0")</f>
        <v>0 | 0 | 0 | 0 | 0 | 0</v>
      </c>
      <c r="J155" s="51" t="str">
        <f>IFERROR(__xludf.DUMMYFUNCTION("JOIN("" | "",'Team Stats'!I$11:K$11)"),"0 | 0 | 0")</f>
        <v>0 | 0 | 0</v>
      </c>
      <c r="L155" s="42"/>
      <c r="M155" s="52"/>
      <c r="N155" s="42"/>
      <c r="O155" s="42"/>
      <c r="P155" s="42"/>
      <c r="Q155" s="52"/>
    </row>
    <row r="156">
      <c r="A156" s="33"/>
      <c r="B156" s="34">
        <v>155.0</v>
      </c>
      <c r="C156" s="34" t="str">
        <f>'Teams &amp; Draft Order'!$C$16</f>
        <v>TDs and Beers</v>
      </c>
      <c r="D156" s="35"/>
      <c r="E156" s="36" t="str">
        <f>IFERROR(VLOOKUP($D156,PlayerDB!$F$2:$G313,2,FALSE),"")</f>
        <v/>
      </c>
      <c r="F156" s="36" t="str">
        <f>IFERROR(VLOOKUP($D156,PlayerDB!$F$2:$H313,3,FALSE),"")</f>
        <v/>
      </c>
      <c r="G156" s="37" t="str">
        <f>IFERROR(VLOOKUP($D156,PlayerDB!$F$2:$I313,4,FALSE),"")</f>
        <v/>
      </c>
      <c r="H156" s="38"/>
      <c r="I156" s="39" t="str">
        <f>IFERROR(__xludf.DUMMYFUNCTION("JOIN("" | "",'Team Stats'!C$12:H$12)"),"0 | 0 | 0 | 0 | 0 | 0")</f>
        <v>0 | 0 | 0 | 0 | 0 | 0</v>
      </c>
      <c r="J156" s="40" t="str">
        <f>IFERROR(__xludf.DUMMYFUNCTION("JOIN("" | "",'Team Stats'!I$12:K$12)"),"0 | 0 | 0")</f>
        <v>0 | 0 | 0</v>
      </c>
      <c r="L156" s="42"/>
      <c r="M156" s="52"/>
      <c r="N156" s="42"/>
      <c r="O156" s="42"/>
      <c r="P156" s="42"/>
      <c r="Q156" s="52"/>
    </row>
    <row r="157">
      <c r="A157" s="45"/>
      <c r="B157" s="46">
        <v>156.0</v>
      </c>
      <c r="C157" s="46" t="str">
        <f>'Teams &amp; Draft Order'!$C$17</f>
        <v>DD Riders</v>
      </c>
      <c r="D157" s="47"/>
      <c r="E157" s="57" t="str">
        <f>IFERROR(VLOOKUP($D157,PlayerDB!$F$2:$G313,2,FALSE),"")</f>
        <v/>
      </c>
      <c r="F157" s="57" t="str">
        <f>IFERROR(VLOOKUP($D157,PlayerDB!$F$2:$H313,3,FALSE),"")</f>
        <v/>
      </c>
      <c r="G157" s="58" t="str">
        <f>IFERROR(VLOOKUP($D157,PlayerDB!$F$2:$I313,4,FALSE),"")</f>
        <v/>
      </c>
      <c r="H157" s="59"/>
      <c r="I157" s="50" t="str">
        <f>IFERROR(__xludf.DUMMYFUNCTION("JOIN("" | "",'Team Stats'!C$13:H$13)"),"0 | 0 | 0 | 0 | 0 | 0")</f>
        <v>0 | 0 | 0 | 0 | 0 | 0</v>
      </c>
      <c r="J157" s="51" t="str">
        <f>IFERROR(__xludf.DUMMYFUNCTION("JOIN("" | "",'Team Stats'!I$13:K$13)"),"0 | 0 | 0")</f>
        <v>0 | 0 | 0</v>
      </c>
      <c r="L157" s="42"/>
      <c r="M157" s="52"/>
      <c r="N157" s="42"/>
      <c r="O157" s="42"/>
      <c r="P157" s="42"/>
      <c r="Q157" s="52"/>
    </row>
    <row r="158">
      <c r="A158" s="72" t="s">
        <v>98</v>
      </c>
      <c r="B158" s="73">
        <v>157.0</v>
      </c>
      <c r="C158" s="73" t="str">
        <f>'Teams &amp; Draft Order'!$C$17</f>
        <v>DD Riders</v>
      </c>
      <c r="D158" s="74"/>
      <c r="E158" s="36" t="str">
        <f>IFERROR(VLOOKUP($D158,PlayerDB!$F$2:$G313,2,FALSE),"")</f>
        <v/>
      </c>
      <c r="F158" s="36" t="str">
        <f>IFERROR(VLOOKUP($D158,PlayerDB!$F$2:$H313,3,FALSE),"")</f>
        <v/>
      </c>
      <c r="G158" s="37" t="str">
        <f>IFERROR(VLOOKUP($D158,PlayerDB!$F$2:$I313,4,FALSE),"")</f>
        <v/>
      </c>
      <c r="H158" s="38"/>
      <c r="I158" s="76" t="str">
        <f>IFERROR(__xludf.DUMMYFUNCTION("JOIN("" | "",'Team Stats'!C$13:H$13)"),"0 | 0 | 0 | 0 | 0 | 0")</f>
        <v>0 | 0 | 0 | 0 | 0 | 0</v>
      </c>
      <c r="J158" s="62" t="str">
        <f>IFERROR(__xludf.DUMMYFUNCTION("JOIN("" | "",'Team Stats'!I$13:K$13)"),"0 | 0 | 0")</f>
        <v>0 | 0 | 0</v>
      </c>
      <c r="L158" s="42"/>
      <c r="M158" s="52"/>
      <c r="N158" s="42"/>
      <c r="O158" s="42"/>
      <c r="P158" s="42"/>
      <c r="Q158" s="52"/>
    </row>
    <row r="159">
      <c r="A159" s="45"/>
      <c r="B159" s="46">
        <v>158.0</v>
      </c>
      <c r="C159" s="46" t="str">
        <f>'Teams &amp; Draft Order'!$C$16</f>
        <v>TDs and Beers</v>
      </c>
      <c r="D159" s="47"/>
      <c r="E159" s="48" t="str">
        <f>IFERROR(VLOOKUP($D159,PlayerDB!$F$2:$G313,2,FALSE),"")</f>
        <v/>
      </c>
      <c r="F159" s="48" t="str">
        <f>IFERROR(VLOOKUP($D159,PlayerDB!$F$2:$H313,3,FALSE),"")</f>
        <v/>
      </c>
      <c r="G159" s="49" t="str">
        <f>IFERROR(VLOOKUP($D159,PlayerDB!$F$2:$I313,4,FALSE),"")</f>
        <v/>
      </c>
      <c r="H159" s="38"/>
      <c r="I159" s="50" t="str">
        <f>IFERROR(__xludf.DUMMYFUNCTION("JOIN("" | "",'Team Stats'!C$12:H$12)"),"0 | 0 | 0 | 0 | 0 | 0")</f>
        <v>0 | 0 | 0 | 0 | 0 | 0</v>
      </c>
      <c r="J159" s="51" t="str">
        <f>IFERROR(__xludf.DUMMYFUNCTION("JOIN("" | "",'Team Stats'!I$12:K$12)"),"0 | 0 | 0")</f>
        <v>0 | 0 | 0</v>
      </c>
      <c r="L159" s="42"/>
      <c r="M159" s="52"/>
      <c r="N159" s="42"/>
      <c r="O159" s="42"/>
      <c r="P159" s="42"/>
      <c r="Q159" s="52"/>
    </row>
    <row r="160">
      <c r="A160" s="33"/>
      <c r="B160" s="34">
        <v>159.0</v>
      </c>
      <c r="C160" s="34" t="str">
        <f>'Teams &amp; Draft Order'!$C$15</f>
        <v>Daddy's Dogs</v>
      </c>
      <c r="D160" s="35"/>
      <c r="E160" s="36" t="str">
        <f>IFERROR(VLOOKUP($D160,PlayerDB!$F$2:$G313,2,FALSE),"")</f>
        <v/>
      </c>
      <c r="F160" s="36" t="str">
        <f>IFERROR(VLOOKUP($D160,PlayerDB!$F$2:$H313,3,FALSE),"")</f>
        <v/>
      </c>
      <c r="G160" s="37" t="str">
        <f>IFERROR(VLOOKUP($D160,PlayerDB!$F$2:$I313,4,FALSE),"")</f>
        <v/>
      </c>
      <c r="H160" s="38"/>
      <c r="I160" s="39" t="str">
        <f>IFERROR(__xludf.DUMMYFUNCTION("JOIN("" | "",'Team Stats'!C$11:H$11)"),"0 | 0 | 0 | 0 | 0 | 0")</f>
        <v>0 | 0 | 0 | 0 | 0 | 0</v>
      </c>
      <c r="J160" s="40" t="str">
        <f>IFERROR(__xludf.DUMMYFUNCTION("JOIN("" | "",'Team Stats'!I$11:K$11)"),"0 | 0 | 0")</f>
        <v>0 | 0 | 0</v>
      </c>
      <c r="L160" s="42"/>
      <c r="M160" s="52"/>
      <c r="N160" s="42"/>
      <c r="O160" s="42"/>
      <c r="P160" s="42"/>
      <c r="Q160" s="52"/>
    </row>
    <row r="161">
      <c r="A161" s="45"/>
      <c r="B161" s="46">
        <v>160.0</v>
      </c>
      <c r="C161" s="46" t="str">
        <f>'Teams &amp; Draft Order'!$C$14</f>
        <v>Achaians</v>
      </c>
      <c r="D161" s="47"/>
      <c r="E161" s="48" t="str">
        <f>IFERROR(VLOOKUP($D161,PlayerDB!$F$2:$G313,2,FALSE),"")</f>
        <v/>
      </c>
      <c r="F161" s="48" t="str">
        <f>IFERROR(VLOOKUP($D161,PlayerDB!$F$2:$H313,3,FALSE),"")</f>
        <v/>
      </c>
      <c r="G161" s="49" t="str">
        <f>IFERROR(VLOOKUP($D161,PlayerDB!$F$2:$I313,4,FALSE),"")</f>
        <v/>
      </c>
      <c r="H161" s="38"/>
      <c r="I161" s="50" t="str">
        <f>IFERROR(__xludf.DUMMYFUNCTION("JOIN("" | "",'Team Stats'!C$10:H$10)"),"0 | 0 | 0 | 0 | 0 | 0")</f>
        <v>0 | 0 | 0 | 0 | 0 | 0</v>
      </c>
      <c r="J161" s="51" t="str">
        <f>IFERROR(__xludf.DUMMYFUNCTION("JOIN("" | "",'Team Stats'!I$10:K$10)"),"0 | 0 | 0")</f>
        <v>0 | 0 | 0</v>
      </c>
      <c r="L161" s="42"/>
      <c r="M161" s="52"/>
      <c r="N161" s="42"/>
      <c r="O161" s="42"/>
      <c r="P161" s="42"/>
      <c r="Q161" s="52"/>
    </row>
    <row r="162">
      <c r="A162" s="33"/>
      <c r="B162" s="34">
        <v>161.0</v>
      </c>
      <c r="C162" s="34" t="str">
        <f>'Teams &amp; Draft Order'!$C$13</f>
        <v>Luddite</v>
      </c>
      <c r="D162" s="35"/>
      <c r="E162" s="36" t="str">
        <f>IFERROR(VLOOKUP($D162,PlayerDB!$F$2:$G313,2,FALSE),"")</f>
        <v/>
      </c>
      <c r="F162" s="36" t="str">
        <f>IFERROR(VLOOKUP($D162,PlayerDB!$F$2:$H313,3,FALSE),"")</f>
        <v/>
      </c>
      <c r="G162" s="37" t="str">
        <f>IFERROR(VLOOKUP($D162,PlayerDB!$F$2:$I313,4,FALSE),"")</f>
        <v/>
      </c>
      <c r="H162" s="38"/>
      <c r="I162" s="39" t="str">
        <f>IFERROR(__xludf.DUMMYFUNCTION("JOIN("" | "",'Team Stats'!C$9:H$9)"),"0 | 0 | 0 | 0 | 0 | 0")</f>
        <v>0 | 0 | 0 | 0 | 0 | 0</v>
      </c>
      <c r="J162" s="40" t="str">
        <f>IFERROR(__xludf.DUMMYFUNCTION("JOIN("" | "",'Team Stats'!I$9:K$9)"),"0 | 0 | 0")</f>
        <v>0 | 0 | 0</v>
      </c>
      <c r="L162" s="42"/>
      <c r="M162" s="52"/>
      <c r="N162" s="42"/>
      <c r="O162" s="42"/>
      <c r="P162" s="42"/>
      <c r="Q162" s="52"/>
    </row>
    <row r="163">
      <c r="A163" s="45"/>
      <c r="B163" s="46">
        <v>162.0</v>
      </c>
      <c r="C163" s="46" t="str">
        <f>'Teams &amp; Draft Order'!$C$12</f>
        <v>Turbo-Ginz</v>
      </c>
      <c r="D163" s="47"/>
      <c r="E163" s="48" t="str">
        <f>IFERROR(VLOOKUP($D163,PlayerDB!$F$2:$G313,2,FALSE),"")</f>
        <v/>
      </c>
      <c r="F163" s="48" t="str">
        <f>IFERROR(VLOOKUP($D163,PlayerDB!$F$2:$H313,3,FALSE),"")</f>
        <v/>
      </c>
      <c r="G163" s="49" t="str">
        <f>IFERROR(VLOOKUP($D163,PlayerDB!$F$2:$I313,4,FALSE),"")</f>
        <v/>
      </c>
      <c r="H163" s="38"/>
      <c r="I163" s="50" t="str">
        <f>IFERROR(__xludf.DUMMYFUNCTION("JOIN("" | "",'Team Stats'!C$8:H$8)"),"0 | 0 | 0 | 0 | 0 | 0")</f>
        <v>0 | 0 | 0 | 0 | 0 | 0</v>
      </c>
      <c r="J163" s="51" t="str">
        <f>IFERROR(__xludf.DUMMYFUNCTION("JOIN("" | "",'Team Stats'!I$8:K$8)"),"0 | 0 | 0")</f>
        <v>0 | 0 | 0</v>
      </c>
      <c r="L163" s="42"/>
      <c r="M163" s="52"/>
      <c r="N163" s="42"/>
      <c r="O163" s="42"/>
      <c r="P163" s="42"/>
      <c r="Q163" s="52"/>
    </row>
    <row r="164">
      <c r="A164" s="33"/>
      <c r="B164" s="34">
        <v>163.0</v>
      </c>
      <c r="C164" s="34" t="str">
        <f>'Teams &amp; Draft Order'!$C$11</f>
        <v>Big Boys Big Work</v>
      </c>
      <c r="D164" s="35"/>
      <c r="E164" s="36" t="str">
        <f>IFERROR(VLOOKUP($D164,PlayerDB!$F$2:$G313,2,FALSE),"")</f>
        <v/>
      </c>
      <c r="F164" s="36" t="str">
        <f>IFERROR(VLOOKUP($D164,PlayerDB!$F$2:$H313,3,FALSE),"")</f>
        <v/>
      </c>
      <c r="G164" s="37" t="str">
        <f>IFERROR(VLOOKUP($D164,PlayerDB!$F$2:$I313,4,FALSE),"")</f>
        <v/>
      </c>
      <c r="H164" s="38"/>
      <c r="I164" s="39" t="str">
        <f>IFERROR(__xludf.DUMMYFUNCTION("JOIN("" | "",'Team Stats'!C$7:H$7)"),"0 | 0 | 0 | 0 | 0 | 0")</f>
        <v>0 | 0 | 0 | 0 | 0 | 0</v>
      </c>
      <c r="J164" s="40" t="str">
        <f>IFERROR(__xludf.DUMMYFUNCTION("JOIN("" | "",'Team Stats'!I$7:K$7)"),"0 | 0 | 0")</f>
        <v>0 | 0 | 0</v>
      </c>
      <c r="L164" s="42"/>
      <c r="M164" s="52"/>
      <c r="N164" s="42"/>
      <c r="O164" s="42"/>
      <c r="P164" s="42"/>
      <c r="Q164" s="52"/>
    </row>
    <row r="165">
      <c r="A165" s="45"/>
      <c r="B165" s="46">
        <v>164.0</v>
      </c>
      <c r="C165" s="46" t="str">
        <f>'Teams &amp; Draft Order'!$C$10</f>
        <v>Buttheads</v>
      </c>
      <c r="D165" s="47"/>
      <c r="E165" s="48" t="str">
        <f>IFERROR(VLOOKUP($D165,PlayerDB!$F$2:$G313,2,FALSE),"")</f>
        <v/>
      </c>
      <c r="F165" s="48" t="str">
        <f>IFERROR(VLOOKUP($D165,PlayerDB!$F$2:$H313,3,FALSE),"")</f>
        <v/>
      </c>
      <c r="G165" s="49" t="str">
        <f>IFERROR(VLOOKUP($D165,PlayerDB!$F$2:$I313,4,FALSE),"")</f>
        <v/>
      </c>
      <c r="H165" s="38"/>
      <c r="I165" s="50" t="str">
        <f>IFERROR(__xludf.DUMMYFUNCTION("JOIN("" | "",'Team Stats'!C$6:H$6)"),"0 | 0 | 0 | 0 | 0 | 0")</f>
        <v>0 | 0 | 0 | 0 | 0 | 0</v>
      </c>
      <c r="J165" s="51" t="str">
        <f>IFERROR(__xludf.DUMMYFUNCTION("JOIN("" | "",'Team Stats'!I$6:K$6)"),"0 | 0 | 0")</f>
        <v>0 | 0 | 0</v>
      </c>
      <c r="L165" s="42"/>
      <c r="M165" s="52"/>
      <c r="N165" s="42"/>
      <c r="O165" s="42"/>
      <c r="P165" s="42"/>
      <c r="Q165" s="52"/>
    </row>
    <row r="166">
      <c r="A166" s="33"/>
      <c r="B166" s="34">
        <v>165.0</v>
      </c>
      <c r="C166" s="34" t="str">
        <f>'Teams &amp; Draft Order'!$C$9</f>
        <v>El Nino</v>
      </c>
      <c r="D166" s="35"/>
      <c r="E166" s="36" t="str">
        <f>IFERROR(VLOOKUP($D166,PlayerDB!$F$2:$G313,2,FALSE),"")</f>
        <v/>
      </c>
      <c r="F166" s="36" t="str">
        <f>IFERROR(VLOOKUP($D166,PlayerDB!$F$2:$H313,3,FALSE),"")</f>
        <v/>
      </c>
      <c r="G166" s="37" t="str">
        <f>IFERROR(VLOOKUP($D166,PlayerDB!$F$2:$I313,4,FALSE),"")</f>
        <v/>
      </c>
      <c r="H166" s="38"/>
      <c r="I166" s="39" t="str">
        <f>IFERROR(__xludf.DUMMYFUNCTION("JOIN("" | "",'Team Stats'!C$5:H$5)"),"0 | 0 | 0 | 0 | 0 | 0")</f>
        <v>0 | 0 | 0 | 0 | 0 | 0</v>
      </c>
      <c r="J166" s="40" t="str">
        <f>IFERROR(__xludf.DUMMYFUNCTION("JOIN("" | "",'Team Stats'!I$5:K$5)"),"0 | 0 | 0")</f>
        <v>0 | 0 | 0</v>
      </c>
      <c r="L166" s="42"/>
      <c r="M166" s="52"/>
      <c r="N166" s="42"/>
      <c r="O166" s="42"/>
      <c r="P166" s="42"/>
      <c r="Q166" s="52"/>
    </row>
    <row r="167">
      <c r="A167" s="45"/>
      <c r="B167" s="46">
        <v>166.0</v>
      </c>
      <c r="C167" s="46" t="str">
        <f>'Teams &amp; Draft Order'!$C$8</f>
        <v>Icelanders</v>
      </c>
      <c r="D167" s="47"/>
      <c r="E167" s="48" t="str">
        <f>IFERROR(VLOOKUP($D167,PlayerDB!$F$2:$G313,2,FALSE),"")</f>
        <v/>
      </c>
      <c r="F167" s="48" t="str">
        <f>IFERROR(VLOOKUP($D167,PlayerDB!$F$2:$H313,3,FALSE),"")</f>
        <v/>
      </c>
      <c r="G167" s="49" t="str">
        <f>IFERROR(VLOOKUP($D167,PlayerDB!$F$2:$I313,4,FALSE),"")</f>
        <v/>
      </c>
      <c r="H167" s="38"/>
      <c r="I167" s="50" t="str">
        <f>IFERROR(__xludf.DUMMYFUNCTION("JOIN("" | "",'Team Stats'!C$4:H$4)"),"0 | 0 | 0 | 0 | 0 | 0")</f>
        <v>0 | 0 | 0 | 0 | 0 | 0</v>
      </c>
      <c r="J167" s="51" t="str">
        <f>IFERROR(__xludf.DUMMYFUNCTION("JOIN("" | "",'Team Stats'!I$4:K$4)"),"0 | 0 | 0")</f>
        <v>0 | 0 | 0</v>
      </c>
      <c r="L167" s="42"/>
      <c r="M167" s="42"/>
      <c r="N167" s="42"/>
      <c r="O167" s="42"/>
      <c r="P167" s="42"/>
      <c r="Q167" s="42"/>
    </row>
    <row r="168">
      <c r="A168" s="33"/>
      <c r="B168" s="34">
        <v>167.0</v>
      </c>
      <c r="C168" s="34" t="str">
        <f>'Teams &amp; Draft Order'!$C$7</f>
        <v>Phantasm</v>
      </c>
      <c r="D168" s="35"/>
      <c r="E168" s="36" t="str">
        <f>IFERROR(VLOOKUP($D168,PlayerDB!$F$2:$G313,2,FALSE),"")</f>
        <v/>
      </c>
      <c r="F168" s="36" t="str">
        <f>IFERROR(VLOOKUP($D168,PlayerDB!$F$2:$H313,3,FALSE),"")</f>
        <v/>
      </c>
      <c r="G168" s="37" t="str">
        <f>IFERROR(VLOOKUP($D168,PlayerDB!$F$2:$I313,4,FALSE),"")</f>
        <v/>
      </c>
      <c r="H168" s="38"/>
      <c r="I168" s="39" t="str">
        <f>IFERROR(__xludf.DUMMYFUNCTION("JOIN("" | "",'Team Stats'!C$3:H$3)"),"0 | 0 | 0 | 0 | 0 | 0")</f>
        <v>0 | 0 | 0 | 0 | 0 | 0</v>
      </c>
      <c r="J168" s="40" t="str">
        <f>IFERROR(__xludf.DUMMYFUNCTION("JOIN("" | "",'Team Stats'!I$3:K$3)"),"0 | 0 | 0")</f>
        <v>0 | 0 | 0</v>
      </c>
      <c r="L168" s="42"/>
      <c r="M168" s="42"/>
      <c r="N168" s="42"/>
      <c r="O168" s="42"/>
      <c r="P168" s="42"/>
      <c r="Q168" s="42"/>
    </row>
    <row r="169">
      <c r="A169" s="45"/>
      <c r="B169" s="46">
        <v>168.0</v>
      </c>
      <c r="C169" s="46" t="str">
        <f>'Teams &amp; Draft Order'!$C$6</f>
        <v>Sleeper Cell </v>
      </c>
      <c r="D169" s="47"/>
      <c r="E169" s="57" t="str">
        <f>IFERROR(VLOOKUP($D169,PlayerDB!$F$2:$G313,2,FALSE),"")</f>
        <v/>
      </c>
      <c r="F169" s="57" t="str">
        <f>IFERROR(VLOOKUP($D169,PlayerDB!$F$2:$H313,3,FALSE),"")</f>
        <v/>
      </c>
      <c r="G169" s="58" t="str">
        <f>IFERROR(VLOOKUP($D169,PlayerDB!$F$2:$I313,4,FALSE),"")</f>
        <v/>
      </c>
      <c r="H169" s="59"/>
      <c r="I169" s="60" t="str">
        <f>IFERROR(__xludf.DUMMYFUNCTION("JOIN("" | "",'Team Stats'!C$2:H$2)"),"1 | 0 | 0 | 0 | 0 | 0")</f>
        <v>1 | 0 | 0 | 0 | 0 | 0</v>
      </c>
      <c r="J169" s="64" t="str">
        <f>IFERROR(__xludf.DUMMYFUNCTION("JOIN("" | "",'Team Stats'!I$2:K$2)"),"0 | 0 | 0")</f>
        <v>0 | 0 | 0</v>
      </c>
      <c r="L169" s="42"/>
      <c r="M169" s="42"/>
      <c r="N169" s="42"/>
      <c r="O169" s="42"/>
      <c r="P169" s="42"/>
      <c r="Q169" s="42"/>
    </row>
    <row r="170">
      <c r="A170" s="72" t="s">
        <v>99</v>
      </c>
      <c r="B170" s="73">
        <v>169.0</v>
      </c>
      <c r="C170" s="73" t="str">
        <f>'Teams &amp; Draft Order'!$C$6</f>
        <v>Sleeper Cell </v>
      </c>
      <c r="D170" s="74"/>
      <c r="E170" s="36" t="str">
        <f>IFERROR(VLOOKUP($D170,PlayerDB!$F$2:$G313,2,FALSE),"")</f>
        <v/>
      </c>
      <c r="F170" s="36" t="str">
        <f>IFERROR(VLOOKUP($D170,PlayerDB!$F$2:$H313,3,FALSE),"")</f>
        <v/>
      </c>
      <c r="G170" s="37" t="str">
        <f>IFERROR(VLOOKUP($D170,PlayerDB!$F$2:$I313,4,FALSE),"")</f>
        <v/>
      </c>
      <c r="H170" s="38"/>
      <c r="I170" s="39" t="str">
        <f>IFERROR(__xludf.DUMMYFUNCTION("JOIN("" | "",'Team Stats'!C$2:H$2)"),"1 | 0 | 0 | 0 | 0 | 0")</f>
        <v>1 | 0 | 0 | 0 | 0 | 0</v>
      </c>
      <c r="J170" s="40" t="str">
        <f>IFERROR(__xludf.DUMMYFUNCTION("JOIN("" | "",'Team Stats'!I$2:K$2)"),"0 | 0 | 0")</f>
        <v>0 | 0 | 0</v>
      </c>
      <c r="L170" s="71"/>
      <c r="M170" s="44"/>
      <c r="N170" s="42"/>
      <c r="O170" s="42"/>
      <c r="P170" s="42"/>
      <c r="Q170" s="42"/>
    </row>
    <row r="171">
      <c r="A171" s="45"/>
      <c r="B171" s="46">
        <v>170.0</v>
      </c>
      <c r="C171" s="46" t="str">
        <f>'Teams &amp; Draft Order'!$C$7</f>
        <v>Phantasm</v>
      </c>
      <c r="D171" s="47"/>
      <c r="E171" s="48" t="str">
        <f>IFERROR(VLOOKUP($D171,PlayerDB!$F$2:$G313,2,FALSE),"")</f>
        <v/>
      </c>
      <c r="F171" s="48" t="str">
        <f>IFERROR(VLOOKUP($D171,PlayerDB!$F$2:$H313,3,FALSE),"")</f>
        <v/>
      </c>
      <c r="G171" s="49" t="str">
        <f>IFERROR(VLOOKUP($D171,PlayerDB!$F$2:$I313,4,FALSE),"")</f>
        <v/>
      </c>
      <c r="H171" s="38"/>
      <c r="I171" s="50" t="str">
        <f>IFERROR(__xludf.DUMMYFUNCTION("JOIN("" | "",'Team Stats'!C$3:H$3)"),"0 | 0 | 0 | 0 | 0 | 0")</f>
        <v>0 | 0 | 0 | 0 | 0 | 0</v>
      </c>
      <c r="J171" s="51" t="str">
        <f>IFERROR(__xludf.DUMMYFUNCTION("JOIN("" | "",'Team Stats'!I$3:K$3)"),"0 | 0 | 0")</f>
        <v>0 | 0 | 0</v>
      </c>
      <c r="L171" s="42"/>
      <c r="M171" s="52"/>
      <c r="N171" s="42"/>
      <c r="O171" s="42"/>
      <c r="P171" s="42"/>
      <c r="Q171" s="42"/>
    </row>
    <row r="172">
      <c r="A172" s="33"/>
      <c r="B172" s="34">
        <v>171.0</v>
      </c>
      <c r="C172" s="34" t="str">
        <f>'Teams &amp; Draft Order'!$C$8</f>
        <v>Icelanders</v>
      </c>
      <c r="D172" s="35"/>
      <c r="E172" s="36" t="str">
        <f>IFERROR(VLOOKUP($D172,PlayerDB!$F$2:$G313,2,FALSE),"")</f>
        <v/>
      </c>
      <c r="F172" s="36" t="str">
        <f>IFERROR(VLOOKUP($D172,PlayerDB!$F$2:$H313,3,FALSE),"")</f>
        <v/>
      </c>
      <c r="G172" s="37" t="str">
        <f>IFERROR(VLOOKUP($D172,PlayerDB!$F$2:$I313,4,FALSE),"")</f>
        <v/>
      </c>
      <c r="H172" s="38"/>
      <c r="I172" s="39" t="str">
        <f>IFERROR(__xludf.DUMMYFUNCTION("JOIN("" | "",'Team Stats'!C$4:H$4)"),"0 | 0 | 0 | 0 | 0 | 0")</f>
        <v>0 | 0 | 0 | 0 | 0 | 0</v>
      </c>
      <c r="J172" s="40" t="str">
        <f>IFERROR(__xludf.DUMMYFUNCTION("JOIN("" | "",'Team Stats'!I$4:K$4)"),"0 | 0 | 0")</f>
        <v>0 | 0 | 0</v>
      </c>
      <c r="L172" s="42"/>
      <c r="M172" s="52"/>
      <c r="N172" s="42"/>
      <c r="O172" s="42"/>
      <c r="P172" s="42"/>
      <c r="Q172" s="42"/>
    </row>
    <row r="173">
      <c r="A173" s="45"/>
      <c r="B173" s="46">
        <v>172.0</v>
      </c>
      <c r="C173" s="46" t="str">
        <f>'Teams &amp; Draft Order'!$C$9</f>
        <v>El Nino</v>
      </c>
      <c r="D173" s="47"/>
      <c r="E173" s="48" t="str">
        <f>IFERROR(VLOOKUP($D173,PlayerDB!$F$2:$G313,2,FALSE),"")</f>
        <v/>
      </c>
      <c r="F173" s="48" t="str">
        <f>IFERROR(VLOOKUP($D173,PlayerDB!$F$2:$H313,3,FALSE),"")</f>
        <v/>
      </c>
      <c r="G173" s="49" t="str">
        <f>IFERROR(VLOOKUP($D173,PlayerDB!$F$2:$I313,4,FALSE),"")</f>
        <v/>
      </c>
      <c r="H173" s="38"/>
      <c r="I173" s="50" t="str">
        <f>IFERROR(__xludf.DUMMYFUNCTION("JOIN("" | "",'Team Stats'!C$5:H$5)"),"0 | 0 | 0 | 0 | 0 | 0")</f>
        <v>0 | 0 | 0 | 0 | 0 | 0</v>
      </c>
      <c r="J173" s="51" t="str">
        <f>IFERROR(__xludf.DUMMYFUNCTION("JOIN("" | "",'Team Stats'!I$5:K$5)"),"0 | 0 | 0")</f>
        <v>0 | 0 | 0</v>
      </c>
      <c r="L173" s="42"/>
      <c r="M173" s="52"/>
      <c r="N173" s="42"/>
      <c r="O173" s="42"/>
      <c r="P173" s="42"/>
      <c r="Q173" s="42"/>
    </row>
    <row r="174">
      <c r="A174" s="33"/>
      <c r="B174" s="34">
        <v>173.0</v>
      </c>
      <c r="C174" s="34" t="str">
        <f>'Teams &amp; Draft Order'!$C$10</f>
        <v>Buttheads</v>
      </c>
      <c r="D174" s="35"/>
      <c r="E174" s="36" t="str">
        <f>IFERROR(VLOOKUP($D174,PlayerDB!$F$2:$G313,2,FALSE),"")</f>
        <v/>
      </c>
      <c r="F174" s="36" t="str">
        <f>IFERROR(VLOOKUP($D174,PlayerDB!$F$2:$H313,3,FALSE),"")</f>
        <v/>
      </c>
      <c r="G174" s="37" t="str">
        <f>IFERROR(VLOOKUP($D174,PlayerDB!$F$2:$I313,4,FALSE),"")</f>
        <v/>
      </c>
      <c r="H174" s="38"/>
      <c r="I174" s="39" t="str">
        <f>IFERROR(__xludf.DUMMYFUNCTION("JOIN("" | "",'Team Stats'!C$6:H$6)"),"0 | 0 | 0 | 0 | 0 | 0")</f>
        <v>0 | 0 | 0 | 0 | 0 | 0</v>
      </c>
      <c r="J174" s="40" t="str">
        <f>IFERROR(__xludf.DUMMYFUNCTION("JOIN("" | "",'Team Stats'!I$6:K$6)"),"0 | 0 | 0")</f>
        <v>0 | 0 | 0</v>
      </c>
      <c r="L174" s="42"/>
      <c r="M174" s="52"/>
      <c r="N174" s="42"/>
      <c r="O174" s="42"/>
      <c r="P174" s="42"/>
      <c r="Q174" s="42"/>
    </row>
    <row r="175">
      <c r="A175" s="45"/>
      <c r="B175" s="46">
        <v>174.0</v>
      </c>
      <c r="C175" s="46" t="str">
        <f>'Teams &amp; Draft Order'!$C$11</f>
        <v>Big Boys Big Work</v>
      </c>
      <c r="D175" s="47"/>
      <c r="E175" s="48" t="str">
        <f>IFERROR(VLOOKUP($D175,PlayerDB!$F$2:$G313,2,FALSE),"")</f>
        <v/>
      </c>
      <c r="F175" s="48" t="str">
        <f>IFERROR(VLOOKUP($D175,PlayerDB!$F$2:$H313,3,FALSE),"")</f>
        <v/>
      </c>
      <c r="G175" s="49" t="str">
        <f>IFERROR(VLOOKUP($D175,PlayerDB!$F$2:$I313,4,FALSE),"")</f>
        <v/>
      </c>
      <c r="H175" s="38"/>
      <c r="I175" s="50" t="str">
        <f>IFERROR(__xludf.DUMMYFUNCTION("JOIN("" | "",'Team Stats'!C$7:H$7)"),"0 | 0 | 0 | 0 | 0 | 0")</f>
        <v>0 | 0 | 0 | 0 | 0 | 0</v>
      </c>
      <c r="J175" s="51" t="str">
        <f>IFERROR(__xludf.DUMMYFUNCTION("JOIN("" | "",'Team Stats'!I$7:K$7)"),"0 | 0 | 0")</f>
        <v>0 | 0 | 0</v>
      </c>
      <c r="L175" s="42"/>
      <c r="M175" s="52"/>
      <c r="N175" s="42"/>
      <c r="O175" s="42"/>
      <c r="P175" s="42"/>
      <c r="Q175" s="42"/>
    </row>
    <row r="176">
      <c r="A176" s="33"/>
      <c r="B176" s="34">
        <v>175.0</v>
      </c>
      <c r="C176" s="34" t="str">
        <f>'Teams &amp; Draft Order'!$C$12</f>
        <v>Turbo-Ginz</v>
      </c>
      <c r="D176" s="35"/>
      <c r="E176" s="36" t="str">
        <f>IFERROR(VLOOKUP($D176,PlayerDB!$F$2:$G313,2,FALSE),"")</f>
        <v/>
      </c>
      <c r="F176" s="36" t="str">
        <f>IFERROR(VLOOKUP($D176,PlayerDB!$F$2:$H313,3,FALSE),"")</f>
        <v/>
      </c>
      <c r="G176" s="37" t="str">
        <f>IFERROR(VLOOKUP($D176,PlayerDB!$F$2:$I313,4,FALSE),"")</f>
        <v/>
      </c>
      <c r="H176" s="38"/>
      <c r="I176" s="39" t="str">
        <f>IFERROR(__xludf.DUMMYFUNCTION("JOIN("" | "",'Team Stats'!C$8:H$8)"),"0 | 0 | 0 | 0 | 0 | 0")</f>
        <v>0 | 0 | 0 | 0 | 0 | 0</v>
      </c>
      <c r="J176" s="40" t="str">
        <f>IFERROR(__xludf.DUMMYFUNCTION("JOIN("" | "",'Team Stats'!I$8:K$8)"),"0 | 0 | 0")</f>
        <v>0 | 0 | 0</v>
      </c>
      <c r="L176" s="42"/>
      <c r="M176" s="52"/>
      <c r="N176" s="42"/>
      <c r="O176" s="42"/>
      <c r="P176" s="42"/>
      <c r="Q176" s="42"/>
    </row>
    <row r="177">
      <c r="A177" s="45"/>
      <c r="B177" s="46">
        <v>176.0</v>
      </c>
      <c r="C177" s="46" t="str">
        <f>'Teams &amp; Draft Order'!$C$13</f>
        <v>Luddite</v>
      </c>
      <c r="D177" s="47"/>
      <c r="E177" s="48" t="str">
        <f>IFERROR(VLOOKUP($D177,PlayerDB!$F$2:$G313,2,FALSE),"")</f>
        <v/>
      </c>
      <c r="F177" s="48" t="str">
        <f>IFERROR(VLOOKUP($D177,PlayerDB!$F$2:$H313,3,FALSE),"")</f>
        <v/>
      </c>
      <c r="G177" s="49" t="str">
        <f>IFERROR(VLOOKUP($D177,PlayerDB!$F$2:$I313,4,FALSE),"")</f>
        <v/>
      </c>
      <c r="H177" s="38"/>
      <c r="I177" s="50" t="str">
        <f>IFERROR(__xludf.DUMMYFUNCTION("JOIN("" | "",'Team Stats'!C$9:H$9)"),"0 | 0 | 0 | 0 | 0 | 0")</f>
        <v>0 | 0 | 0 | 0 | 0 | 0</v>
      </c>
      <c r="J177" s="51" t="str">
        <f>IFERROR(__xludf.DUMMYFUNCTION("JOIN("" | "",'Team Stats'!I$9:K$9)"),"0 | 0 | 0")</f>
        <v>0 | 0 | 0</v>
      </c>
      <c r="L177" s="42"/>
      <c r="M177" s="52"/>
      <c r="N177" s="42"/>
      <c r="O177" s="42"/>
      <c r="P177" s="42"/>
      <c r="Q177" s="42"/>
    </row>
    <row r="178">
      <c r="A178" s="33"/>
      <c r="B178" s="34">
        <v>177.0</v>
      </c>
      <c r="C178" s="34" t="str">
        <f>'Teams &amp; Draft Order'!$C$14</f>
        <v>Achaians</v>
      </c>
      <c r="D178" s="35"/>
      <c r="E178" s="36" t="str">
        <f>IFERROR(VLOOKUP($D178,PlayerDB!$F$2:$G313,2,FALSE),"")</f>
        <v/>
      </c>
      <c r="F178" s="36" t="str">
        <f>IFERROR(VLOOKUP($D178,PlayerDB!$F$2:$H313,3,FALSE),"")</f>
        <v/>
      </c>
      <c r="G178" s="37" t="str">
        <f>IFERROR(VLOOKUP($D178,PlayerDB!$F$2:$I313,4,FALSE),"")</f>
        <v/>
      </c>
      <c r="H178" s="38"/>
      <c r="I178" s="39" t="str">
        <f>IFERROR(__xludf.DUMMYFUNCTION("JOIN("" | "",'Team Stats'!C$10:H$10)"),"0 | 0 | 0 | 0 | 0 | 0")</f>
        <v>0 | 0 | 0 | 0 | 0 | 0</v>
      </c>
      <c r="J178" s="40" t="str">
        <f>IFERROR(__xludf.DUMMYFUNCTION("JOIN("" | "",'Team Stats'!I$10:K$10)"),"0 | 0 | 0")</f>
        <v>0 | 0 | 0</v>
      </c>
      <c r="L178" s="42"/>
      <c r="M178" s="52"/>
      <c r="N178" s="42"/>
      <c r="O178" s="42"/>
      <c r="P178" s="42"/>
      <c r="Q178" s="42"/>
    </row>
    <row r="179">
      <c r="A179" s="45"/>
      <c r="B179" s="46">
        <v>178.0</v>
      </c>
      <c r="C179" s="46" t="str">
        <f>'Teams &amp; Draft Order'!$C$15</f>
        <v>Daddy's Dogs</v>
      </c>
      <c r="D179" s="47"/>
      <c r="E179" s="48" t="str">
        <f>IFERROR(VLOOKUP($D179,PlayerDB!$F$2:$G313,2,FALSE),"")</f>
        <v/>
      </c>
      <c r="F179" s="48" t="str">
        <f>IFERROR(VLOOKUP($D179,PlayerDB!$F$2:$H313,3,FALSE),"")</f>
        <v/>
      </c>
      <c r="G179" s="49" t="str">
        <f>IFERROR(VLOOKUP($D179,PlayerDB!$F$2:$I313,4,FALSE),"")</f>
        <v/>
      </c>
      <c r="H179" s="38"/>
      <c r="I179" s="50" t="str">
        <f>IFERROR(__xludf.DUMMYFUNCTION("JOIN("" | "",'Team Stats'!C$11:H$11)"),"0 | 0 | 0 | 0 | 0 | 0")</f>
        <v>0 | 0 | 0 | 0 | 0 | 0</v>
      </c>
      <c r="J179" s="51" t="str">
        <f>IFERROR(__xludf.DUMMYFUNCTION("JOIN("" | "",'Team Stats'!I$11:K$11)"),"0 | 0 | 0")</f>
        <v>0 | 0 | 0</v>
      </c>
      <c r="L179" s="42"/>
      <c r="M179" s="52"/>
      <c r="N179" s="42"/>
      <c r="O179" s="42"/>
      <c r="P179" s="42"/>
      <c r="Q179" s="42"/>
    </row>
    <row r="180">
      <c r="A180" s="33"/>
      <c r="B180" s="34">
        <v>179.0</v>
      </c>
      <c r="C180" s="34" t="str">
        <f>'Teams &amp; Draft Order'!$C$16</f>
        <v>TDs and Beers</v>
      </c>
      <c r="D180" s="35"/>
      <c r="E180" s="36" t="str">
        <f>IFERROR(VLOOKUP($D180,PlayerDB!$F$2:$G313,2,FALSE),"")</f>
        <v/>
      </c>
      <c r="F180" s="36" t="str">
        <f>IFERROR(VLOOKUP($D180,PlayerDB!$F$2:$H313,3,FALSE),"")</f>
        <v/>
      </c>
      <c r="G180" s="37" t="str">
        <f>IFERROR(VLOOKUP($D180,PlayerDB!$F$2:$I313,4,FALSE),"")</f>
        <v/>
      </c>
      <c r="H180" s="38"/>
      <c r="I180" s="39" t="str">
        <f>IFERROR(__xludf.DUMMYFUNCTION("JOIN("" | "",'Team Stats'!C$12:H$12)"),"0 | 0 | 0 | 0 | 0 | 0")</f>
        <v>0 | 0 | 0 | 0 | 0 | 0</v>
      </c>
      <c r="J180" s="40" t="str">
        <f>IFERROR(__xludf.DUMMYFUNCTION("JOIN("" | "",'Team Stats'!I$12:K$12)"),"0 | 0 | 0")</f>
        <v>0 | 0 | 0</v>
      </c>
      <c r="L180" s="42"/>
      <c r="M180" s="52"/>
      <c r="N180" s="42"/>
      <c r="O180" s="42"/>
      <c r="P180" s="42"/>
      <c r="Q180" s="42"/>
    </row>
    <row r="181">
      <c r="A181" s="45"/>
      <c r="B181" s="46">
        <v>180.0</v>
      </c>
      <c r="C181" s="46" t="str">
        <f>'Teams &amp; Draft Order'!$C$17</f>
        <v>DD Riders</v>
      </c>
      <c r="D181" s="47"/>
      <c r="E181" s="57" t="str">
        <f>IFERROR(VLOOKUP($D181,PlayerDB!$F$2:$G313,2,FALSE),"")</f>
        <v/>
      </c>
      <c r="F181" s="57" t="str">
        <f>IFERROR(VLOOKUP($D181,PlayerDB!$F$2:$H313,3,FALSE),"")</f>
        <v/>
      </c>
      <c r="G181" s="58" t="str">
        <f>IFERROR(VLOOKUP($D181,PlayerDB!$F$2:$I313,4,FALSE),"")</f>
        <v/>
      </c>
      <c r="H181" s="59"/>
      <c r="I181" s="50" t="str">
        <f>IFERROR(__xludf.DUMMYFUNCTION("JOIN("" | "",'Team Stats'!C$13:H$13)"),"0 | 0 | 0 | 0 | 0 | 0")</f>
        <v>0 | 0 | 0 | 0 | 0 | 0</v>
      </c>
      <c r="J181" s="51" t="str">
        <f>IFERROR(__xludf.DUMMYFUNCTION("JOIN("" | "",'Team Stats'!I$13:K$13)"),"0 | 0 | 0")</f>
        <v>0 | 0 | 0</v>
      </c>
      <c r="L181" s="42"/>
      <c r="M181" s="52"/>
      <c r="N181" s="42"/>
      <c r="O181" s="42"/>
      <c r="P181" s="42"/>
      <c r="Q181" s="42"/>
    </row>
    <row r="182">
      <c r="A182" s="72" t="s">
        <v>100</v>
      </c>
      <c r="B182" s="73">
        <v>181.0</v>
      </c>
      <c r="C182" s="73" t="str">
        <f>'Teams &amp; Draft Order'!$C$17</f>
        <v>DD Riders</v>
      </c>
      <c r="D182" s="74"/>
      <c r="E182" s="36" t="str">
        <f>IFERROR(VLOOKUP($D182,PlayerDB!$F$2:$G313,2,FALSE),"")</f>
        <v/>
      </c>
      <c r="F182" s="36" t="str">
        <f>IFERROR(VLOOKUP($D182,PlayerDB!$F$2:$H313,3,FALSE),"")</f>
        <v/>
      </c>
      <c r="G182" s="37" t="str">
        <f>IFERROR(VLOOKUP($D182,PlayerDB!$F$2:$I313,4,FALSE),"")</f>
        <v/>
      </c>
      <c r="H182" s="38"/>
      <c r="I182" s="76" t="str">
        <f>IFERROR(__xludf.DUMMYFUNCTION("JOIN("" | "",'Team Stats'!C$13:H$13)"),"0 | 0 | 0 | 0 | 0 | 0")</f>
        <v>0 | 0 | 0 | 0 | 0 | 0</v>
      </c>
      <c r="J182" s="62" t="str">
        <f>IFERROR(__xludf.DUMMYFUNCTION("JOIN("" | "",'Team Stats'!I$13:K$13)"),"0 | 0 | 0")</f>
        <v>0 | 0 | 0</v>
      </c>
      <c r="L182" s="42"/>
      <c r="M182" s="52"/>
      <c r="N182" s="42"/>
      <c r="O182" s="42"/>
      <c r="P182" s="42"/>
      <c r="Q182" s="42"/>
    </row>
    <row r="183">
      <c r="A183" s="82"/>
      <c r="B183" s="46">
        <v>182.0</v>
      </c>
      <c r="C183" s="46" t="str">
        <f>'Teams &amp; Draft Order'!$C$16</f>
        <v>TDs and Beers</v>
      </c>
      <c r="D183" s="47"/>
      <c r="E183" s="48" t="str">
        <f>IFERROR(VLOOKUP($D183,PlayerDB!$F$2:$G313,2,FALSE),"")</f>
        <v/>
      </c>
      <c r="F183" s="48" t="str">
        <f>IFERROR(VLOOKUP($D183,PlayerDB!$F$2:$H313,3,FALSE),"")</f>
        <v/>
      </c>
      <c r="G183" s="49" t="str">
        <f>IFERROR(VLOOKUP($D183,PlayerDB!$F$2:$I313,4,FALSE),"")</f>
        <v/>
      </c>
      <c r="H183" s="38"/>
      <c r="I183" s="50" t="str">
        <f>IFERROR(__xludf.DUMMYFUNCTION("JOIN("" | "",'Team Stats'!C$12:H$12)"),"0 | 0 | 0 | 0 | 0 | 0")</f>
        <v>0 | 0 | 0 | 0 | 0 | 0</v>
      </c>
      <c r="J183" s="51" t="str">
        <f>IFERROR(__xludf.DUMMYFUNCTION("JOIN("" | "",'Team Stats'!I$12:K$12)"),"0 | 0 | 0")</f>
        <v>0 | 0 | 0</v>
      </c>
      <c r="L183" s="42"/>
      <c r="M183" s="52"/>
      <c r="N183" s="42"/>
      <c r="O183" s="42"/>
      <c r="P183" s="42"/>
      <c r="Q183" s="42"/>
    </row>
    <row r="184">
      <c r="A184" s="83"/>
      <c r="B184" s="34">
        <v>183.0</v>
      </c>
      <c r="C184" s="34" t="str">
        <f>'Teams &amp; Draft Order'!$C$15</f>
        <v>Daddy's Dogs</v>
      </c>
      <c r="D184" s="35"/>
      <c r="E184" s="36" t="str">
        <f>IFERROR(VLOOKUP($D184,PlayerDB!$F$2:$G313,2,FALSE),"")</f>
        <v/>
      </c>
      <c r="F184" s="36" t="str">
        <f>IFERROR(VLOOKUP($D184,PlayerDB!$F$2:$H313,3,FALSE),"")</f>
        <v/>
      </c>
      <c r="G184" s="37" t="str">
        <f>IFERROR(VLOOKUP($D184,PlayerDB!$F$2:$I313,4,FALSE),"")</f>
        <v/>
      </c>
      <c r="H184" s="38"/>
      <c r="I184" s="39" t="str">
        <f>IFERROR(__xludf.DUMMYFUNCTION("JOIN("" | "",'Team Stats'!C$11:H$11)"),"0 | 0 | 0 | 0 | 0 | 0")</f>
        <v>0 | 0 | 0 | 0 | 0 | 0</v>
      </c>
      <c r="J184" s="40" t="str">
        <f>IFERROR(__xludf.DUMMYFUNCTION("JOIN("" | "",'Team Stats'!I$11:K$11)"),"0 | 0 | 0")</f>
        <v>0 | 0 | 0</v>
      </c>
      <c r="L184" s="42"/>
      <c r="M184" s="52"/>
      <c r="N184" s="42"/>
      <c r="O184" s="42"/>
      <c r="P184" s="42"/>
      <c r="Q184" s="42"/>
    </row>
    <row r="185">
      <c r="A185" s="82"/>
      <c r="B185" s="46">
        <v>184.0</v>
      </c>
      <c r="C185" s="46" t="str">
        <f>'Teams &amp; Draft Order'!$C$14</f>
        <v>Achaians</v>
      </c>
      <c r="D185" s="47"/>
      <c r="E185" s="48" t="str">
        <f>IFERROR(VLOOKUP($D185,PlayerDB!$F$2:$G313,2,FALSE),"")</f>
        <v/>
      </c>
      <c r="F185" s="48" t="str">
        <f>IFERROR(VLOOKUP($D185,PlayerDB!$F$2:$H313,3,FALSE),"")</f>
        <v/>
      </c>
      <c r="G185" s="49" t="str">
        <f>IFERROR(VLOOKUP($D185,PlayerDB!$F$2:$I313,4,FALSE),"")</f>
        <v/>
      </c>
      <c r="H185" s="38"/>
      <c r="I185" s="50" t="str">
        <f>IFERROR(__xludf.DUMMYFUNCTION("JOIN("" | "",'Team Stats'!C$10:H$10)"),"0 | 0 | 0 | 0 | 0 | 0")</f>
        <v>0 | 0 | 0 | 0 | 0 | 0</v>
      </c>
      <c r="J185" s="51" t="str">
        <f>IFERROR(__xludf.DUMMYFUNCTION("JOIN("" | "",'Team Stats'!I$10:K$10)"),"0 | 0 | 0")</f>
        <v>0 | 0 | 0</v>
      </c>
      <c r="L185" s="42"/>
      <c r="M185" s="52"/>
      <c r="N185" s="42"/>
      <c r="O185" s="42"/>
      <c r="P185" s="42"/>
      <c r="Q185" s="42"/>
    </row>
    <row r="186">
      <c r="A186" s="83"/>
      <c r="B186" s="34">
        <v>185.0</v>
      </c>
      <c r="C186" s="34" t="str">
        <f>'Teams &amp; Draft Order'!$C$13</f>
        <v>Luddite</v>
      </c>
      <c r="D186" s="35"/>
      <c r="E186" s="36" t="str">
        <f>IFERROR(VLOOKUP($D186,PlayerDB!$F$2:$G313,2,FALSE),"")</f>
        <v/>
      </c>
      <c r="F186" s="36" t="str">
        <f>IFERROR(VLOOKUP($D186,PlayerDB!$F$2:$H313,3,FALSE),"")</f>
        <v/>
      </c>
      <c r="G186" s="37" t="str">
        <f>IFERROR(VLOOKUP($D186,PlayerDB!$F$2:$I313,4,FALSE),"")</f>
        <v/>
      </c>
      <c r="H186" s="38"/>
      <c r="I186" s="39" t="str">
        <f>IFERROR(__xludf.DUMMYFUNCTION("JOIN("" | "",'Team Stats'!C$9:H$9)"),"0 | 0 | 0 | 0 | 0 | 0")</f>
        <v>0 | 0 | 0 | 0 | 0 | 0</v>
      </c>
      <c r="J186" s="40" t="str">
        <f>IFERROR(__xludf.DUMMYFUNCTION("JOIN("" | "",'Team Stats'!I$9:K$9)"),"0 | 0 | 0")</f>
        <v>0 | 0 | 0</v>
      </c>
      <c r="L186" s="42"/>
      <c r="M186" s="52"/>
      <c r="N186" s="42"/>
      <c r="O186" s="42"/>
      <c r="P186" s="42"/>
      <c r="Q186" s="42"/>
    </row>
    <row r="187">
      <c r="A187" s="82"/>
      <c r="B187" s="46">
        <v>186.0</v>
      </c>
      <c r="C187" s="46" t="str">
        <f>'Teams &amp; Draft Order'!$C$12</f>
        <v>Turbo-Ginz</v>
      </c>
      <c r="D187" s="47"/>
      <c r="E187" s="48" t="str">
        <f>IFERROR(VLOOKUP($D187,PlayerDB!$F$2:$G313,2,FALSE),"")</f>
        <v/>
      </c>
      <c r="F187" s="48" t="str">
        <f>IFERROR(VLOOKUP($D187,PlayerDB!$F$2:$H313,3,FALSE),"")</f>
        <v/>
      </c>
      <c r="G187" s="49" t="str">
        <f>IFERROR(VLOOKUP($D187,PlayerDB!$F$2:$I313,4,FALSE),"")</f>
        <v/>
      </c>
      <c r="H187" s="38"/>
      <c r="I187" s="50" t="str">
        <f>IFERROR(__xludf.DUMMYFUNCTION("JOIN("" | "",'Team Stats'!C$8:H$8)"),"0 | 0 | 0 | 0 | 0 | 0")</f>
        <v>0 | 0 | 0 | 0 | 0 | 0</v>
      </c>
      <c r="J187" s="51" t="str">
        <f>IFERROR(__xludf.DUMMYFUNCTION("JOIN("" | "",'Team Stats'!I$8:K$8)"),"0 | 0 | 0")</f>
        <v>0 | 0 | 0</v>
      </c>
      <c r="L187" s="42"/>
      <c r="M187" s="52"/>
      <c r="N187" s="42"/>
      <c r="O187" s="42"/>
      <c r="P187" s="42"/>
      <c r="Q187" s="42"/>
    </row>
    <row r="188">
      <c r="A188" s="83"/>
      <c r="B188" s="34">
        <v>187.0</v>
      </c>
      <c r="C188" s="34" t="str">
        <f>'Teams &amp; Draft Order'!$C$11</f>
        <v>Big Boys Big Work</v>
      </c>
      <c r="D188" s="35"/>
      <c r="E188" s="36" t="str">
        <f>IFERROR(VLOOKUP($D188,PlayerDB!$F$2:$G313,2,FALSE),"")</f>
        <v/>
      </c>
      <c r="F188" s="36" t="str">
        <f>IFERROR(VLOOKUP($D188,PlayerDB!$F$2:$H313,3,FALSE),"")</f>
        <v/>
      </c>
      <c r="G188" s="37" t="str">
        <f>IFERROR(VLOOKUP($D188,PlayerDB!$F$2:$I313,4,FALSE),"")</f>
        <v/>
      </c>
      <c r="H188" s="38"/>
      <c r="I188" s="39" t="str">
        <f>IFERROR(__xludf.DUMMYFUNCTION("JOIN("" | "",'Team Stats'!C$7:H$7)"),"0 | 0 | 0 | 0 | 0 | 0")</f>
        <v>0 | 0 | 0 | 0 | 0 | 0</v>
      </c>
      <c r="J188" s="40" t="str">
        <f>IFERROR(__xludf.DUMMYFUNCTION("JOIN("" | "",'Team Stats'!I$7:K$7)"),"0 | 0 | 0")</f>
        <v>0 | 0 | 0</v>
      </c>
      <c r="L188" s="42"/>
      <c r="M188" s="52"/>
      <c r="N188" s="42"/>
      <c r="O188" s="42"/>
      <c r="P188" s="42"/>
      <c r="Q188" s="42"/>
    </row>
    <row r="189">
      <c r="A189" s="82"/>
      <c r="B189" s="46">
        <v>188.0</v>
      </c>
      <c r="C189" s="46" t="str">
        <f>'Teams &amp; Draft Order'!$C$10</f>
        <v>Buttheads</v>
      </c>
      <c r="D189" s="47"/>
      <c r="E189" s="48" t="str">
        <f>IFERROR(VLOOKUP($D189,PlayerDB!$F$2:$G313,2,FALSE),"")</f>
        <v/>
      </c>
      <c r="F189" s="48" t="str">
        <f>IFERROR(VLOOKUP($D189,PlayerDB!$F$2:$H313,3,FALSE),"")</f>
        <v/>
      </c>
      <c r="G189" s="49" t="str">
        <f>IFERROR(VLOOKUP($D189,PlayerDB!$F$2:$I313,4,FALSE),"")</f>
        <v/>
      </c>
      <c r="H189" s="38"/>
      <c r="I189" s="50" t="str">
        <f>IFERROR(__xludf.DUMMYFUNCTION("JOIN("" | "",'Team Stats'!C$6:H$6)"),"0 | 0 | 0 | 0 | 0 | 0")</f>
        <v>0 | 0 | 0 | 0 | 0 | 0</v>
      </c>
      <c r="J189" s="51" t="str">
        <f>IFERROR(__xludf.DUMMYFUNCTION("JOIN("" | "",'Team Stats'!I$6:K$6)"),"0 | 0 | 0")</f>
        <v>0 | 0 | 0</v>
      </c>
      <c r="L189" s="42"/>
      <c r="M189" s="52"/>
      <c r="N189" s="42"/>
      <c r="O189" s="42"/>
      <c r="P189" s="42"/>
      <c r="Q189" s="42"/>
    </row>
    <row r="190">
      <c r="A190" s="83"/>
      <c r="B190" s="34">
        <v>189.0</v>
      </c>
      <c r="C190" s="34" t="str">
        <f>'Teams &amp; Draft Order'!$C$9</f>
        <v>El Nino</v>
      </c>
      <c r="D190" s="35"/>
      <c r="E190" s="36" t="str">
        <f>IFERROR(VLOOKUP($D190,PlayerDB!$F$2:$G313,2,FALSE),"")</f>
        <v/>
      </c>
      <c r="F190" s="36" t="str">
        <f>IFERROR(VLOOKUP($D190,PlayerDB!$F$2:$H313,3,FALSE),"")</f>
        <v/>
      </c>
      <c r="G190" s="37" t="str">
        <f>IFERROR(VLOOKUP($D190,PlayerDB!$F$2:$I313,4,FALSE),"")</f>
        <v/>
      </c>
      <c r="H190" s="38"/>
      <c r="I190" s="39" t="str">
        <f>IFERROR(__xludf.DUMMYFUNCTION("JOIN("" | "",'Team Stats'!C$5:H$5)"),"0 | 0 | 0 | 0 | 0 | 0")</f>
        <v>0 | 0 | 0 | 0 | 0 | 0</v>
      </c>
      <c r="J190" s="40" t="str">
        <f>IFERROR(__xludf.DUMMYFUNCTION("JOIN("" | "",'Team Stats'!I$5:K$5)"),"0 | 0 | 0")</f>
        <v>0 | 0 | 0</v>
      </c>
      <c r="L190" s="42"/>
      <c r="M190" s="52"/>
      <c r="N190" s="42"/>
      <c r="O190" s="42"/>
      <c r="P190" s="42"/>
      <c r="Q190" s="42"/>
    </row>
    <row r="191">
      <c r="A191" s="82"/>
      <c r="B191" s="46">
        <v>190.0</v>
      </c>
      <c r="C191" s="46" t="str">
        <f>'Teams &amp; Draft Order'!$C$8</f>
        <v>Icelanders</v>
      </c>
      <c r="D191" s="47"/>
      <c r="E191" s="48" t="str">
        <f>IFERROR(VLOOKUP($D191,PlayerDB!$F$2:$G313,2,FALSE),"")</f>
        <v/>
      </c>
      <c r="F191" s="48" t="str">
        <f>IFERROR(VLOOKUP($D191,PlayerDB!$F$2:$H313,3,FALSE),"")</f>
        <v/>
      </c>
      <c r="G191" s="49" t="str">
        <f>IFERROR(VLOOKUP($D191,PlayerDB!$F$2:$I313,4,FALSE),"")</f>
        <v/>
      </c>
      <c r="H191" s="38"/>
      <c r="I191" s="50" t="str">
        <f>IFERROR(__xludf.DUMMYFUNCTION("JOIN("" | "",'Team Stats'!C$4:H$4)"),"0 | 0 | 0 | 0 | 0 | 0")</f>
        <v>0 | 0 | 0 | 0 | 0 | 0</v>
      </c>
      <c r="J191" s="51" t="str">
        <f>IFERROR(__xludf.DUMMYFUNCTION("JOIN("" | "",'Team Stats'!I$4:K$4)"),"0 | 0 | 0")</f>
        <v>0 | 0 | 0</v>
      </c>
      <c r="L191" s="42"/>
      <c r="M191" s="42"/>
      <c r="N191" s="42"/>
      <c r="O191" s="42"/>
      <c r="P191" s="42"/>
      <c r="Q191" s="42"/>
    </row>
    <row r="192">
      <c r="A192" s="83"/>
      <c r="B192" s="34">
        <v>191.0</v>
      </c>
      <c r="C192" s="34" t="str">
        <f>'Teams &amp; Draft Order'!$C$7</f>
        <v>Phantasm</v>
      </c>
      <c r="D192" s="35"/>
      <c r="E192" s="36" t="str">
        <f>IFERROR(VLOOKUP($D192,PlayerDB!$F$2:$G313,2,FALSE),"")</f>
        <v/>
      </c>
      <c r="F192" s="36" t="str">
        <f>IFERROR(VLOOKUP($D192,PlayerDB!$F$2:$H313,3,FALSE),"")</f>
        <v/>
      </c>
      <c r="G192" s="37" t="str">
        <f>IFERROR(VLOOKUP($D192,PlayerDB!$F$2:$I313,4,FALSE),"")</f>
        <v/>
      </c>
      <c r="H192" s="38"/>
      <c r="I192" s="39" t="str">
        <f>IFERROR(__xludf.DUMMYFUNCTION("JOIN("" | "",'Team Stats'!C$3:H$3)"),"0 | 0 | 0 | 0 | 0 | 0")</f>
        <v>0 | 0 | 0 | 0 | 0 | 0</v>
      </c>
      <c r="J192" s="40" t="str">
        <f>IFERROR(__xludf.DUMMYFUNCTION("JOIN("" | "",'Team Stats'!I$3:K$3)"),"0 | 0 | 0")</f>
        <v>0 | 0 | 0</v>
      </c>
      <c r="L192" s="42"/>
      <c r="M192" s="42"/>
      <c r="N192" s="42"/>
      <c r="O192" s="42"/>
      <c r="P192" s="42"/>
      <c r="Q192" s="42"/>
    </row>
    <row r="193">
      <c r="A193" s="84"/>
      <c r="B193" s="55">
        <v>192.0</v>
      </c>
      <c r="C193" s="55" t="str">
        <f>'Teams &amp; Draft Order'!$C$6</f>
        <v>Sleeper Cell </v>
      </c>
      <c r="D193" s="56"/>
      <c r="E193" s="57" t="str">
        <f>IFERROR(VLOOKUP($D193,PlayerDB!$F$2:$G313,2,FALSE),"")</f>
        <v/>
      </c>
      <c r="F193" s="57" t="str">
        <f>IFERROR(VLOOKUP($D193,PlayerDB!$F$2:$H313,3,FALSE),"")</f>
        <v/>
      </c>
      <c r="G193" s="58" t="str">
        <f>IFERROR(VLOOKUP($D193,PlayerDB!$F$2:$I313,4,FALSE),"")</f>
        <v/>
      </c>
      <c r="H193" s="59"/>
      <c r="I193" s="60" t="str">
        <f>IFERROR(__xludf.DUMMYFUNCTION("JOIN("" | "",'Team Stats'!C$2:H$2)"),"1 | 0 | 0 | 0 | 0 | 0")</f>
        <v>1 | 0 | 0 | 0 | 0 | 0</v>
      </c>
      <c r="J193" s="64" t="str">
        <f>IFERROR(__xludf.DUMMYFUNCTION("JOIN("" | "",'Team Stats'!I$2:K$2)"),"0 | 0 | 0")</f>
        <v>0 | 0 | 0</v>
      </c>
      <c r="L193" s="42"/>
      <c r="M193" s="42"/>
      <c r="N193" s="42"/>
      <c r="O193" s="42"/>
      <c r="P193" s="42"/>
      <c r="Q193" s="42"/>
    </row>
    <row r="194">
      <c r="A194" s="72" t="s">
        <v>101</v>
      </c>
      <c r="B194" s="34">
        <v>193.0</v>
      </c>
      <c r="C194" s="73" t="str">
        <f>'Teams &amp; Draft Order'!$C$6</f>
        <v>Sleeper Cell </v>
      </c>
      <c r="D194" s="74"/>
      <c r="E194" s="36" t="str">
        <f>IFERROR(VLOOKUP($D194,PlayerDB!$F$2:$G313,2,FALSE),"")</f>
        <v/>
      </c>
      <c r="F194" s="36" t="str">
        <f>IFERROR(VLOOKUP($D194,PlayerDB!$F$2:$H313,3,FALSE),"")</f>
        <v/>
      </c>
      <c r="G194" s="37" t="str">
        <f>IFERROR(VLOOKUP($D194,PlayerDB!$F$2:$I313,4,FALSE),"")</f>
        <v/>
      </c>
      <c r="H194" s="38"/>
      <c r="I194" s="39" t="str">
        <f>IFERROR(__xludf.DUMMYFUNCTION("JOIN("" | "",'Team Stats'!C$2:H$2)"),"1 | 0 | 0 | 0 | 0 | 0")</f>
        <v>1 | 0 | 0 | 0 | 0 | 0</v>
      </c>
      <c r="J194" s="40" t="str">
        <f>IFERROR(__xludf.DUMMYFUNCTION("JOIN("" | "",'Team Stats'!I$2:K$2)"),"0 | 0 | 0")</f>
        <v>0 | 0 | 0</v>
      </c>
      <c r="L194" s="42"/>
      <c r="M194" s="42"/>
      <c r="N194" s="42"/>
      <c r="O194" s="42"/>
      <c r="P194" s="42"/>
      <c r="Q194" s="42"/>
    </row>
    <row r="195">
      <c r="A195" s="45"/>
      <c r="B195" s="46">
        <v>194.0</v>
      </c>
      <c r="C195" s="46" t="str">
        <f>'Teams &amp; Draft Order'!$C$7</f>
        <v>Phantasm</v>
      </c>
      <c r="D195" s="47"/>
      <c r="E195" s="48" t="str">
        <f>IFERROR(VLOOKUP($D195,PlayerDB!$F$2:$G313,2,FALSE),"")</f>
        <v/>
      </c>
      <c r="F195" s="48" t="str">
        <f>IFERROR(VLOOKUP($D195,PlayerDB!$F$2:$H313,3,FALSE),"")</f>
        <v/>
      </c>
      <c r="G195" s="49" t="str">
        <f>IFERROR(VLOOKUP($D195,PlayerDB!$F$2:$I313,4,FALSE),"")</f>
        <v/>
      </c>
      <c r="H195" s="38"/>
      <c r="I195" s="50" t="str">
        <f>IFERROR(__xludf.DUMMYFUNCTION("JOIN("" | "",'Team Stats'!C$3:H$3)"),"0 | 0 | 0 | 0 | 0 | 0")</f>
        <v>0 | 0 | 0 | 0 | 0 | 0</v>
      </c>
      <c r="J195" s="51" t="str">
        <f>IFERROR(__xludf.DUMMYFUNCTION("JOIN("" | "",'Team Stats'!I$3:K$3)"),"0 | 0 | 0")</f>
        <v>0 | 0 | 0</v>
      </c>
      <c r="L195" s="42"/>
      <c r="M195" s="42"/>
      <c r="N195" s="42"/>
      <c r="O195" s="42"/>
      <c r="P195" s="42"/>
      <c r="Q195" s="42"/>
    </row>
    <row r="196">
      <c r="A196" s="33"/>
      <c r="B196" s="34">
        <v>195.0</v>
      </c>
      <c r="C196" s="34" t="str">
        <f>'Teams &amp; Draft Order'!$C$8</f>
        <v>Icelanders</v>
      </c>
      <c r="D196" s="35"/>
      <c r="E196" s="36" t="str">
        <f>IFERROR(VLOOKUP($D196,PlayerDB!$F$2:$G313,2,FALSE),"")</f>
        <v/>
      </c>
      <c r="F196" s="36" t="str">
        <f>IFERROR(VLOOKUP($D196,PlayerDB!$F$2:$H313,3,FALSE),"")</f>
        <v/>
      </c>
      <c r="G196" s="37" t="str">
        <f>IFERROR(VLOOKUP($D196,PlayerDB!$F$2:$I313,4,FALSE),"")</f>
        <v/>
      </c>
      <c r="H196" s="38"/>
      <c r="I196" s="39" t="str">
        <f>IFERROR(__xludf.DUMMYFUNCTION("JOIN("" | "",'Team Stats'!C$4:H$4)"),"0 | 0 | 0 | 0 | 0 | 0")</f>
        <v>0 | 0 | 0 | 0 | 0 | 0</v>
      </c>
      <c r="J196" s="40" t="str">
        <f>IFERROR(__xludf.DUMMYFUNCTION("JOIN("" | "",'Team Stats'!I$4:K$4)"),"0 | 0 | 0")</f>
        <v>0 | 0 | 0</v>
      </c>
      <c r="L196" s="42"/>
      <c r="M196" s="42"/>
      <c r="N196" s="42"/>
      <c r="O196" s="42"/>
      <c r="P196" s="42"/>
      <c r="Q196" s="42"/>
    </row>
    <row r="197">
      <c r="A197" s="45"/>
      <c r="B197" s="46">
        <v>196.0</v>
      </c>
      <c r="C197" s="46" t="str">
        <f>'Teams &amp; Draft Order'!$C$9</f>
        <v>El Nino</v>
      </c>
      <c r="D197" s="47"/>
      <c r="E197" s="48" t="str">
        <f>IFERROR(VLOOKUP($D197,PlayerDB!$F$2:$G313,2,FALSE),"")</f>
        <v/>
      </c>
      <c r="F197" s="48" t="str">
        <f>IFERROR(VLOOKUP($D197,PlayerDB!$F$2:$H313,3,FALSE),"")</f>
        <v/>
      </c>
      <c r="G197" s="49" t="str">
        <f>IFERROR(VLOOKUP($D197,PlayerDB!$F$2:$I313,4,FALSE),"")</f>
        <v/>
      </c>
      <c r="H197" s="38"/>
      <c r="I197" s="50" t="str">
        <f>IFERROR(__xludf.DUMMYFUNCTION("JOIN("" | "",'Team Stats'!C$5:H$5)"),"0 | 0 | 0 | 0 | 0 | 0")</f>
        <v>0 | 0 | 0 | 0 | 0 | 0</v>
      </c>
      <c r="J197" s="51" t="str">
        <f>IFERROR(__xludf.DUMMYFUNCTION("JOIN("" | "",'Team Stats'!I$5:K$5)"),"0 | 0 | 0")</f>
        <v>0 | 0 | 0</v>
      </c>
      <c r="L197" s="42"/>
      <c r="M197" s="42"/>
      <c r="N197" s="42"/>
      <c r="O197" s="42"/>
      <c r="P197" s="42"/>
      <c r="Q197" s="42"/>
    </row>
    <row r="198">
      <c r="A198" s="33"/>
      <c r="B198" s="34">
        <v>197.0</v>
      </c>
      <c r="C198" s="34" t="str">
        <f>'Teams &amp; Draft Order'!$C$10</f>
        <v>Buttheads</v>
      </c>
      <c r="D198" s="35"/>
      <c r="E198" s="36" t="str">
        <f>IFERROR(VLOOKUP($D198,PlayerDB!$F$2:$G313,2,FALSE),"")</f>
        <v/>
      </c>
      <c r="F198" s="36" t="str">
        <f>IFERROR(VLOOKUP($D198,PlayerDB!$F$2:$H313,3,FALSE),"")</f>
        <v/>
      </c>
      <c r="G198" s="37" t="str">
        <f>IFERROR(VLOOKUP($D198,PlayerDB!$F$2:$I313,4,FALSE),"")</f>
        <v/>
      </c>
      <c r="H198" s="38"/>
      <c r="I198" s="39" t="str">
        <f>IFERROR(__xludf.DUMMYFUNCTION("JOIN("" | "",'Team Stats'!C$6:H$6)"),"0 | 0 | 0 | 0 | 0 | 0")</f>
        <v>0 | 0 | 0 | 0 | 0 | 0</v>
      </c>
      <c r="J198" s="40" t="str">
        <f>IFERROR(__xludf.DUMMYFUNCTION("JOIN("" | "",'Team Stats'!I$6:K$6)"),"0 | 0 | 0")</f>
        <v>0 | 0 | 0</v>
      </c>
      <c r="L198" s="42"/>
      <c r="M198" s="42"/>
      <c r="N198" s="42"/>
      <c r="O198" s="42"/>
      <c r="P198" s="42"/>
      <c r="Q198" s="42"/>
    </row>
    <row r="199">
      <c r="A199" s="45"/>
      <c r="B199" s="46">
        <v>198.0</v>
      </c>
      <c r="C199" s="46" t="str">
        <f>'Teams &amp; Draft Order'!$C$11</f>
        <v>Big Boys Big Work</v>
      </c>
      <c r="D199" s="47"/>
      <c r="E199" s="48" t="str">
        <f>IFERROR(VLOOKUP($D199,PlayerDB!$F$2:$G313,2,FALSE),"")</f>
        <v/>
      </c>
      <c r="F199" s="48" t="str">
        <f>IFERROR(VLOOKUP($D199,PlayerDB!$F$2:$H313,3,FALSE),"")</f>
        <v/>
      </c>
      <c r="G199" s="49" t="str">
        <f>IFERROR(VLOOKUP($D199,PlayerDB!$F$2:$I313,4,FALSE),"")</f>
        <v/>
      </c>
      <c r="H199" s="38"/>
      <c r="I199" s="50" t="str">
        <f>IFERROR(__xludf.DUMMYFUNCTION("JOIN("" | "",'Team Stats'!C$7:H$7)"),"0 | 0 | 0 | 0 | 0 | 0")</f>
        <v>0 | 0 | 0 | 0 | 0 | 0</v>
      </c>
      <c r="J199" s="51" t="str">
        <f>IFERROR(__xludf.DUMMYFUNCTION("JOIN("" | "",'Team Stats'!I$7:K$7)"),"0 | 0 | 0")</f>
        <v>0 | 0 | 0</v>
      </c>
      <c r="L199" s="42"/>
      <c r="M199" s="42"/>
      <c r="N199" s="42"/>
      <c r="O199" s="42"/>
      <c r="P199" s="42"/>
      <c r="Q199" s="42"/>
    </row>
    <row r="200">
      <c r="A200" s="33"/>
      <c r="B200" s="34">
        <v>199.0</v>
      </c>
      <c r="C200" s="34" t="str">
        <f>'Teams &amp; Draft Order'!$C$12</f>
        <v>Turbo-Ginz</v>
      </c>
      <c r="D200" s="35"/>
      <c r="E200" s="36" t="str">
        <f>IFERROR(VLOOKUP($D200,PlayerDB!$F$2:$G313,2,FALSE),"")</f>
        <v/>
      </c>
      <c r="F200" s="36" t="str">
        <f>IFERROR(VLOOKUP($D200,PlayerDB!$F$2:$H313,3,FALSE),"")</f>
        <v/>
      </c>
      <c r="G200" s="37" t="str">
        <f>IFERROR(VLOOKUP($D200,PlayerDB!$F$2:$I313,4,FALSE),"")</f>
        <v/>
      </c>
      <c r="H200" s="38"/>
      <c r="I200" s="39" t="str">
        <f>IFERROR(__xludf.DUMMYFUNCTION("JOIN("" | "",'Team Stats'!C$8:H$8)"),"0 | 0 | 0 | 0 | 0 | 0")</f>
        <v>0 | 0 | 0 | 0 | 0 | 0</v>
      </c>
      <c r="J200" s="40" t="str">
        <f>IFERROR(__xludf.DUMMYFUNCTION("JOIN("" | "",'Team Stats'!I$8:K$8)"),"0 | 0 | 0")</f>
        <v>0 | 0 | 0</v>
      </c>
      <c r="L200" s="42"/>
      <c r="M200" s="42"/>
      <c r="N200" s="42"/>
      <c r="O200" s="42"/>
      <c r="P200" s="42"/>
      <c r="Q200" s="42"/>
    </row>
    <row r="201">
      <c r="A201" s="45"/>
      <c r="B201" s="46">
        <v>200.0</v>
      </c>
      <c r="C201" s="46" t="str">
        <f>'Teams &amp; Draft Order'!$C$13</f>
        <v>Luddite</v>
      </c>
      <c r="D201" s="47"/>
      <c r="E201" s="48" t="str">
        <f>IFERROR(VLOOKUP($D201,PlayerDB!$F$2:$G313,2,FALSE),"")</f>
        <v/>
      </c>
      <c r="F201" s="48" t="str">
        <f>IFERROR(VLOOKUP($D201,PlayerDB!$F$2:$H313,3,FALSE),"")</f>
        <v/>
      </c>
      <c r="G201" s="49" t="str">
        <f>IFERROR(VLOOKUP($D201,PlayerDB!$F$2:$I313,4,FALSE),"")</f>
        <v/>
      </c>
      <c r="H201" s="38"/>
      <c r="I201" s="50" t="str">
        <f>IFERROR(__xludf.DUMMYFUNCTION("JOIN("" | "",'Team Stats'!C$9:H$9)"),"0 | 0 | 0 | 0 | 0 | 0")</f>
        <v>0 | 0 | 0 | 0 | 0 | 0</v>
      </c>
      <c r="J201" s="51" t="str">
        <f>IFERROR(__xludf.DUMMYFUNCTION("JOIN("" | "",'Team Stats'!I$9:K$9)"),"0 | 0 | 0")</f>
        <v>0 | 0 | 0</v>
      </c>
      <c r="L201" s="42"/>
      <c r="M201" s="42"/>
      <c r="N201" s="42"/>
      <c r="O201" s="42"/>
      <c r="P201" s="42"/>
      <c r="Q201" s="42"/>
    </row>
    <row r="202">
      <c r="A202" s="33"/>
      <c r="B202" s="34">
        <v>201.0</v>
      </c>
      <c r="C202" s="34" t="str">
        <f>'Teams &amp; Draft Order'!$C$14</f>
        <v>Achaians</v>
      </c>
      <c r="D202" s="35"/>
      <c r="E202" s="36" t="str">
        <f>IFERROR(VLOOKUP($D202,PlayerDB!$F$2:$G313,2,FALSE),"")</f>
        <v/>
      </c>
      <c r="F202" s="36" t="str">
        <f>IFERROR(VLOOKUP($D202,PlayerDB!$F$2:$H313,3,FALSE),"")</f>
        <v/>
      </c>
      <c r="G202" s="37" t="str">
        <f>IFERROR(VLOOKUP($D202,PlayerDB!$F$2:$I313,4,FALSE),"")</f>
        <v/>
      </c>
      <c r="H202" s="38"/>
      <c r="I202" s="39" t="str">
        <f>IFERROR(__xludf.DUMMYFUNCTION("JOIN("" | "",'Team Stats'!C$10:H$10)"),"0 | 0 | 0 | 0 | 0 | 0")</f>
        <v>0 | 0 | 0 | 0 | 0 | 0</v>
      </c>
      <c r="J202" s="40" t="str">
        <f>IFERROR(__xludf.DUMMYFUNCTION("JOIN("" | "",'Team Stats'!I$10:K$10)"),"0 | 0 | 0")</f>
        <v>0 | 0 | 0</v>
      </c>
      <c r="L202" s="42"/>
      <c r="M202" s="42"/>
      <c r="N202" s="42"/>
      <c r="O202" s="42"/>
      <c r="P202" s="42"/>
      <c r="Q202" s="42"/>
    </row>
    <row r="203">
      <c r="A203" s="45"/>
      <c r="B203" s="46">
        <v>202.0</v>
      </c>
      <c r="C203" s="46" t="str">
        <f>'Teams &amp; Draft Order'!$C$15</f>
        <v>Daddy's Dogs</v>
      </c>
      <c r="D203" s="47"/>
      <c r="E203" s="48" t="str">
        <f>IFERROR(VLOOKUP($D203,PlayerDB!$F$2:$G313,2,FALSE),"")</f>
        <v/>
      </c>
      <c r="F203" s="48" t="str">
        <f>IFERROR(VLOOKUP($D203,PlayerDB!$F$2:$H313,3,FALSE),"")</f>
        <v/>
      </c>
      <c r="G203" s="49" t="str">
        <f>IFERROR(VLOOKUP($D203,PlayerDB!$F$2:$I313,4,FALSE),"")</f>
        <v/>
      </c>
      <c r="H203" s="38"/>
      <c r="I203" s="50" t="str">
        <f>IFERROR(__xludf.DUMMYFUNCTION("JOIN("" | "",'Team Stats'!C$11:H$11)"),"0 | 0 | 0 | 0 | 0 | 0")</f>
        <v>0 | 0 | 0 | 0 | 0 | 0</v>
      </c>
      <c r="J203" s="51" t="str">
        <f>IFERROR(__xludf.DUMMYFUNCTION("JOIN("" | "",'Team Stats'!I$11:K$11)"),"0 | 0 | 0")</f>
        <v>0 | 0 | 0</v>
      </c>
      <c r="L203" s="42"/>
      <c r="M203" s="42"/>
      <c r="N203" s="42"/>
      <c r="O203" s="42"/>
      <c r="P203" s="42"/>
      <c r="Q203" s="42"/>
    </row>
    <row r="204">
      <c r="A204" s="33"/>
      <c r="B204" s="34">
        <v>203.0</v>
      </c>
      <c r="C204" s="34" t="str">
        <f>'Teams &amp; Draft Order'!$C$16</f>
        <v>TDs and Beers</v>
      </c>
      <c r="D204" s="35"/>
      <c r="E204" s="36" t="str">
        <f>IFERROR(VLOOKUP($D204,PlayerDB!$F$2:$G313,2,FALSE),"")</f>
        <v/>
      </c>
      <c r="F204" s="36" t="str">
        <f>IFERROR(VLOOKUP($D204,PlayerDB!$F$2:$H313,3,FALSE),"")</f>
        <v/>
      </c>
      <c r="G204" s="37" t="str">
        <f>IFERROR(VLOOKUP($D204,PlayerDB!$F$2:$I313,4,FALSE),"")</f>
        <v/>
      </c>
      <c r="H204" s="38"/>
      <c r="I204" s="39" t="str">
        <f>IFERROR(__xludf.DUMMYFUNCTION("JOIN("" | "",'Team Stats'!C$12:H$12)"),"0 | 0 | 0 | 0 | 0 | 0")</f>
        <v>0 | 0 | 0 | 0 | 0 | 0</v>
      </c>
      <c r="J204" s="40" t="str">
        <f>IFERROR(__xludf.DUMMYFUNCTION("JOIN("" | "",'Team Stats'!I$12:K$12)"),"0 | 0 | 0")</f>
        <v>0 | 0 | 0</v>
      </c>
      <c r="L204" s="42"/>
      <c r="M204" s="42"/>
      <c r="N204" s="42"/>
      <c r="O204" s="42"/>
      <c r="P204" s="42"/>
      <c r="Q204" s="42"/>
    </row>
    <row r="205">
      <c r="A205" s="45"/>
      <c r="B205" s="55">
        <v>204.0</v>
      </c>
      <c r="C205" s="46" t="str">
        <f>'Teams &amp; Draft Order'!$C$17</f>
        <v>DD Riders</v>
      </c>
      <c r="D205" s="47"/>
      <c r="E205" s="57" t="str">
        <f>IFERROR(VLOOKUP($D205,PlayerDB!$F$2:$G313,2,FALSE),"")</f>
        <v/>
      </c>
      <c r="F205" s="57" t="str">
        <f>IFERROR(VLOOKUP($D205,PlayerDB!$F$2:$H313,3,FALSE),"")</f>
        <v/>
      </c>
      <c r="G205" s="58" t="str">
        <f>IFERROR(VLOOKUP($D205,PlayerDB!$F$2:$I313,4,FALSE),"")</f>
        <v/>
      </c>
      <c r="H205" s="59"/>
      <c r="I205" s="50" t="str">
        <f>IFERROR(__xludf.DUMMYFUNCTION("JOIN("" | "",'Team Stats'!C$13:H$13)"),"0 | 0 | 0 | 0 | 0 | 0")</f>
        <v>0 | 0 | 0 | 0 | 0 | 0</v>
      </c>
      <c r="J205" s="51" t="str">
        <f>IFERROR(__xludf.DUMMYFUNCTION("JOIN("" | "",'Team Stats'!I$13:K$13)"),"0 | 0 | 0")</f>
        <v>0 | 0 | 0</v>
      </c>
      <c r="L205" s="42"/>
      <c r="M205" s="42"/>
      <c r="N205" s="42"/>
      <c r="O205" s="42"/>
      <c r="P205" s="42"/>
      <c r="Q205" s="42"/>
    </row>
    <row r="206">
      <c r="A206" s="72" t="s">
        <v>102</v>
      </c>
      <c r="B206" s="34">
        <v>205.0</v>
      </c>
      <c r="C206" s="73" t="str">
        <f>'Teams &amp; Draft Order'!$C$17</f>
        <v>DD Riders</v>
      </c>
      <c r="D206" s="74"/>
      <c r="E206" s="36" t="str">
        <f>IFERROR(VLOOKUP($D206,PlayerDB!$F$2:$G313,2,FALSE),"")</f>
        <v/>
      </c>
      <c r="F206" s="36" t="str">
        <f>IFERROR(VLOOKUP($D206,PlayerDB!$F$2:$H313,3,FALSE),"")</f>
        <v/>
      </c>
      <c r="G206" s="37" t="str">
        <f>IFERROR(VLOOKUP($D206,PlayerDB!$F$2:$I313,4,FALSE),"")</f>
        <v/>
      </c>
      <c r="H206" s="38"/>
      <c r="I206" s="76" t="str">
        <f>IFERROR(__xludf.DUMMYFUNCTION("JOIN("" | "",'Team Stats'!C$13:H$13)"),"0 | 0 | 0 | 0 | 0 | 0")</f>
        <v>0 | 0 | 0 | 0 | 0 | 0</v>
      </c>
      <c r="J206" s="62" t="str">
        <f>IFERROR(__xludf.DUMMYFUNCTION("JOIN("" | "",'Team Stats'!I$13:K$13)"),"0 | 0 | 0")</f>
        <v>0 | 0 | 0</v>
      </c>
      <c r="L206" s="42"/>
      <c r="M206" s="42"/>
      <c r="N206" s="42"/>
      <c r="O206" s="42"/>
      <c r="P206" s="42"/>
      <c r="Q206" s="42"/>
    </row>
    <row r="207">
      <c r="A207" s="82"/>
      <c r="B207" s="46">
        <v>206.0</v>
      </c>
      <c r="C207" s="46" t="str">
        <f>'Teams &amp; Draft Order'!$C$16</f>
        <v>TDs and Beers</v>
      </c>
      <c r="D207" s="47"/>
      <c r="E207" s="48" t="str">
        <f>IFERROR(VLOOKUP($D207,PlayerDB!$F$2:$G313,2,FALSE),"")</f>
        <v/>
      </c>
      <c r="F207" s="48" t="str">
        <f>IFERROR(VLOOKUP($D207,PlayerDB!$F$2:$H313,3,FALSE),"")</f>
        <v/>
      </c>
      <c r="G207" s="49" t="str">
        <f>IFERROR(VLOOKUP($D207,PlayerDB!$F$2:$I313,4,FALSE),"")</f>
        <v/>
      </c>
      <c r="H207" s="38"/>
      <c r="I207" s="50" t="str">
        <f>IFERROR(__xludf.DUMMYFUNCTION("JOIN("" | "",'Team Stats'!C$12:H$12)"),"0 | 0 | 0 | 0 | 0 | 0")</f>
        <v>0 | 0 | 0 | 0 | 0 | 0</v>
      </c>
      <c r="J207" s="51" t="str">
        <f>IFERROR(__xludf.DUMMYFUNCTION("JOIN("" | "",'Team Stats'!I$12:K$12)"),"0 | 0 | 0")</f>
        <v>0 | 0 | 0</v>
      </c>
      <c r="L207" s="42"/>
      <c r="M207" s="42"/>
      <c r="N207" s="42"/>
      <c r="O207" s="42"/>
      <c r="P207" s="42"/>
      <c r="Q207" s="42"/>
    </row>
    <row r="208">
      <c r="A208" s="83"/>
      <c r="B208" s="34">
        <v>207.0</v>
      </c>
      <c r="C208" s="34" t="str">
        <f>'Teams &amp; Draft Order'!$C$15</f>
        <v>Daddy's Dogs</v>
      </c>
      <c r="D208" s="35"/>
      <c r="E208" s="36" t="str">
        <f>IFERROR(VLOOKUP($D208,PlayerDB!$F$2:$G313,2,FALSE),"")</f>
        <v/>
      </c>
      <c r="F208" s="36" t="str">
        <f>IFERROR(VLOOKUP($D208,PlayerDB!$F$2:$H313,3,FALSE),"")</f>
        <v/>
      </c>
      <c r="G208" s="37" t="str">
        <f>IFERROR(VLOOKUP($D208,PlayerDB!$F$2:$I313,4,FALSE),"")</f>
        <v/>
      </c>
      <c r="H208" s="38"/>
      <c r="I208" s="39" t="str">
        <f>IFERROR(__xludf.DUMMYFUNCTION("JOIN("" | "",'Team Stats'!C$11:H$11)"),"0 | 0 | 0 | 0 | 0 | 0")</f>
        <v>0 | 0 | 0 | 0 | 0 | 0</v>
      </c>
      <c r="J208" s="40" t="str">
        <f>IFERROR(__xludf.DUMMYFUNCTION("JOIN("" | "",'Team Stats'!I$11:K$11)"),"0 | 0 | 0")</f>
        <v>0 | 0 | 0</v>
      </c>
      <c r="L208" s="42"/>
      <c r="M208" s="42"/>
      <c r="N208" s="42"/>
      <c r="O208" s="42"/>
      <c r="P208" s="42"/>
      <c r="Q208" s="42"/>
    </row>
    <row r="209">
      <c r="A209" s="82"/>
      <c r="B209" s="46">
        <v>208.0</v>
      </c>
      <c r="C209" s="46" t="str">
        <f>'Teams &amp; Draft Order'!$C$14</f>
        <v>Achaians</v>
      </c>
      <c r="D209" s="47"/>
      <c r="E209" s="48" t="str">
        <f>IFERROR(VLOOKUP($D209,PlayerDB!$F$2:$G313,2,FALSE),"")</f>
        <v/>
      </c>
      <c r="F209" s="48" t="str">
        <f>IFERROR(VLOOKUP($D209,PlayerDB!$F$2:$H313,3,FALSE),"")</f>
        <v/>
      </c>
      <c r="G209" s="49" t="str">
        <f>IFERROR(VLOOKUP($D209,PlayerDB!$F$2:$I313,4,FALSE),"")</f>
        <v/>
      </c>
      <c r="H209" s="38"/>
      <c r="I209" s="50" t="str">
        <f>IFERROR(__xludf.DUMMYFUNCTION("JOIN("" | "",'Team Stats'!C$10:H$10)"),"0 | 0 | 0 | 0 | 0 | 0")</f>
        <v>0 | 0 | 0 | 0 | 0 | 0</v>
      </c>
      <c r="J209" s="51" t="str">
        <f>IFERROR(__xludf.DUMMYFUNCTION("JOIN("" | "",'Team Stats'!I$10:K$10)"),"0 | 0 | 0")</f>
        <v>0 | 0 | 0</v>
      </c>
      <c r="L209" s="42"/>
      <c r="M209" s="42"/>
      <c r="N209" s="42"/>
      <c r="O209" s="42"/>
      <c r="P209" s="42"/>
      <c r="Q209" s="42"/>
    </row>
    <row r="210">
      <c r="A210" s="83"/>
      <c r="B210" s="34">
        <v>209.0</v>
      </c>
      <c r="C210" s="34" t="str">
        <f>'Teams &amp; Draft Order'!$C$13</f>
        <v>Luddite</v>
      </c>
      <c r="D210" s="35"/>
      <c r="E210" s="36" t="str">
        <f>IFERROR(VLOOKUP($D210,PlayerDB!$F$2:$G313,2,FALSE),"")</f>
        <v/>
      </c>
      <c r="F210" s="36" t="str">
        <f>IFERROR(VLOOKUP($D210,PlayerDB!$F$2:$H313,3,FALSE),"")</f>
        <v/>
      </c>
      <c r="G210" s="37" t="str">
        <f>IFERROR(VLOOKUP($D210,PlayerDB!$F$2:$I313,4,FALSE),"")</f>
        <v/>
      </c>
      <c r="H210" s="38"/>
      <c r="I210" s="39" t="str">
        <f>IFERROR(__xludf.DUMMYFUNCTION("JOIN("" | "",'Team Stats'!C$9:H$9)"),"0 | 0 | 0 | 0 | 0 | 0")</f>
        <v>0 | 0 | 0 | 0 | 0 | 0</v>
      </c>
      <c r="J210" s="40" t="str">
        <f>IFERROR(__xludf.DUMMYFUNCTION("JOIN("" | "",'Team Stats'!I$9:K$9)"),"0 | 0 | 0")</f>
        <v>0 | 0 | 0</v>
      </c>
      <c r="L210" s="42"/>
      <c r="M210" s="42"/>
      <c r="N210" s="42"/>
      <c r="O210" s="42"/>
      <c r="P210" s="42"/>
      <c r="Q210" s="42"/>
    </row>
    <row r="211">
      <c r="A211" s="82"/>
      <c r="B211" s="46">
        <v>210.0</v>
      </c>
      <c r="C211" s="46" t="str">
        <f>'Teams &amp; Draft Order'!$C$12</f>
        <v>Turbo-Ginz</v>
      </c>
      <c r="D211" s="47"/>
      <c r="E211" s="48" t="str">
        <f>IFERROR(VLOOKUP($D211,PlayerDB!$F$2:$G313,2,FALSE),"")</f>
        <v/>
      </c>
      <c r="F211" s="48" t="str">
        <f>IFERROR(VLOOKUP($D211,PlayerDB!$F$2:$H313,3,FALSE),"")</f>
        <v/>
      </c>
      <c r="G211" s="49" t="str">
        <f>IFERROR(VLOOKUP($D211,PlayerDB!$F$2:$I313,4,FALSE),"")</f>
        <v/>
      </c>
      <c r="H211" s="38"/>
      <c r="I211" s="50" t="str">
        <f>IFERROR(__xludf.DUMMYFUNCTION("JOIN("" | "",'Team Stats'!C$8:H$8)"),"0 | 0 | 0 | 0 | 0 | 0")</f>
        <v>0 | 0 | 0 | 0 | 0 | 0</v>
      </c>
      <c r="J211" s="51" t="str">
        <f>IFERROR(__xludf.DUMMYFUNCTION("JOIN("" | "",'Team Stats'!I$8:K$8)"),"0 | 0 | 0")</f>
        <v>0 | 0 | 0</v>
      </c>
      <c r="L211" s="42"/>
      <c r="M211" s="42"/>
      <c r="N211" s="42"/>
      <c r="O211" s="42"/>
      <c r="P211" s="42"/>
      <c r="Q211" s="42"/>
    </row>
    <row r="212">
      <c r="A212" s="83"/>
      <c r="B212" s="34">
        <v>211.0</v>
      </c>
      <c r="C212" s="34" t="str">
        <f>'Teams &amp; Draft Order'!$C$11</f>
        <v>Big Boys Big Work</v>
      </c>
      <c r="D212" s="35"/>
      <c r="E212" s="36" t="str">
        <f>IFERROR(VLOOKUP($D212,PlayerDB!$F$2:$G313,2,FALSE),"")</f>
        <v/>
      </c>
      <c r="F212" s="36" t="str">
        <f>IFERROR(VLOOKUP($D212,PlayerDB!$F$2:$H313,3,FALSE),"")</f>
        <v/>
      </c>
      <c r="G212" s="37" t="str">
        <f>IFERROR(VLOOKUP($D212,PlayerDB!$F$2:$I313,4,FALSE),"")</f>
        <v/>
      </c>
      <c r="H212" s="38"/>
      <c r="I212" s="39" t="str">
        <f>IFERROR(__xludf.DUMMYFUNCTION("JOIN("" | "",'Team Stats'!C$7:H$7)"),"0 | 0 | 0 | 0 | 0 | 0")</f>
        <v>0 | 0 | 0 | 0 | 0 | 0</v>
      </c>
      <c r="J212" s="40" t="str">
        <f>IFERROR(__xludf.DUMMYFUNCTION("JOIN("" | "",'Team Stats'!I$7:K$7)"),"0 | 0 | 0")</f>
        <v>0 | 0 | 0</v>
      </c>
      <c r="L212" s="42"/>
      <c r="M212" s="42"/>
      <c r="N212" s="42"/>
      <c r="O212" s="42"/>
      <c r="P212" s="42"/>
      <c r="Q212" s="42"/>
    </row>
    <row r="213">
      <c r="A213" s="82"/>
      <c r="B213" s="46">
        <v>212.0</v>
      </c>
      <c r="C213" s="46" t="str">
        <f>'Teams &amp; Draft Order'!$C$10</f>
        <v>Buttheads</v>
      </c>
      <c r="D213" s="47"/>
      <c r="E213" s="48" t="str">
        <f>IFERROR(VLOOKUP($D213,PlayerDB!$F$2:$G313,2,FALSE),"")</f>
        <v/>
      </c>
      <c r="F213" s="48" t="str">
        <f>IFERROR(VLOOKUP($D213,PlayerDB!$F$2:$H313,3,FALSE),"")</f>
        <v/>
      </c>
      <c r="G213" s="49" t="str">
        <f>IFERROR(VLOOKUP($D213,PlayerDB!$F$2:$I313,4,FALSE),"")</f>
        <v/>
      </c>
      <c r="H213" s="38"/>
      <c r="I213" s="50" t="str">
        <f>IFERROR(__xludf.DUMMYFUNCTION("JOIN("" | "",'Team Stats'!C$6:H$6)"),"0 | 0 | 0 | 0 | 0 | 0")</f>
        <v>0 | 0 | 0 | 0 | 0 | 0</v>
      </c>
      <c r="J213" s="51" t="str">
        <f>IFERROR(__xludf.DUMMYFUNCTION("JOIN("" | "",'Team Stats'!I$6:K$6)"),"0 | 0 | 0")</f>
        <v>0 | 0 | 0</v>
      </c>
      <c r="L213" s="42"/>
      <c r="M213" s="42"/>
      <c r="N213" s="42"/>
      <c r="O213" s="42"/>
      <c r="P213" s="42"/>
      <c r="Q213" s="42"/>
    </row>
    <row r="214">
      <c r="A214" s="83"/>
      <c r="B214" s="34">
        <v>213.0</v>
      </c>
      <c r="C214" s="34" t="str">
        <f>'Teams &amp; Draft Order'!$C$9</f>
        <v>El Nino</v>
      </c>
      <c r="D214" s="35"/>
      <c r="E214" s="36" t="str">
        <f>IFERROR(VLOOKUP($D214,PlayerDB!$F$2:$G313,2,FALSE),"")</f>
        <v/>
      </c>
      <c r="F214" s="36" t="str">
        <f>IFERROR(VLOOKUP($D214,PlayerDB!$F$2:$H313,3,FALSE),"")</f>
        <v/>
      </c>
      <c r="G214" s="37" t="str">
        <f>IFERROR(VLOOKUP($D214,PlayerDB!$F$2:$I313,4,FALSE),"")</f>
        <v/>
      </c>
      <c r="H214" s="38"/>
      <c r="I214" s="39" t="str">
        <f>IFERROR(__xludf.DUMMYFUNCTION("JOIN("" | "",'Team Stats'!C$5:H$5)"),"0 | 0 | 0 | 0 | 0 | 0")</f>
        <v>0 | 0 | 0 | 0 | 0 | 0</v>
      </c>
      <c r="J214" s="40" t="str">
        <f>IFERROR(__xludf.DUMMYFUNCTION("JOIN("" | "",'Team Stats'!I$5:K$5)"),"0 | 0 | 0")</f>
        <v>0 | 0 | 0</v>
      </c>
      <c r="L214" s="42"/>
      <c r="M214" s="42"/>
      <c r="N214" s="42"/>
      <c r="O214" s="42"/>
      <c r="P214" s="42"/>
      <c r="Q214" s="42"/>
    </row>
    <row r="215">
      <c r="A215" s="82"/>
      <c r="B215" s="46">
        <v>214.0</v>
      </c>
      <c r="C215" s="46" t="str">
        <f>'Teams &amp; Draft Order'!$C$8</f>
        <v>Icelanders</v>
      </c>
      <c r="D215" s="47"/>
      <c r="E215" s="48" t="str">
        <f>IFERROR(VLOOKUP($D215,PlayerDB!$F$2:$G313,2,FALSE),"")</f>
        <v/>
      </c>
      <c r="F215" s="48" t="str">
        <f>IFERROR(VLOOKUP($D215,PlayerDB!$F$2:$H313,3,FALSE),"")</f>
        <v/>
      </c>
      <c r="G215" s="49" t="str">
        <f>IFERROR(VLOOKUP($D215,PlayerDB!$F$2:$I313,4,FALSE),"")</f>
        <v/>
      </c>
      <c r="H215" s="38"/>
      <c r="I215" s="50" t="str">
        <f>IFERROR(__xludf.DUMMYFUNCTION("JOIN("" | "",'Team Stats'!C$4:H$4)"),"0 | 0 | 0 | 0 | 0 | 0")</f>
        <v>0 | 0 | 0 | 0 | 0 | 0</v>
      </c>
      <c r="J215" s="51" t="str">
        <f>IFERROR(__xludf.DUMMYFUNCTION("JOIN("" | "",'Team Stats'!I$4:K$4)"),"0 | 0 | 0")</f>
        <v>0 | 0 | 0</v>
      </c>
      <c r="L215" s="42"/>
      <c r="M215" s="42"/>
      <c r="N215" s="42"/>
      <c r="O215" s="42"/>
      <c r="P215" s="42"/>
      <c r="Q215" s="42"/>
    </row>
    <row r="216">
      <c r="A216" s="83"/>
      <c r="B216" s="34">
        <v>215.0</v>
      </c>
      <c r="C216" s="34" t="str">
        <f>'Teams &amp; Draft Order'!$C$7</f>
        <v>Phantasm</v>
      </c>
      <c r="D216" s="35"/>
      <c r="E216" s="36" t="str">
        <f>IFERROR(VLOOKUP($D216,PlayerDB!$F$2:$G313,2,FALSE),"")</f>
        <v/>
      </c>
      <c r="F216" s="36" t="str">
        <f>IFERROR(VLOOKUP($D216,PlayerDB!$F$2:$H313,3,FALSE),"")</f>
        <v/>
      </c>
      <c r="G216" s="37" t="str">
        <f>IFERROR(VLOOKUP($D216,PlayerDB!$F$2:$I313,4,FALSE),"")</f>
        <v/>
      </c>
      <c r="H216" s="38"/>
      <c r="I216" s="39" t="str">
        <f>IFERROR(__xludf.DUMMYFUNCTION("JOIN("" | "",'Team Stats'!C$3:H$3)"),"0 | 0 | 0 | 0 | 0 | 0")</f>
        <v>0 | 0 | 0 | 0 | 0 | 0</v>
      </c>
      <c r="J216" s="40" t="str">
        <f>IFERROR(__xludf.DUMMYFUNCTION("JOIN("" | "",'Team Stats'!I$3:K$3)"),"0 | 0 | 0")</f>
        <v>0 | 0 | 0</v>
      </c>
      <c r="L216" s="42"/>
      <c r="M216" s="42"/>
      <c r="N216" s="42"/>
      <c r="O216" s="42"/>
      <c r="P216" s="42"/>
      <c r="Q216" s="42"/>
    </row>
    <row r="217">
      <c r="A217" s="84"/>
      <c r="B217" s="55">
        <v>216.0</v>
      </c>
      <c r="C217" s="55" t="str">
        <f>'Teams &amp; Draft Order'!$C$6</f>
        <v>Sleeper Cell </v>
      </c>
      <c r="D217" s="56"/>
      <c r="E217" s="57" t="str">
        <f>IFERROR(VLOOKUP($D217,PlayerDB!$F$2:$G313,2,FALSE),"")</f>
        <v/>
      </c>
      <c r="F217" s="57" t="str">
        <f>IFERROR(VLOOKUP($D217,PlayerDB!$F$2:$H313,3,FALSE),"")</f>
        <v/>
      </c>
      <c r="G217" s="58" t="str">
        <f>IFERROR(VLOOKUP($D217,PlayerDB!$F$2:$I313,4,FALSE),"")</f>
        <v/>
      </c>
      <c r="H217" s="59"/>
      <c r="I217" s="60" t="str">
        <f>IFERROR(__xludf.DUMMYFUNCTION("JOIN("" | "",'Team Stats'!C$2:H$2)"),"1 | 0 | 0 | 0 | 0 | 0")</f>
        <v>1 | 0 | 0 | 0 | 0 | 0</v>
      </c>
      <c r="J217" s="64" t="str">
        <f>IFERROR(__xludf.DUMMYFUNCTION("JOIN("" | "",'Team Stats'!I$2:K$2)"),"0 | 0 | 0")</f>
        <v>0 | 0 | 0</v>
      </c>
      <c r="L217" s="42"/>
      <c r="M217" s="42"/>
      <c r="N217" s="42"/>
      <c r="O217" s="42"/>
      <c r="P217" s="42"/>
      <c r="Q217" s="42"/>
    </row>
    <row r="218">
      <c r="A218" s="72" t="s">
        <v>103</v>
      </c>
      <c r="B218" s="34">
        <v>217.0</v>
      </c>
      <c r="C218" s="73" t="str">
        <f>'Teams &amp; Draft Order'!$C$6</f>
        <v>Sleeper Cell </v>
      </c>
      <c r="D218" s="74"/>
      <c r="E218" s="36" t="str">
        <f>IFERROR(VLOOKUP($D218,PlayerDB!$F$2:$G313,2,FALSE),"")</f>
        <v/>
      </c>
      <c r="F218" s="36" t="str">
        <f>IFERROR(VLOOKUP($D218,PlayerDB!$F$2:$H313,3,FALSE),"")</f>
        <v/>
      </c>
      <c r="G218" s="37" t="str">
        <f>IFERROR(VLOOKUP($D218,PlayerDB!$F$2:$I313,4,FALSE),"")</f>
        <v/>
      </c>
      <c r="H218" s="38"/>
      <c r="I218" s="39" t="str">
        <f>IFERROR(__xludf.DUMMYFUNCTION("JOIN("" | "",'Team Stats'!C$2:H$2)"),"1 | 0 | 0 | 0 | 0 | 0")</f>
        <v>1 | 0 | 0 | 0 | 0 | 0</v>
      </c>
      <c r="J218" s="77" t="str">
        <f>IFERROR(__xludf.DUMMYFUNCTION("JOIN("" | "",'Team Stats'!I$2:K$2)"),"0 | 0 | 0")</f>
        <v>0 | 0 | 0</v>
      </c>
      <c r="L218" s="42"/>
      <c r="M218" s="42"/>
      <c r="N218" s="42"/>
      <c r="O218" s="42"/>
      <c r="P218" s="42"/>
      <c r="Q218" s="42"/>
    </row>
    <row r="219">
      <c r="A219" s="45"/>
      <c r="B219" s="46">
        <v>218.0</v>
      </c>
      <c r="C219" s="46" t="str">
        <f>'Teams &amp; Draft Order'!$C$7</f>
        <v>Phantasm</v>
      </c>
      <c r="D219" s="47"/>
      <c r="E219" s="48" t="str">
        <f>IFERROR(VLOOKUP($D219,PlayerDB!$F$2:$G313,2,FALSE),"")</f>
        <v/>
      </c>
      <c r="F219" s="48" t="str">
        <f>IFERROR(VLOOKUP($D219,PlayerDB!$F$2:$H313,3,FALSE),"")</f>
        <v/>
      </c>
      <c r="G219" s="49" t="str">
        <f>IFERROR(VLOOKUP($D219,PlayerDB!$F$2:$I313,4,FALSE),"")</f>
        <v/>
      </c>
      <c r="H219" s="38"/>
      <c r="I219" s="50" t="str">
        <f>IFERROR(__xludf.DUMMYFUNCTION("JOIN("" | "",'Team Stats'!C$3:H$3)"),"0 | 0 | 0 | 0 | 0 | 0")</f>
        <v>0 | 0 | 0 | 0 | 0 | 0</v>
      </c>
      <c r="J219" s="78" t="str">
        <f>IFERROR(__xludf.DUMMYFUNCTION("JOIN("" | "",'Team Stats'!I$3:K$3)"),"0 | 0 | 0")</f>
        <v>0 | 0 | 0</v>
      </c>
      <c r="L219" s="42"/>
      <c r="M219" s="42"/>
      <c r="N219" s="42"/>
      <c r="O219" s="42"/>
      <c r="P219" s="42"/>
      <c r="Q219" s="42"/>
    </row>
    <row r="220">
      <c r="A220" s="33"/>
      <c r="B220" s="34">
        <v>219.0</v>
      </c>
      <c r="C220" s="34" t="str">
        <f>'Teams &amp; Draft Order'!$C$8</f>
        <v>Icelanders</v>
      </c>
      <c r="D220" s="35"/>
      <c r="E220" s="36" t="str">
        <f>IFERROR(VLOOKUP($D220,PlayerDB!$F$2:$G313,2,FALSE),"")</f>
        <v/>
      </c>
      <c r="F220" s="36" t="str">
        <f>IFERROR(VLOOKUP($D220,PlayerDB!$F$2:$H313,3,FALSE),"")</f>
        <v/>
      </c>
      <c r="G220" s="37" t="str">
        <f>IFERROR(VLOOKUP($D220,PlayerDB!$F$2:$I313,4,FALSE),"")</f>
        <v/>
      </c>
      <c r="H220" s="38"/>
      <c r="I220" s="39" t="str">
        <f>IFERROR(__xludf.DUMMYFUNCTION("JOIN("" | "",'Team Stats'!C$4:H$4)"),"0 | 0 | 0 | 0 | 0 | 0")</f>
        <v>0 | 0 | 0 | 0 | 0 | 0</v>
      </c>
      <c r="J220" s="79" t="str">
        <f>IFERROR(__xludf.DUMMYFUNCTION("JOIN("" | "",'Team Stats'!I$4:K$4)"),"0 | 0 | 0")</f>
        <v>0 | 0 | 0</v>
      </c>
      <c r="L220" s="42"/>
      <c r="M220" s="42"/>
      <c r="N220" s="42"/>
      <c r="O220" s="42"/>
      <c r="P220" s="42"/>
      <c r="Q220" s="42"/>
    </row>
    <row r="221">
      <c r="A221" s="45"/>
      <c r="B221" s="46">
        <v>220.0</v>
      </c>
      <c r="C221" s="46" t="str">
        <f>'Teams &amp; Draft Order'!$C$9</f>
        <v>El Nino</v>
      </c>
      <c r="D221" s="47"/>
      <c r="E221" s="48" t="str">
        <f>IFERROR(VLOOKUP($D221,PlayerDB!$F$2:$G313,2,FALSE),"")</f>
        <v/>
      </c>
      <c r="F221" s="48" t="str">
        <f>IFERROR(VLOOKUP($D221,PlayerDB!$F$2:$H313,3,FALSE),"")</f>
        <v/>
      </c>
      <c r="G221" s="49" t="str">
        <f>IFERROR(VLOOKUP($D221,PlayerDB!$F$2:$I313,4,FALSE),"")</f>
        <v/>
      </c>
      <c r="H221" s="38"/>
      <c r="I221" s="50" t="str">
        <f>IFERROR(__xludf.DUMMYFUNCTION("JOIN("" | "",'Team Stats'!C$5:H$5)"),"0 | 0 | 0 | 0 | 0 | 0")</f>
        <v>0 | 0 | 0 | 0 | 0 | 0</v>
      </c>
      <c r="J221" s="78" t="str">
        <f>IFERROR(__xludf.DUMMYFUNCTION("JOIN("" | "",'Team Stats'!I$5:K$5)"),"0 | 0 | 0")</f>
        <v>0 | 0 | 0</v>
      </c>
      <c r="L221" s="42"/>
      <c r="M221" s="42"/>
      <c r="N221" s="42"/>
      <c r="O221" s="42"/>
      <c r="P221" s="42"/>
      <c r="Q221" s="42"/>
    </row>
    <row r="222">
      <c r="A222" s="33"/>
      <c r="B222" s="34">
        <v>221.0</v>
      </c>
      <c r="C222" s="34" t="str">
        <f>'Teams &amp; Draft Order'!$C$10</f>
        <v>Buttheads</v>
      </c>
      <c r="D222" s="35"/>
      <c r="E222" s="36" t="str">
        <f>IFERROR(VLOOKUP($D222,PlayerDB!$F$2:$G313,2,FALSE),"")</f>
        <v/>
      </c>
      <c r="F222" s="36" t="str">
        <f>IFERROR(VLOOKUP($D222,PlayerDB!$F$2:$H313,3,FALSE),"")</f>
        <v/>
      </c>
      <c r="G222" s="37" t="str">
        <f>IFERROR(VLOOKUP($D222,PlayerDB!$F$2:$I313,4,FALSE),"")</f>
        <v/>
      </c>
      <c r="H222" s="38"/>
      <c r="I222" s="39" t="str">
        <f>IFERROR(__xludf.DUMMYFUNCTION("JOIN("" | "",'Team Stats'!C$6:H$6)"),"0 | 0 | 0 | 0 | 0 | 0")</f>
        <v>0 | 0 | 0 | 0 | 0 | 0</v>
      </c>
      <c r="J222" s="79" t="str">
        <f>IFERROR(__xludf.DUMMYFUNCTION("JOIN("" | "",'Team Stats'!I$6:K$6)"),"0 | 0 | 0")</f>
        <v>0 | 0 | 0</v>
      </c>
      <c r="L222" s="42"/>
      <c r="M222" s="42"/>
      <c r="N222" s="42"/>
      <c r="O222" s="42"/>
      <c r="P222" s="42"/>
      <c r="Q222" s="42"/>
    </row>
    <row r="223">
      <c r="A223" s="45"/>
      <c r="B223" s="46">
        <v>222.0</v>
      </c>
      <c r="C223" s="46" t="str">
        <f>'Teams &amp; Draft Order'!$C$11</f>
        <v>Big Boys Big Work</v>
      </c>
      <c r="D223" s="47"/>
      <c r="E223" s="48" t="str">
        <f>IFERROR(VLOOKUP($D223,PlayerDB!$F$2:$G313,2,FALSE),"")</f>
        <v/>
      </c>
      <c r="F223" s="48" t="str">
        <f>IFERROR(VLOOKUP($D223,PlayerDB!$F$2:$H313,3,FALSE),"")</f>
        <v/>
      </c>
      <c r="G223" s="49" t="str">
        <f>IFERROR(VLOOKUP($D223,PlayerDB!$F$2:$I313,4,FALSE),"")</f>
        <v/>
      </c>
      <c r="H223" s="38"/>
      <c r="I223" s="50" t="str">
        <f>IFERROR(__xludf.DUMMYFUNCTION("JOIN("" | "",'Team Stats'!C$7:H$7)"),"0 | 0 | 0 | 0 | 0 | 0")</f>
        <v>0 | 0 | 0 | 0 | 0 | 0</v>
      </c>
      <c r="J223" s="78" t="str">
        <f>IFERROR(__xludf.DUMMYFUNCTION("JOIN("" | "",'Team Stats'!I$7:K$7)"),"0 | 0 | 0")</f>
        <v>0 | 0 | 0</v>
      </c>
      <c r="L223" s="42"/>
      <c r="M223" s="42"/>
      <c r="N223" s="42"/>
      <c r="O223" s="42"/>
      <c r="P223" s="42"/>
      <c r="Q223" s="42"/>
    </row>
    <row r="224">
      <c r="A224" s="33"/>
      <c r="B224" s="34">
        <v>223.0</v>
      </c>
      <c r="C224" s="34" t="str">
        <f>'Teams &amp; Draft Order'!$C$12</f>
        <v>Turbo-Ginz</v>
      </c>
      <c r="D224" s="35"/>
      <c r="E224" s="36" t="str">
        <f>IFERROR(VLOOKUP($D224,PlayerDB!$F$2:$G313,2,FALSE),"")</f>
        <v/>
      </c>
      <c r="F224" s="36" t="str">
        <f>IFERROR(VLOOKUP($D224,PlayerDB!$F$2:$H313,3,FALSE),"")</f>
        <v/>
      </c>
      <c r="G224" s="37" t="str">
        <f>IFERROR(VLOOKUP($D224,PlayerDB!$F$2:$I313,4,FALSE),"")</f>
        <v/>
      </c>
      <c r="H224" s="38"/>
      <c r="I224" s="39" t="str">
        <f>IFERROR(__xludf.DUMMYFUNCTION("JOIN("" | "",'Team Stats'!C$8:H$8)"),"0 | 0 | 0 | 0 | 0 | 0")</f>
        <v>0 | 0 | 0 | 0 | 0 | 0</v>
      </c>
      <c r="J224" s="79" t="str">
        <f>IFERROR(__xludf.DUMMYFUNCTION("JOIN("" | "",'Team Stats'!I$8:K$8)"),"0 | 0 | 0")</f>
        <v>0 | 0 | 0</v>
      </c>
      <c r="L224" s="42"/>
      <c r="M224" s="42"/>
      <c r="N224" s="42"/>
      <c r="O224" s="42"/>
      <c r="P224" s="42"/>
      <c r="Q224" s="42"/>
    </row>
    <row r="225">
      <c r="A225" s="45"/>
      <c r="B225" s="46">
        <v>224.0</v>
      </c>
      <c r="C225" s="46" t="str">
        <f>'Teams &amp; Draft Order'!$C$13</f>
        <v>Luddite</v>
      </c>
      <c r="D225" s="47"/>
      <c r="E225" s="48" t="str">
        <f>IFERROR(VLOOKUP($D225,PlayerDB!$F$2:$G313,2,FALSE),"")</f>
        <v/>
      </c>
      <c r="F225" s="48" t="str">
        <f>IFERROR(VLOOKUP($D225,PlayerDB!$F$2:$H313,3,FALSE),"")</f>
        <v/>
      </c>
      <c r="G225" s="49" t="str">
        <f>IFERROR(VLOOKUP($D225,PlayerDB!$F$2:$I313,4,FALSE),"")</f>
        <v/>
      </c>
      <c r="H225" s="38"/>
      <c r="I225" s="50" t="str">
        <f>IFERROR(__xludf.DUMMYFUNCTION("JOIN("" | "",'Team Stats'!C$9:H$9)"),"0 | 0 | 0 | 0 | 0 | 0")</f>
        <v>0 | 0 | 0 | 0 | 0 | 0</v>
      </c>
      <c r="J225" s="78" t="str">
        <f>IFERROR(__xludf.DUMMYFUNCTION("JOIN("" | "",'Team Stats'!I$9:K$9)"),"0 | 0 | 0")</f>
        <v>0 | 0 | 0</v>
      </c>
      <c r="L225" s="42"/>
      <c r="M225" s="42"/>
      <c r="N225" s="42"/>
      <c r="O225" s="42"/>
      <c r="P225" s="42"/>
      <c r="Q225" s="42"/>
    </row>
    <row r="226">
      <c r="A226" s="33"/>
      <c r="B226" s="34">
        <v>225.0</v>
      </c>
      <c r="C226" s="34" t="str">
        <f>'Teams &amp; Draft Order'!$C$14</f>
        <v>Achaians</v>
      </c>
      <c r="D226" s="35"/>
      <c r="E226" s="36" t="str">
        <f>IFERROR(VLOOKUP($D226,PlayerDB!$F$2:$G313,2,FALSE),"")</f>
        <v/>
      </c>
      <c r="F226" s="36" t="str">
        <f>IFERROR(VLOOKUP($D226,PlayerDB!$F$2:$H313,3,FALSE),"")</f>
        <v/>
      </c>
      <c r="G226" s="37" t="str">
        <f>IFERROR(VLOOKUP($D226,PlayerDB!$F$2:$I313,4,FALSE),"")</f>
        <v/>
      </c>
      <c r="H226" s="38"/>
      <c r="I226" s="39" t="str">
        <f>IFERROR(__xludf.DUMMYFUNCTION("JOIN("" | "",'Team Stats'!C$10:H$10)"),"0 | 0 | 0 | 0 | 0 | 0")</f>
        <v>0 | 0 | 0 | 0 | 0 | 0</v>
      </c>
      <c r="J226" s="79" t="str">
        <f>IFERROR(__xludf.DUMMYFUNCTION("JOIN("" | "",'Team Stats'!I$10:K$10)"),"0 | 0 | 0")</f>
        <v>0 | 0 | 0</v>
      </c>
      <c r="L226" s="42"/>
      <c r="M226" s="42"/>
      <c r="N226" s="42"/>
      <c r="O226" s="42"/>
      <c r="P226" s="42"/>
      <c r="Q226" s="42"/>
    </row>
    <row r="227">
      <c r="A227" s="45"/>
      <c r="B227" s="46">
        <v>226.0</v>
      </c>
      <c r="C227" s="46" t="str">
        <f>'Teams &amp; Draft Order'!$C$15</f>
        <v>Daddy's Dogs</v>
      </c>
      <c r="D227" s="47"/>
      <c r="E227" s="48" t="str">
        <f>IFERROR(VLOOKUP($D227,PlayerDB!$F$2:$G313,2,FALSE),"")</f>
        <v/>
      </c>
      <c r="F227" s="48" t="str">
        <f>IFERROR(VLOOKUP($D227,PlayerDB!$F$2:$H313,3,FALSE),"")</f>
        <v/>
      </c>
      <c r="G227" s="49" t="str">
        <f>IFERROR(VLOOKUP($D227,PlayerDB!$F$2:$I313,4,FALSE),"")</f>
        <v/>
      </c>
      <c r="H227" s="38"/>
      <c r="I227" s="50" t="str">
        <f>IFERROR(__xludf.DUMMYFUNCTION("JOIN("" | "",'Team Stats'!C$11:H$11)"),"0 | 0 | 0 | 0 | 0 | 0")</f>
        <v>0 | 0 | 0 | 0 | 0 | 0</v>
      </c>
      <c r="J227" s="78" t="str">
        <f>IFERROR(__xludf.DUMMYFUNCTION("JOIN("" | "",'Team Stats'!I$11:K$11)"),"0 | 0 | 0")</f>
        <v>0 | 0 | 0</v>
      </c>
      <c r="L227" s="42"/>
      <c r="M227" s="42"/>
      <c r="N227" s="42"/>
      <c r="O227" s="42"/>
      <c r="P227" s="42"/>
      <c r="Q227" s="42"/>
    </row>
    <row r="228">
      <c r="A228" s="33"/>
      <c r="B228" s="34">
        <v>227.0</v>
      </c>
      <c r="C228" s="34" t="str">
        <f>'Teams &amp; Draft Order'!$C$16</f>
        <v>TDs and Beers</v>
      </c>
      <c r="D228" s="35"/>
      <c r="E228" s="36" t="str">
        <f>IFERROR(VLOOKUP($D228,PlayerDB!$F$2:$G313,2,FALSE),"")</f>
        <v/>
      </c>
      <c r="F228" s="36" t="str">
        <f>IFERROR(VLOOKUP($D228,PlayerDB!$F$2:$H313,3,FALSE),"")</f>
        <v/>
      </c>
      <c r="G228" s="37" t="str">
        <f>IFERROR(VLOOKUP($D228,PlayerDB!$F$2:$I313,4,FALSE),"")</f>
        <v/>
      </c>
      <c r="H228" s="38"/>
      <c r="I228" s="39" t="str">
        <f>IFERROR(__xludf.DUMMYFUNCTION("JOIN("" | "",'Team Stats'!C$12:H$12)"),"0 | 0 | 0 | 0 | 0 | 0")</f>
        <v>0 | 0 | 0 | 0 | 0 | 0</v>
      </c>
      <c r="J228" s="79" t="str">
        <f>IFERROR(__xludf.DUMMYFUNCTION("JOIN("" | "",'Team Stats'!I$12:K$12)"),"0 | 0 | 0")</f>
        <v>0 | 0 | 0</v>
      </c>
      <c r="L228" s="42"/>
      <c r="M228" s="42"/>
      <c r="N228" s="42"/>
      <c r="O228" s="42"/>
      <c r="P228" s="42"/>
      <c r="Q228" s="42"/>
    </row>
    <row r="229">
      <c r="A229" s="45"/>
      <c r="B229" s="55">
        <v>228.0</v>
      </c>
      <c r="C229" s="46" t="str">
        <f>'Teams &amp; Draft Order'!$C$17</f>
        <v>DD Riders</v>
      </c>
      <c r="D229" s="47"/>
      <c r="E229" s="57" t="str">
        <f>IFERROR(VLOOKUP($D229,PlayerDB!$F$2:$G313,2,FALSE),"")</f>
        <v/>
      </c>
      <c r="F229" s="57" t="str">
        <f>IFERROR(VLOOKUP($D229,PlayerDB!$F$2:$H313,3,FALSE),"")</f>
        <v/>
      </c>
      <c r="G229" s="58" t="str">
        <f>IFERROR(VLOOKUP($D229,PlayerDB!$F$2:$I313,4,FALSE),"")</f>
        <v/>
      </c>
      <c r="H229" s="59"/>
      <c r="I229" s="50" t="str">
        <f>IFERROR(__xludf.DUMMYFUNCTION("JOIN("" | "",'Team Stats'!C$13:H$13)"),"0 | 0 | 0 | 0 | 0 | 0")</f>
        <v>0 | 0 | 0 | 0 | 0 | 0</v>
      </c>
      <c r="J229" s="78" t="str">
        <f>IFERROR(__xludf.DUMMYFUNCTION("JOIN("" | "",'Team Stats'!I$13:K$13)"),"0 | 0 | 0")</f>
        <v>0 | 0 | 0</v>
      </c>
      <c r="L229" s="42"/>
      <c r="M229" s="42"/>
      <c r="N229" s="42"/>
      <c r="O229" s="42"/>
      <c r="P229" s="42"/>
      <c r="Q229" s="42"/>
    </row>
    <row r="230">
      <c r="A230" s="72" t="s">
        <v>104</v>
      </c>
      <c r="B230" s="34">
        <v>229.0</v>
      </c>
      <c r="C230" s="73" t="str">
        <f>'Teams &amp; Draft Order'!$C$17</f>
        <v>DD Riders</v>
      </c>
      <c r="D230" s="74"/>
      <c r="E230" s="36" t="str">
        <f>IFERROR(VLOOKUP($D230,PlayerDB!$F$2:$G313,2,FALSE),"")</f>
        <v/>
      </c>
      <c r="F230" s="36" t="str">
        <f>IFERROR(VLOOKUP($D230,PlayerDB!$F$2:$H313,3,FALSE),"")</f>
        <v/>
      </c>
      <c r="G230" s="37" t="str">
        <f>IFERROR(VLOOKUP($D230,PlayerDB!$F$2:$I313,4,FALSE),"")</f>
        <v/>
      </c>
      <c r="H230" s="38"/>
      <c r="I230" s="76" t="str">
        <f>IFERROR(__xludf.DUMMYFUNCTION("JOIN("" | "",'Team Stats'!C$13:H$13)"),"0 | 0 | 0 | 0 | 0 | 0")</f>
        <v>0 | 0 | 0 | 0 | 0 | 0</v>
      </c>
      <c r="J230" s="77" t="str">
        <f>IFERROR(__xludf.DUMMYFUNCTION("JOIN("" | "",'Team Stats'!I$13:K$13)"),"0 | 0 | 0")</f>
        <v>0 | 0 | 0</v>
      </c>
      <c r="L230" s="42"/>
      <c r="M230" s="42"/>
      <c r="N230" s="42"/>
      <c r="O230" s="42"/>
      <c r="P230" s="42"/>
      <c r="Q230" s="42"/>
    </row>
    <row r="231">
      <c r="A231" s="82"/>
      <c r="B231" s="46">
        <v>230.0</v>
      </c>
      <c r="C231" s="46" t="str">
        <f>'Teams &amp; Draft Order'!$C$16</f>
        <v>TDs and Beers</v>
      </c>
      <c r="D231" s="47"/>
      <c r="E231" s="48" t="str">
        <f>IFERROR(VLOOKUP($D231,PlayerDB!$F$2:$G313,2,FALSE),"")</f>
        <v/>
      </c>
      <c r="F231" s="48" t="str">
        <f>IFERROR(VLOOKUP($D231,PlayerDB!$F$2:$H313,3,FALSE),"")</f>
        <v/>
      </c>
      <c r="G231" s="49" t="str">
        <f>IFERROR(VLOOKUP($D231,PlayerDB!$F$2:$I313,4,FALSE),"")</f>
        <v/>
      </c>
      <c r="H231" s="38"/>
      <c r="I231" s="50" t="str">
        <f>IFERROR(__xludf.DUMMYFUNCTION("JOIN("" | "",'Team Stats'!C$12:H$12)"),"0 | 0 | 0 | 0 | 0 | 0")</f>
        <v>0 | 0 | 0 | 0 | 0 | 0</v>
      </c>
      <c r="J231" s="78" t="str">
        <f>IFERROR(__xludf.DUMMYFUNCTION("JOIN("" | "",'Team Stats'!I$12:K$12)"),"0 | 0 | 0")</f>
        <v>0 | 0 | 0</v>
      </c>
      <c r="L231" s="42"/>
      <c r="M231" s="42"/>
      <c r="N231" s="42"/>
      <c r="O231" s="42"/>
      <c r="P231" s="42"/>
      <c r="Q231" s="42"/>
    </row>
    <row r="232">
      <c r="A232" s="83"/>
      <c r="B232" s="34">
        <v>231.0</v>
      </c>
      <c r="C232" s="34" t="str">
        <f>'Teams &amp; Draft Order'!$C$15</f>
        <v>Daddy's Dogs</v>
      </c>
      <c r="D232" s="35"/>
      <c r="E232" s="36" t="str">
        <f>IFERROR(VLOOKUP($D232,PlayerDB!$F$2:$G313,2,FALSE),"")</f>
        <v/>
      </c>
      <c r="F232" s="36" t="str">
        <f>IFERROR(VLOOKUP($D232,PlayerDB!$F$2:$H313,3,FALSE),"")</f>
        <v/>
      </c>
      <c r="G232" s="37" t="str">
        <f>IFERROR(VLOOKUP($D232,PlayerDB!$F$2:$I313,4,FALSE),"")</f>
        <v/>
      </c>
      <c r="H232" s="38"/>
      <c r="I232" s="39" t="str">
        <f>IFERROR(__xludf.DUMMYFUNCTION("JOIN("" | "",'Team Stats'!C$11:H$11)"),"0 | 0 | 0 | 0 | 0 | 0")</f>
        <v>0 | 0 | 0 | 0 | 0 | 0</v>
      </c>
      <c r="J232" s="79" t="str">
        <f>IFERROR(__xludf.DUMMYFUNCTION("JOIN("" | "",'Team Stats'!I$11:K$11)"),"0 | 0 | 0")</f>
        <v>0 | 0 | 0</v>
      </c>
      <c r="L232" s="42"/>
      <c r="M232" s="42"/>
      <c r="N232" s="42"/>
      <c r="O232" s="42"/>
      <c r="P232" s="42"/>
      <c r="Q232" s="42"/>
    </row>
    <row r="233">
      <c r="A233" s="82"/>
      <c r="B233" s="46">
        <v>232.0</v>
      </c>
      <c r="C233" s="46" t="str">
        <f>'Teams &amp; Draft Order'!$C$14</f>
        <v>Achaians</v>
      </c>
      <c r="D233" s="47"/>
      <c r="E233" s="48" t="str">
        <f>IFERROR(VLOOKUP($D233,PlayerDB!$F$2:$G313,2,FALSE),"")</f>
        <v/>
      </c>
      <c r="F233" s="48" t="str">
        <f>IFERROR(VLOOKUP($D233,PlayerDB!$F$2:$H313,3,FALSE),"")</f>
        <v/>
      </c>
      <c r="G233" s="49" t="str">
        <f>IFERROR(VLOOKUP($D233,PlayerDB!$F$2:$I313,4,FALSE),"")</f>
        <v/>
      </c>
      <c r="H233" s="38"/>
      <c r="I233" s="50" t="str">
        <f>IFERROR(__xludf.DUMMYFUNCTION("JOIN("" | "",'Team Stats'!C$10:H$10)"),"0 | 0 | 0 | 0 | 0 | 0")</f>
        <v>0 | 0 | 0 | 0 | 0 | 0</v>
      </c>
      <c r="J233" s="78" t="str">
        <f>IFERROR(__xludf.DUMMYFUNCTION("JOIN("" | "",'Team Stats'!I$10:K$10)"),"0 | 0 | 0")</f>
        <v>0 | 0 | 0</v>
      </c>
      <c r="L233" s="42"/>
      <c r="M233" s="42"/>
      <c r="N233" s="42"/>
      <c r="O233" s="42"/>
      <c r="P233" s="42"/>
      <c r="Q233" s="42"/>
    </row>
    <row r="234">
      <c r="A234" s="83"/>
      <c r="B234" s="34">
        <v>233.0</v>
      </c>
      <c r="C234" s="34" t="str">
        <f>'Teams &amp; Draft Order'!$C$13</f>
        <v>Luddite</v>
      </c>
      <c r="D234" s="35"/>
      <c r="E234" s="36" t="str">
        <f>IFERROR(VLOOKUP($D234,PlayerDB!$F$2:$G313,2,FALSE),"")</f>
        <v/>
      </c>
      <c r="F234" s="36" t="str">
        <f>IFERROR(VLOOKUP($D234,PlayerDB!$F$2:$H313,3,FALSE),"")</f>
        <v/>
      </c>
      <c r="G234" s="37" t="str">
        <f>IFERROR(VLOOKUP($D234,PlayerDB!$F$2:$I313,4,FALSE),"")</f>
        <v/>
      </c>
      <c r="H234" s="38"/>
      <c r="I234" s="39" t="str">
        <f>IFERROR(__xludf.DUMMYFUNCTION("JOIN("" | "",'Team Stats'!C$9:H$9)"),"0 | 0 | 0 | 0 | 0 | 0")</f>
        <v>0 | 0 | 0 | 0 | 0 | 0</v>
      </c>
      <c r="J234" s="79" t="str">
        <f>IFERROR(__xludf.DUMMYFUNCTION("JOIN("" | "",'Team Stats'!I$9:K$9)"),"0 | 0 | 0")</f>
        <v>0 | 0 | 0</v>
      </c>
      <c r="L234" s="42"/>
      <c r="M234" s="42"/>
      <c r="N234" s="42"/>
      <c r="O234" s="42"/>
      <c r="P234" s="42"/>
      <c r="Q234" s="42"/>
    </row>
    <row r="235">
      <c r="A235" s="82"/>
      <c r="B235" s="46">
        <v>234.0</v>
      </c>
      <c r="C235" s="46" t="str">
        <f>'Teams &amp; Draft Order'!$C$12</f>
        <v>Turbo-Ginz</v>
      </c>
      <c r="D235" s="47"/>
      <c r="E235" s="48" t="str">
        <f>IFERROR(VLOOKUP($D235,PlayerDB!$F$2:$G313,2,FALSE),"")</f>
        <v/>
      </c>
      <c r="F235" s="48" t="str">
        <f>IFERROR(VLOOKUP($D235,PlayerDB!$F$2:$H313,3,FALSE),"")</f>
        <v/>
      </c>
      <c r="G235" s="49" t="str">
        <f>IFERROR(VLOOKUP($D235,PlayerDB!$F$2:$I313,4,FALSE),"")</f>
        <v/>
      </c>
      <c r="H235" s="38"/>
      <c r="I235" s="50" t="str">
        <f>IFERROR(__xludf.DUMMYFUNCTION("JOIN("" | "",'Team Stats'!C$8:H$8)"),"0 | 0 | 0 | 0 | 0 | 0")</f>
        <v>0 | 0 | 0 | 0 | 0 | 0</v>
      </c>
      <c r="J235" s="78" t="str">
        <f>IFERROR(__xludf.DUMMYFUNCTION("JOIN("" | "",'Team Stats'!I$8:K$8)"),"0 | 0 | 0")</f>
        <v>0 | 0 | 0</v>
      </c>
      <c r="L235" s="42"/>
      <c r="M235" s="42"/>
      <c r="N235" s="42"/>
      <c r="O235" s="42"/>
      <c r="P235" s="42"/>
      <c r="Q235" s="42"/>
    </row>
    <row r="236">
      <c r="A236" s="83"/>
      <c r="B236" s="34">
        <v>235.0</v>
      </c>
      <c r="C236" s="34" t="str">
        <f>'Teams &amp; Draft Order'!$C$11</f>
        <v>Big Boys Big Work</v>
      </c>
      <c r="D236" s="35"/>
      <c r="E236" s="36" t="str">
        <f>IFERROR(VLOOKUP($D236,PlayerDB!$F$2:$G313,2,FALSE),"")</f>
        <v/>
      </c>
      <c r="F236" s="36" t="str">
        <f>IFERROR(VLOOKUP($D236,PlayerDB!$F$2:$H313,3,FALSE),"")</f>
        <v/>
      </c>
      <c r="G236" s="37" t="str">
        <f>IFERROR(VLOOKUP($D236,PlayerDB!$F$2:$I313,4,FALSE),"")</f>
        <v/>
      </c>
      <c r="H236" s="38"/>
      <c r="I236" s="39" t="str">
        <f>IFERROR(__xludf.DUMMYFUNCTION("JOIN("" | "",'Team Stats'!C$7:H$7)"),"0 | 0 | 0 | 0 | 0 | 0")</f>
        <v>0 | 0 | 0 | 0 | 0 | 0</v>
      </c>
      <c r="J236" s="79" t="str">
        <f>IFERROR(__xludf.DUMMYFUNCTION("JOIN("" | "",'Team Stats'!I$7:K$7)"),"0 | 0 | 0")</f>
        <v>0 | 0 | 0</v>
      </c>
      <c r="L236" s="42"/>
      <c r="M236" s="42"/>
      <c r="N236" s="42"/>
      <c r="O236" s="42"/>
      <c r="P236" s="42"/>
      <c r="Q236" s="42"/>
    </row>
    <row r="237">
      <c r="A237" s="82"/>
      <c r="B237" s="46">
        <v>236.0</v>
      </c>
      <c r="C237" s="46" t="str">
        <f>'Teams &amp; Draft Order'!$C$10</f>
        <v>Buttheads</v>
      </c>
      <c r="D237" s="47"/>
      <c r="E237" s="48" t="str">
        <f>IFERROR(VLOOKUP($D237,PlayerDB!$F$2:$G313,2,FALSE),"")</f>
        <v/>
      </c>
      <c r="F237" s="48" t="str">
        <f>IFERROR(VLOOKUP($D237,PlayerDB!$F$2:$H313,3,FALSE),"")</f>
        <v/>
      </c>
      <c r="G237" s="49" t="str">
        <f>IFERROR(VLOOKUP($D237,PlayerDB!$F$2:$I313,4,FALSE),"")</f>
        <v/>
      </c>
      <c r="H237" s="38"/>
      <c r="I237" s="50" t="str">
        <f>IFERROR(__xludf.DUMMYFUNCTION("JOIN("" | "",'Team Stats'!C$6:H$6)"),"0 | 0 | 0 | 0 | 0 | 0")</f>
        <v>0 | 0 | 0 | 0 | 0 | 0</v>
      </c>
      <c r="J237" s="78" t="str">
        <f>IFERROR(__xludf.DUMMYFUNCTION("JOIN("" | "",'Team Stats'!I$6:K$6)"),"0 | 0 | 0")</f>
        <v>0 | 0 | 0</v>
      </c>
      <c r="L237" s="42"/>
      <c r="M237" s="42"/>
      <c r="N237" s="42"/>
      <c r="O237" s="42"/>
      <c r="P237" s="42"/>
      <c r="Q237" s="42"/>
    </row>
    <row r="238">
      <c r="A238" s="83"/>
      <c r="B238" s="34">
        <v>237.0</v>
      </c>
      <c r="C238" s="34" t="str">
        <f>'Teams &amp; Draft Order'!$C$9</f>
        <v>El Nino</v>
      </c>
      <c r="D238" s="35"/>
      <c r="E238" s="36" t="str">
        <f>IFERROR(VLOOKUP($D238,PlayerDB!$F$2:$G313,2,FALSE),"")</f>
        <v/>
      </c>
      <c r="F238" s="36" t="str">
        <f>IFERROR(VLOOKUP($D238,PlayerDB!$F$2:$H313,3,FALSE),"")</f>
        <v/>
      </c>
      <c r="G238" s="37" t="str">
        <f>IFERROR(VLOOKUP($D238,PlayerDB!$F$2:$I313,4,FALSE),"")</f>
        <v/>
      </c>
      <c r="H238" s="38"/>
      <c r="I238" s="39" t="str">
        <f>IFERROR(__xludf.DUMMYFUNCTION("JOIN("" | "",'Team Stats'!C$5:H$5)"),"0 | 0 | 0 | 0 | 0 | 0")</f>
        <v>0 | 0 | 0 | 0 | 0 | 0</v>
      </c>
      <c r="J238" s="79" t="str">
        <f>IFERROR(__xludf.DUMMYFUNCTION("JOIN("" | "",'Team Stats'!I$5:K$5)"),"0 | 0 | 0")</f>
        <v>0 | 0 | 0</v>
      </c>
      <c r="L238" s="42"/>
      <c r="M238" s="42"/>
      <c r="N238" s="42"/>
      <c r="O238" s="42"/>
      <c r="P238" s="42"/>
      <c r="Q238" s="42"/>
    </row>
    <row r="239">
      <c r="A239" s="82"/>
      <c r="B239" s="46">
        <v>238.0</v>
      </c>
      <c r="C239" s="46" t="str">
        <f>'Teams &amp; Draft Order'!$C$8</f>
        <v>Icelanders</v>
      </c>
      <c r="D239" s="47"/>
      <c r="E239" s="48" t="str">
        <f>IFERROR(VLOOKUP($D239,PlayerDB!$F$2:$G313,2,FALSE),"")</f>
        <v/>
      </c>
      <c r="F239" s="48" t="str">
        <f>IFERROR(VLOOKUP($D239,PlayerDB!$F$2:$H313,3,FALSE),"")</f>
        <v/>
      </c>
      <c r="G239" s="49" t="str">
        <f>IFERROR(VLOOKUP($D239,PlayerDB!$F$2:$I313,4,FALSE),"")</f>
        <v/>
      </c>
      <c r="H239" s="38"/>
      <c r="I239" s="50" t="str">
        <f>IFERROR(__xludf.DUMMYFUNCTION("JOIN("" | "",'Team Stats'!C$4:H$4)"),"0 | 0 | 0 | 0 | 0 | 0")</f>
        <v>0 | 0 | 0 | 0 | 0 | 0</v>
      </c>
      <c r="J239" s="78" t="str">
        <f>IFERROR(__xludf.DUMMYFUNCTION("JOIN("" | "",'Team Stats'!I$4:K$4)"),"0 | 0 | 0")</f>
        <v>0 | 0 | 0</v>
      </c>
      <c r="L239" s="42"/>
      <c r="M239" s="42"/>
      <c r="N239" s="42"/>
      <c r="O239" s="42"/>
      <c r="P239" s="42"/>
      <c r="Q239" s="42"/>
    </row>
    <row r="240">
      <c r="A240" s="83"/>
      <c r="B240" s="34">
        <v>239.0</v>
      </c>
      <c r="C240" s="34" t="str">
        <f>'Teams &amp; Draft Order'!$C$7</f>
        <v>Phantasm</v>
      </c>
      <c r="D240" s="35"/>
      <c r="E240" s="36" t="str">
        <f>IFERROR(VLOOKUP($D240,PlayerDB!$F$2:$G313,2,FALSE),"")</f>
        <v/>
      </c>
      <c r="F240" s="36" t="str">
        <f>IFERROR(VLOOKUP($D240,PlayerDB!$F$2:$H313,3,FALSE),"")</f>
        <v/>
      </c>
      <c r="G240" s="37" t="str">
        <f>IFERROR(VLOOKUP($D240,PlayerDB!$F$2:$I313,4,FALSE),"")</f>
        <v/>
      </c>
      <c r="H240" s="38"/>
      <c r="I240" s="39" t="str">
        <f>IFERROR(__xludf.DUMMYFUNCTION("JOIN("" | "",'Team Stats'!C$3:H$3)"),"0 | 0 | 0 | 0 | 0 | 0")</f>
        <v>0 | 0 | 0 | 0 | 0 | 0</v>
      </c>
      <c r="J240" s="79" t="str">
        <f>IFERROR(__xludf.DUMMYFUNCTION("JOIN("" | "",'Team Stats'!I$3:K$3)"),"0 | 0 | 0")</f>
        <v>0 | 0 | 0</v>
      </c>
      <c r="L240" s="42"/>
      <c r="M240" s="42"/>
      <c r="N240" s="42"/>
      <c r="O240" s="42"/>
      <c r="P240" s="42"/>
      <c r="Q240" s="42"/>
    </row>
    <row r="241">
      <c r="A241" s="84"/>
      <c r="B241" s="55">
        <v>240.0</v>
      </c>
      <c r="C241" s="55" t="str">
        <f>'Teams &amp; Draft Order'!$C$6</f>
        <v>Sleeper Cell </v>
      </c>
      <c r="D241" s="56"/>
      <c r="E241" s="57" t="str">
        <f>IFERROR(VLOOKUP($D241,PlayerDB!$F$2:$G313,2,FALSE),"")</f>
        <v/>
      </c>
      <c r="F241" s="57" t="str">
        <f>IFERROR(VLOOKUP($D241,PlayerDB!$F$2:$H313,3,FALSE),"")</f>
        <v/>
      </c>
      <c r="G241" s="58" t="str">
        <f>IFERROR(VLOOKUP($D241,PlayerDB!$F$2:$I313,4,FALSE),"")</f>
        <v/>
      </c>
      <c r="H241" s="59"/>
      <c r="I241" s="60" t="str">
        <f>IFERROR(__xludf.DUMMYFUNCTION("JOIN("" | "",'Team Stats'!C$2:H$2)"),"1 | 0 | 0 | 0 | 0 | 0")</f>
        <v>1 | 0 | 0 | 0 | 0 | 0</v>
      </c>
      <c r="J241" s="80" t="str">
        <f>IFERROR(__xludf.DUMMYFUNCTION("JOIN("" | "",'Team Stats'!I$2:K$2)"),"0 | 0 | 0")</f>
        <v>0 | 0 | 0</v>
      </c>
      <c r="L241" s="42"/>
      <c r="M241" s="42"/>
      <c r="N241" s="42"/>
      <c r="O241" s="42"/>
      <c r="P241" s="42"/>
      <c r="Q241" s="42"/>
    </row>
    <row r="242">
      <c r="A242" s="72" t="s">
        <v>105</v>
      </c>
      <c r="B242" s="34">
        <v>241.0</v>
      </c>
      <c r="C242" s="73" t="str">
        <f>'Teams &amp; Draft Order'!$C$6</f>
        <v>Sleeper Cell </v>
      </c>
      <c r="D242" s="74"/>
      <c r="E242" s="36" t="str">
        <f>IFERROR(VLOOKUP($D242,PlayerDB!$F$2:$G313,2,FALSE),"")</f>
        <v/>
      </c>
      <c r="F242" s="36" t="str">
        <f>IFERROR(VLOOKUP($D242,PlayerDB!$F$2:$H313,3,FALSE),"")</f>
        <v/>
      </c>
      <c r="G242" s="37" t="str">
        <f>IFERROR(VLOOKUP($D242,PlayerDB!$F$2:$I313,4,FALSE),"")</f>
        <v/>
      </c>
      <c r="H242" s="38"/>
      <c r="I242" s="39" t="str">
        <f>IFERROR(__xludf.DUMMYFUNCTION("JOIN("" | "",'Team Stats'!C$2:H$2)"),"1 | 0 | 0 | 0 | 0 | 0")</f>
        <v>1 | 0 | 0 | 0 | 0 | 0</v>
      </c>
      <c r="J242" s="77" t="str">
        <f>IFERROR(__xludf.DUMMYFUNCTION("JOIN("" | "",'Team Stats'!I$2:K$2)"),"0 | 0 | 0")</f>
        <v>0 | 0 | 0</v>
      </c>
      <c r="K242" s="32"/>
      <c r="L242" s="42"/>
      <c r="M242" s="42"/>
      <c r="N242" s="42"/>
      <c r="O242" s="42"/>
      <c r="P242" s="42"/>
      <c r="Q242" s="42"/>
      <c r="R242" s="44"/>
    </row>
    <row r="243">
      <c r="A243" s="45"/>
      <c r="B243" s="46">
        <v>242.0</v>
      </c>
      <c r="C243" s="46" t="str">
        <f>'Teams &amp; Draft Order'!$C$7</f>
        <v>Phantasm</v>
      </c>
      <c r="D243" s="47"/>
      <c r="E243" s="48" t="str">
        <f>IFERROR(VLOOKUP($D243,PlayerDB!$F$2:$G313,2,FALSE),"")</f>
        <v/>
      </c>
      <c r="F243" s="48" t="str">
        <f>IFERROR(VLOOKUP($D243,PlayerDB!$F$2:$H313,3,FALSE),"")</f>
        <v/>
      </c>
      <c r="G243" s="49" t="str">
        <f>IFERROR(VLOOKUP($D243,PlayerDB!$F$2:$I313,4,FALSE),"")</f>
        <v/>
      </c>
      <c r="H243" s="38"/>
      <c r="I243" s="50" t="str">
        <f>IFERROR(__xludf.DUMMYFUNCTION("JOIN("" | "",'Team Stats'!C$3:H$3)"),"0 | 0 | 0 | 0 | 0 | 0")</f>
        <v>0 | 0 | 0 | 0 | 0 | 0</v>
      </c>
      <c r="J243" s="78" t="str">
        <f>IFERROR(__xludf.DUMMYFUNCTION("JOIN("" | "",'Team Stats'!I$3:K$3)"),"0 | 0 | 0")</f>
        <v>0 | 0 | 0</v>
      </c>
      <c r="K243" s="32"/>
      <c r="L243" s="42"/>
      <c r="M243" s="42"/>
      <c r="N243" s="42"/>
      <c r="O243" s="42"/>
      <c r="P243" s="42"/>
      <c r="Q243" s="42"/>
      <c r="R243" s="44"/>
    </row>
    <row r="244">
      <c r="A244" s="33"/>
      <c r="B244" s="34">
        <v>243.0</v>
      </c>
      <c r="C244" s="34" t="str">
        <f>'Teams &amp; Draft Order'!$C$8</f>
        <v>Icelanders</v>
      </c>
      <c r="D244" s="35"/>
      <c r="E244" s="36" t="str">
        <f>IFERROR(VLOOKUP($D244,PlayerDB!$F$2:$G313,2,FALSE),"")</f>
        <v/>
      </c>
      <c r="F244" s="36" t="str">
        <f>IFERROR(VLOOKUP($D244,PlayerDB!$F$2:$H313,3,FALSE),"")</f>
        <v/>
      </c>
      <c r="G244" s="37" t="str">
        <f>IFERROR(VLOOKUP($D244,PlayerDB!$F$2:$I313,4,FALSE),"")</f>
        <v/>
      </c>
      <c r="H244" s="38"/>
      <c r="I244" s="39" t="str">
        <f>IFERROR(__xludf.DUMMYFUNCTION("JOIN("" | "",'Team Stats'!C$4:H$4)"),"0 | 0 | 0 | 0 | 0 | 0")</f>
        <v>0 | 0 | 0 | 0 | 0 | 0</v>
      </c>
      <c r="J244" s="79" t="str">
        <f>IFERROR(__xludf.DUMMYFUNCTION("JOIN("" | "",'Team Stats'!I$4:K$4)"),"0 | 0 | 0")</f>
        <v>0 | 0 | 0</v>
      </c>
      <c r="K244" s="32"/>
      <c r="L244" s="42"/>
      <c r="M244" s="42"/>
      <c r="N244" s="42"/>
      <c r="O244" s="42"/>
      <c r="P244" s="42"/>
      <c r="Q244" s="42"/>
      <c r="R244" s="44"/>
    </row>
    <row r="245">
      <c r="A245" s="45"/>
      <c r="B245" s="46">
        <v>244.0</v>
      </c>
      <c r="C245" s="46" t="str">
        <f>'Teams &amp; Draft Order'!$C$9</f>
        <v>El Nino</v>
      </c>
      <c r="D245" s="47"/>
      <c r="E245" s="48" t="str">
        <f>IFERROR(VLOOKUP($D245,PlayerDB!$F$2:$G313,2,FALSE),"")</f>
        <v/>
      </c>
      <c r="F245" s="48" t="str">
        <f>IFERROR(VLOOKUP($D245,PlayerDB!$F$2:$H313,3,FALSE),"")</f>
        <v/>
      </c>
      <c r="G245" s="49" t="str">
        <f>IFERROR(VLOOKUP($D245,PlayerDB!$F$2:$I313,4,FALSE),"")</f>
        <v/>
      </c>
      <c r="H245" s="38"/>
      <c r="I245" s="50" t="str">
        <f>IFERROR(__xludf.DUMMYFUNCTION("JOIN("" | "",'Team Stats'!C$5:H$5)"),"0 | 0 | 0 | 0 | 0 | 0")</f>
        <v>0 | 0 | 0 | 0 | 0 | 0</v>
      </c>
      <c r="J245" s="78" t="str">
        <f>IFERROR(__xludf.DUMMYFUNCTION("JOIN("" | "",'Team Stats'!I$5:K$5)"),"0 | 0 | 0")</f>
        <v>0 | 0 | 0</v>
      </c>
      <c r="K245" s="32"/>
      <c r="L245" s="42"/>
      <c r="M245" s="42"/>
      <c r="N245" s="42"/>
      <c r="O245" s="42"/>
      <c r="P245" s="42"/>
      <c r="Q245" s="42"/>
      <c r="R245" s="44"/>
    </row>
    <row r="246">
      <c r="A246" s="33"/>
      <c r="B246" s="34">
        <v>245.0</v>
      </c>
      <c r="C246" s="34" t="str">
        <f>'Teams &amp; Draft Order'!$C$10</f>
        <v>Buttheads</v>
      </c>
      <c r="D246" s="35"/>
      <c r="E246" s="36" t="str">
        <f>IFERROR(VLOOKUP($D246,PlayerDB!$F$2:$G313,2,FALSE),"")</f>
        <v/>
      </c>
      <c r="F246" s="36" t="str">
        <f>IFERROR(VLOOKUP($D246,PlayerDB!$F$2:$H313,3,FALSE),"")</f>
        <v/>
      </c>
      <c r="G246" s="37" t="str">
        <f>IFERROR(VLOOKUP($D246,PlayerDB!$F$2:$I313,4,FALSE),"")</f>
        <v/>
      </c>
      <c r="H246" s="38"/>
      <c r="I246" s="39" t="str">
        <f>IFERROR(__xludf.DUMMYFUNCTION("JOIN("" | "",'Team Stats'!C$6:H$6)"),"0 | 0 | 0 | 0 | 0 | 0")</f>
        <v>0 | 0 | 0 | 0 | 0 | 0</v>
      </c>
      <c r="J246" s="79" t="str">
        <f>IFERROR(__xludf.DUMMYFUNCTION("JOIN("" | "",'Team Stats'!I$6:K$6)"),"0 | 0 | 0")</f>
        <v>0 | 0 | 0</v>
      </c>
      <c r="K246" s="32"/>
      <c r="L246" s="42"/>
      <c r="M246" s="42"/>
      <c r="N246" s="42"/>
      <c r="O246" s="42"/>
      <c r="P246" s="42"/>
      <c r="Q246" s="42"/>
      <c r="R246" s="44"/>
    </row>
    <row r="247">
      <c r="A247" s="45"/>
      <c r="B247" s="46">
        <v>246.0</v>
      </c>
      <c r="C247" s="46" t="str">
        <f>'Teams &amp; Draft Order'!$C$11</f>
        <v>Big Boys Big Work</v>
      </c>
      <c r="D247" s="47"/>
      <c r="E247" s="48" t="str">
        <f>IFERROR(VLOOKUP($D247,PlayerDB!$F$2:$G313,2,FALSE),"")</f>
        <v/>
      </c>
      <c r="F247" s="48" t="str">
        <f>IFERROR(VLOOKUP($D247,PlayerDB!$F$2:$H313,3,FALSE),"")</f>
        <v/>
      </c>
      <c r="G247" s="49" t="str">
        <f>IFERROR(VLOOKUP($D247,PlayerDB!$F$2:$I313,4,FALSE),"")</f>
        <v/>
      </c>
      <c r="H247" s="38"/>
      <c r="I247" s="50" t="str">
        <f>IFERROR(__xludf.DUMMYFUNCTION("JOIN("" | "",'Team Stats'!C$7:H$7)"),"0 | 0 | 0 | 0 | 0 | 0")</f>
        <v>0 | 0 | 0 | 0 | 0 | 0</v>
      </c>
      <c r="J247" s="78" t="str">
        <f>IFERROR(__xludf.DUMMYFUNCTION("JOIN("" | "",'Team Stats'!I$7:K$7)"),"0 | 0 | 0")</f>
        <v>0 | 0 | 0</v>
      </c>
      <c r="K247" s="32"/>
      <c r="L247" s="42"/>
      <c r="M247" s="42"/>
      <c r="N247" s="42"/>
      <c r="O247" s="42"/>
      <c r="P247" s="42"/>
      <c r="Q247" s="42"/>
      <c r="R247" s="44"/>
    </row>
    <row r="248">
      <c r="A248" s="33"/>
      <c r="B248" s="34">
        <v>247.0</v>
      </c>
      <c r="C248" s="34" t="str">
        <f>'Teams &amp; Draft Order'!$C$12</f>
        <v>Turbo-Ginz</v>
      </c>
      <c r="D248" s="35"/>
      <c r="E248" s="36" t="str">
        <f>IFERROR(VLOOKUP($D248,PlayerDB!$F$2:$G313,2,FALSE),"")</f>
        <v/>
      </c>
      <c r="F248" s="36" t="str">
        <f>IFERROR(VLOOKUP($D248,PlayerDB!$F$2:$H313,3,FALSE),"")</f>
        <v/>
      </c>
      <c r="G248" s="37" t="str">
        <f>IFERROR(VLOOKUP($D248,PlayerDB!$F$2:$I313,4,FALSE),"")</f>
        <v/>
      </c>
      <c r="H248" s="38"/>
      <c r="I248" s="39" t="str">
        <f>IFERROR(__xludf.DUMMYFUNCTION("JOIN("" | "",'Team Stats'!C$8:H$8)"),"0 | 0 | 0 | 0 | 0 | 0")</f>
        <v>0 | 0 | 0 | 0 | 0 | 0</v>
      </c>
      <c r="J248" s="79" t="str">
        <f>IFERROR(__xludf.DUMMYFUNCTION("JOIN("" | "",'Team Stats'!I$8:K$8)"),"0 | 0 | 0")</f>
        <v>0 | 0 | 0</v>
      </c>
      <c r="K248" s="32"/>
      <c r="L248" s="42"/>
      <c r="M248" s="42"/>
      <c r="N248" s="42"/>
      <c r="O248" s="42"/>
      <c r="P248" s="42"/>
      <c r="Q248" s="42"/>
      <c r="R248" s="44"/>
    </row>
    <row r="249">
      <c r="A249" s="45"/>
      <c r="B249" s="46">
        <v>248.0</v>
      </c>
      <c r="C249" s="46" t="str">
        <f>'Teams &amp; Draft Order'!$C$13</f>
        <v>Luddite</v>
      </c>
      <c r="D249" s="47"/>
      <c r="E249" s="48" t="str">
        <f>IFERROR(VLOOKUP($D249,PlayerDB!$F$2:$G313,2,FALSE),"")</f>
        <v/>
      </c>
      <c r="F249" s="48" t="str">
        <f>IFERROR(VLOOKUP($D249,PlayerDB!$F$2:$H313,3,FALSE),"")</f>
        <v/>
      </c>
      <c r="G249" s="49" t="str">
        <f>IFERROR(VLOOKUP($D249,PlayerDB!$F$2:$I313,4,FALSE),"")</f>
        <v/>
      </c>
      <c r="H249" s="38"/>
      <c r="I249" s="50" t="str">
        <f>IFERROR(__xludf.DUMMYFUNCTION("JOIN("" | "",'Team Stats'!C$9:H$9)"),"0 | 0 | 0 | 0 | 0 | 0")</f>
        <v>0 | 0 | 0 | 0 | 0 | 0</v>
      </c>
      <c r="J249" s="78" t="str">
        <f>IFERROR(__xludf.DUMMYFUNCTION("JOIN("" | "",'Team Stats'!I$9:K$9)"),"0 | 0 | 0")</f>
        <v>0 | 0 | 0</v>
      </c>
      <c r="K249" s="32"/>
      <c r="L249" s="42"/>
      <c r="M249" s="42"/>
      <c r="N249" s="42"/>
      <c r="O249" s="42"/>
      <c r="P249" s="42"/>
      <c r="Q249" s="42"/>
      <c r="R249" s="44"/>
    </row>
    <row r="250">
      <c r="A250" s="33"/>
      <c r="B250" s="34">
        <v>249.0</v>
      </c>
      <c r="C250" s="34" t="str">
        <f>'Teams &amp; Draft Order'!$C$14</f>
        <v>Achaians</v>
      </c>
      <c r="D250" s="35"/>
      <c r="E250" s="36" t="str">
        <f>IFERROR(VLOOKUP($D250,PlayerDB!$F$2:$G313,2,FALSE),"")</f>
        <v/>
      </c>
      <c r="F250" s="36" t="str">
        <f>IFERROR(VLOOKUP($D250,PlayerDB!$F$2:$H313,3,FALSE),"")</f>
        <v/>
      </c>
      <c r="G250" s="37" t="str">
        <f>IFERROR(VLOOKUP($D250,PlayerDB!$F$2:$I313,4,FALSE),"")</f>
        <v/>
      </c>
      <c r="H250" s="38"/>
      <c r="I250" s="39" t="str">
        <f>IFERROR(__xludf.DUMMYFUNCTION("JOIN("" | "",'Team Stats'!C$10:H$10)"),"0 | 0 | 0 | 0 | 0 | 0")</f>
        <v>0 | 0 | 0 | 0 | 0 | 0</v>
      </c>
      <c r="J250" s="79" t="str">
        <f>IFERROR(__xludf.DUMMYFUNCTION("JOIN("" | "",'Team Stats'!I$10:K$10)"),"0 | 0 | 0")</f>
        <v>0 | 0 | 0</v>
      </c>
      <c r="K250" s="32"/>
      <c r="L250" s="42"/>
      <c r="M250" s="42"/>
      <c r="N250" s="42"/>
      <c r="O250" s="42"/>
      <c r="P250" s="42"/>
      <c r="Q250" s="42"/>
      <c r="R250" s="44"/>
    </row>
    <row r="251">
      <c r="A251" s="45"/>
      <c r="B251" s="46">
        <v>250.0</v>
      </c>
      <c r="C251" s="46" t="str">
        <f>'Teams &amp; Draft Order'!$C$15</f>
        <v>Daddy's Dogs</v>
      </c>
      <c r="D251" s="47"/>
      <c r="E251" s="48" t="str">
        <f>IFERROR(VLOOKUP($D251,PlayerDB!$F$2:$G313,2,FALSE),"")</f>
        <v/>
      </c>
      <c r="F251" s="48" t="str">
        <f>IFERROR(VLOOKUP($D251,PlayerDB!$F$2:$H313,3,FALSE),"")</f>
        <v/>
      </c>
      <c r="G251" s="49" t="str">
        <f>IFERROR(VLOOKUP($D251,PlayerDB!$F$2:$I313,4,FALSE),"")</f>
        <v/>
      </c>
      <c r="H251" s="38"/>
      <c r="I251" s="50" t="str">
        <f>IFERROR(__xludf.DUMMYFUNCTION("JOIN("" | "",'Team Stats'!C$11:H$11)"),"0 | 0 | 0 | 0 | 0 | 0")</f>
        <v>0 | 0 | 0 | 0 | 0 | 0</v>
      </c>
      <c r="J251" s="78" t="str">
        <f>IFERROR(__xludf.DUMMYFUNCTION("JOIN("" | "",'Team Stats'!I$11:K$11)"),"0 | 0 | 0")</f>
        <v>0 | 0 | 0</v>
      </c>
      <c r="K251" s="32"/>
      <c r="L251" s="42"/>
      <c r="M251" s="42"/>
      <c r="N251" s="42"/>
      <c r="O251" s="42"/>
      <c r="P251" s="42"/>
      <c r="Q251" s="42"/>
      <c r="R251" s="44"/>
    </row>
    <row r="252">
      <c r="A252" s="33"/>
      <c r="B252" s="34">
        <v>251.0</v>
      </c>
      <c r="C252" s="34" t="str">
        <f>'Teams &amp; Draft Order'!$C$16</f>
        <v>TDs and Beers</v>
      </c>
      <c r="D252" s="35"/>
      <c r="E252" s="36" t="str">
        <f>IFERROR(VLOOKUP($D252,PlayerDB!$F$2:$G313,2,FALSE),"")</f>
        <v/>
      </c>
      <c r="F252" s="36" t="str">
        <f>IFERROR(VLOOKUP($D252,PlayerDB!$F$2:$H313,3,FALSE),"")</f>
        <v/>
      </c>
      <c r="G252" s="37" t="str">
        <f>IFERROR(VLOOKUP($D252,PlayerDB!$F$2:$I313,4,FALSE),"")</f>
        <v/>
      </c>
      <c r="H252" s="38"/>
      <c r="I252" s="39" t="str">
        <f>IFERROR(__xludf.DUMMYFUNCTION("JOIN("" | "",'Team Stats'!C$12:H$12)"),"0 | 0 | 0 | 0 | 0 | 0")</f>
        <v>0 | 0 | 0 | 0 | 0 | 0</v>
      </c>
      <c r="J252" s="79" t="str">
        <f>IFERROR(__xludf.DUMMYFUNCTION("JOIN("" | "",'Team Stats'!I$12:K$12)"),"0 | 0 | 0")</f>
        <v>0 | 0 | 0</v>
      </c>
      <c r="K252" s="32"/>
      <c r="L252" s="42"/>
      <c r="M252" s="42"/>
      <c r="N252" s="42"/>
      <c r="O252" s="42"/>
      <c r="P252" s="42"/>
      <c r="Q252" s="42"/>
      <c r="R252" s="44"/>
    </row>
    <row r="253">
      <c r="A253" s="45"/>
      <c r="B253" s="55">
        <v>252.0</v>
      </c>
      <c r="C253" s="46" t="str">
        <f>'Teams &amp; Draft Order'!$C$17</f>
        <v>DD Riders</v>
      </c>
      <c r="D253" s="47"/>
      <c r="E253" s="57" t="str">
        <f>IFERROR(VLOOKUP($D253,PlayerDB!$F$2:$G313,2,FALSE),"")</f>
        <v/>
      </c>
      <c r="F253" s="57" t="str">
        <f>IFERROR(VLOOKUP($D253,PlayerDB!$F$2:$H313,3,FALSE),"")</f>
        <v/>
      </c>
      <c r="G253" s="58" t="str">
        <f>IFERROR(VLOOKUP($D253,PlayerDB!$F$2:$I313,4,FALSE),"")</f>
        <v/>
      </c>
      <c r="H253" s="59"/>
      <c r="I253" s="50" t="str">
        <f>IFERROR(__xludf.DUMMYFUNCTION("JOIN("" | "",'Team Stats'!C$13:H$13)"),"0 | 0 | 0 | 0 | 0 | 0")</f>
        <v>0 | 0 | 0 | 0 | 0 | 0</v>
      </c>
      <c r="J253" s="78" t="str">
        <f>IFERROR(__xludf.DUMMYFUNCTION("JOIN("" | "",'Team Stats'!I$13:K$13)"),"0 | 0 | 0")</f>
        <v>0 | 0 | 0</v>
      </c>
      <c r="K253" s="32"/>
      <c r="L253" s="42"/>
      <c r="M253" s="42"/>
      <c r="N253" s="42"/>
      <c r="O253" s="42"/>
      <c r="P253" s="42"/>
      <c r="Q253" s="42"/>
      <c r="R253" s="44"/>
    </row>
    <row r="254">
      <c r="A254" s="72" t="s">
        <v>106</v>
      </c>
      <c r="B254" s="34">
        <v>253.0</v>
      </c>
      <c r="C254" s="73" t="str">
        <f>'Teams &amp; Draft Order'!$C$17</f>
        <v>DD Riders</v>
      </c>
      <c r="D254" s="74"/>
      <c r="E254" s="36" t="str">
        <f>IFERROR(VLOOKUP($D254,PlayerDB!$F$2:$G313,2,FALSE),"")</f>
        <v/>
      </c>
      <c r="F254" s="36" t="str">
        <f>IFERROR(VLOOKUP($D254,PlayerDB!$F$2:$H313,3,FALSE),"")</f>
        <v/>
      </c>
      <c r="G254" s="37" t="str">
        <f>IFERROR(VLOOKUP($D254,PlayerDB!$F$2:$I313,4,FALSE),"")</f>
        <v/>
      </c>
      <c r="H254" s="38"/>
      <c r="I254" s="76" t="str">
        <f>IFERROR(__xludf.DUMMYFUNCTION("JOIN("" | "",'Team Stats'!C$13:H$13)"),"0 | 0 | 0 | 0 | 0 | 0")</f>
        <v>0 | 0 | 0 | 0 | 0 | 0</v>
      </c>
      <c r="J254" s="77" t="str">
        <f>IFERROR(__xludf.DUMMYFUNCTION("JOIN("" | "",'Team Stats'!I$13:K$13)"),"0 | 0 | 0")</f>
        <v>0 | 0 | 0</v>
      </c>
      <c r="K254" s="32"/>
      <c r="L254" s="42"/>
      <c r="M254" s="42"/>
      <c r="N254" s="42"/>
      <c r="O254" s="42"/>
      <c r="P254" s="42"/>
      <c r="Q254" s="42"/>
      <c r="R254" s="44"/>
    </row>
    <row r="255">
      <c r="A255" s="82"/>
      <c r="B255" s="46">
        <v>254.0</v>
      </c>
      <c r="C255" s="46" t="str">
        <f>'Teams &amp; Draft Order'!$C$16</f>
        <v>TDs and Beers</v>
      </c>
      <c r="D255" s="47"/>
      <c r="E255" s="48" t="str">
        <f>IFERROR(VLOOKUP($D255,PlayerDB!$F$2:$G313,2,FALSE),"")</f>
        <v/>
      </c>
      <c r="F255" s="48" t="str">
        <f>IFERROR(VLOOKUP($D255,PlayerDB!$F$2:$H313,3,FALSE),"")</f>
        <v/>
      </c>
      <c r="G255" s="49" t="str">
        <f>IFERROR(VLOOKUP($D255,PlayerDB!$F$2:$I313,4,FALSE),"")</f>
        <v/>
      </c>
      <c r="H255" s="38"/>
      <c r="I255" s="50" t="str">
        <f>IFERROR(__xludf.DUMMYFUNCTION("JOIN("" | "",'Team Stats'!C$12:H$12)"),"0 | 0 | 0 | 0 | 0 | 0")</f>
        <v>0 | 0 | 0 | 0 | 0 | 0</v>
      </c>
      <c r="J255" s="78" t="str">
        <f>IFERROR(__xludf.DUMMYFUNCTION("JOIN("" | "",'Team Stats'!I$12:K$12)"),"0 | 0 | 0")</f>
        <v>0 | 0 | 0</v>
      </c>
      <c r="K255" s="32"/>
      <c r="L255" s="42"/>
      <c r="M255" s="42"/>
      <c r="N255" s="42"/>
      <c r="O255" s="42"/>
      <c r="P255" s="42"/>
      <c r="Q255" s="42"/>
      <c r="R255" s="44"/>
    </row>
    <row r="256">
      <c r="A256" s="83"/>
      <c r="B256" s="34">
        <v>255.0</v>
      </c>
      <c r="C256" s="34" t="str">
        <f>'Teams &amp; Draft Order'!$C$15</f>
        <v>Daddy's Dogs</v>
      </c>
      <c r="D256" s="35"/>
      <c r="E256" s="36" t="str">
        <f>IFERROR(VLOOKUP($D256,PlayerDB!$F$2:$G313,2,FALSE),"")</f>
        <v/>
      </c>
      <c r="F256" s="36" t="str">
        <f>IFERROR(VLOOKUP($D256,PlayerDB!$F$2:$H313,3,FALSE),"")</f>
        <v/>
      </c>
      <c r="G256" s="37" t="str">
        <f>IFERROR(VLOOKUP($D256,PlayerDB!$F$2:$I313,4,FALSE),"")</f>
        <v/>
      </c>
      <c r="H256" s="38"/>
      <c r="I256" s="39" t="str">
        <f>IFERROR(__xludf.DUMMYFUNCTION("JOIN("" | "",'Team Stats'!C$11:H$11)"),"0 | 0 | 0 | 0 | 0 | 0")</f>
        <v>0 | 0 | 0 | 0 | 0 | 0</v>
      </c>
      <c r="J256" s="79" t="str">
        <f>IFERROR(__xludf.DUMMYFUNCTION("JOIN("" | "",'Team Stats'!I$11:K$11)"),"0 | 0 | 0")</f>
        <v>0 | 0 | 0</v>
      </c>
      <c r="K256" s="32"/>
      <c r="L256" s="42"/>
      <c r="M256" s="42"/>
      <c r="N256" s="42"/>
      <c r="O256" s="42"/>
      <c r="P256" s="42"/>
      <c r="Q256" s="42"/>
      <c r="R256" s="44"/>
    </row>
    <row r="257">
      <c r="A257" s="82"/>
      <c r="B257" s="46">
        <v>256.0</v>
      </c>
      <c r="C257" s="46" t="str">
        <f>'Teams &amp; Draft Order'!$C$14</f>
        <v>Achaians</v>
      </c>
      <c r="D257" s="47"/>
      <c r="E257" s="48" t="str">
        <f>IFERROR(VLOOKUP($D257,PlayerDB!$F$2:$G313,2,FALSE),"")</f>
        <v/>
      </c>
      <c r="F257" s="48" t="str">
        <f>IFERROR(VLOOKUP($D257,PlayerDB!$F$2:$H313,3,FALSE),"")</f>
        <v/>
      </c>
      <c r="G257" s="49" t="str">
        <f>IFERROR(VLOOKUP($D257,PlayerDB!$F$2:$I313,4,FALSE),"")</f>
        <v/>
      </c>
      <c r="H257" s="38"/>
      <c r="I257" s="50" t="str">
        <f>IFERROR(__xludf.DUMMYFUNCTION("JOIN("" | "",'Team Stats'!C$10:H$10)"),"0 | 0 | 0 | 0 | 0 | 0")</f>
        <v>0 | 0 | 0 | 0 | 0 | 0</v>
      </c>
      <c r="J257" s="78" t="str">
        <f>IFERROR(__xludf.DUMMYFUNCTION("JOIN("" | "",'Team Stats'!I$10:K$10)"),"0 | 0 | 0")</f>
        <v>0 | 0 | 0</v>
      </c>
      <c r="K257" s="32"/>
      <c r="L257" s="42"/>
      <c r="M257" s="42"/>
      <c r="N257" s="42"/>
      <c r="O257" s="42"/>
      <c r="P257" s="42"/>
      <c r="Q257" s="42"/>
      <c r="R257" s="44"/>
    </row>
    <row r="258">
      <c r="A258" s="83"/>
      <c r="B258" s="34">
        <v>257.0</v>
      </c>
      <c r="C258" s="34" t="str">
        <f>'Teams &amp; Draft Order'!$C$13</f>
        <v>Luddite</v>
      </c>
      <c r="D258" s="35"/>
      <c r="E258" s="36" t="str">
        <f>IFERROR(VLOOKUP($D258,PlayerDB!$F$2:$G313,2,FALSE),"")</f>
        <v/>
      </c>
      <c r="F258" s="36" t="str">
        <f>IFERROR(VLOOKUP($D258,PlayerDB!$F$2:$H313,3,FALSE),"")</f>
        <v/>
      </c>
      <c r="G258" s="37" t="str">
        <f>IFERROR(VLOOKUP($D258,PlayerDB!$F$2:$I313,4,FALSE),"")</f>
        <v/>
      </c>
      <c r="H258" s="38"/>
      <c r="I258" s="39" t="str">
        <f>IFERROR(__xludf.DUMMYFUNCTION("JOIN("" | "",'Team Stats'!C$9:H$9)"),"0 | 0 | 0 | 0 | 0 | 0")</f>
        <v>0 | 0 | 0 | 0 | 0 | 0</v>
      </c>
      <c r="J258" s="79" t="str">
        <f>IFERROR(__xludf.DUMMYFUNCTION("JOIN("" | "",'Team Stats'!I$9:K$9)"),"0 | 0 | 0")</f>
        <v>0 | 0 | 0</v>
      </c>
      <c r="K258" s="32"/>
      <c r="L258" s="42"/>
      <c r="M258" s="42"/>
      <c r="N258" s="42"/>
      <c r="O258" s="42"/>
      <c r="P258" s="42"/>
      <c r="Q258" s="42"/>
      <c r="R258" s="44"/>
    </row>
    <row r="259">
      <c r="A259" s="82"/>
      <c r="B259" s="46">
        <v>258.0</v>
      </c>
      <c r="C259" s="46" t="str">
        <f>'Teams &amp; Draft Order'!$C$12</f>
        <v>Turbo-Ginz</v>
      </c>
      <c r="D259" s="47"/>
      <c r="E259" s="48" t="str">
        <f>IFERROR(VLOOKUP($D259,PlayerDB!$F$2:$G313,2,FALSE),"")</f>
        <v/>
      </c>
      <c r="F259" s="48" t="str">
        <f>IFERROR(VLOOKUP($D259,PlayerDB!$F$2:$H313,3,FALSE),"")</f>
        <v/>
      </c>
      <c r="G259" s="49" t="str">
        <f>IFERROR(VLOOKUP($D259,PlayerDB!$F$2:$I313,4,FALSE),"")</f>
        <v/>
      </c>
      <c r="H259" s="38"/>
      <c r="I259" s="50" t="str">
        <f>IFERROR(__xludf.DUMMYFUNCTION("JOIN("" | "",'Team Stats'!C$8:H$8)"),"0 | 0 | 0 | 0 | 0 | 0")</f>
        <v>0 | 0 | 0 | 0 | 0 | 0</v>
      </c>
      <c r="J259" s="78" t="str">
        <f>IFERROR(__xludf.DUMMYFUNCTION("JOIN("" | "",'Team Stats'!I$8:K$8)"),"0 | 0 | 0")</f>
        <v>0 | 0 | 0</v>
      </c>
      <c r="K259" s="32"/>
      <c r="L259" s="42"/>
      <c r="M259" s="42"/>
      <c r="N259" s="42"/>
      <c r="O259" s="42"/>
      <c r="P259" s="42"/>
      <c r="Q259" s="42"/>
      <c r="R259" s="44"/>
    </row>
    <row r="260">
      <c r="A260" s="83"/>
      <c r="B260" s="34">
        <v>259.0</v>
      </c>
      <c r="C260" s="34" t="str">
        <f>'Teams &amp; Draft Order'!$C$11</f>
        <v>Big Boys Big Work</v>
      </c>
      <c r="D260" s="35"/>
      <c r="E260" s="36" t="str">
        <f>IFERROR(VLOOKUP($D260,PlayerDB!$F$2:$G313,2,FALSE),"")</f>
        <v/>
      </c>
      <c r="F260" s="36" t="str">
        <f>IFERROR(VLOOKUP($D260,PlayerDB!$F$2:$H313,3,FALSE),"")</f>
        <v/>
      </c>
      <c r="G260" s="37" t="str">
        <f>IFERROR(VLOOKUP($D260,PlayerDB!$F$2:$I313,4,FALSE),"")</f>
        <v/>
      </c>
      <c r="H260" s="38"/>
      <c r="I260" s="39" t="str">
        <f>IFERROR(__xludf.DUMMYFUNCTION("JOIN("" | "",'Team Stats'!C$7:H$7)"),"0 | 0 | 0 | 0 | 0 | 0")</f>
        <v>0 | 0 | 0 | 0 | 0 | 0</v>
      </c>
      <c r="J260" s="79" t="str">
        <f>IFERROR(__xludf.DUMMYFUNCTION("JOIN("" | "",'Team Stats'!I$7:K$7)"),"0 | 0 | 0")</f>
        <v>0 | 0 | 0</v>
      </c>
      <c r="K260" s="32"/>
      <c r="L260" s="42"/>
      <c r="M260" s="42"/>
      <c r="N260" s="42"/>
      <c r="O260" s="42"/>
      <c r="P260" s="42"/>
      <c r="Q260" s="42"/>
      <c r="R260" s="44"/>
    </row>
    <row r="261">
      <c r="A261" s="82"/>
      <c r="B261" s="46">
        <v>260.0</v>
      </c>
      <c r="C261" s="46" t="str">
        <f>'Teams &amp; Draft Order'!$C$10</f>
        <v>Buttheads</v>
      </c>
      <c r="D261" s="47"/>
      <c r="E261" s="48" t="str">
        <f>IFERROR(VLOOKUP($D261,PlayerDB!$F$2:$G313,2,FALSE),"")</f>
        <v/>
      </c>
      <c r="F261" s="48" t="str">
        <f>IFERROR(VLOOKUP($D261,PlayerDB!$F$2:$H313,3,FALSE),"")</f>
        <v/>
      </c>
      <c r="G261" s="49" t="str">
        <f>IFERROR(VLOOKUP($D261,PlayerDB!$F$2:$I313,4,FALSE),"")</f>
        <v/>
      </c>
      <c r="H261" s="38"/>
      <c r="I261" s="50" t="str">
        <f>IFERROR(__xludf.DUMMYFUNCTION("JOIN("" | "",'Team Stats'!C$6:H$6)"),"0 | 0 | 0 | 0 | 0 | 0")</f>
        <v>0 | 0 | 0 | 0 | 0 | 0</v>
      </c>
      <c r="J261" s="78" t="str">
        <f>IFERROR(__xludf.DUMMYFUNCTION("JOIN("" | "",'Team Stats'!I$6:K$6)"),"0 | 0 | 0")</f>
        <v>0 | 0 | 0</v>
      </c>
      <c r="K261" s="32"/>
      <c r="L261" s="42"/>
      <c r="M261" s="42"/>
      <c r="N261" s="42"/>
      <c r="O261" s="42"/>
      <c r="P261" s="42"/>
      <c r="Q261" s="42"/>
      <c r="R261" s="44"/>
    </row>
    <row r="262">
      <c r="A262" s="83"/>
      <c r="B262" s="34">
        <v>261.0</v>
      </c>
      <c r="C262" s="34" t="str">
        <f>'Teams &amp; Draft Order'!$C$9</f>
        <v>El Nino</v>
      </c>
      <c r="D262" s="35"/>
      <c r="E262" s="36" t="str">
        <f>IFERROR(VLOOKUP($D262,PlayerDB!$F$2:$G313,2,FALSE),"")</f>
        <v/>
      </c>
      <c r="F262" s="36" t="str">
        <f>IFERROR(VLOOKUP($D262,PlayerDB!$F$2:$H313,3,FALSE),"")</f>
        <v/>
      </c>
      <c r="G262" s="37" t="str">
        <f>IFERROR(VLOOKUP($D262,PlayerDB!$F$2:$I313,4,FALSE),"")</f>
        <v/>
      </c>
      <c r="H262" s="38"/>
      <c r="I262" s="39" t="str">
        <f>IFERROR(__xludf.DUMMYFUNCTION("JOIN("" | "",'Team Stats'!C$5:H$5)"),"0 | 0 | 0 | 0 | 0 | 0")</f>
        <v>0 | 0 | 0 | 0 | 0 | 0</v>
      </c>
      <c r="J262" s="79" t="str">
        <f>IFERROR(__xludf.DUMMYFUNCTION("JOIN("" | "",'Team Stats'!I$5:K$5)"),"0 | 0 | 0")</f>
        <v>0 | 0 | 0</v>
      </c>
      <c r="K262" s="32"/>
      <c r="L262" s="42"/>
      <c r="M262" s="42"/>
      <c r="N262" s="42"/>
      <c r="O262" s="42"/>
      <c r="P262" s="42"/>
      <c r="Q262" s="42"/>
      <c r="R262" s="44"/>
    </row>
    <row r="263">
      <c r="A263" s="82"/>
      <c r="B263" s="46">
        <v>262.0</v>
      </c>
      <c r="C263" s="46" t="str">
        <f>'Teams &amp; Draft Order'!$C$8</f>
        <v>Icelanders</v>
      </c>
      <c r="D263" s="47"/>
      <c r="E263" s="48" t="str">
        <f>IFERROR(VLOOKUP($D263,PlayerDB!$F$2:$G313,2,FALSE),"")</f>
        <v/>
      </c>
      <c r="F263" s="48" t="str">
        <f>IFERROR(VLOOKUP($D263,PlayerDB!$F$2:$H313,3,FALSE),"")</f>
        <v/>
      </c>
      <c r="G263" s="49" t="str">
        <f>IFERROR(VLOOKUP($D263,PlayerDB!$F$2:$I313,4,FALSE),"")</f>
        <v/>
      </c>
      <c r="H263" s="38"/>
      <c r="I263" s="50" t="str">
        <f>IFERROR(__xludf.DUMMYFUNCTION("JOIN("" | "",'Team Stats'!C$4:H$4)"),"0 | 0 | 0 | 0 | 0 | 0")</f>
        <v>0 | 0 | 0 | 0 | 0 | 0</v>
      </c>
      <c r="J263" s="78" t="str">
        <f>IFERROR(__xludf.DUMMYFUNCTION("JOIN("" | "",'Team Stats'!I$4:K$4)"),"0 | 0 | 0")</f>
        <v>0 | 0 | 0</v>
      </c>
      <c r="K263" s="32"/>
      <c r="L263" s="42"/>
      <c r="M263" s="42"/>
      <c r="N263" s="42"/>
      <c r="O263" s="42"/>
      <c r="P263" s="42"/>
      <c r="Q263" s="42"/>
      <c r="R263" s="44"/>
    </row>
    <row r="264">
      <c r="A264" s="83"/>
      <c r="B264" s="34">
        <v>263.0</v>
      </c>
      <c r="C264" s="34" t="str">
        <f>'Teams &amp; Draft Order'!$C$7</f>
        <v>Phantasm</v>
      </c>
      <c r="D264" s="35"/>
      <c r="E264" s="36" t="str">
        <f>IFERROR(VLOOKUP($D264,PlayerDB!$F$2:$G313,2,FALSE),"")</f>
        <v/>
      </c>
      <c r="F264" s="36" t="str">
        <f>IFERROR(VLOOKUP($D264,PlayerDB!$F$2:$H313,3,FALSE),"")</f>
        <v/>
      </c>
      <c r="G264" s="37" t="str">
        <f>IFERROR(VLOOKUP($D264,PlayerDB!$F$2:$I313,4,FALSE),"")</f>
        <v/>
      </c>
      <c r="H264" s="38"/>
      <c r="I264" s="39" t="str">
        <f>IFERROR(__xludf.DUMMYFUNCTION("JOIN("" | "",'Team Stats'!C$3:H$3)"),"0 | 0 | 0 | 0 | 0 | 0")</f>
        <v>0 | 0 | 0 | 0 | 0 | 0</v>
      </c>
      <c r="J264" s="79" t="str">
        <f>IFERROR(__xludf.DUMMYFUNCTION("JOIN("" | "",'Team Stats'!I$3:K$3)"),"0 | 0 | 0")</f>
        <v>0 | 0 | 0</v>
      </c>
      <c r="K264" s="32"/>
      <c r="L264" s="42"/>
      <c r="M264" s="42"/>
      <c r="N264" s="42"/>
      <c r="O264" s="42"/>
      <c r="P264" s="42"/>
      <c r="Q264" s="42"/>
      <c r="R264" s="44"/>
    </row>
    <row r="265">
      <c r="A265" s="84"/>
      <c r="B265" s="55">
        <v>264.0</v>
      </c>
      <c r="C265" s="55" t="str">
        <f>'Teams &amp; Draft Order'!$C$6</f>
        <v>Sleeper Cell </v>
      </c>
      <c r="D265" s="56"/>
      <c r="E265" s="57" t="str">
        <f>IFERROR(VLOOKUP($D265,PlayerDB!$F$2:$G313,2,FALSE),"")</f>
        <v/>
      </c>
      <c r="F265" s="57" t="str">
        <f>IFERROR(VLOOKUP($D265,PlayerDB!$F$2:$H313,3,FALSE),"")</f>
        <v/>
      </c>
      <c r="G265" s="58" t="str">
        <f>IFERROR(VLOOKUP($D265,PlayerDB!$F$2:$I313,4,FALSE),"")</f>
        <v/>
      </c>
      <c r="H265" s="59"/>
      <c r="I265" s="60" t="str">
        <f>IFERROR(__xludf.DUMMYFUNCTION("JOIN("" | "",'Team Stats'!C$2:H$2)"),"1 | 0 | 0 | 0 | 0 | 0")</f>
        <v>1 | 0 | 0 | 0 | 0 | 0</v>
      </c>
      <c r="J265" s="80" t="str">
        <f>IFERROR(__xludf.DUMMYFUNCTION("JOIN("" | "",'Team Stats'!I$2:K$2)"),"0 | 0 | 0")</f>
        <v>0 | 0 | 0</v>
      </c>
      <c r="K265" s="32"/>
      <c r="L265" s="42"/>
      <c r="M265" s="42"/>
      <c r="N265" s="42"/>
      <c r="O265" s="42"/>
      <c r="P265" s="42"/>
      <c r="Q265" s="42"/>
      <c r="R265" s="44"/>
    </row>
    <row r="266">
      <c r="A266" s="72" t="s">
        <v>107</v>
      </c>
      <c r="B266" s="34">
        <v>265.0</v>
      </c>
      <c r="C266" s="73" t="str">
        <f>'Teams &amp; Draft Order'!$C$6</f>
        <v>Sleeper Cell </v>
      </c>
      <c r="D266" s="74"/>
      <c r="E266" s="36" t="str">
        <f>IFERROR(VLOOKUP($D266,PlayerDB!$F$2:$G313,2,FALSE),"")</f>
        <v/>
      </c>
      <c r="F266" s="36" t="str">
        <f>IFERROR(VLOOKUP($D266,PlayerDB!$F$2:$H313,3,FALSE),"")</f>
        <v/>
      </c>
      <c r="G266" s="37" t="str">
        <f>IFERROR(VLOOKUP($D266,PlayerDB!$F$2:$I313,4,FALSE),"")</f>
        <v/>
      </c>
      <c r="H266" s="38"/>
      <c r="I266" s="39" t="str">
        <f>IFERROR(__xludf.DUMMYFUNCTION("JOIN("" | "",'Team Stats'!C$2:H$2)"),"1 | 0 | 0 | 0 | 0 | 0")</f>
        <v>1 | 0 | 0 | 0 | 0 | 0</v>
      </c>
      <c r="J266" s="77" t="str">
        <f>IFERROR(__xludf.DUMMYFUNCTION("JOIN("" | "",'Team Stats'!I$2:K$2)"),"0 | 0 | 0")</f>
        <v>0 | 0 | 0</v>
      </c>
      <c r="K266" s="32"/>
      <c r="L266" s="42"/>
      <c r="M266" s="42"/>
      <c r="N266" s="42"/>
      <c r="O266" s="42"/>
      <c r="P266" s="42"/>
      <c r="Q266" s="42"/>
      <c r="R266" s="44"/>
    </row>
    <row r="267">
      <c r="A267" s="45"/>
      <c r="B267" s="46">
        <v>266.0</v>
      </c>
      <c r="C267" s="46" t="str">
        <f>'Teams &amp; Draft Order'!$C$7</f>
        <v>Phantasm</v>
      </c>
      <c r="D267" s="47"/>
      <c r="E267" s="48" t="str">
        <f>IFERROR(VLOOKUP($D267,PlayerDB!$F$2:$G313,2,FALSE),"")</f>
        <v/>
      </c>
      <c r="F267" s="48" t="str">
        <f>IFERROR(VLOOKUP($D267,PlayerDB!$F$2:$H313,3,FALSE),"")</f>
        <v/>
      </c>
      <c r="G267" s="49" t="str">
        <f>IFERROR(VLOOKUP($D267,PlayerDB!$F$2:$I313,4,FALSE),"")</f>
        <v/>
      </c>
      <c r="H267" s="38"/>
      <c r="I267" s="50" t="str">
        <f>IFERROR(__xludf.DUMMYFUNCTION("JOIN("" | "",'Team Stats'!C$3:H$3)"),"0 | 0 | 0 | 0 | 0 | 0")</f>
        <v>0 | 0 | 0 | 0 | 0 | 0</v>
      </c>
      <c r="J267" s="78" t="str">
        <f>IFERROR(__xludf.DUMMYFUNCTION("JOIN("" | "",'Team Stats'!I$3:K$3)"),"0 | 0 | 0")</f>
        <v>0 | 0 | 0</v>
      </c>
      <c r="K267" s="32"/>
      <c r="L267" s="42"/>
      <c r="M267" s="42"/>
      <c r="N267" s="42"/>
      <c r="O267" s="42"/>
      <c r="P267" s="42"/>
      <c r="Q267" s="42"/>
      <c r="R267" s="44"/>
    </row>
    <row r="268">
      <c r="A268" s="33"/>
      <c r="B268" s="34">
        <v>267.0</v>
      </c>
      <c r="C268" s="34" t="str">
        <f>'Teams &amp; Draft Order'!$C$8</f>
        <v>Icelanders</v>
      </c>
      <c r="D268" s="35"/>
      <c r="E268" s="36" t="str">
        <f>IFERROR(VLOOKUP($D268,PlayerDB!$F$2:$G313,2,FALSE),"")</f>
        <v/>
      </c>
      <c r="F268" s="36" t="str">
        <f>IFERROR(VLOOKUP($D268,PlayerDB!$F$2:$H313,3,FALSE),"")</f>
        <v/>
      </c>
      <c r="G268" s="37" t="str">
        <f>IFERROR(VLOOKUP($D268,PlayerDB!$F$2:$I313,4,FALSE),"")</f>
        <v/>
      </c>
      <c r="H268" s="38"/>
      <c r="I268" s="39" t="str">
        <f>IFERROR(__xludf.DUMMYFUNCTION("JOIN("" | "",'Team Stats'!C$4:H$4)"),"0 | 0 | 0 | 0 | 0 | 0")</f>
        <v>0 | 0 | 0 | 0 | 0 | 0</v>
      </c>
      <c r="J268" s="79" t="str">
        <f>IFERROR(__xludf.DUMMYFUNCTION("JOIN("" | "",'Team Stats'!I$4:K$4)"),"0 | 0 | 0")</f>
        <v>0 | 0 | 0</v>
      </c>
      <c r="K268" s="32"/>
      <c r="L268" s="42"/>
      <c r="M268" s="42"/>
      <c r="N268" s="42"/>
      <c r="O268" s="42"/>
      <c r="P268" s="42"/>
      <c r="Q268" s="42"/>
      <c r="R268" s="44"/>
    </row>
    <row r="269">
      <c r="A269" s="45"/>
      <c r="B269" s="46">
        <v>268.0</v>
      </c>
      <c r="C269" s="46" t="str">
        <f>'Teams &amp; Draft Order'!$C$9</f>
        <v>El Nino</v>
      </c>
      <c r="D269" s="47"/>
      <c r="E269" s="48" t="str">
        <f>IFERROR(VLOOKUP($D269,PlayerDB!$F$2:$G313,2,FALSE),"")</f>
        <v/>
      </c>
      <c r="F269" s="48" t="str">
        <f>IFERROR(VLOOKUP($D269,PlayerDB!$F$2:$H313,3,FALSE),"")</f>
        <v/>
      </c>
      <c r="G269" s="49" t="str">
        <f>IFERROR(VLOOKUP($D269,PlayerDB!$F$2:$I313,4,FALSE),"")</f>
        <v/>
      </c>
      <c r="H269" s="38"/>
      <c r="I269" s="50" t="str">
        <f>IFERROR(__xludf.DUMMYFUNCTION("JOIN("" | "",'Team Stats'!C$5:H$5)"),"0 | 0 | 0 | 0 | 0 | 0")</f>
        <v>0 | 0 | 0 | 0 | 0 | 0</v>
      </c>
      <c r="J269" s="78" t="str">
        <f>IFERROR(__xludf.DUMMYFUNCTION("JOIN("" | "",'Team Stats'!I$5:K$5)"),"0 | 0 | 0")</f>
        <v>0 | 0 | 0</v>
      </c>
      <c r="K269" s="32"/>
      <c r="L269" s="42"/>
      <c r="M269" s="42"/>
      <c r="N269" s="42"/>
      <c r="O269" s="42"/>
      <c r="P269" s="42"/>
      <c r="Q269" s="42"/>
      <c r="R269" s="44"/>
    </row>
    <row r="270">
      <c r="A270" s="33"/>
      <c r="B270" s="34">
        <v>269.0</v>
      </c>
      <c r="C270" s="34" t="str">
        <f>'Teams &amp; Draft Order'!$C$10</f>
        <v>Buttheads</v>
      </c>
      <c r="D270" s="35"/>
      <c r="E270" s="36" t="str">
        <f>IFERROR(VLOOKUP($D270,PlayerDB!$F$2:$G313,2,FALSE),"")</f>
        <v/>
      </c>
      <c r="F270" s="36" t="str">
        <f>IFERROR(VLOOKUP($D270,PlayerDB!$F$2:$H313,3,FALSE),"")</f>
        <v/>
      </c>
      <c r="G270" s="37" t="str">
        <f>IFERROR(VLOOKUP($D270,PlayerDB!$F$2:$I313,4,FALSE),"")</f>
        <v/>
      </c>
      <c r="H270" s="38"/>
      <c r="I270" s="39" t="str">
        <f>IFERROR(__xludf.DUMMYFUNCTION("JOIN("" | "",'Team Stats'!C$6:H$6)"),"0 | 0 | 0 | 0 | 0 | 0")</f>
        <v>0 | 0 | 0 | 0 | 0 | 0</v>
      </c>
      <c r="J270" s="79" t="str">
        <f>IFERROR(__xludf.DUMMYFUNCTION("JOIN("" | "",'Team Stats'!I$6:K$6)"),"0 | 0 | 0")</f>
        <v>0 | 0 | 0</v>
      </c>
      <c r="K270" s="32"/>
      <c r="L270" s="42"/>
      <c r="M270" s="42"/>
      <c r="N270" s="42"/>
      <c r="O270" s="42"/>
      <c r="P270" s="42"/>
      <c r="Q270" s="42"/>
      <c r="R270" s="44"/>
    </row>
    <row r="271">
      <c r="A271" s="45"/>
      <c r="B271" s="46">
        <v>270.0</v>
      </c>
      <c r="C271" s="46" t="str">
        <f>'Teams &amp; Draft Order'!$C$11</f>
        <v>Big Boys Big Work</v>
      </c>
      <c r="D271" s="47"/>
      <c r="E271" s="48" t="str">
        <f>IFERROR(VLOOKUP($D271,PlayerDB!$F$2:$G313,2,FALSE),"")</f>
        <v/>
      </c>
      <c r="F271" s="48" t="str">
        <f>IFERROR(VLOOKUP($D271,PlayerDB!$F$2:$H313,3,FALSE),"")</f>
        <v/>
      </c>
      <c r="G271" s="49" t="str">
        <f>IFERROR(VLOOKUP($D271,PlayerDB!$F$2:$I313,4,FALSE),"")</f>
        <v/>
      </c>
      <c r="H271" s="38"/>
      <c r="I271" s="50" t="str">
        <f>IFERROR(__xludf.DUMMYFUNCTION("JOIN("" | "",'Team Stats'!C$7:H$7)"),"0 | 0 | 0 | 0 | 0 | 0")</f>
        <v>0 | 0 | 0 | 0 | 0 | 0</v>
      </c>
      <c r="J271" s="78" t="str">
        <f>IFERROR(__xludf.DUMMYFUNCTION("JOIN("" | "",'Team Stats'!I$7:K$7)"),"0 | 0 | 0")</f>
        <v>0 | 0 | 0</v>
      </c>
      <c r="K271" s="32"/>
      <c r="L271" s="42"/>
      <c r="M271" s="42"/>
      <c r="N271" s="42"/>
      <c r="O271" s="42"/>
      <c r="P271" s="42"/>
      <c r="Q271" s="42"/>
      <c r="R271" s="44"/>
    </row>
    <row r="272">
      <c r="A272" s="33"/>
      <c r="B272" s="34">
        <v>271.0</v>
      </c>
      <c r="C272" s="34" t="str">
        <f>'Teams &amp; Draft Order'!$C$12</f>
        <v>Turbo-Ginz</v>
      </c>
      <c r="D272" s="35"/>
      <c r="E272" s="36" t="str">
        <f>IFERROR(VLOOKUP($D272,PlayerDB!$F$2:$G313,2,FALSE),"")</f>
        <v/>
      </c>
      <c r="F272" s="36" t="str">
        <f>IFERROR(VLOOKUP($D272,PlayerDB!$F$2:$H313,3,FALSE),"")</f>
        <v/>
      </c>
      <c r="G272" s="37" t="str">
        <f>IFERROR(VLOOKUP($D272,PlayerDB!$F$2:$I313,4,FALSE),"")</f>
        <v/>
      </c>
      <c r="H272" s="38"/>
      <c r="I272" s="39" t="str">
        <f>IFERROR(__xludf.DUMMYFUNCTION("JOIN("" | "",'Team Stats'!C$8:H$8)"),"0 | 0 | 0 | 0 | 0 | 0")</f>
        <v>0 | 0 | 0 | 0 | 0 | 0</v>
      </c>
      <c r="J272" s="79" t="str">
        <f>IFERROR(__xludf.DUMMYFUNCTION("JOIN("" | "",'Team Stats'!I$8:K$8)"),"0 | 0 | 0")</f>
        <v>0 | 0 | 0</v>
      </c>
      <c r="K272" s="32"/>
      <c r="L272" s="42"/>
      <c r="M272" s="42"/>
      <c r="N272" s="42"/>
      <c r="O272" s="42"/>
      <c r="P272" s="42"/>
      <c r="Q272" s="42"/>
      <c r="R272" s="44"/>
    </row>
    <row r="273">
      <c r="A273" s="45"/>
      <c r="B273" s="46">
        <v>272.0</v>
      </c>
      <c r="C273" s="46" t="str">
        <f>'Teams &amp; Draft Order'!$C$13</f>
        <v>Luddite</v>
      </c>
      <c r="D273" s="47"/>
      <c r="E273" s="48" t="str">
        <f>IFERROR(VLOOKUP($D273,PlayerDB!$F$2:$G313,2,FALSE),"")</f>
        <v/>
      </c>
      <c r="F273" s="48" t="str">
        <f>IFERROR(VLOOKUP($D273,PlayerDB!$F$2:$H313,3,FALSE),"")</f>
        <v/>
      </c>
      <c r="G273" s="49" t="str">
        <f>IFERROR(VLOOKUP($D273,PlayerDB!$F$2:$I313,4,FALSE),"")</f>
        <v/>
      </c>
      <c r="H273" s="38"/>
      <c r="I273" s="50" t="str">
        <f>IFERROR(__xludf.DUMMYFUNCTION("JOIN("" | "",'Team Stats'!C$9:H$9)"),"0 | 0 | 0 | 0 | 0 | 0")</f>
        <v>0 | 0 | 0 | 0 | 0 | 0</v>
      </c>
      <c r="J273" s="78" t="str">
        <f>IFERROR(__xludf.DUMMYFUNCTION("JOIN("" | "",'Team Stats'!I$9:K$9)"),"0 | 0 | 0")</f>
        <v>0 | 0 | 0</v>
      </c>
      <c r="K273" s="32"/>
      <c r="L273" s="42"/>
      <c r="M273" s="42"/>
      <c r="N273" s="42"/>
      <c r="O273" s="42"/>
      <c r="P273" s="42"/>
      <c r="Q273" s="42"/>
      <c r="R273" s="44"/>
    </row>
    <row r="274">
      <c r="A274" s="33"/>
      <c r="B274" s="34">
        <v>273.0</v>
      </c>
      <c r="C274" s="34" t="str">
        <f>'Teams &amp; Draft Order'!$C$14</f>
        <v>Achaians</v>
      </c>
      <c r="D274" s="35"/>
      <c r="E274" s="36" t="str">
        <f>IFERROR(VLOOKUP($D274,PlayerDB!$F$2:$G313,2,FALSE),"")</f>
        <v/>
      </c>
      <c r="F274" s="36" t="str">
        <f>IFERROR(VLOOKUP($D274,PlayerDB!$F$2:$H313,3,FALSE),"")</f>
        <v/>
      </c>
      <c r="G274" s="37" t="str">
        <f>IFERROR(VLOOKUP($D274,PlayerDB!$F$2:$I313,4,FALSE),"")</f>
        <v/>
      </c>
      <c r="H274" s="38"/>
      <c r="I274" s="39" t="str">
        <f>IFERROR(__xludf.DUMMYFUNCTION("JOIN("" | "",'Team Stats'!C$10:H$10)"),"0 | 0 | 0 | 0 | 0 | 0")</f>
        <v>0 | 0 | 0 | 0 | 0 | 0</v>
      </c>
      <c r="J274" s="79" t="str">
        <f>IFERROR(__xludf.DUMMYFUNCTION("JOIN("" | "",'Team Stats'!I$10:K$10)"),"0 | 0 | 0")</f>
        <v>0 | 0 | 0</v>
      </c>
      <c r="K274" s="32"/>
      <c r="L274" s="42"/>
      <c r="M274" s="42"/>
      <c r="N274" s="42"/>
      <c r="O274" s="42"/>
      <c r="P274" s="42"/>
      <c r="Q274" s="42"/>
      <c r="R274" s="44"/>
    </row>
    <row r="275">
      <c r="A275" s="45"/>
      <c r="B275" s="46">
        <v>274.0</v>
      </c>
      <c r="C275" s="46" t="str">
        <f>'Teams &amp; Draft Order'!$C$15</f>
        <v>Daddy's Dogs</v>
      </c>
      <c r="D275" s="47"/>
      <c r="E275" s="48" t="str">
        <f>IFERROR(VLOOKUP($D275,PlayerDB!$F$2:$G313,2,FALSE),"")</f>
        <v/>
      </c>
      <c r="F275" s="48" t="str">
        <f>IFERROR(VLOOKUP($D275,PlayerDB!$F$2:$H313,3,FALSE),"")</f>
        <v/>
      </c>
      <c r="G275" s="49" t="str">
        <f>IFERROR(VLOOKUP($D275,PlayerDB!$F$2:$I313,4,FALSE),"")</f>
        <v/>
      </c>
      <c r="H275" s="38"/>
      <c r="I275" s="50" t="str">
        <f>IFERROR(__xludf.DUMMYFUNCTION("JOIN("" | "",'Team Stats'!C$11:H$11)"),"0 | 0 | 0 | 0 | 0 | 0")</f>
        <v>0 | 0 | 0 | 0 | 0 | 0</v>
      </c>
      <c r="J275" s="78" t="str">
        <f>IFERROR(__xludf.DUMMYFUNCTION("JOIN("" | "",'Team Stats'!I$11:K$11)"),"0 | 0 | 0")</f>
        <v>0 | 0 | 0</v>
      </c>
      <c r="K275" s="32"/>
      <c r="L275" s="42"/>
      <c r="M275" s="42"/>
      <c r="N275" s="42"/>
      <c r="O275" s="42"/>
      <c r="P275" s="42"/>
      <c r="Q275" s="42"/>
      <c r="R275" s="44"/>
    </row>
    <row r="276">
      <c r="A276" s="33"/>
      <c r="B276" s="34">
        <v>275.0</v>
      </c>
      <c r="C276" s="34" t="str">
        <f>'Teams &amp; Draft Order'!$C$16</f>
        <v>TDs and Beers</v>
      </c>
      <c r="D276" s="35"/>
      <c r="E276" s="36" t="str">
        <f>IFERROR(VLOOKUP($D276,PlayerDB!$F$2:$G313,2,FALSE),"")</f>
        <v/>
      </c>
      <c r="F276" s="36" t="str">
        <f>IFERROR(VLOOKUP($D276,PlayerDB!$F$2:$H313,3,FALSE),"")</f>
        <v/>
      </c>
      <c r="G276" s="37" t="str">
        <f>IFERROR(VLOOKUP($D276,PlayerDB!$F$2:$I313,4,FALSE),"")</f>
        <v/>
      </c>
      <c r="H276" s="38"/>
      <c r="I276" s="39" t="str">
        <f>IFERROR(__xludf.DUMMYFUNCTION("JOIN("" | "",'Team Stats'!C$12:H$12)"),"0 | 0 | 0 | 0 | 0 | 0")</f>
        <v>0 | 0 | 0 | 0 | 0 | 0</v>
      </c>
      <c r="J276" s="79" t="str">
        <f>IFERROR(__xludf.DUMMYFUNCTION("JOIN("" | "",'Team Stats'!I$12:K$12)"),"0 | 0 | 0")</f>
        <v>0 | 0 | 0</v>
      </c>
      <c r="K276" s="32"/>
      <c r="L276" s="42"/>
      <c r="M276" s="42"/>
      <c r="N276" s="42"/>
      <c r="O276" s="42"/>
      <c r="P276" s="42"/>
      <c r="Q276" s="42"/>
      <c r="R276" s="44"/>
    </row>
    <row r="277">
      <c r="A277" s="45"/>
      <c r="B277" s="55">
        <v>276.0</v>
      </c>
      <c r="C277" s="46" t="str">
        <f>'Teams &amp; Draft Order'!$C$17</f>
        <v>DD Riders</v>
      </c>
      <c r="D277" s="47"/>
      <c r="E277" s="57" t="str">
        <f>IFERROR(VLOOKUP($D277,PlayerDB!$F$2:$G313,2,FALSE),"")</f>
        <v/>
      </c>
      <c r="F277" s="57" t="str">
        <f>IFERROR(VLOOKUP($D277,PlayerDB!$F$2:$H313,3,FALSE),"")</f>
        <v/>
      </c>
      <c r="G277" s="58" t="str">
        <f>IFERROR(VLOOKUP($D277,PlayerDB!$F$2:$I313,4,FALSE),"")</f>
        <v/>
      </c>
      <c r="H277" s="59"/>
      <c r="I277" s="50" t="str">
        <f>IFERROR(__xludf.DUMMYFUNCTION("JOIN("" | "",'Team Stats'!C$13:H$13)"),"0 | 0 | 0 | 0 | 0 | 0")</f>
        <v>0 | 0 | 0 | 0 | 0 | 0</v>
      </c>
      <c r="J277" s="78" t="str">
        <f>IFERROR(__xludf.DUMMYFUNCTION("JOIN("" | "",'Team Stats'!I$13:K$13)"),"0 | 0 | 0")</f>
        <v>0 | 0 | 0</v>
      </c>
      <c r="K277" s="32"/>
      <c r="L277" s="42"/>
      <c r="M277" s="42"/>
      <c r="N277" s="42"/>
      <c r="O277" s="42"/>
      <c r="P277" s="42"/>
      <c r="Q277" s="42"/>
      <c r="R277" s="44"/>
    </row>
    <row r="278">
      <c r="A278" s="72" t="s">
        <v>108</v>
      </c>
      <c r="B278" s="34">
        <v>277.0</v>
      </c>
      <c r="C278" s="73" t="str">
        <f>'Teams &amp; Draft Order'!$C$17</f>
        <v>DD Riders</v>
      </c>
      <c r="D278" s="74"/>
      <c r="E278" s="36" t="str">
        <f>IFERROR(VLOOKUP($D278,PlayerDB!$F$2:$G313,2,FALSE),"")</f>
        <v/>
      </c>
      <c r="F278" s="36" t="str">
        <f>IFERROR(VLOOKUP($D278,PlayerDB!$F$2:$H313,3,FALSE),"")</f>
        <v/>
      </c>
      <c r="G278" s="37" t="str">
        <f>IFERROR(VLOOKUP($D278,PlayerDB!$F$2:$I313,4,FALSE),"")</f>
        <v/>
      </c>
      <c r="H278" s="38"/>
      <c r="I278" s="76" t="str">
        <f>IFERROR(__xludf.DUMMYFUNCTION("JOIN("" | "",'Team Stats'!C$13:H$13)"),"0 | 0 | 0 | 0 | 0 | 0")</f>
        <v>0 | 0 | 0 | 0 | 0 | 0</v>
      </c>
      <c r="J278" s="77" t="str">
        <f>IFERROR(__xludf.DUMMYFUNCTION("JOIN("" | "",'Team Stats'!I$13:K$13)"),"0 | 0 | 0")</f>
        <v>0 | 0 | 0</v>
      </c>
      <c r="K278" s="32"/>
      <c r="L278" s="42"/>
      <c r="M278" s="42"/>
      <c r="N278" s="42"/>
      <c r="O278" s="42"/>
      <c r="P278" s="42"/>
      <c r="Q278" s="42"/>
      <c r="R278" s="44"/>
    </row>
    <row r="279">
      <c r="A279" s="82"/>
      <c r="B279" s="46">
        <v>278.0</v>
      </c>
      <c r="C279" s="46" t="str">
        <f>'Teams &amp; Draft Order'!$C$16</f>
        <v>TDs and Beers</v>
      </c>
      <c r="D279" s="47"/>
      <c r="E279" s="48" t="str">
        <f>IFERROR(VLOOKUP($D279,PlayerDB!$F$2:$G313,2,FALSE),"")</f>
        <v/>
      </c>
      <c r="F279" s="48" t="str">
        <f>IFERROR(VLOOKUP($D279,PlayerDB!$F$2:$H313,3,FALSE),"")</f>
        <v/>
      </c>
      <c r="G279" s="49" t="str">
        <f>IFERROR(VLOOKUP($D279,PlayerDB!$F$2:$I313,4,FALSE),"")</f>
        <v/>
      </c>
      <c r="H279" s="38"/>
      <c r="I279" s="50" t="str">
        <f>IFERROR(__xludf.DUMMYFUNCTION("JOIN("" | "",'Team Stats'!C$12:H$12)"),"0 | 0 | 0 | 0 | 0 | 0")</f>
        <v>0 | 0 | 0 | 0 | 0 | 0</v>
      </c>
      <c r="J279" s="78" t="str">
        <f>IFERROR(__xludf.DUMMYFUNCTION("JOIN("" | "",'Team Stats'!I$12:K$12)"),"0 | 0 | 0")</f>
        <v>0 | 0 | 0</v>
      </c>
      <c r="K279" s="32"/>
      <c r="L279" s="42"/>
      <c r="M279" s="42"/>
      <c r="N279" s="42"/>
      <c r="O279" s="42"/>
      <c r="P279" s="42"/>
      <c r="Q279" s="42"/>
      <c r="R279" s="44"/>
    </row>
    <row r="280">
      <c r="A280" s="83"/>
      <c r="B280" s="34">
        <v>279.0</v>
      </c>
      <c r="C280" s="34" t="str">
        <f>'Teams &amp; Draft Order'!$C$15</f>
        <v>Daddy's Dogs</v>
      </c>
      <c r="D280" s="35"/>
      <c r="E280" s="36" t="str">
        <f>IFERROR(VLOOKUP($D280,PlayerDB!$F$2:$G313,2,FALSE),"")</f>
        <v/>
      </c>
      <c r="F280" s="36" t="str">
        <f>IFERROR(VLOOKUP($D280,PlayerDB!$F$2:$H313,3,FALSE),"")</f>
        <v/>
      </c>
      <c r="G280" s="37" t="str">
        <f>IFERROR(VLOOKUP($D280,PlayerDB!$F$2:$I313,4,FALSE),"")</f>
        <v/>
      </c>
      <c r="H280" s="38"/>
      <c r="I280" s="39" t="str">
        <f>IFERROR(__xludf.DUMMYFUNCTION("JOIN("" | "",'Team Stats'!C$11:H$11)"),"0 | 0 | 0 | 0 | 0 | 0")</f>
        <v>0 | 0 | 0 | 0 | 0 | 0</v>
      </c>
      <c r="J280" s="79" t="str">
        <f>IFERROR(__xludf.DUMMYFUNCTION("JOIN("" | "",'Team Stats'!I$11:K$11)"),"0 | 0 | 0")</f>
        <v>0 | 0 | 0</v>
      </c>
      <c r="K280" s="32"/>
      <c r="L280" s="42"/>
      <c r="M280" s="42"/>
      <c r="N280" s="42"/>
      <c r="O280" s="42"/>
      <c r="P280" s="42"/>
      <c r="Q280" s="42"/>
      <c r="R280" s="44"/>
    </row>
    <row r="281">
      <c r="A281" s="82"/>
      <c r="B281" s="46">
        <v>280.0</v>
      </c>
      <c r="C281" s="46" t="str">
        <f>'Teams &amp; Draft Order'!$C$14</f>
        <v>Achaians</v>
      </c>
      <c r="D281" s="47"/>
      <c r="E281" s="48" t="str">
        <f>IFERROR(VLOOKUP($D281,PlayerDB!$F$2:$G313,2,FALSE),"")</f>
        <v/>
      </c>
      <c r="F281" s="48" t="str">
        <f>IFERROR(VLOOKUP($D281,PlayerDB!$F$2:$H313,3,FALSE),"")</f>
        <v/>
      </c>
      <c r="G281" s="49" t="str">
        <f>IFERROR(VLOOKUP($D281,PlayerDB!$F$2:$I313,4,FALSE),"")</f>
        <v/>
      </c>
      <c r="H281" s="38"/>
      <c r="I281" s="50" t="str">
        <f>IFERROR(__xludf.DUMMYFUNCTION("JOIN("" | "",'Team Stats'!C$10:H$10)"),"0 | 0 | 0 | 0 | 0 | 0")</f>
        <v>0 | 0 | 0 | 0 | 0 | 0</v>
      </c>
      <c r="J281" s="78" t="str">
        <f>IFERROR(__xludf.DUMMYFUNCTION("JOIN("" | "",'Team Stats'!I$10:K$10)"),"0 | 0 | 0")</f>
        <v>0 | 0 | 0</v>
      </c>
      <c r="K281" s="32"/>
      <c r="L281" s="42"/>
      <c r="M281" s="42"/>
      <c r="N281" s="42"/>
      <c r="O281" s="42"/>
      <c r="P281" s="42"/>
      <c r="Q281" s="42"/>
      <c r="R281" s="44"/>
    </row>
    <row r="282">
      <c r="A282" s="83"/>
      <c r="B282" s="34">
        <v>281.0</v>
      </c>
      <c r="C282" s="34" t="str">
        <f>'Teams &amp; Draft Order'!$C$13</f>
        <v>Luddite</v>
      </c>
      <c r="D282" s="35"/>
      <c r="E282" s="36" t="str">
        <f>IFERROR(VLOOKUP($D282,PlayerDB!$F$2:$G313,2,FALSE),"")</f>
        <v/>
      </c>
      <c r="F282" s="36" t="str">
        <f>IFERROR(VLOOKUP($D282,PlayerDB!$F$2:$H313,3,FALSE),"")</f>
        <v/>
      </c>
      <c r="G282" s="37" t="str">
        <f>IFERROR(VLOOKUP($D282,PlayerDB!$F$2:$I313,4,FALSE),"")</f>
        <v/>
      </c>
      <c r="H282" s="38"/>
      <c r="I282" s="39" t="str">
        <f>IFERROR(__xludf.DUMMYFUNCTION("JOIN("" | "",'Team Stats'!C$9:H$9)"),"0 | 0 | 0 | 0 | 0 | 0")</f>
        <v>0 | 0 | 0 | 0 | 0 | 0</v>
      </c>
      <c r="J282" s="79" t="str">
        <f>IFERROR(__xludf.DUMMYFUNCTION("JOIN("" | "",'Team Stats'!I$9:K$9)"),"0 | 0 | 0")</f>
        <v>0 | 0 | 0</v>
      </c>
      <c r="K282" s="32"/>
      <c r="L282" s="42"/>
      <c r="M282" s="42"/>
      <c r="N282" s="42"/>
      <c r="O282" s="42"/>
      <c r="P282" s="42"/>
      <c r="Q282" s="42"/>
      <c r="R282" s="44"/>
    </row>
    <row r="283">
      <c r="A283" s="82"/>
      <c r="B283" s="46">
        <v>282.0</v>
      </c>
      <c r="C283" s="46" t="str">
        <f>'Teams &amp; Draft Order'!$C$12</f>
        <v>Turbo-Ginz</v>
      </c>
      <c r="D283" s="47"/>
      <c r="E283" s="48" t="str">
        <f>IFERROR(VLOOKUP($D283,PlayerDB!$F$2:$G313,2,FALSE),"")</f>
        <v/>
      </c>
      <c r="F283" s="48" t="str">
        <f>IFERROR(VLOOKUP($D283,PlayerDB!$F$2:$H313,3,FALSE),"")</f>
        <v/>
      </c>
      <c r="G283" s="49" t="str">
        <f>IFERROR(VLOOKUP($D283,PlayerDB!$F$2:$I313,4,FALSE),"")</f>
        <v/>
      </c>
      <c r="H283" s="38"/>
      <c r="I283" s="50" t="str">
        <f>IFERROR(__xludf.DUMMYFUNCTION("JOIN("" | "",'Team Stats'!C$8:H$8)"),"0 | 0 | 0 | 0 | 0 | 0")</f>
        <v>0 | 0 | 0 | 0 | 0 | 0</v>
      </c>
      <c r="J283" s="78" t="str">
        <f>IFERROR(__xludf.DUMMYFUNCTION("JOIN("" | "",'Team Stats'!I$8:K$8)"),"0 | 0 | 0")</f>
        <v>0 | 0 | 0</v>
      </c>
      <c r="K283" s="32"/>
      <c r="L283" s="42"/>
      <c r="M283" s="42"/>
      <c r="N283" s="42"/>
      <c r="O283" s="42"/>
      <c r="P283" s="42"/>
      <c r="Q283" s="42"/>
      <c r="R283" s="44"/>
    </row>
    <row r="284">
      <c r="A284" s="83"/>
      <c r="B284" s="34">
        <v>283.0</v>
      </c>
      <c r="C284" s="34" t="str">
        <f>'Teams &amp; Draft Order'!$C$11</f>
        <v>Big Boys Big Work</v>
      </c>
      <c r="D284" s="35"/>
      <c r="E284" s="36" t="str">
        <f>IFERROR(VLOOKUP($D284,PlayerDB!$F$2:$G313,2,FALSE),"")</f>
        <v/>
      </c>
      <c r="F284" s="36" t="str">
        <f>IFERROR(VLOOKUP($D284,PlayerDB!$F$2:$H313,3,FALSE),"")</f>
        <v/>
      </c>
      <c r="G284" s="37" t="str">
        <f>IFERROR(VLOOKUP($D284,PlayerDB!$F$2:$I313,4,FALSE),"")</f>
        <v/>
      </c>
      <c r="H284" s="38"/>
      <c r="I284" s="39" t="str">
        <f>IFERROR(__xludf.DUMMYFUNCTION("JOIN("" | "",'Team Stats'!C$7:H$7)"),"0 | 0 | 0 | 0 | 0 | 0")</f>
        <v>0 | 0 | 0 | 0 | 0 | 0</v>
      </c>
      <c r="J284" s="79" t="str">
        <f>IFERROR(__xludf.DUMMYFUNCTION("JOIN("" | "",'Team Stats'!I$7:K$7)"),"0 | 0 | 0")</f>
        <v>0 | 0 | 0</v>
      </c>
      <c r="K284" s="32"/>
      <c r="L284" s="42"/>
      <c r="M284" s="42"/>
      <c r="N284" s="42"/>
      <c r="O284" s="42"/>
      <c r="P284" s="42"/>
      <c r="Q284" s="42"/>
      <c r="R284" s="44"/>
    </row>
    <row r="285">
      <c r="A285" s="82"/>
      <c r="B285" s="46">
        <v>284.0</v>
      </c>
      <c r="C285" s="46" t="str">
        <f>'Teams &amp; Draft Order'!$C$10</f>
        <v>Buttheads</v>
      </c>
      <c r="D285" s="47"/>
      <c r="E285" s="48" t="str">
        <f>IFERROR(VLOOKUP($D285,PlayerDB!$F$2:$G313,2,FALSE),"")</f>
        <v/>
      </c>
      <c r="F285" s="48" t="str">
        <f>IFERROR(VLOOKUP($D285,PlayerDB!$F$2:$H313,3,FALSE),"")</f>
        <v/>
      </c>
      <c r="G285" s="49" t="str">
        <f>IFERROR(VLOOKUP($D285,PlayerDB!$F$2:$I313,4,FALSE),"")</f>
        <v/>
      </c>
      <c r="H285" s="38"/>
      <c r="I285" s="50" t="str">
        <f>IFERROR(__xludf.DUMMYFUNCTION("JOIN("" | "",'Team Stats'!C$6:H$6)"),"0 | 0 | 0 | 0 | 0 | 0")</f>
        <v>0 | 0 | 0 | 0 | 0 | 0</v>
      </c>
      <c r="J285" s="78" t="str">
        <f>IFERROR(__xludf.DUMMYFUNCTION("JOIN("" | "",'Team Stats'!I$6:K$6)"),"0 | 0 | 0")</f>
        <v>0 | 0 | 0</v>
      </c>
      <c r="K285" s="32"/>
      <c r="L285" s="42"/>
      <c r="M285" s="42"/>
      <c r="N285" s="42"/>
      <c r="O285" s="42"/>
      <c r="P285" s="42"/>
      <c r="Q285" s="42"/>
      <c r="R285" s="44"/>
    </row>
    <row r="286">
      <c r="A286" s="83"/>
      <c r="B286" s="34">
        <v>285.0</v>
      </c>
      <c r="C286" s="34" t="str">
        <f>'Teams &amp; Draft Order'!$C$9</f>
        <v>El Nino</v>
      </c>
      <c r="D286" s="35"/>
      <c r="E286" s="36" t="str">
        <f>IFERROR(VLOOKUP($D286,PlayerDB!$F$2:$G313,2,FALSE),"")</f>
        <v/>
      </c>
      <c r="F286" s="36" t="str">
        <f>IFERROR(VLOOKUP($D286,PlayerDB!$F$2:$H313,3,FALSE),"")</f>
        <v/>
      </c>
      <c r="G286" s="37" t="str">
        <f>IFERROR(VLOOKUP($D286,PlayerDB!$F$2:$I313,4,FALSE),"")</f>
        <v/>
      </c>
      <c r="H286" s="38"/>
      <c r="I286" s="39" t="str">
        <f>IFERROR(__xludf.DUMMYFUNCTION("JOIN("" | "",'Team Stats'!C$5:H$5)"),"0 | 0 | 0 | 0 | 0 | 0")</f>
        <v>0 | 0 | 0 | 0 | 0 | 0</v>
      </c>
      <c r="J286" s="79" t="str">
        <f>IFERROR(__xludf.DUMMYFUNCTION("JOIN("" | "",'Team Stats'!I$5:K$5)"),"0 | 0 | 0")</f>
        <v>0 | 0 | 0</v>
      </c>
      <c r="K286" s="32"/>
      <c r="L286" s="42"/>
      <c r="M286" s="42"/>
      <c r="N286" s="42"/>
      <c r="O286" s="42"/>
      <c r="P286" s="42"/>
      <c r="Q286" s="42"/>
      <c r="R286" s="44"/>
    </row>
    <row r="287">
      <c r="A287" s="82"/>
      <c r="B287" s="46">
        <v>286.0</v>
      </c>
      <c r="C287" s="46" t="str">
        <f>'Teams &amp; Draft Order'!$C$8</f>
        <v>Icelanders</v>
      </c>
      <c r="D287" s="47"/>
      <c r="E287" s="48" t="str">
        <f>IFERROR(VLOOKUP($D287,PlayerDB!$F$2:$G313,2,FALSE),"")</f>
        <v/>
      </c>
      <c r="F287" s="48" t="str">
        <f>IFERROR(VLOOKUP($D287,PlayerDB!$F$2:$H313,3,FALSE),"")</f>
        <v/>
      </c>
      <c r="G287" s="49" t="str">
        <f>IFERROR(VLOOKUP($D287,PlayerDB!$F$2:$I313,4,FALSE),"")</f>
        <v/>
      </c>
      <c r="H287" s="38"/>
      <c r="I287" s="50" t="str">
        <f>IFERROR(__xludf.DUMMYFUNCTION("JOIN("" | "",'Team Stats'!C$4:H$4)"),"0 | 0 | 0 | 0 | 0 | 0")</f>
        <v>0 | 0 | 0 | 0 | 0 | 0</v>
      </c>
      <c r="J287" s="78" t="str">
        <f>IFERROR(__xludf.DUMMYFUNCTION("JOIN("" | "",'Team Stats'!I$4:K$4)"),"0 | 0 | 0")</f>
        <v>0 | 0 | 0</v>
      </c>
      <c r="K287" s="32"/>
      <c r="L287" s="42"/>
      <c r="M287" s="42"/>
      <c r="N287" s="42"/>
      <c r="O287" s="42"/>
      <c r="P287" s="42"/>
      <c r="Q287" s="42"/>
      <c r="R287" s="44"/>
    </row>
    <row r="288">
      <c r="A288" s="83"/>
      <c r="B288" s="34">
        <v>287.0</v>
      </c>
      <c r="C288" s="34" t="str">
        <f>'Teams &amp; Draft Order'!$C$7</f>
        <v>Phantasm</v>
      </c>
      <c r="D288" s="35"/>
      <c r="E288" s="36" t="str">
        <f>IFERROR(VLOOKUP($D288,PlayerDB!$F$2:$G313,2,FALSE),"")</f>
        <v/>
      </c>
      <c r="F288" s="36" t="str">
        <f>IFERROR(VLOOKUP($D288,PlayerDB!$F$2:$H313,3,FALSE),"")</f>
        <v/>
      </c>
      <c r="G288" s="37" t="str">
        <f>IFERROR(VLOOKUP($D288,PlayerDB!$F$2:$I313,4,FALSE),"")</f>
        <v/>
      </c>
      <c r="H288" s="38"/>
      <c r="I288" s="39" t="str">
        <f>IFERROR(__xludf.DUMMYFUNCTION("JOIN("" | "",'Team Stats'!C$3:H$3)"),"0 | 0 | 0 | 0 | 0 | 0")</f>
        <v>0 | 0 | 0 | 0 | 0 | 0</v>
      </c>
      <c r="J288" s="79" t="str">
        <f>IFERROR(__xludf.DUMMYFUNCTION("JOIN("" | "",'Team Stats'!I$3:K$3)"),"0 | 0 | 0")</f>
        <v>0 | 0 | 0</v>
      </c>
      <c r="K288" s="32"/>
      <c r="L288" s="42"/>
      <c r="M288" s="42"/>
      <c r="N288" s="42"/>
      <c r="O288" s="42"/>
      <c r="P288" s="42"/>
      <c r="Q288" s="42"/>
      <c r="R288" s="44"/>
    </row>
    <row r="289">
      <c r="A289" s="84"/>
      <c r="B289" s="55">
        <v>288.0</v>
      </c>
      <c r="C289" s="55" t="str">
        <f>'Teams &amp; Draft Order'!$C$6</f>
        <v>Sleeper Cell </v>
      </c>
      <c r="D289" s="56"/>
      <c r="E289" s="57" t="str">
        <f>IFERROR(VLOOKUP($D289,PlayerDB!$F$2:$G313,2,FALSE),"")</f>
        <v/>
      </c>
      <c r="F289" s="57" t="str">
        <f>IFERROR(VLOOKUP($D289,PlayerDB!$F$2:$H313,3,FALSE),"")</f>
        <v/>
      </c>
      <c r="G289" s="58" t="str">
        <f>IFERROR(VLOOKUP($D289,PlayerDB!$F$2:$I313,4,FALSE),"")</f>
        <v/>
      </c>
      <c r="H289" s="59"/>
      <c r="I289" s="60" t="str">
        <f>IFERROR(__xludf.DUMMYFUNCTION("JOIN("" | "",'Team Stats'!C$2:H$2)"),"1 | 0 | 0 | 0 | 0 | 0")</f>
        <v>1 | 0 | 0 | 0 | 0 | 0</v>
      </c>
      <c r="J289" s="80" t="str">
        <f>IFERROR(__xludf.DUMMYFUNCTION("JOIN("" | "",'Team Stats'!I$2:K$2)"),"0 | 0 | 0")</f>
        <v>0 | 0 | 0</v>
      </c>
      <c r="K289" s="32"/>
      <c r="L289" s="42"/>
      <c r="M289" s="42"/>
      <c r="N289" s="42"/>
      <c r="O289" s="42"/>
      <c r="P289" s="42"/>
      <c r="Q289" s="42"/>
      <c r="R289" s="44"/>
    </row>
    <row r="290">
      <c r="A290" s="72" t="s">
        <v>109</v>
      </c>
      <c r="B290" s="34">
        <v>289.0</v>
      </c>
      <c r="C290" s="73" t="str">
        <f>'Teams &amp; Draft Order'!$C$6</f>
        <v>Sleeper Cell </v>
      </c>
      <c r="D290" s="74"/>
      <c r="E290" s="36" t="str">
        <f>IFERROR(VLOOKUP($D290,PlayerDB!$F$2:$G313,2,FALSE),"")</f>
        <v/>
      </c>
      <c r="F290" s="36" t="str">
        <f>IFERROR(VLOOKUP($D290,PlayerDB!$F$2:$H313,3,FALSE),"")</f>
        <v/>
      </c>
      <c r="G290" s="37" t="str">
        <f>IFERROR(VLOOKUP($D290,PlayerDB!$F$2:$I313,4,FALSE),"")</f>
        <v/>
      </c>
      <c r="H290" s="38"/>
      <c r="I290" s="39" t="str">
        <f>IFERROR(__xludf.DUMMYFUNCTION("JOIN("" | "",'Team Stats'!C$2:H$2)"),"1 | 0 | 0 | 0 | 0 | 0")</f>
        <v>1 | 0 | 0 | 0 | 0 | 0</v>
      </c>
      <c r="J290" s="77" t="str">
        <f>IFERROR(__xludf.DUMMYFUNCTION("JOIN("" | "",'Team Stats'!I$2:K$2)"),"0 | 0 | 0")</f>
        <v>0 | 0 | 0</v>
      </c>
      <c r="K290" s="32"/>
      <c r="L290" s="42"/>
      <c r="M290" s="42"/>
      <c r="N290" s="42"/>
      <c r="O290" s="42"/>
      <c r="P290" s="42"/>
      <c r="Q290" s="42"/>
      <c r="R290" s="44"/>
    </row>
    <row r="291">
      <c r="A291" s="45"/>
      <c r="B291" s="46">
        <v>290.0</v>
      </c>
      <c r="C291" s="46" t="str">
        <f>'Teams &amp; Draft Order'!$C$7</f>
        <v>Phantasm</v>
      </c>
      <c r="D291" s="47"/>
      <c r="E291" s="48" t="str">
        <f>IFERROR(VLOOKUP($D291,PlayerDB!$F$2:$G313,2,FALSE),"")</f>
        <v/>
      </c>
      <c r="F291" s="48" t="str">
        <f>IFERROR(VLOOKUP($D291,PlayerDB!$F$2:$H313,3,FALSE),"")</f>
        <v/>
      </c>
      <c r="G291" s="49" t="str">
        <f>IFERROR(VLOOKUP($D291,PlayerDB!$F$2:$I313,4,FALSE),"")</f>
        <v/>
      </c>
      <c r="H291" s="38"/>
      <c r="I291" s="50" t="str">
        <f>IFERROR(__xludf.DUMMYFUNCTION("JOIN("" | "",'Team Stats'!C$3:H$3)"),"0 | 0 | 0 | 0 | 0 | 0")</f>
        <v>0 | 0 | 0 | 0 | 0 | 0</v>
      </c>
      <c r="J291" s="78" t="str">
        <f>IFERROR(__xludf.DUMMYFUNCTION("JOIN("" | "",'Team Stats'!I$3:K$3)"),"0 | 0 | 0")</f>
        <v>0 | 0 | 0</v>
      </c>
      <c r="K291" s="32"/>
      <c r="L291" s="42"/>
      <c r="M291" s="42"/>
      <c r="N291" s="42"/>
      <c r="O291" s="42"/>
      <c r="P291" s="42"/>
      <c r="Q291" s="42"/>
      <c r="R291" s="44"/>
    </row>
    <row r="292">
      <c r="A292" s="33"/>
      <c r="B292" s="34">
        <v>291.0</v>
      </c>
      <c r="C292" s="34" t="str">
        <f>'Teams &amp; Draft Order'!$C$8</f>
        <v>Icelanders</v>
      </c>
      <c r="D292" s="35"/>
      <c r="E292" s="36" t="str">
        <f>IFERROR(VLOOKUP($D292,PlayerDB!$F$2:$G313,2,FALSE),"")</f>
        <v/>
      </c>
      <c r="F292" s="36" t="str">
        <f>IFERROR(VLOOKUP($D292,PlayerDB!$F$2:$H313,3,FALSE),"")</f>
        <v/>
      </c>
      <c r="G292" s="37" t="str">
        <f>IFERROR(VLOOKUP($D292,PlayerDB!$F$2:$I313,4,FALSE),"")</f>
        <v/>
      </c>
      <c r="H292" s="38"/>
      <c r="I292" s="39" t="str">
        <f>IFERROR(__xludf.DUMMYFUNCTION("JOIN("" | "",'Team Stats'!C$4:H$4)"),"0 | 0 | 0 | 0 | 0 | 0")</f>
        <v>0 | 0 | 0 | 0 | 0 | 0</v>
      </c>
      <c r="J292" s="79" t="str">
        <f>IFERROR(__xludf.DUMMYFUNCTION("JOIN("" | "",'Team Stats'!I$4:K$4)"),"0 | 0 | 0")</f>
        <v>0 | 0 | 0</v>
      </c>
      <c r="K292" s="32"/>
      <c r="L292" s="42"/>
      <c r="M292" s="42"/>
      <c r="N292" s="42"/>
      <c r="O292" s="42"/>
      <c r="P292" s="42"/>
      <c r="Q292" s="42"/>
      <c r="R292" s="44"/>
    </row>
    <row r="293">
      <c r="A293" s="45"/>
      <c r="B293" s="46">
        <v>292.0</v>
      </c>
      <c r="C293" s="46" t="str">
        <f>'Teams &amp; Draft Order'!$C$9</f>
        <v>El Nino</v>
      </c>
      <c r="D293" s="47"/>
      <c r="E293" s="48" t="str">
        <f>IFERROR(VLOOKUP($D293,PlayerDB!$F$2:$G313,2,FALSE),"")</f>
        <v/>
      </c>
      <c r="F293" s="48" t="str">
        <f>IFERROR(VLOOKUP($D293,PlayerDB!$F$2:$H313,3,FALSE),"")</f>
        <v/>
      </c>
      <c r="G293" s="49" t="str">
        <f>IFERROR(VLOOKUP($D293,PlayerDB!$F$2:$I313,4,FALSE),"")</f>
        <v/>
      </c>
      <c r="H293" s="38"/>
      <c r="I293" s="50" t="str">
        <f>IFERROR(__xludf.DUMMYFUNCTION("JOIN("" | "",'Team Stats'!C$5:H$5)"),"0 | 0 | 0 | 0 | 0 | 0")</f>
        <v>0 | 0 | 0 | 0 | 0 | 0</v>
      </c>
      <c r="J293" s="78" t="str">
        <f>IFERROR(__xludf.DUMMYFUNCTION("JOIN("" | "",'Team Stats'!I$5:K$5)"),"0 | 0 | 0")</f>
        <v>0 | 0 | 0</v>
      </c>
      <c r="K293" s="32"/>
      <c r="L293" s="42"/>
      <c r="M293" s="42"/>
      <c r="N293" s="42"/>
      <c r="O293" s="42"/>
      <c r="P293" s="42"/>
      <c r="Q293" s="42"/>
      <c r="R293" s="44"/>
    </row>
    <row r="294">
      <c r="A294" s="33"/>
      <c r="B294" s="34">
        <v>293.0</v>
      </c>
      <c r="C294" s="34" t="str">
        <f>'Teams &amp; Draft Order'!$C$10</f>
        <v>Buttheads</v>
      </c>
      <c r="D294" s="35"/>
      <c r="E294" s="36" t="str">
        <f>IFERROR(VLOOKUP($D294,PlayerDB!$F$2:$G313,2,FALSE),"")</f>
        <v/>
      </c>
      <c r="F294" s="36" t="str">
        <f>IFERROR(VLOOKUP($D294,PlayerDB!$F$2:$H313,3,FALSE),"")</f>
        <v/>
      </c>
      <c r="G294" s="37" t="str">
        <f>IFERROR(VLOOKUP($D294,PlayerDB!$F$2:$I313,4,FALSE),"")</f>
        <v/>
      </c>
      <c r="H294" s="38"/>
      <c r="I294" s="39" t="str">
        <f>IFERROR(__xludf.DUMMYFUNCTION("JOIN("" | "",'Team Stats'!C$6:H$6)"),"0 | 0 | 0 | 0 | 0 | 0")</f>
        <v>0 | 0 | 0 | 0 | 0 | 0</v>
      </c>
      <c r="J294" s="79" t="str">
        <f>IFERROR(__xludf.DUMMYFUNCTION("JOIN("" | "",'Team Stats'!I$6:K$6)"),"0 | 0 | 0")</f>
        <v>0 | 0 | 0</v>
      </c>
      <c r="K294" s="32"/>
      <c r="L294" s="42"/>
      <c r="M294" s="42"/>
      <c r="N294" s="42"/>
      <c r="O294" s="42"/>
      <c r="P294" s="42"/>
      <c r="Q294" s="42"/>
      <c r="R294" s="44"/>
    </row>
    <row r="295">
      <c r="A295" s="45"/>
      <c r="B295" s="46">
        <v>294.0</v>
      </c>
      <c r="C295" s="46" t="str">
        <f>'Teams &amp; Draft Order'!$C$11</f>
        <v>Big Boys Big Work</v>
      </c>
      <c r="D295" s="47"/>
      <c r="E295" s="48" t="str">
        <f>IFERROR(VLOOKUP($D295,PlayerDB!$F$2:$G313,2,FALSE),"")</f>
        <v/>
      </c>
      <c r="F295" s="48" t="str">
        <f>IFERROR(VLOOKUP($D295,PlayerDB!$F$2:$H313,3,FALSE),"")</f>
        <v/>
      </c>
      <c r="G295" s="49" t="str">
        <f>IFERROR(VLOOKUP($D295,PlayerDB!$F$2:$I313,4,FALSE),"")</f>
        <v/>
      </c>
      <c r="H295" s="38"/>
      <c r="I295" s="50" t="str">
        <f>IFERROR(__xludf.DUMMYFUNCTION("JOIN("" | "",'Team Stats'!C$7:H$7)"),"0 | 0 | 0 | 0 | 0 | 0")</f>
        <v>0 | 0 | 0 | 0 | 0 | 0</v>
      </c>
      <c r="J295" s="78" t="str">
        <f>IFERROR(__xludf.DUMMYFUNCTION("JOIN("" | "",'Team Stats'!I$7:K$7)"),"0 | 0 | 0")</f>
        <v>0 | 0 | 0</v>
      </c>
      <c r="K295" s="32"/>
      <c r="L295" s="42"/>
      <c r="M295" s="42"/>
      <c r="N295" s="42"/>
      <c r="O295" s="42"/>
      <c r="P295" s="42"/>
      <c r="Q295" s="42"/>
      <c r="R295" s="44"/>
    </row>
    <row r="296">
      <c r="A296" s="33"/>
      <c r="B296" s="34">
        <v>295.0</v>
      </c>
      <c r="C296" s="34" t="str">
        <f>'Teams &amp; Draft Order'!$C$12</f>
        <v>Turbo-Ginz</v>
      </c>
      <c r="D296" s="35"/>
      <c r="E296" s="36" t="str">
        <f>IFERROR(VLOOKUP($D296,PlayerDB!$F$2:$G313,2,FALSE),"")</f>
        <v/>
      </c>
      <c r="F296" s="36" t="str">
        <f>IFERROR(VLOOKUP($D296,PlayerDB!$F$2:$H313,3,FALSE),"")</f>
        <v/>
      </c>
      <c r="G296" s="37" t="str">
        <f>IFERROR(VLOOKUP($D296,PlayerDB!$F$2:$I313,4,FALSE),"")</f>
        <v/>
      </c>
      <c r="H296" s="38"/>
      <c r="I296" s="39" t="str">
        <f>IFERROR(__xludf.DUMMYFUNCTION("JOIN("" | "",'Team Stats'!C$8:H$8)"),"0 | 0 | 0 | 0 | 0 | 0")</f>
        <v>0 | 0 | 0 | 0 | 0 | 0</v>
      </c>
      <c r="J296" s="79" t="str">
        <f>IFERROR(__xludf.DUMMYFUNCTION("JOIN("" | "",'Team Stats'!I$8:K$8)"),"0 | 0 | 0")</f>
        <v>0 | 0 | 0</v>
      </c>
      <c r="K296" s="32"/>
      <c r="L296" s="42"/>
      <c r="M296" s="42"/>
      <c r="N296" s="42"/>
      <c r="O296" s="42"/>
      <c r="P296" s="42"/>
      <c r="Q296" s="42"/>
      <c r="R296" s="44"/>
    </row>
    <row r="297">
      <c r="A297" s="45"/>
      <c r="B297" s="46">
        <v>296.0</v>
      </c>
      <c r="C297" s="46" t="str">
        <f>'Teams &amp; Draft Order'!$C$13</f>
        <v>Luddite</v>
      </c>
      <c r="D297" s="47"/>
      <c r="E297" s="48" t="str">
        <f>IFERROR(VLOOKUP($D297,PlayerDB!$F$2:$G313,2,FALSE),"")</f>
        <v/>
      </c>
      <c r="F297" s="48" t="str">
        <f>IFERROR(VLOOKUP($D297,PlayerDB!$F$2:$H313,3,FALSE),"")</f>
        <v/>
      </c>
      <c r="G297" s="49" t="str">
        <f>IFERROR(VLOOKUP($D297,PlayerDB!$F$2:$I313,4,FALSE),"")</f>
        <v/>
      </c>
      <c r="H297" s="38"/>
      <c r="I297" s="50" t="str">
        <f>IFERROR(__xludf.DUMMYFUNCTION("JOIN("" | "",'Team Stats'!C$9:H$9)"),"0 | 0 | 0 | 0 | 0 | 0")</f>
        <v>0 | 0 | 0 | 0 | 0 | 0</v>
      </c>
      <c r="J297" s="78" t="str">
        <f>IFERROR(__xludf.DUMMYFUNCTION("JOIN("" | "",'Team Stats'!I$9:K$9)"),"0 | 0 | 0")</f>
        <v>0 | 0 | 0</v>
      </c>
      <c r="K297" s="32"/>
      <c r="L297" s="42"/>
      <c r="M297" s="42"/>
      <c r="N297" s="42"/>
      <c r="O297" s="42"/>
      <c r="P297" s="42"/>
      <c r="Q297" s="42"/>
      <c r="R297" s="44"/>
    </row>
    <row r="298">
      <c r="A298" s="33"/>
      <c r="B298" s="34">
        <v>297.0</v>
      </c>
      <c r="C298" s="34" t="str">
        <f>'Teams &amp; Draft Order'!$C$14</f>
        <v>Achaians</v>
      </c>
      <c r="D298" s="35"/>
      <c r="E298" s="36" t="str">
        <f>IFERROR(VLOOKUP($D298,PlayerDB!$F$2:$G313,2,FALSE),"")</f>
        <v/>
      </c>
      <c r="F298" s="36" t="str">
        <f>IFERROR(VLOOKUP($D298,PlayerDB!$F$2:$H313,3,FALSE),"")</f>
        <v/>
      </c>
      <c r="G298" s="37" t="str">
        <f>IFERROR(VLOOKUP($D298,PlayerDB!$F$2:$I313,4,FALSE),"")</f>
        <v/>
      </c>
      <c r="H298" s="38"/>
      <c r="I298" s="39" t="str">
        <f>IFERROR(__xludf.DUMMYFUNCTION("JOIN("" | "",'Team Stats'!C$10:H$10)"),"0 | 0 | 0 | 0 | 0 | 0")</f>
        <v>0 | 0 | 0 | 0 | 0 | 0</v>
      </c>
      <c r="J298" s="79" t="str">
        <f>IFERROR(__xludf.DUMMYFUNCTION("JOIN("" | "",'Team Stats'!I$10:K$10)"),"0 | 0 | 0")</f>
        <v>0 | 0 | 0</v>
      </c>
      <c r="K298" s="32"/>
      <c r="L298" s="42"/>
      <c r="M298" s="42"/>
      <c r="N298" s="42"/>
      <c r="O298" s="42"/>
      <c r="P298" s="42"/>
      <c r="Q298" s="42"/>
      <c r="R298" s="44"/>
    </row>
    <row r="299">
      <c r="A299" s="45"/>
      <c r="B299" s="46">
        <v>298.0</v>
      </c>
      <c r="C299" s="46" t="str">
        <f>'Teams &amp; Draft Order'!$C$15</f>
        <v>Daddy's Dogs</v>
      </c>
      <c r="D299" s="47"/>
      <c r="E299" s="48" t="str">
        <f>IFERROR(VLOOKUP($D299,PlayerDB!$F$2:$G313,2,FALSE),"")</f>
        <v/>
      </c>
      <c r="F299" s="48" t="str">
        <f>IFERROR(VLOOKUP($D299,PlayerDB!$F$2:$H313,3,FALSE),"")</f>
        <v/>
      </c>
      <c r="G299" s="49" t="str">
        <f>IFERROR(VLOOKUP($D299,PlayerDB!$F$2:$I313,4,FALSE),"")</f>
        <v/>
      </c>
      <c r="H299" s="38"/>
      <c r="I299" s="50" t="str">
        <f>IFERROR(__xludf.DUMMYFUNCTION("JOIN("" | "",'Team Stats'!C$11:H$11)"),"0 | 0 | 0 | 0 | 0 | 0")</f>
        <v>0 | 0 | 0 | 0 | 0 | 0</v>
      </c>
      <c r="J299" s="78" t="str">
        <f>IFERROR(__xludf.DUMMYFUNCTION("JOIN("" | "",'Team Stats'!I$11:K$11)"),"0 | 0 | 0")</f>
        <v>0 | 0 | 0</v>
      </c>
      <c r="K299" s="32"/>
      <c r="L299" s="42"/>
      <c r="M299" s="42"/>
      <c r="N299" s="42"/>
      <c r="O299" s="42"/>
      <c r="P299" s="42"/>
      <c r="Q299" s="42"/>
      <c r="R299" s="44"/>
    </row>
    <row r="300">
      <c r="A300" s="33"/>
      <c r="B300" s="34">
        <v>299.0</v>
      </c>
      <c r="C300" s="34" t="str">
        <f>'Teams &amp; Draft Order'!$C$16</f>
        <v>TDs and Beers</v>
      </c>
      <c r="D300" s="35"/>
      <c r="E300" s="36" t="str">
        <f>IFERROR(VLOOKUP($D300,PlayerDB!$F$2:$G313,2,FALSE),"")</f>
        <v/>
      </c>
      <c r="F300" s="36" t="str">
        <f>IFERROR(VLOOKUP($D300,PlayerDB!$F$2:$H313,3,FALSE),"")</f>
        <v/>
      </c>
      <c r="G300" s="37" t="str">
        <f>IFERROR(VLOOKUP($D300,PlayerDB!$F$2:$I313,4,FALSE),"")</f>
        <v/>
      </c>
      <c r="H300" s="38"/>
      <c r="I300" s="39" t="str">
        <f>IFERROR(__xludf.DUMMYFUNCTION("JOIN("" | "",'Team Stats'!C$12:H$12)"),"0 | 0 | 0 | 0 | 0 | 0")</f>
        <v>0 | 0 | 0 | 0 | 0 | 0</v>
      </c>
      <c r="J300" s="79" t="str">
        <f>IFERROR(__xludf.DUMMYFUNCTION("JOIN("" | "",'Team Stats'!I$12:K$12)"),"0 | 0 | 0")</f>
        <v>0 | 0 | 0</v>
      </c>
      <c r="K300" s="32"/>
      <c r="L300" s="42"/>
      <c r="M300" s="42"/>
      <c r="N300" s="42"/>
      <c r="O300" s="42"/>
      <c r="P300" s="42"/>
      <c r="Q300" s="42"/>
      <c r="R300" s="44"/>
    </row>
    <row r="301">
      <c r="A301" s="45"/>
      <c r="B301" s="55">
        <v>300.0</v>
      </c>
      <c r="C301" s="46" t="str">
        <f>'Teams &amp; Draft Order'!$C$17</f>
        <v>DD Riders</v>
      </c>
      <c r="D301" s="47"/>
      <c r="E301" s="57" t="str">
        <f>IFERROR(VLOOKUP($D301,PlayerDB!$F$2:$G313,2,FALSE),"")</f>
        <v/>
      </c>
      <c r="F301" s="57" t="str">
        <f>IFERROR(VLOOKUP($D301,PlayerDB!$F$2:$H313,3,FALSE),"")</f>
        <v/>
      </c>
      <c r="G301" s="58" t="str">
        <f>IFERROR(VLOOKUP($D301,PlayerDB!$F$2:$I313,4,FALSE),"")</f>
        <v/>
      </c>
      <c r="H301" s="59"/>
      <c r="I301" s="50" t="str">
        <f>IFERROR(__xludf.DUMMYFUNCTION("JOIN("" | "",'Team Stats'!C$13:H$13)"),"0 | 0 | 0 | 0 | 0 | 0")</f>
        <v>0 | 0 | 0 | 0 | 0 | 0</v>
      </c>
      <c r="J301" s="78" t="str">
        <f>IFERROR(__xludf.DUMMYFUNCTION("JOIN("" | "",'Team Stats'!I$13:K$13)"),"0 | 0 | 0")</f>
        <v>0 | 0 | 0</v>
      </c>
      <c r="K301" s="32"/>
      <c r="L301" s="42"/>
      <c r="M301" s="42"/>
      <c r="N301" s="42"/>
      <c r="O301" s="42"/>
      <c r="P301" s="42"/>
      <c r="Q301" s="42"/>
      <c r="R301" s="44"/>
    </row>
    <row r="302">
      <c r="A302" s="72" t="s">
        <v>110</v>
      </c>
      <c r="B302" s="34">
        <v>301.0</v>
      </c>
      <c r="C302" s="73" t="str">
        <f>'Teams &amp; Draft Order'!$C$17</f>
        <v>DD Riders</v>
      </c>
      <c r="D302" s="74"/>
      <c r="E302" s="36" t="str">
        <f>IFERROR(VLOOKUP($D302,PlayerDB!$F$2:$G313,2,FALSE),"")</f>
        <v/>
      </c>
      <c r="F302" s="36" t="str">
        <f>IFERROR(VLOOKUP($D302,PlayerDB!$F$2:$H313,3,FALSE),"")</f>
        <v/>
      </c>
      <c r="G302" s="37" t="str">
        <f>IFERROR(VLOOKUP($D302,PlayerDB!$F$2:$I313,4,FALSE),"")</f>
        <v/>
      </c>
      <c r="H302" s="38"/>
      <c r="I302" s="76" t="str">
        <f>IFERROR(__xludf.DUMMYFUNCTION("JOIN("" | "",'Team Stats'!C$13:H$13)"),"0 | 0 | 0 | 0 | 0 | 0")</f>
        <v>0 | 0 | 0 | 0 | 0 | 0</v>
      </c>
      <c r="J302" s="77" t="str">
        <f>IFERROR(__xludf.DUMMYFUNCTION("JOIN("" | "",'Team Stats'!I$13:K$13)"),"0 | 0 | 0")</f>
        <v>0 | 0 | 0</v>
      </c>
      <c r="K302" s="32"/>
      <c r="L302" s="42"/>
      <c r="M302" s="42"/>
      <c r="N302" s="42"/>
      <c r="O302" s="42"/>
      <c r="P302" s="42"/>
      <c r="Q302" s="42"/>
      <c r="R302" s="44"/>
    </row>
    <row r="303">
      <c r="A303" s="82"/>
      <c r="B303" s="46">
        <v>302.0</v>
      </c>
      <c r="C303" s="46" t="str">
        <f>'Teams &amp; Draft Order'!$C$16</f>
        <v>TDs and Beers</v>
      </c>
      <c r="D303" s="47"/>
      <c r="E303" s="48" t="str">
        <f>IFERROR(VLOOKUP($D303,PlayerDB!$F$2:$G313,2,FALSE),"")</f>
        <v/>
      </c>
      <c r="F303" s="48" t="str">
        <f>IFERROR(VLOOKUP($D303,PlayerDB!$F$2:$H313,3,FALSE),"")</f>
        <v/>
      </c>
      <c r="G303" s="49" t="str">
        <f>IFERROR(VLOOKUP($D303,PlayerDB!$F$2:$I313,4,FALSE),"")</f>
        <v/>
      </c>
      <c r="H303" s="38"/>
      <c r="I303" s="50" t="str">
        <f>IFERROR(__xludf.DUMMYFUNCTION("JOIN("" | "",'Team Stats'!C$12:H$12)"),"0 | 0 | 0 | 0 | 0 | 0")</f>
        <v>0 | 0 | 0 | 0 | 0 | 0</v>
      </c>
      <c r="J303" s="78" t="str">
        <f>IFERROR(__xludf.DUMMYFUNCTION("JOIN("" | "",'Team Stats'!I$12:K$12)"),"0 | 0 | 0")</f>
        <v>0 | 0 | 0</v>
      </c>
      <c r="K303" s="32"/>
      <c r="L303" s="42"/>
      <c r="M303" s="42"/>
      <c r="N303" s="42"/>
      <c r="O303" s="42"/>
      <c r="P303" s="42"/>
      <c r="Q303" s="42"/>
      <c r="R303" s="44"/>
    </row>
    <row r="304">
      <c r="A304" s="83"/>
      <c r="B304" s="34">
        <v>303.0</v>
      </c>
      <c r="C304" s="34" t="str">
        <f>'Teams &amp; Draft Order'!$C$15</f>
        <v>Daddy's Dogs</v>
      </c>
      <c r="D304" s="35"/>
      <c r="E304" s="36" t="str">
        <f>IFERROR(VLOOKUP($D304,PlayerDB!$F$2:$G313,2,FALSE),"")</f>
        <v/>
      </c>
      <c r="F304" s="36" t="str">
        <f>IFERROR(VLOOKUP($D304,PlayerDB!$F$2:$H313,3,FALSE),"")</f>
        <v/>
      </c>
      <c r="G304" s="37" t="str">
        <f>IFERROR(VLOOKUP($D304,PlayerDB!$F$2:$I313,4,FALSE),"")</f>
        <v/>
      </c>
      <c r="H304" s="38"/>
      <c r="I304" s="39" t="str">
        <f>IFERROR(__xludf.DUMMYFUNCTION("JOIN("" | "",'Team Stats'!C$11:H$11)"),"0 | 0 | 0 | 0 | 0 | 0")</f>
        <v>0 | 0 | 0 | 0 | 0 | 0</v>
      </c>
      <c r="J304" s="79" t="str">
        <f>IFERROR(__xludf.DUMMYFUNCTION("JOIN("" | "",'Team Stats'!I$11:K$11)"),"0 | 0 | 0")</f>
        <v>0 | 0 | 0</v>
      </c>
      <c r="K304" s="32"/>
      <c r="L304" s="42"/>
      <c r="M304" s="42"/>
      <c r="N304" s="42"/>
      <c r="O304" s="42"/>
      <c r="P304" s="42"/>
      <c r="Q304" s="42"/>
      <c r="R304" s="44"/>
    </row>
    <row r="305">
      <c r="A305" s="82"/>
      <c r="B305" s="46">
        <v>304.0</v>
      </c>
      <c r="C305" s="46" t="str">
        <f>'Teams &amp; Draft Order'!$C$14</f>
        <v>Achaians</v>
      </c>
      <c r="D305" s="47"/>
      <c r="E305" s="48" t="str">
        <f>IFERROR(VLOOKUP($D305,PlayerDB!$F$2:$G313,2,FALSE),"")</f>
        <v/>
      </c>
      <c r="F305" s="48" t="str">
        <f>IFERROR(VLOOKUP($D305,PlayerDB!$F$2:$H313,3,FALSE),"")</f>
        <v/>
      </c>
      <c r="G305" s="49" t="str">
        <f>IFERROR(VLOOKUP($D305,PlayerDB!$F$2:$I313,4,FALSE),"")</f>
        <v/>
      </c>
      <c r="H305" s="38"/>
      <c r="I305" s="50" t="str">
        <f>IFERROR(__xludf.DUMMYFUNCTION("JOIN("" | "",'Team Stats'!C$10:H$10)"),"0 | 0 | 0 | 0 | 0 | 0")</f>
        <v>0 | 0 | 0 | 0 | 0 | 0</v>
      </c>
      <c r="J305" s="78" t="str">
        <f>IFERROR(__xludf.DUMMYFUNCTION("JOIN("" | "",'Team Stats'!I$10:K$10)"),"0 | 0 | 0")</f>
        <v>0 | 0 | 0</v>
      </c>
      <c r="K305" s="32"/>
      <c r="L305" s="42"/>
      <c r="M305" s="42"/>
      <c r="N305" s="42"/>
      <c r="O305" s="42"/>
      <c r="P305" s="42"/>
      <c r="Q305" s="42"/>
      <c r="R305" s="44"/>
    </row>
    <row r="306">
      <c r="A306" s="83"/>
      <c r="B306" s="34">
        <v>305.0</v>
      </c>
      <c r="C306" s="34" t="str">
        <f>'Teams &amp; Draft Order'!$C$13</f>
        <v>Luddite</v>
      </c>
      <c r="D306" s="35"/>
      <c r="E306" s="36" t="str">
        <f>IFERROR(VLOOKUP($D306,PlayerDB!$F$2:$G313,2,FALSE),"")</f>
        <v/>
      </c>
      <c r="F306" s="36" t="str">
        <f>IFERROR(VLOOKUP($D306,PlayerDB!$F$2:$H313,3,FALSE),"")</f>
        <v/>
      </c>
      <c r="G306" s="37" t="str">
        <f>IFERROR(VLOOKUP($D306,PlayerDB!$F$2:$I313,4,FALSE),"")</f>
        <v/>
      </c>
      <c r="H306" s="38"/>
      <c r="I306" s="39" t="str">
        <f>IFERROR(__xludf.DUMMYFUNCTION("JOIN("" | "",'Team Stats'!C$9:H$9)"),"0 | 0 | 0 | 0 | 0 | 0")</f>
        <v>0 | 0 | 0 | 0 | 0 | 0</v>
      </c>
      <c r="J306" s="79" t="str">
        <f>IFERROR(__xludf.DUMMYFUNCTION("JOIN("" | "",'Team Stats'!I$9:K$9)"),"0 | 0 | 0")</f>
        <v>0 | 0 | 0</v>
      </c>
      <c r="K306" s="32"/>
      <c r="L306" s="42"/>
      <c r="M306" s="42"/>
      <c r="N306" s="42"/>
      <c r="O306" s="42"/>
      <c r="P306" s="42"/>
      <c r="Q306" s="42"/>
      <c r="R306" s="44"/>
    </row>
    <row r="307">
      <c r="A307" s="82"/>
      <c r="B307" s="46">
        <v>306.0</v>
      </c>
      <c r="C307" s="46" t="str">
        <f>'Teams &amp; Draft Order'!$C$12</f>
        <v>Turbo-Ginz</v>
      </c>
      <c r="D307" s="47"/>
      <c r="E307" s="48" t="str">
        <f>IFERROR(VLOOKUP($D307,PlayerDB!$F$2:$G313,2,FALSE),"")</f>
        <v/>
      </c>
      <c r="F307" s="48" t="str">
        <f>IFERROR(VLOOKUP($D307,PlayerDB!$F$2:$H313,3,FALSE),"")</f>
        <v/>
      </c>
      <c r="G307" s="49" t="str">
        <f>IFERROR(VLOOKUP($D307,PlayerDB!$F$2:$I313,4,FALSE),"")</f>
        <v/>
      </c>
      <c r="H307" s="38"/>
      <c r="I307" s="50" t="str">
        <f>IFERROR(__xludf.DUMMYFUNCTION("JOIN("" | "",'Team Stats'!C$8:H$8)"),"0 | 0 | 0 | 0 | 0 | 0")</f>
        <v>0 | 0 | 0 | 0 | 0 | 0</v>
      </c>
      <c r="J307" s="78" t="str">
        <f>IFERROR(__xludf.DUMMYFUNCTION("JOIN("" | "",'Team Stats'!I$8:K$8)"),"0 | 0 | 0")</f>
        <v>0 | 0 | 0</v>
      </c>
      <c r="K307" s="32"/>
      <c r="L307" s="42"/>
      <c r="M307" s="42"/>
      <c r="N307" s="42"/>
      <c r="O307" s="42"/>
      <c r="P307" s="42"/>
      <c r="Q307" s="42"/>
      <c r="R307" s="44"/>
    </row>
    <row r="308">
      <c r="A308" s="83"/>
      <c r="B308" s="34">
        <v>307.0</v>
      </c>
      <c r="C308" s="34" t="str">
        <f>'Teams &amp; Draft Order'!$C$11</f>
        <v>Big Boys Big Work</v>
      </c>
      <c r="D308" s="35"/>
      <c r="E308" s="36" t="str">
        <f>IFERROR(VLOOKUP($D308,PlayerDB!$F$2:$G313,2,FALSE),"")</f>
        <v/>
      </c>
      <c r="F308" s="36" t="str">
        <f>IFERROR(VLOOKUP($D308,PlayerDB!$F$2:$H313,3,FALSE),"")</f>
        <v/>
      </c>
      <c r="G308" s="37" t="str">
        <f>IFERROR(VLOOKUP($D308,PlayerDB!$F$2:$I313,4,FALSE),"")</f>
        <v/>
      </c>
      <c r="H308" s="38"/>
      <c r="I308" s="39" t="str">
        <f>IFERROR(__xludf.DUMMYFUNCTION("JOIN("" | "",'Team Stats'!C$7:H$7)"),"0 | 0 | 0 | 0 | 0 | 0")</f>
        <v>0 | 0 | 0 | 0 | 0 | 0</v>
      </c>
      <c r="J308" s="79" t="str">
        <f>IFERROR(__xludf.DUMMYFUNCTION("JOIN("" | "",'Team Stats'!I$7:K$7)"),"0 | 0 | 0")</f>
        <v>0 | 0 | 0</v>
      </c>
      <c r="K308" s="32"/>
      <c r="L308" s="42"/>
      <c r="M308" s="42"/>
      <c r="N308" s="42"/>
      <c r="O308" s="42"/>
      <c r="P308" s="42"/>
      <c r="Q308" s="42"/>
      <c r="R308" s="44"/>
    </row>
    <row r="309">
      <c r="A309" s="82"/>
      <c r="B309" s="46">
        <v>308.0</v>
      </c>
      <c r="C309" s="46" t="str">
        <f>'Teams &amp; Draft Order'!$C$10</f>
        <v>Buttheads</v>
      </c>
      <c r="D309" s="47"/>
      <c r="E309" s="48" t="str">
        <f>IFERROR(VLOOKUP($D309,PlayerDB!$F$2:$G313,2,FALSE),"")</f>
        <v/>
      </c>
      <c r="F309" s="48" t="str">
        <f>IFERROR(VLOOKUP($D309,PlayerDB!$F$2:$H313,3,FALSE),"")</f>
        <v/>
      </c>
      <c r="G309" s="49" t="str">
        <f>IFERROR(VLOOKUP($D309,PlayerDB!$F$2:$I313,4,FALSE),"")</f>
        <v/>
      </c>
      <c r="H309" s="38"/>
      <c r="I309" s="50" t="str">
        <f>IFERROR(__xludf.DUMMYFUNCTION("JOIN("" | "",'Team Stats'!C$6:H$6)"),"0 | 0 | 0 | 0 | 0 | 0")</f>
        <v>0 | 0 | 0 | 0 | 0 | 0</v>
      </c>
      <c r="J309" s="78" t="str">
        <f>IFERROR(__xludf.DUMMYFUNCTION("JOIN("" | "",'Team Stats'!I$6:K$6)"),"0 | 0 | 0")</f>
        <v>0 | 0 | 0</v>
      </c>
      <c r="K309" s="32"/>
      <c r="L309" s="42"/>
      <c r="M309" s="42"/>
      <c r="N309" s="42"/>
      <c r="O309" s="42"/>
      <c r="P309" s="42"/>
      <c r="Q309" s="42"/>
      <c r="R309" s="44"/>
    </row>
    <row r="310">
      <c r="A310" s="83"/>
      <c r="B310" s="34">
        <v>309.0</v>
      </c>
      <c r="C310" s="34" t="str">
        <f>'Teams &amp; Draft Order'!$C$9</f>
        <v>El Nino</v>
      </c>
      <c r="D310" s="35"/>
      <c r="E310" s="36" t="str">
        <f>IFERROR(VLOOKUP($D310,PlayerDB!$F$2:$G313,2,FALSE),"")</f>
        <v/>
      </c>
      <c r="F310" s="36" t="str">
        <f>IFERROR(VLOOKUP($D310,PlayerDB!$F$2:$H313,3,FALSE),"")</f>
        <v/>
      </c>
      <c r="G310" s="37" t="str">
        <f>IFERROR(VLOOKUP($D310,PlayerDB!$F$2:$I313,4,FALSE),"")</f>
        <v/>
      </c>
      <c r="H310" s="38"/>
      <c r="I310" s="39" t="str">
        <f>IFERROR(__xludf.DUMMYFUNCTION("JOIN("" | "",'Team Stats'!C$5:H$5)"),"0 | 0 | 0 | 0 | 0 | 0")</f>
        <v>0 | 0 | 0 | 0 | 0 | 0</v>
      </c>
      <c r="J310" s="79" t="str">
        <f>IFERROR(__xludf.DUMMYFUNCTION("JOIN("" | "",'Team Stats'!I$5:K$5)"),"0 | 0 | 0")</f>
        <v>0 | 0 | 0</v>
      </c>
      <c r="K310" s="32"/>
      <c r="L310" s="42"/>
      <c r="M310" s="42"/>
      <c r="N310" s="42"/>
      <c r="O310" s="42"/>
      <c r="P310" s="42"/>
      <c r="Q310" s="42"/>
      <c r="R310" s="44"/>
    </row>
    <row r="311">
      <c r="A311" s="82"/>
      <c r="B311" s="46">
        <v>310.0</v>
      </c>
      <c r="C311" s="46" t="str">
        <f>'Teams &amp; Draft Order'!$C$8</f>
        <v>Icelanders</v>
      </c>
      <c r="D311" s="47"/>
      <c r="E311" s="48" t="str">
        <f>IFERROR(VLOOKUP($D311,PlayerDB!$F$2:$G313,2,FALSE),"")</f>
        <v/>
      </c>
      <c r="F311" s="48" t="str">
        <f>IFERROR(VLOOKUP($D311,PlayerDB!$F$2:$H313,3,FALSE),"")</f>
        <v/>
      </c>
      <c r="G311" s="49" t="str">
        <f>IFERROR(VLOOKUP($D311,PlayerDB!$F$2:$I313,4,FALSE),"")</f>
        <v/>
      </c>
      <c r="H311" s="38"/>
      <c r="I311" s="50" t="str">
        <f>IFERROR(__xludf.DUMMYFUNCTION("JOIN("" | "",'Team Stats'!C$4:H$4)"),"0 | 0 | 0 | 0 | 0 | 0")</f>
        <v>0 | 0 | 0 | 0 | 0 | 0</v>
      </c>
      <c r="J311" s="78" t="str">
        <f>IFERROR(__xludf.DUMMYFUNCTION("JOIN("" | "",'Team Stats'!I$4:K$4)"),"0 | 0 | 0")</f>
        <v>0 | 0 | 0</v>
      </c>
      <c r="K311" s="32"/>
      <c r="L311" s="42"/>
      <c r="M311" s="42"/>
      <c r="N311" s="42"/>
      <c r="O311" s="42"/>
      <c r="P311" s="42"/>
      <c r="Q311" s="42"/>
      <c r="R311" s="44"/>
    </row>
    <row r="312">
      <c r="A312" s="83"/>
      <c r="B312" s="34">
        <v>311.0</v>
      </c>
      <c r="C312" s="34" t="str">
        <f>'Teams &amp; Draft Order'!$C$7</f>
        <v>Phantasm</v>
      </c>
      <c r="D312" s="35"/>
      <c r="E312" s="36" t="str">
        <f>IFERROR(VLOOKUP($D312,PlayerDB!$F$2:$G313,2,FALSE),"")</f>
        <v/>
      </c>
      <c r="F312" s="36" t="str">
        <f>IFERROR(VLOOKUP($D312,PlayerDB!$F$2:$H313,3,FALSE),"")</f>
        <v/>
      </c>
      <c r="G312" s="37" t="str">
        <f>IFERROR(VLOOKUP($D312,PlayerDB!$F$2:$I313,4,FALSE),"")</f>
        <v/>
      </c>
      <c r="H312" s="38"/>
      <c r="I312" s="39" t="str">
        <f>IFERROR(__xludf.DUMMYFUNCTION("JOIN("" | "",'Team Stats'!C$3:H$3)"),"0 | 0 | 0 | 0 | 0 | 0")</f>
        <v>0 | 0 | 0 | 0 | 0 | 0</v>
      </c>
      <c r="J312" s="79" t="str">
        <f>IFERROR(__xludf.DUMMYFUNCTION("JOIN("" | "",'Team Stats'!I$3:K$3)"),"0 | 0 | 0")</f>
        <v>0 | 0 | 0</v>
      </c>
      <c r="K312" s="32"/>
      <c r="L312" s="42"/>
      <c r="M312" s="42"/>
      <c r="N312" s="42"/>
      <c r="O312" s="42"/>
      <c r="P312" s="42"/>
      <c r="Q312" s="42"/>
      <c r="R312" s="44"/>
    </row>
    <row r="313">
      <c r="A313" s="84"/>
      <c r="B313" s="46">
        <v>312.0</v>
      </c>
      <c r="C313" s="55" t="str">
        <f>'Teams &amp; Draft Order'!$C$6</f>
        <v>Sleeper Cell </v>
      </c>
      <c r="D313" s="56"/>
      <c r="E313" s="57" t="str">
        <f>IFERROR(VLOOKUP($D313,PlayerDB!$F$2:$G313,2,FALSE),"")</f>
        <v/>
      </c>
      <c r="F313" s="57" t="str">
        <f>IFERROR(VLOOKUP($D313,PlayerDB!$F$2:$H313,3,FALSE),"")</f>
        <v/>
      </c>
      <c r="G313" s="58" t="str">
        <f>IFERROR(VLOOKUP($D313,PlayerDB!$F$2:$I313,4,FALSE),"")</f>
        <v/>
      </c>
      <c r="H313" s="59"/>
      <c r="I313" s="60" t="str">
        <f>IFERROR(__xludf.DUMMYFUNCTION("JOIN("" | "",'Team Stats'!C$2:H$2)"),"1 | 0 | 0 | 0 | 0 | 0")</f>
        <v>1 | 0 | 0 | 0 | 0 | 0</v>
      </c>
      <c r="J313" s="80" t="str">
        <f>IFERROR(__xludf.DUMMYFUNCTION("JOIN("" | "",'Team Stats'!I$2:K$2)"),"0 | 0 | 0")</f>
        <v>0 | 0 | 0</v>
      </c>
      <c r="K313" s="32"/>
      <c r="L313" s="42"/>
      <c r="M313" s="42"/>
      <c r="N313" s="42"/>
      <c r="O313" s="42"/>
      <c r="P313" s="42"/>
      <c r="Q313" s="42"/>
      <c r="R313" s="44"/>
    </row>
  </sheetData>
  <autoFilter ref="$B$1:$G$313"/>
  <mergeCells count="4">
    <mergeCell ref="L1:Q1"/>
    <mergeCell ref="K2:K241"/>
    <mergeCell ref="L2:N2"/>
    <mergeCell ref="R2:R241"/>
  </mergeCells>
  <conditionalFormatting sqref="A1:R313">
    <cfRule type="cellIs" dxfId="7" priority="1" operator="equal">
      <formula>"FA"</formula>
    </cfRule>
  </conditionalFormatting>
  <conditionalFormatting sqref="A1:R313">
    <cfRule type="cellIs" dxfId="8" priority="2" operator="equal">
      <formula>"ARI"</formula>
    </cfRule>
  </conditionalFormatting>
  <conditionalFormatting sqref="A1:R313">
    <cfRule type="cellIs" dxfId="9" priority="3" operator="equal">
      <formula>"ATL"</formula>
    </cfRule>
  </conditionalFormatting>
  <conditionalFormatting sqref="A1:R313">
    <cfRule type="cellIs" dxfId="10" priority="4" operator="equal">
      <formula>"BAL"</formula>
    </cfRule>
  </conditionalFormatting>
  <conditionalFormatting sqref="A1:R313">
    <cfRule type="cellIs" dxfId="11" priority="5" operator="equal">
      <formula>"BUF"</formula>
    </cfRule>
  </conditionalFormatting>
  <conditionalFormatting sqref="A1:R313">
    <cfRule type="cellIs" dxfId="12" priority="6" operator="equal">
      <formula>"CAR"</formula>
    </cfRule>
  </conditionalFormatting>
  <conditionalFormatting sqref="A1:R313">
    <cfRule type="cellIs" dxfId="13" priority="7" operator="equal">
      <formula>"CHI"</formula>
    </cfRule>
  </conditionalFormatting>
  <conditionalFormatting sqref="A1:R313">
    <cfRule type="cellIs" dxfId="14" priority="8" operator="equal">
      <formula>"CIN"</formula>
    </cfRule>
  </conditionalFormatting>
  <conditionalFormatting sqref="A1:R313">
    <cfRule type="cellIs" dxfId="15" priority="9" operator="equal">
      <formula>"CLE"</formula>
    </cfRule>
  </conditionalFormatting>
  <conditionalFormatting sqref="A1:R313">
    <cfRule type="cellIs" dxfId="16" priority="10" operator="equal">
      <formula>"DAL"</formula>
    </cfRule>
  </conditionalFormatting>
  <conditionalFormatting sqref="A1:R313">
    <cfRule type="cellIs" dxfId="17" priority="11" operator="equal">
      <formula>"DEN"</formula>
    </cfRule>
  </conditionalFormatting>
  <conditionalFormatting sqref="A1:R313">
    <cfRule type="cellIs" dxfId="18" priority="12" operator="equal">
      <formula>"DET"</formula>
    </cfRule>
  </conditionalFormatting>
  <conditionalFormatting sqref="A1:R313">
    <cfRule type="cellIs" dxfId="19" priority="13" operator="equal">
      <formula>"GBP"</formula>
    </cfRule>
  </conditionalFormatting>
  <conditionalFormatting sqref="A1:R313">
    <cfRule type="cellIs" dxfId="20" priority="14" operator="equal">
      <formula>"HOU"</formula>
    </cfRule>
  </conditionalFormatting>
  <conditionalFormatting sqref="A1:R313">
    <cfRule type="cellIs" dxfId="21" priority="15" operator="equal">
      <formula>"IND"</formula>
    </cfRule>
  </conditionalFormatting>
  <conditionalFormatting sqref="A1:R313">
    <cfRule type="cellIs" dxfId="22" priority="16" operator="equal">
      <formula>"JAC"</formula>
    </cfRule>
  </conditionalFormatting>
  <conditionalFormatting sqref="A1:R313">
    <cfRule type="cellIs" dxfId="23" priority="17" operator="equal">
      <formula>"KCC"</formula>
    </cfRule>
  </conditionalFormatting>
  <conditionalFormatting sqref="A1:R313">
    <cfRule type="cellIs" dxfId="24" priority="18" operator="equal">
      <formula>"LAC"</formula>
    </cfRule>
  </conditionalFormatting>
  <conditionalFormatting sqref="A1:R313">
    <cfRule type="cellIs" dxfId="25" priority="19" operator="equal">
      <formula>"LAR"</formula>
    </cfRule>
  </conditionalFormatting>
  <conditionalFormatting sqref="A1:R313">
    <cfRule type="cellIs" dxfId="26" priority="20" operator="equal">
      <formula>"MIA"</formula>
    </cfRule>
  </conditionalFormatting>
  <conditionalFormatting sqref="A1:R313">
    <cfRule type="cellIs" dxfId="27" priority="21" operator="equal">
      <formula>"MIN"</formula>
    </cfRule>
  </conditionalFormatting>
  <conditionalFormatting sqref="A1:R313">
    <cfRule type="cellIs" dxfId="28" priority="22" operator="equal">
      <formula>"NEP"</formula>
    </cfRule>
  </conditionalFormatting>
  <conditionalFormatting sqref="A1:R313">
    <cfRule type="cellIs" dxfId="29" priority="23" operator="equal">
      <formula>"NOS"</formula>
    </cfRule>
  </conditionalFormatting>
  <conditionalFormatting sqref="A1:R313">
    <cfRule type="cellIs" dxfId="30" priority="24" operator="equal">
      <formula>"NYG"</formula>
    </cfRule>
  </conditionalFormatting>
  <conditionalFormatting sqref="A1:R313">
    <cfRule type="cellIs" dxfId="31" priority="25" operator="equal">
      <formula>"NYJ"</formula>
    </cfRule>
  </conditionalFormatting>
  <conditionalFormatting sqref="A1:R313">
    <cfRule type="cellIs" dxfId="32" priority="26" operator="equal">
      <formula>"LVR"</formula>
    </cfRule>
  </conditionalFormatting>
  <conditionalFormatting sqref="A1:R313">
    <cfRule type="cellIs" dxfId="33" priority="27" operator="equal">
      <formula>"PHI"</formula>
    </cfRule>
  </conditionalFormatting>
  <conditionalFormatting sqref="A1:R313">
    <cfRule type="cellIs" dxfId="34" priority="28" operator="equal">
      <formula>"PIT"</formula>
    </cfRule>
  </conditionalFormatting>
  <conditionalFormatting sqref="A1:R313">
    <cfRule type="cellIs" dxfId="35" priority="29" operator="equal">
      <formula>"SFO"</formula>
    </cfRule>
  </conditionalFormatting>
  <conditionalFormatting sqref="A1:R313">
    <cfRule type="cellIs" dxfId="36" priority="30" operator="equal">
      <formula>"SEA"</formula>
    </cfRule>
  </conditionalFormatting>
  <conditionalFormatting sqref="A1:R313">
    <cfRule type="cellIs" dxfId="37" priority="31" operator="equal">
      <formula>"TBB"</formula>
    </cfRule>
  </conditionalFormatting>
  <conditionalFormatting sqref="A1:R313">
    <cfRule type="cellIs" dxfId="38" priority="32" operator="equal">
      <formula>"TEN"</formula>
    </cfRule>
  </conditionalFormatting>
  <conditionalFormatting sqref="A1:R313">
    <cfRule type="cellIs" dxfId="39" priority="33" operator="equal">
      <formula>"WAS"</formula>
    </cfRule>
  </conditionalFormatting>
  <conditionalFormatting sqref="A1:R313">
    <cfRule type="cellIs" dxfId="40" priority="34" operator="equal">
      <formula>"QB"</formula>
    </cfRule>
  </conditionalFormatting>
  <conditionalFormatting sqref="A1:R313">
    <cfRule type="cellIs" dxfId="41" priority="35" operator="equal">
      <formula>"WR"</formula>
    </cfRule>
  </conditionalFormatting>
  <conditionalFormatting sqref="A1:R313">
    <cfRule type="cellIs" dxfId="1" priority="36" operator="equal">
      <formula>"RB"</formula>
    </cfRule>
  </conditionalFormatting>
  <conditionalFormatting sqref="A1:R313">
    <cfRule type="cellIs" dxfId="0" priority="37" operator="equal">
      <formula>"TE"</formula>
    </cfRule>
  </conditionalFormatting>
  <conditionalFormatting sqref="E1:E313 F2:G313 N3:N22">
    <cfRule type="cellIs" dxfId="42" priority="38" operator="equal">
      <formula>"Draft"</formula>
    </cfRule>
  </conditionalFormatting>
  <conditionalFormatting sqref="A1:R313">
    <cfRule type="cellIs" dxfId="43" priority="39" operator="equal">
      <formula>"DL"</formula>
    </cfRule>
  </conditionalFormatting>
  <conditionalFormatting sqref="A1:R313">
    <cfRule type="cellIs" dxfId="44" priority="40" operator="equal">
      <formula>"LB"</formula>
    </cfRule>
  </conditionalFormatting>
  <conditionalFormatting sqref="A1:R313">
    <cfRule type="cellIs" dxfId="45" priority="41" operator="equal">
      <formula>"DB"</formula>
    </cfRule>
  </conditionalFormatting>
  <conditionalFormatting sqref="A1:R313">
    <cfRule type="cellIs" dxfId="46" priority="42" operator="equal">
      <formula>"K"</formula>
    </cfRule>
  </conditionalFormatting>
  <conditionalFormatting sqref="C1">
    <cfRule type="cellIs" dxfId="47" priority="43" operator="equal">
      <formula>"ENTER TEAMS FIRST"</formula>
    </cfRule>
  </conditionalFormatting>
  <conditionalFormatting sqref="D1">
    <cfRule type="cellIs" dxfId="3" priority="44" operator="equal">
      <formula>"SEE DRAFT ORDER TAB"</formula>
    </cfRule>
  </conditionalFormatting>
  <conditionalFormatting sqref="A1:R313">
    <cfRule type="cellIs" dxfId="48" priority="45" operator="equal">
      <formula>"D/ST"</formula>
    </cfRule>
  </conditionalFormatting>
  <conditionalFormatting sqref="G2:G313">
    <cfRule type="notContainsBlanks" dxfId="6" priority="46">
      <formula>LEN(TRIM(G2))&gt;0</formula>
    </cfRule>
  </conditionalFormatting>
  <dataValidations>
    <dataValidation type="list" allowBlank="1" sqref="D2:D313">
      <formula1>HELP_PlayersLeft!$A$2:$A313</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6.88"/>
    <col customWidth="1" min="3" max="3" width="22.25"/>
    <col customWidth="1" min="4" max="4" width="25.63"/>
    <col customWidth="1" min="5" max="5" width="7.63"/>
    <col customWidth="1" min="6" max="7" width="6.5"/>
    <col customWidth="1" min="8" max="8" width="4.5"/>
    <col customWidth="1" min="9" max="9" width="22.75"/>
    <col customWidth="1" hidden="1" min="10" max="10" width="10.63"/>
    <col customWidth="1" min="11" max="11" width="6.63"/>
    <col customWidth="1" min="12" max="12" width="20.75"/>
    <col customWidth="1" min="13" max="13" width="5.75"/>
    <col customWidth="1" min="14" max="14" width="6.5"/>
    <col customWidth="1" min="15" max="15" width="4.5"/>
    <col customWidth="1" min="16" max="16" width="20.63"/>
    <col customWidth="1" min="17" max="18" width="6.0"/>
  </cols>
  <sheetData>
    <row r="1">
      <c r="A1" s="85" t="s">
        <v>79</v>
      </c>
      <c r="B1" s="86" t="s">
        <v>80</v>
      </c>
      <c r="C1" s="86" t="str">
        <f>IF(C2="","ENTER TEAMS FIRST","Team")</f>
        <v>Team</v>
      </c>
      <c r="D1" s="86" t="str">
        <f>IF(C2="","SEE DRAFT ORDER TAB","Player")</f>
        <v>Player</v>
      </c>
      <c r="E1" s="87" t="s">
        <v>81</v>
      </c>
      <c r="F1" s="29" t="s">
        <v>82</v>
      </c>
      <c r="G1" s="29" t="s">
        <v>83</v>
      </c>
      <c r="H1" s="29"/>
      <c r="I1" s="30" t="str">
        <f>IFERROR(__xludf.DUMMYFUNCTION("JOIN("" | "",'Team Stats'!C$1:H$1)"),"QB | RB | WR | TE | K | D/ST")</f>
        <v>QB | RB | WR | TE | K | D/ST</v>
      </c>
      <c r="J1" s="31" t="str">
        <f>IFERROR(__xludf.DUMMYFUNCTION("JOIN("" | "",'Team Stats'!I$1:K$1)"),"DL | LB | DB")</f>
        <v>DL | LB | DB</v>
      </c>
      <c r="K1" s="32"/>
      <c r="L1" s="16" t="str">
        <f>"ADP (Fantasypros, "&amp; HOME!C5 &amp;")"</f>
        <v>ADP (Fantasypros, 28.08.2023)</v>
      </c>
      <c r="R1" s="16"/>
    </row>
    <row r="2">
      <c r="A2" s="88" t="s">
        <v>111</v>
      </c>
      <c r="B2" s="73">
        <v>1.0</v>
      </c>
      <c r="C2" s="73" t="str">
        <f>'Teams &amp; Draft Order'!$C$6</f>
        <v>Sleeper Cell </v>
      </c>
      <c r="D2" s="74" t="s">
        <v>112</v>
      </c>
      <c r="E2" s="89">
        <f>IFERROR(VLOOKUP($D2,PlayerDB!$F$2:$G365,2,FALSE),"")</f>
        <v>237.1</v>
      </c>
      <c r="F2" s="36" t="str">
        <f>IFERROR(VLOOKUP($D2,PlayerDB!$F$2:$H365,3,FALSE),"")</f>
        <v>QB</v>
      </c>
      <c r="G2" s="89">
        <f>IFERROR(VLOOKUP($D2,PlayerDB!$F$2:$I365,4,FALSE),"")</f>
        <v>5</v>
      </c>
      <c r="H2" s="75"/>
      <c r="I2" s="76" t="str">
        <f>IFERROR(__xludf.DUMMYFUNCTION("JOIN("" | "",'Team Stats'!C$2:H$2)"),"1 | 0 | 0 | 0 | 0 | 0")</f>
        <v>1 | 0 | 0 | 0 | 0 | 0</v>
      </c>
      <c r="J2" s="40" t="str">
        <f>IFERROR(__xludf.DUMMYFUNCTION("JOIN("" | "",'Team Stats'!I$2:K$2)"),"0 | 0 | 0")</f>
        <v>0 | 0 | 0</v>
      </c>
      <c r="K2" s="32"/>
      <c r="L2" s="41" t="s">
        <v>85</v>
      </c>
      <c r="O2" s="42"/>
      <c r="P2" s="43" t="s">
        <v>28</v>
      </c>
      <c r="Q2" s="44">
        <f>COUNTIF(F:F,"QB")</f>
        <v>1</v>
      </c>
      <c r="R2" s="44"/>
    </row>
    <row r="3">
      <c r="A3" s="90"/>
      <c r="B3" s="46">
        <v>2.0</v>
      </c>
      <c r="C3" s="46" t="s">
        <v>113</v>
      </c>
      <c r="D3" s="47" t="s">
        <v>114</v>
      </c>
      <c r="E3" s="91">
        <f>IFERROR(VLOOKUP($D3,PlayerDB!$F$2:$G365,2,FALSE),"")</f>
        <v>264</v>
      </c>
      <c r="F3" s="48" t="str">
        <f>IFERROR(VLOOKUP($D3,PlayerDB!$F$2:$H365,3,FALSE),"")</f>
        <v>RB</v>
      </c>
      <c r="G3" s="91">
        <f>IFERROR(VLOOKUP($D3,PlayerDB!$F$2:$I365,4,FALSE),"")</f>
        <v>5</v>
      </c>
      <c r="H3" s="38"/>
      <c r="I3" s="50" t="str">
        <f>IFERROR(__xludf.DUMMYFUNCTION("JOIN("" | "",'Team Stats'!C$3:H$3)"),"0 | 0 | 0 | 0 | 0 | 0")</f>
        <v>0 | 0 | 0 | 0 | 0 | 0</v>
      </c>
      <c r="J3" s="51" t="str">
        <f>IFERROR(__xludf.DUMMYFUNCTION("JOIN("" | "",'Team Stats'!I$3:K$3)"),"0 | 0 | 0")</f>
        <v>0 | 0 | 0</v>
      </c>
      <c r="L3" s="42" t="str">
        <f>IFERROR(__xludf.DUMMYFUNCTION("QUERY(HELP_PlayersLeft!A2:B365, ""select A LIMIT 20"")"),"Ja'Marr Chase – CIN")</f>
        <v>Ja'Marr Chase – CIN</v>
      </c>
      <c r="M3" s="52">
        <f>IFERROR(VLOOKUP(L3,PlayerDB!$F$2:$G365,2,FALSE),"")</f>
        <v>231.2</v>
      </c>
      <c r="N3" s="53" t="str">
        <f>IFERROR(VLOOKUP($L3,PlayerDB!$F$2:$H365,3,FALSE),"")</f>
        <v>WR</v>
      </c>
      <c r="O3" s="42"/>
      <c r="P3" s="42" t="str">
        <f>IFERROR(__xludf.DUMMYFUNCTION("QUERY(HELP_PlayersLeft!A2:B365, ""select A where B ='QB' LIMIT 20"")"),"Lamar Jackson – BAL")</f>
        <v>Lamar Jackson – BAL</v>
      </c>
      <c r="Q3" s="52">
        <f>IFERROR(VLOOKUP(P3,PlayerDB!$F$2:$G365,2,FALSE),"")</f>
        <v>378.8</v>
      </c>
    </row>
    <row r="4">
      <c r="A4" s="88"/>
      <c r="B4" s="34">
        <v>3.0</v>
      </c>
      <c r="C4" s="34" t="str">
        <f>'Teams &amp; Draft Order'!$C$8</f>
        <v>Icelanders</v>
      </c>
      <c r="D4" s="35"/>
      <c r="E4" s="89" t="str">
        <f>IFERROR(VLOOKUP($D4,PlayerDB!$F$2:$G365,2,FALSE),"")</f>
        <v/>
      </c>
      <c r="F4" s="36" t="str">
        <f>IFERROR(VLOOKUP($D4,PlayerDB!$F$2:$H365,3,FALSE),"")</f>
        <v/>
      </c>
      <c r="G4" s="89" t="str">
        <f>IFERROR(VLOOKUP($D4,PlayerDB!$F$2:$I365,4,FALSE),"")</f>
        <v/>
      </c>
      <c r="H4" s="38"/>
      <c r="I4" s="39" t="str">
        <f>IFERROR(__xludf.DUMMYFUNCTION("JOIN("" | "",'Team Stats'!C$4:H$4)"),"0 | 0 | 0 | 0 | 0 | 0")</f>
        <v>0 | 0 | 0 | 0 | 0 | 0</v>
      </c>
      <c r="J4" s="40" t="str">
        <f>IFERROR(__xludf.DUMMYFUNCTION("JOIN("" | "",'Team Stats'!I$4:K$4)"),"0 | 0 | 0")</f>
        <v>0 | 0 | 0</v>
      </c>
      <c r="L4" s="20" t="str">
        <f>IFERROR(__xludf.DUMMYFUNCTION("""COMPUTED_VALUE"""),"Lamar Jackson – BAL")</f>
        <v>Lamar Jackson – BAL</v>
      </c>
      <c r="M4" s="52">
        <f>IFERROR(VLOOKUP(L4,PlayerDB!$F$2:$G365,2,FALSE),"")</f>
        <v>378.8</v>
      </c>
      <c r="N4" s="53" t="str">
        <f>IFERROR(VLOOKUP($L4,PlayerDB!$F$2:$H365,3,FALSE),"")</f>
        <v>QB</v>
      </c>
      <c r="O4" s="42"/>
      <c r="P4" s="20" t="str">
        <f>IFERROR(__xludf.DUMMYFUNCTION("""COMPUTED_VALUE"""),"Josh Allen – BUF")</f>
        <v>Josh Allen – BUF</v>
      </c>
      <c r="Q4" s="52">
        <f>IFERROR(VLOOKUP(P4,PlayerDB!$F$2:$G365,2,FALSE),"")</f>
        <v>376.7</v>
      </c>
    </row>
    <row r="5">
      <c r="A5" s="90"/>
      <c r="B5" s="46">
        <v>4.0</v>
      </c>
      <c r="C5" s="46" t="str">
        <f>'Teams &amp; Draft Order'!$C$9</f>
        <v>El Nino</v>
      </c>
      <c r="D5" s="47"/>
      <c r="E5" s="91" t="str">
        <f>IFERROR(VLOOKUP($D5,PlayerDB!$F$2:$G365,2,FALSE),"")</f>
        <v/>
      </c>
      <c r="F5" s="48" t="str">
        <f>IFERROR(VLOOKUP($D5,PlayerDB!$F$2:$H365,3,FALSE),"")</f>
        <v/>
      </c>
      <c r="G5" s="91" t="str">
        <f>IFERROR(VLOOKUP($D5,PlayerDB!$F$2:$I365,4,FALSE),"")</f>
        <v/>
      </c>
      <c r="H5" s="38"/>
      <c r="I5" s="50" t="str">
        <f>IFERROR(__xludf.DUMMYFUNCTION("JOIN("" | "",'Team Stats'!C$5:H$5)"),"0 | 0 | 0 | 0 | 0 | 0")</f>
        <v>0 | 0 | 0 | 0 | 0 | 0</v>
      </c>
      <c r="J5" s="51" t="str">
        <f>IFERROR(__xludf.DUMMYFUNCTION("JOIN("" | "",'Team Stats'!I$5:K$5)"),"0 | 0 | 0")</f>
        <v>0 | 0 | 0</v>
      </c>
      <c r="L5" s="42" t="str">
        <f>IFERROR(__xludf.DUMMYFUNCTION("""COMPUTED_VALUE"""),"Brock Bowers – LV")</f>
        <v>Brock Bowers – LV</v>
      </c>
      <c r="M5" s="52">
        <f>IFERROR(VLOOKUP(L5,PlayerDB!$F$2:$G365,2,FALSE),"")</f>
        <v>149.7</v>
      </c>
      <c r="N5" s="53" t="str">
        <f>IFERROR(VLOOKUP($L5,PlayerDB!$F$2:$H365,3,FALSE),"")</f>
        <v>TE</v>
      </c>
      <c r="O5" s="42"/>
      <c r="P5" s="42" t="str">
        <f>IFERROR(__xludf.DUMMYFUNCTION("""COMPUTED_VALUE"""),"Jalen Hurts – PHI")</f>
        <v>Jalen Hurts – PHI</v>
      </c>
      <c r="Q5" s="52">
        <f>IFERROR(VLOOKUP(P5,PlayerDB!$F$2:$G365,2,FALSE),"")</f>
        <v>356.6</v>
      </c>
    </row>
    <row r="6">
      <c r="A6" s="88"/>
      <c r="B6" s="34">
        <v>5.0</v>
      </c>
      <c r="C6" s="34" t="str">
        <f>'Teams &amp; Draft Order'!$C$10</f>
        <v>Buttheads</v>
      </c>
      <c r="D6" s="35"/>
      <c r="E6" s="89" t="str">
        <f>IFERROR(VLOOKUP($D6,PlayerDB!$F$2:$G365,2,FALSE),"")</f>
        <v/>
      </c>
      <c r="F6" s="36" t="str">
        <f>IFERROR(VLOOKUP($D6,PlayerDB!$F$2:$H365,3,FALSE),"")</f>
        <v/>
      </c>
      <c r="G6" s="89" t="str">
        <f>IFERROR(VLOOKUP($D6,PlayerDB!$F$2:$I365,4,FALSE),"")</f>
        <v/>
      </c>
      <c r="H6" s="38"/>
      <c r="I6" s="39" t="str">
        <f>IFERROR(__xludf.DUMMYFUNCTION("JOIN("" | "",'Team Stats'!C$6:H$6)"),"0 | 0 | 0 | 0 | 0 | 0")</f>
        <v>0 | 0 | 0 | 0 | 0 | 0</v>
      </c>
      <c r="J6" s="40" t="str">
        <f>IFERROR(__xludf.DUMMYFUNCTION("JOIN("" | "",'Team Stats'!I$6:K$6)"),"0 | 0 | 0")</f>
        <v>0 | 0 | 0</v>
      </c>
      <c r="L6" s="42" t="str">
        <f>IFERROR(__xludf.DUMMYFUNCTION("""COMPUTED_VALUE"""),"Brandon Aubrey – DAL")</f>
        <v>Brandon Aubrey – DAL</v>
      </c>
      <c r="M6" s="52">
        <f>IFERROR(VLOOKUP(L6,PlayerDB!$F$2:$G365,2,FALSE),"")</f>
        <v>140</v>
      </c>
      <c r="N6" s="53" t="str">
        <f>IFERROR(VLOOKUP($L6,PlayerDB!$F$2:$H365,3,FALSE),"")</f>
        <v>K</v>
      </c>
      <c r="O6" s="42"/>
      <c r="P6" s="42" t="str">
        <f>IFERROR(__xludf.DUMMYFUNCTION("""COMPUTED_VALUE"""),"Jayden Daniels – WAS")</f>
        <v>Jayden Daniels – WAS</v>
      </c>
      <c r="Q6" s="52">
        <f>IFERROR(VLOOKUP(P6,PlayerDB!$F$2:$G365,2,FALSE),"")</f>
        <v>355.8</v>
      </c>
    </row>
    <row r="7">
      <c r="A7" s="90"/>
      <c r="B7" s="46">
        <v>6.0</v>
      </c>
      <c r="C7" s="46" t="str">
        <f>'Teams &amp; Draft Order'!$C$11</f>
        <v>Big Boys Big Work</v>
      </c>
      <c r="D7" s="47"/>
      <c r="E7" s="91" t="str">
        <f>IFERROR(VLOOKUP($D7,PlayerDB!$F$2:$G365,2,FALSE),"")</f>
        <v/>
      </c>
      <c r="F7" s="48" t="str">
        <f>IFERROR(VLOOKUP($D7,PlayerDB!$F$2:$H365,3,FALSE),"")</f>
        <v/>
      </c>
      <c r="G7" s="91" t="str">
        <f>IFERROR(VLOOKUP($D7,PlayerDB!$F$2:$I365,4,FALSE),"")</f>
        <v/>
      </c>
      <c r="H7" s="38"/>
      <c r="I7" s="50" t="str">
        <f>IFERROR(__xludf.DUMMYFUNCTION("JOIN("" | "",'Team Stats'!C$7:H$7)"),"0 | 0 | 0 | 0 | 0 | 0")</f>
        <v>0 | 0 | 0 | 0 | 0 | 0</v>
      </c>
      <c r="J7" s="51" t="str">
        <f>IFERROR(__xludf.DUMMYFUNCTION("JOIN("" | "",'Team Stats'!I$7:K$7)"),"0 | 0 | 0")</f>
        <v>0 | 0 | 0</v>
      </c>
      <c r="L7" s="42" t="str">
        <f>IFERROR(__xludf.DUMMYFUNCTION("""COMPUTED_VALUE"""),"Christian McCaffrey – SF")</f>
        <v>Christian McCaffrey – SF</v>
      </c>
      <c r="M7" s="52">
        <f>IFERROR(VLOOKUP(L7,PlayerDB!$F$2:$G365,2,FALSE),"")</f>
        <v>254</v>
      </c>
      <c r="N7" s="53" t="str">
        <f>IFERROR(VLOOKUP($L7,PlayerDB!$F$2:$H365,3,FALSE),"")</f>
        <v>RB</v>
      </c>
      <c r="O7" s="42"/>
      <c r="P7" s="42" t="str">
        <f>IFERROR(__xludf.DUMMYFUNCTION("""COMPUTED_VALUE"""),"Joe Burrow – CIN")</f>
        <v>Joe Burrow – CIN</v>
      </c>
      <c r="Q7" s="52">
        <f>IFERROR(VLOOKUP(P7,PlayerDB!$F$2:$G365,2,FALSE),"")</f>
        <v>341.6</v>
      </c>
    </row>
    <row r="8">
      <c r="A8" s="88"/>
      <c r="B8" s="34">
        <v>7.0</v>
      </c>
      <c r="C8" s="34" t="str">
        <f>'Teams &amp; Draft Order'!$C$12</f>
        <v>Turbo-Ginz</v>
      </c>
      <c r="D8" s="35"/>
      <c r="E8" s="89" t="str">
        <f>IFERROR(VLOOKUP($D8,PlayerDB!$F$2:$G365,2,FALSE),"")</f>
        <v/>
      </c>
      <c r="F8" s="36" t="str">
        <f>IFERROR(VLOOKUP($D8,PlayerDB!$F$2:$H365,3,FALSE),"")</f>
        <v/>
      </c>
      <c r="G8" s="89" t="str">
        <f>IFERROR(VLOOKUP($D8,PlayerDB!$F$2:$I365,4,FALSE),"")</f>
        <v/>
      </c>
      <c r="H8" s="38"/>
      <c r="I8" s="39" t="str">
        <f>IFERROR(__xludf.DUMMYFUNCTION("JOIN("" | "",'Team Stats'!C$8:H$8)"),"0 | 0 | 0 | 0 | 0 | 0")</f>
        <v>0 | 0 | 0 | 0 | 0 | 0</v>
      </c>
      <c r="J8" s="40" t="str">
        <f>IFERROR(__xludf.DUMMYFUNCTION("JOIN("" | "",'Team Stats'!I$8:K$8)"),"0 | 0 | 0")</f>
        <v>0 | 0 | 0</v>
      </c>
      <c r="L8" s="42" t="str">
        <f>IFERROR(__xludf.DUMMYFUNCTION("""COMPUTED_VALUE"""),"Justin Jefferson – MIN")</f>
        <v>Justin Jefferson – MIN</v>
      </c>
      <c r="M8" s="52">
        <f>IFERROR(VLOOKUP(L8,PlayerDB!$F$2:$G365,2,FALSE),"")</f>
        <v>205.2</v>
      </c>
      <c r="N8" s="53" t="str">
        <f>IFERROR(VLOOKUP($L8,PlayerDB!$F$2:$H365,3,FALSE),"")</f>
        <v>WR</v>
      </c>
      <c r="O8" s="42"/>
      <c r="P8" s="42" t="str">
        <f>IFERROR(__xludf.DUMMYFUNCTION("""COMPUTED_VALUE"""),"Patrick Mahomes – KC")</f>
        <v>Patrick Mahomes – KC</v>
      </c>
      <c r="Q8" s="52">
        <f>IFERROR(VLOOKUP(P8,PlayerDB!$F$2:$G365,2,FALSE),"")</f>
        <v>327.1</v>
      </c>
    </row>
    <row r="9">
      <c r="A9" s="90"/>
      <c r="B9" s="46">
        <v>8.0</v>
      </c>
      <c r="C9" s="46" t="str">
        <f>'Teams &amp; Draft Order'!$C$13</f>
        <v>Luddite</v>
      </c>
      <c r="D9" s="47"/>
      <c r="E9" s="91" t="str">
        <f>IFERROR(VLOOKUP($D9,PlayerDB!$F$2:$G365,2,FALSE),"")</f>
        <v/>
      </c>
      <c r="F9" s="48" t="str">
        <f>IFERROR(VLOOKUP($D9,PlayerDB!$F$2:$H365,3,FALSE),"")</f>
        <v/>
      </c>
      <c r="G9" s="91" t="str">
        <f>IFERROR(VLOOKUP($D9,PlayerDB!$F$2:$I365,4,FALSE),"")</f>
        <v/>
      </c>
      <c r="H9" s="38"/>
      <c r="I9" s="50" t="str">
        <f>IFERROR(__xludf.DUMMYFUNCTION("JOIN("" | "",'Team Stats'!C$9:H$9)"),"0 | 0 | 0 | 0 | 0 | 0")</f>
        <v>0 | 0 | 0 | 0 | 0 | 0</v>
      </c>
      <c r="J9" s="51" t="str">
        <f>IFERROR(__xludf.DUMMYFUNCTION("JOIN("" | "",'Team Stats'!I$9:K$9)"),"0 | 0 | 0")</f>
        <v>0 | 0 | 0</v>
      </c>
      <c r="L9" s="42" t="str">
        <f>IFERROR(__xludf.DUMMYFUNCTION("""COMPUTED_VALUE"""),"Josh Allen – BUF")</f>
        <v>Josh Allen – BUF</v>
      </c>
      <c r="M9" s="52">
        <f>IFERROR(VLOOKUP(L9,PlayerDB!$F$2:$G365,2,FALSE),"")</f>
        <v>376.7</v>
      </c>
      <c r="N9" s="53" t="str">
        <f>IFERROR(VLOOKUP($L9,PlayerDB!$F$2:$H365,3,FALSE),"")</f>
        <v>QB</v>
      </c>
      <c r="O9" s="42"/>
      <c r="P9" s="42" t="str">
        <f>IFERROR(__xludf.DUMMYFUNCTION("""COMPUTED_VALUE"""),"Baker Mayfield – TB")</f>
        <v>Baker Mayfield – TB</v>
      </c>
      <c r="Q9" s="52">
        <f>IFERROR(VLOOKUP(P9,PlayerDB!$F$2:$G365,2,FALSE),"")</f>
        <v>321.6</v>
      </c>
    </row>
    <row r="10">
      <c r="A10" s="88"/>
      <c r="B10" s="34">
        <v>9.0</v>
      </c>
      <c r="C10" s="34" t="str">
        <f>'Teams &amp; Draft Order'!$C$14</f>
        <v>Achaians</v>
      </c>
      <c r="D10" s="35"/>
      <c r="E10" s="89" t="str">
        <f>IFERROR(VLOOKUP($D10,PlayerDB!$F$2:$G365,2,FALSE),"")</f>
        <v/>
      </c>
      <c r="F10" s="36" t="str">
        <f>IFERROR(VLOOKUP($D10,PlayerDB!$F$2:$H365,3,FALSE),"")</f>
        <v/>
      </c>
      <c r="G10" s="89" t="str">
        <f>IFERROR(VLOOKUP($D10,PlayerDB!$F$2:$I365,4,FALSE),"")</f>
        <v/>
      </c>
      <c r="H10" s="38"/>
      <c r="I10" s="39" t="str">
        <f>IFERROR(__xludf.DUMMYFUNCTION("JOIN("" | "",'Team Stats'!C$10:H$10)"),"0 | 0 | 0 | 0 | 0 | 0")</f>
        <v>0 | 0 | 0 | 0 | 0 | 0</v>
      </c>
      <c r="J10" s="40" t="str">
        <f>IFERROR(__xludf.DUMMYFUNCTION("JOIN("" | "",'Team Stats'!I$10:K$10)"),"0 | 0 | 0")</f>
        <v>0 | 0 | 0</v>
      </c>
      <c r="L10" s="42" t="str">
        <f>IFERROR(__xludf.DUMMYFUNCTION("""COMPUTED_VALUE"""),"George Kittle – SF")</f>
        <v>George Kittle – SF</v>
      </c>
      <c r="M10" s="52">
        <f>IFERROR(VLOOKUP(L10,PlayerDB!$F$2:$G365,2,FALSE),"")</f>
        <v>147.6</v>
      </c>
      <c r="N10" s="53" t="str">
        <f>IFERROR(VLOOKUP($L10,PlayerDB!$F$2:$H365,3,FALSE),"")</f>
        <v>TE</v>
      </c>
      <c r="O10" s="42"/>
      <c r="P10" s="42" t="str">
        <f>IFERROR(__xludf.DUMMYFUNCTION("""COMPUTED_VALUE"""),"Kyler Murray – ARI")</f>
        <v>Kyler Murray – ARI</v>
      </c>
      <c r="Q10" s="52">
        <f>IFERROR(VLOOKUP(P10,PlayerDB!$F$2:$G365,2,FALSE),"")</f>
        <v>319</v>
      </c>
    </row>
    <row r="11">
      <c r="A11" s="90"/>
      <c r="B11" s="46">
        <v>10.0</v>
      </c>
      <c r="C11" s="46" t="str">
        <f>'Teams &amp; Draft Order'!$C$15</f>
        <v>Daddy's Dogs</v>
      </c>
      <c r="D11" s="47"/>
      <c r="E11" s="91" t="str">
        <f>IFERROR(VLOOKUP($D11,PlayerDB!$F$2:$G365,2,FALSE),"")</f>
        <v/>
      </c>
      <c r="F11" s="48" t="str">
        <f>IFERROR(VLOOKUP($D11,PlayerDB!$F$2:$H365,3,FALSE),"")</f>
        <v/>
      </c>
      <c r="G11" s="91" t="str">
        <f>IFERROR(VLOOKUP($D11,PlayerDB!$F$2:$I365,4,FALSE),"")</f>
        <v/>
      </c>
      <c r="H11" s="38"/>
      <c r="I11" s="50" t="str">
        <f>IFERROR(__xludf.DUMMYFUNCTION("JOIN("" | "",'Team Stats'!C$11:H$11)"),"0 | 0 | 0 | 0 | 0 | 0")</f>
        <v>0 | 0 | 0 | 0 | 0 | 0</v>
      </c>
      <c r="J11" s="51" t="str">
        <f>IFERROR(__xludf.DUMMYFUNCTION("JOIN("" | "",'Team Stats'!I$11:K$11)"),"0 | 0 | 0")</f>
        <v>0 | 0 | 0</v>
      </c>
      <c r="L11" s="42" t="str">
        <f>IFERROR(__xludf.DUMMYFUNCTION("""COMPUTED_VALUE"""),"Chase McLaughlin – TB")</f>
        <v>Chase McLaughlin – TB</v>
      </c>
      <c r="M11" s="52">
        <f>IFERROR(VLOOKUP(L11,PlayerDB!$F$2:$G365,2,FALSE),"")</f>
        <v>136</v>
      </c>
      <c r="N11" s="53" t="str">
        <f>IFERROR(VLOOKUP($L11,PlayerDB!$F$2:$H365,3,FALSE),"")</f>
        <v>K</v>
      </c>
      <c r="O11" s="42"/>
      <c r="P11" s="42" t="str">
        <f>IFERROR(__xludf.DUMMYFUNCTION("""COMPUTED_VALUE"""),"Brock Purdy – SF")</f>
        <v>Brock Purdy – SF</v>
      </c>
      <c r="Q11" s="52">
        <f>IFERROR(VLOOKUP(P11,PlayerDB!$F$2:$G365,2,FALSE),"")</f>
        <v>309.6</v>
      </c>
    </row>
    <row r="12">
      <c r="A12" s="88"/>
      <c r="B12" s="34">
        <v>11.0</v>
      </c>
      <c r="C12" s="34" t="str">
        <f>'Teams &amp; Draft Order'!$C$16</f>
        <v>TDs and Beers</v>
      </c>
      <c r="D12" s="35"/>
      <c r="E12" s="89" t="str">
        <f>IFERROR(VLOOKUP($D12,PlayerDB!$F$2:$G365,2,FALSE),"")</f>
        <v/>
      </c>
      <c r="F12" s="36" t="str">
        <f>IFERROR(VLOOKUP($D12,PlayerDB!$F$2:$H365,3,FALSE),"")</f>
        <v/>
      </c>
      <c r="G12" s="89" t="str">
        <f>IFERROR(VLOOKUP($D12,PlayerDB!$F$2:$I365,4,FALSE),"")</f>
        <v/>
      </c>
      <c r="H12" s="38"/>
      <c r="I12" s="39" t="str">
        <f>IFERROR(__xludf.DUMMYFUNCTION("JOIN("" | "",'Team Stats'!C$12:H$12)"),"0 | 0 | 0 | 0 | 0 | 0")</f>
        <v>0 | 0 | 0 | 0 | 0 | 0</v>
      </c>
      <c r="J12" s="40" t="str">
        <f>IFERROR(__xludf.DUMMYFUNCTION("JOIN("" | "",'Team Stats'!I$12:K$12)"),"0 | 0 | 0")</f>
        <v>0 | 0 | 0</v>
      </c>
      <c r="L12" s="42" t="str">
        <f>IFERROR(__xludf.DUMMYFUNCTION("""COMPUTED_VALUE"""),"Derrick Henry – BAL")</f>
        <v>Derrick Henry – BAL</v>
      </c>
      <c r="M12" s="52">
        <f>IFERROR(VLOOKUP(L12,PlayerDB!$F$2:$G365,2,FALSE),"")</f>
        <v>253</v>
      </c>
      <c r="N12" s="53" t="str">
        <f>IFERROR(VLOOKUP($L12,PlayerDB!$F$2:$H365,3,FALSE),"")</f>
        <v>RB</v>
      </c>
      <c r="O12" s="61"/>
      <c r="P12" s="42" t="str">
        <f>IFERROR(__xludf.DUMMYFUNCTION("""COMPUTED_VALUE"""),"Bo Nix – DEN")</f>
        <v>Bo Nix – DEN</v>
      </c>
      <c r="Q12" s="52">
        <f>IFERROR(VLOOKUP(P12,PlayerDB!$F$2:$G365,2,FALSE),"")</f>
        <v>308.8</v>
      </c>
    </row>
    <row r="13">
      <c r="A13" s="90"/>
      <c r="B13" s="46">
        <v>12.0</v>
      </c>
      <c r="C13" s="46" t="str">
        <f>'Teams &amp; Draft Order'!$C$17</f>
        <v>DD Riders</v>
      </c>
      <c r="D13" s="47"/>
      <c r="E13" s="91" t="str">
        <f>IFERROR(VLOOKUP($D13,PlayerDB!$F$2:$G365,2,FALSE),"")</f>
        <v/>
      </c>
      <c r="F13" s="48" t="str">
        <f>IFERROR(VLOOKUP($D13,PlayerDB!$F$2:$H365,3,FALSE),"")</f>
        <v/>
      </c>
      <c r="G13" s="91" t="str">
        <f>IFERROR(VLOOKUP($D13,PlayerDB!$F$2:$I365,4,FALSE),"")</f>
        <v/>
      </c>
      <c r="H13" s="38"/>
      <c r="I13" s="50" t="str">
        <f>IFERROR(__xludf.DUMMYFUNCTION("JOIN("" | "",'Team Stats'!C$13:H$13)"),"0 | 0 | 0 | 0 | 0 | 0")</f>
        <v>0 | 0 | 0 | 0 | 0 | 0</v>
      </c>
      <c r="J13" s="51" t="str">
        <f>IFERROR(__xludf.DUMMYFUNCTION("JOIN("" | "",'Team Stats'!I$13:K$13)"),"0 | 0 | 0")</f>
        <v>0 | 0 | 0</v>
      </c>
      <c r="L13" s="42" t="str">
        <f>IFERROR(__xludf.DUMMYFUNCTION("""COMPUTED_VALUE"""),"CeeDee Lamb – DAL")</f>
        <v>CeeDee Lamb – DAL</v>
      </c>
      <c r="M13" s="52">
        <f>IFERROR(VLOOKUP(L13,PlayerDB!$F$2:$G365,2,FALSE),"")</f>
        <v>193</v>
      </c>
      <c r="N13" s="53" t="str">
        <f>IFERROR(VLOOKUP($L13,PlayerDB!$F$2:$H365,3,FALSE),"")</f>
        <v>WR</v>
      </c>
      <c r="O13" s="42"/>
      <c r="P13" s="42" t="str">
        <f>IFERROR(__xludf.DUMMYFUNCTION("""COMPUTED_VALUE"""),"Justin Fields – NYJ")</f>
        <v>Justin Fields – NYJ</v>
      </c>
      <c r="Q13" s="52">
        <f>IFERROR(VLOOKUP(P13,PlayerDB!$F$2:$G365,2,FALSE),"")</f>
        <v>300.9</v>
      </c>
    </row>
    <row r="14">
      <c r="A14" s="88"/>
      <c r="B14" s="34">
        <v>13.0</v>
      </c>
      <c r="C14" s="34" t="str">
        <f>'Teams &amp; Draft Order'!$C$18</f>
        <v>Nasty</v>
      </c>
      <c r="D14" s="35"/>
      <c r="E14" s="89" t="str">
        <f>IFERROR(VLOOKUP($D14,PlayerDB!$F$2:$G365,2,FALSE),"")</f>
        <v/>
      </c>
      <c r="F14" s="36" t="str">
        <f>IFERROR(VLOOKUP($D14,PlayerDB!$F$2:$H365,3,FALSE),"")</f>
        <v/>
      </c>
      <c r="G14" s="89" t="str">
        <f>IFERROR(VLOOKUP($D14,PlayerDB!$F$2:$I365,4,FALSE),"")</f>
        <v/>
      </c>
      <c r="H14" s="38"/>
      <c r="I14" s="92" t="str">
        <f>IFERROR(__xludf.DUMMYFUNCTION("JOIN("" | "",'Team Stats'!C$14:H$14)"),"0 | 0 | 0 | 0 | 0 | 0")</f>
        <v>0 | 0 | 0 | 0 | 0 | 0</v>
      </c>
      <c r="J14" s="40"/>
      <c r="L14" s="42" t="str">
        <f>IFERROR(__xludf.DUMMYFUNCTION("""COMPUTED_VALUE"""),"Jalen Hurts – PHI")</f>
        <v>Jalen Hurts – PHI</v>
      </c>
      <c r="M14" s="52">
        <f>IFERROR(VLOOKUP(L14,PlayerDB!$F$2:$G365,2,FALSE),"")</f>
        <v>356.6</v>
      </c>
      <c r="N14" s="53" t="str">
        <f>IFERROR(VLOOKUP($L14,PlayerDB!$F$2:$H365,3,FALSE),"")</f>
        <v>QB</v>
      </c>
      <c r="O14" s="42"/>
      <c r="P14" s="42" t="str">
        <f>IFERROR(__xludf.DUMMYFUNCTION("""COMPUTED_VALUE"""),"Justin Herbert – LAC")</f>
        <v>Justin Herbert – LAC</v>
      </c>
      <c r="Q14" s="52">
        <f>IFERROR(VLOOKUP(P14,PlayerDB!$F$2:$G365,2,FALSE),"")</f>
        <v>293.8</v>
      </c>
    </row>
    <row r="15">
      <c r="A15" s="90"/>
      <c r="B15" s="46">
        <v>14.0</v>
      </c>
      <c r="C15" s="46" t="str">
        <f>'Teams &amp; Draft Order'!$C$19</f>
        <v>Red Hammer</v>
      </c>
      <c r="D15" s="47"/>
      <c r="E15" s="93" t="str">
        <f>IFERROR(VLOOKUP($D15,PlayerDB!$F$2:$G365,2,FALSE),"")</f>
        <v/>
      </c>
      <c r="F15" s="57" t="str">
        <f>IFERROR(VLOOKUP($D15,PlayerDB!$F$2:$H365,3,FALSE),"")</f>
        <v/>
      </c>
      <c r="G15" s="93" t="str">
        <f>IFERROR(VLOOKUP($D15,PlayerDB!$F$2:$I365,4,FALSE),"")</f>
        <v/>
      </c>
      <c r="H15" s="38"/>
      <c r="I15" s="94" t="str">
        <f>IFERROR(__xludf.DUMMYFUNCTION("JOIN("" | "",'Team Stats'!C$15:H$15)"),"0 | 0 | 0 | 0 | 0 | 0")</f>
        <v>0 | 0 | 0 | 0 | 0 | 0</v>
      </c>
      <c r="J15" s="51"/>
      <c r="L15" s="42" t="str">
        <f>IFERROR(__xludf.DUMMYFUNCTION("""COMPUTED_VALUE"""),"Trey McBride – ARI")</f>
        <v>Trey McBride – ARI</v>
      </c>
      <c r="M15" s="52">
        <f>IFERROR(VLOOKUP(L15,PlayerDB!$F$2:$G365,2,FALSE),"")</f>
        <v>139.4</v>
      </c>
      <c r="N15" s="53" t="str">
        <f>IFERROR(VLOOKUP($L15,PlayerDB!$F$2:$H365,3,FALSE),"")</f>
        <v>TE</v>
      </c>
      <c r="O15" s="42"/>
      <c r="P15" s="42" t="str">
        <f>IFERROR(__xludf.DUMMYFUNCTION("""COMPUTED_VALUE"""),"Jared Goff – DET")</f>
        <v>Jared Goff – DET</v>
      </c>
      <c r="Q15" s="52">
        <f>IFERROR(VLOOKUP(P15,PlayerDB!$F$2:$G365,2,FALSE),"")</f>
        <v>290</v>
      </c>
    </row>
    <row r="16">
      <c r="A16" s="88" t="s">
        <v>111</v>
      </c>
      <c r="B16" s="73">
        <v>15.0</v>
      </c>
      <c r="C16" s="73" t="str">
        <f>'Teams &amp; Draft Order'!$C$19</f>
        <v>Red Hammer</v>
      </c>
      <c r="D16" s="74"/>
      <c r="E16" s="89" t="str">
        <f>IFERROR(VLOOKUP($D16,PlayerDB!$F$2:$G365,2,FALSE),"")</f>
        <v/>
      </c>
      <c r="F16" s="36" t="str">
        <f>IFERROR(VLOOKUP($D16,PlayerDB!$F$2:$H365,3,FALSE),"")</f>
        <v/>
      </c>
      <c r="G16" s="89" t="str">
        <f>IFERROR(VLOOKUP($D16,PlayerDB!$F$2:$I365,4,FALSE),"")</f>
        <v/>
      </c>
      <c r="H16" s="75"/>
      <c r="I16" s="95" t="str">
        <f>IFERROR(__xludf.DUMMYFUNCTION("JOIN("" | "",'Team Stats'!C$15:H$15)"),"0 | 0 | 0 | 0 | 0 | 0")</f>
        <v>0 | 0 | 0 | 0 | 0 | 0</v>
      </c>
      <c r="J16" s="40"/>
      <c r="L16" s="42" t="str">
        <f>IFERROR(__xludf.DUMMYFUNCTION("""COMPUTED_VALUE"""),"Cameron Dicker – LAC")</f>
        <v>Cameron Dicker – LAC</v>
      </c>
      <c r="M16" s="52">
        <f>IFERROR(VLOOKUP(L16,PlayerDB!$F$2:$G365,2,FALSE),"")</f>
        <v>135</v>
      </c>
      <c r="N16" s="53" t="str">
        <f>IFERROR(VLOOKUP($L16,PlayerDB!$F$2:$H365,3,FALSE),"")</f>
        <v>K</v>
      </c>
      <c r="O16" s="42"/>
      <c r="P16" s="42" t="str">
        <f>IFERROR(__xludf.DUMMYFUNCTION("""COMPUTED_VALUE"""),"Dak Prescott – DAL")</f>
        <v>Dak Prescott – DAL</v>
      </c>
      <c r="Q16" s="52">
        <f>IFERROR(VLOOKUP(P16,PlayerDB!$F$2:$G365,2,FALSE),"")</f>
        <v>290</v>
      </c>
    </row>
    <row r="17">
      <c r="A17" s="90"/>
      <c r="B17" s="46">
        <v>16.0</v>
      </c>
      <c r="C17" s="46" t="str">
        <f>'Teams &amp; Draft Order'!$C$18</f>
        <v>Nasty</v>
      </c>
      <c r="D17" s="47"/>
      <c r="E17" s="91" t="str">
        <f>IFERROR(VLOOKUP($D17,PlayerDB!$F$2:$G365,2,FALSE),"")</f>
        <v/>
      </c>
      <c r="F17" s="48" t="str">
        <f>IFERROR(VLOOKUP($D17,PlayerDB!$F$2:$H365,3,FALSE),"")</f>
        <v/>
      </c>
      <c r="G17" s="91" t="str">
        <f>IFERROR(VLOOKUP($D17,PlayerDB!$F$2:$I365,4,FALSE),"")</f>
        <v/>
      </c>
      <c r="H17" s="38"/>
      <c r="I17" s="94" t="str">
        <f>IFERROR(__xludf.DUMMYFUNCTION("JOIN("" | "",'Team Stats'!C$14:H$14)"),"0 | 0 | 0 | 0 | 0 | 0")</f>
        <v>0 | 0 | 0 | 0 | 0 | 0</v>
      </c>
      <c r="J17" s="51"/>
      <c r="L17" s="42" t="str">
        <f>IFERROR(__xludf.DUMMYFUNCTION("""COMPUTED_VALUE"""),"Saquon Barkley – PHI")</f>
        <v>Saquon Barkley – PHI</v>
      </c>
      <c r="M17" s="52">
        <f>IFERROR(VLOOKUP(L17,PlayerDB!$F$2:$G365,2,FALSE),"")</f>
        <v>231</v>
      </c>
      <c r="N17" s="53" t="str">
        <f>IFERROR(VLOOKUP($L17,PlayerDB!$F$2:$H365,3,FALSE),"")</f>
        <v>RB</v>
      </c>
      <c r="O17" s="42"/>
      <c r="P17" s="42" t="str">
        <f>IFERROR(__xludf.DUMMYFUNCTION("""COMPUTED_VALUE"""),"J.J. McCarthy – MIN")</f>
        <v>J.J. McCarthy – MIN</v>
      </c>
      <c r="Q17" s="52">
        <f>IFERROR(VLOOKUP(P17,PlayerDB!$F$2:$G365,2,FALSE),"")</f>
        <v>289.2</v>
      </c>
    </row>
    <row r="18">
      <c r="A18" s="88"/>
      <c r="B18" s="34">
        <v>17.0</v>
      </c>
      <c r="C18" s="34" t="str">
        <f>'Teams &amp; Draft Order'!$C$17</f>
        <v>DD Riders</v>
      </c>
      <c r="D18" s="35"/>
      <c r="E18" s="89" t="str">
        <f>IFERROR(VLOOKUP($D18,PlayerDB!$F$2:$G365,2,FALSE),"")</f>
        <v/>
      </c>
      <c r="F18" s="36" t="str">
        <f>IFERROR(VLOOKUP($D18,PlayerDB!$F$2:$H365,3,FALSE),"")</f>
        <v/>
      </c>
      <c r="G18" s="89" t="str">
        <f>IFERROR(VLOOKUP($D18,PlayerDB!$F$2:$I365,4,FALSE),"")</f>
        <v/>
      </c>
      <c r="H18" s="38"/>
      <c r="I18" s="39" t="str">
        <f>IFERROR(__xludf.DUMMYFUNCTION("JOIN("" | "",'Team Stats'!C$13:H$13)"),"0 | 0 | 0 | 0 | 0 | 0")</f>
        <v>0 | 0 | 0 | 0 | 0 | 0</v>
      </c>
      <c r="J18" s="62" t="str">
        <f>IFERROR(__xludf.DUMMYFUNCTION("JOIN("" | "",'Team Stats'!I$13:K$13)"),"0 | 0 | 0")</f>
        <v>0 | 0 | 0</v>
      </c>
      <c r="L18" s="42" t="str">
        <f>IFERROR(__xludf.DUMMYFUNCTION("""COMPUTED_VALUE"""),"Puka Nacua – LAR")</f>
        <v>Puka Nacua – LAR</v>
      </c>
      <c r="M18" s="52">
        <f>IFERROR(VLOOKUP(L18,PlayerDB!$F$2:$G365,2,FALSE),"")</f>
        <v>187.7</v>
      </c>
      <c r="N18" s="53" t="str">
        <f>IFERROR(VLOOKUP($L18,PlayerDB!$F$2:$H365,3,FALSE),"")</f>
        <v>WR</v>
      </c>
      <c r="O18" s="42"/>
      <c r="P18" s="42" t="str">
        <f>IFERROR(__xludf.DUMMYFUNCTION("""COMPUTED_VALUE"""),"Caleb Williams – CHI")</f>
        <v>Caleb Williams – CHI</v>
      </c>
      <c r="Q18" s="52">
        <f>IFERROR(VLOOKUP(P18,PlayerDB!$F$2:$G365,2,FALSE),"")</f>
        <v>287.5</v>
      </c>
    </row>
    <row r="19">
      <c r="A19" s="90"/>
      <c r="B19" s="46">
        <v>18.0</v>
      </c>
      <c r="C19" s="46" t="str">
        <f>'Teams &amp; Draft Order'!$C$16</f>
        <v>TDs and Beers</v>
      </c>
      <c r="D19" s="47"/>
      <c r="E19" s="91" t="str">
        <f>IFERROR(VLOOKUP($D19,PlayerDB!$F$2:$G365,2,FALSE),"")</f>
        <v/>
      </c>
      <c r="F19" s="48" t="str">
        <f>IFERROR(VLOOKUP($D19,PlayerDB!$F$2:$H365,3,FALSE),"")</f>
        <v/>
      </c>
      <c r="G19" s="91" t="str">
        <f>IFERROR(VLOOKUP($D19,PlayerDB!$F$2:$I365,4,FALSE),"")</f>
        <v/>
      </c>
      <c r="H19" s="38"/>
      <c r="I19" s="50" t="str">
        <f>IFERROR(__xludf.DUMMYFUNCTION("JOIN("" | "",'Team Stats'!C$12:H$12)"),"0 | 0 | 0 | 0 | 0 | 0")</f>
        <v>0 | 0 | 0 | 0 | 0 | 0</v>
      </c>
      <c r="J19" s="51" t="str">
        <f>IFERROR(__xludf.DUMMYFUNCTION("JOIN("" | "",'Team Stats'!I$12:K$12)"),"0 | 0 | 0")</f>
        <v>0 | 0 | 0</v>
      </c>
      <c r="L19" s="42" t="str">
        <f>IFERROR(__xludf.DUMMYFUNCTION("""COMPUTED_VALUE"""),"Jayden Daniels – WAS")</f>
        <v>Jayden Daniels – WAS</v>
      </c>
      <c r="M19" s="52">
        <f>IFERROR(VLOOKUP(L19,PlayerDB!$F$2:$G365,2,FALSE),"")</f>
        <v>355.8</v>
      </c>
      <c r="N19" s="53" t="str">
        <f>IFERROR(VLOOKUP($L19,PlayerDB!$F$2:$H365,3,FALSE),"")</f>
        <v>QB</v>
      </c>
      <c r="O19" s="42"/>
      <c r="P19" s="42" t="str">
        <f>IFERROR(__xludf.DUMMYFUNCTION("""COMPUTED_VALUE"""),"C.J. Stroud – HOU")</f>
        <v>C.J. Stroud – HOU</v>
      </c>
      <c r="Q19" s="52">
        <f>IFERROR(VLOOKUP(P19,PlayerDB!$F$2:$G365,2,FALSE),"")</f>
        <v>279.8</v>
      </c>
    </row>
    <row r="20">
      <c r="A20" s="88"/>
      <c r="B20" s="34">
        <v>19.0</v>
      </c>
      <c r="C20" s="34" t="str">
        <f>'Teams &amp; Draft Order'!$C$15</f>
        <v>Daddy's Dogs</v>
      </c>
      <c r="D20" s="35"/>
      <c r="E20" s="89" t="str">
        <f>IFERROR(VLOOKUP($D20,PlayerDB!$F$2:$G365,2,FALSE),"")</f>
        <v/>
      </c>
      <c r="F20" s="36" t="str">
        <f>IFERROR(VLOOKUP($D20,PlayerDB!$F$2:$H365,3,FALSE),"")</f>
        <v/>
      </c>
      <c r="G20" s="89" t="str">
        <f>IFERROR(VLOOKUP($D20,PlayerDB!$F$2:$I365,4,FALSE),"")</f>
        <v/>
      </c>
      <c r="H20" s="38"/>
      <c r="I20" s="39" t="str">
        <f>IFERROR(__xludf.DUMMYFUNCTION("JOIN("" | "",'Team Stats'!C$11:H$11)"),"0 | 0 | 0 | 0 | 0 | 0")</f>
        <v>0 | 0 | 0 | 0 | 0 | 0</v>
      </c>
      <c r="J20" s="40" t="str">
        <f>IFERROR(__xludf.DUMMYFUNCTION("JOIN("" | "",'Team Stats'!I$11:K$11)"),"0 | 0 | 0")</f>
        <v>0 | 0 | 0</v>
      </c>
      <c r="L20" s="42" t="str">
        <f>IFERROR(__xludf.DUMMYFUNCTION("""COMPUTED_VALUE"""),"Mark Andrews – BAL")</f>
        <v>Mark Andrews – BAL</v>
      </c>
      <c r="M20" s="52">
        <f>IFERROR(VLOOKUP(L20,PlayerDB!$F$2:$G365,2,FALSE),"")</f>
        <v>117.3</v>
      </c>
      <c r="N20" s="53" t="str">
        <f>IFERROR(VLOOKUP($L20,PlayerDB!$F$2:$H365,3,FALSE),"")</f>
        <v>TE</v>
      </c>
      <c r="O20" s="42"/>
      <c r="P20" s="42" t="str">
        <f>IFERROR(__xludf.DUMMYFUNCTION("""COMPUTED_VALUE"""),"Jordan Love – GB")</f>
        <v>Jordan Love – GB</v>
      </c>
      <c r="Q20" s="52">
        <f>IFERROR(VLOOKUP(P20,PlayerDB!$F$2:$G365,2,FALSE),"")</f>
        <v>278.7</v>
      </c>
    </row>
    <row r="21">
      <c r="A21" s="90"/>
      <c r="B21" s="46">
        <v>20.0</v>
      </c>
      <c r="C21" s="46" t="str">
        <f>'Teams &amp; Draft Order'!$C$14</f>
        <v>Achaians</v>
      </c>
      <c r="D21" s="47"/>
      <c r="E21" s="91" t="str">
        <f>IFERROR(VLOOKUP($D21,PlayerDB!$F$2:$G365,2,FALSE),"")</f>
        <v/>
      </c>
      <c r="F21" s="48" t="str">
        <f>IFERROR(VLOOKUP($D21,PlayerDB!$F$2:$H365,3,FALSE),"")</f>
        <v/>
      </c>
      <c r="G21" s="91" t="str">
        <f>IFERROR(VLOOKUP($D21,PlayerDB!$F$2:$I365,4,FALSE),"")</f>
        <v/>
      </c>
      <c r="H21" s="38"/>
      <c r="I21" s="50" t="str">
        <f>IFERROR(__xludf.DUMMYFUNCTION("JOIN("" | "",'Team Stats'!C$10:H$10)"),"0 | 0 | 0 | 0 | 0 | 0")</f>
        <v>0 | 0 | 0 | 0 | 0 | 0</v>
      </c>
      <c r="J21" s="51" t="str">
        <f>IFERROR(__xludf.DUMMYFUNCTION("JOIN("" | "",'Team Stats'!I$10:K$10)"),"0 | 0 | 0")</f>
        <v>0 | 0 | 0</v>
      </c>
      <c r="L21" s="42" t="str">
        <f>IFERROR(__xludf.DUMMYFUNCTION("""COMPUTED_VALUE"""),"Jake Elliott – PHI")</f>
        <v>Jake Elliott – PHI</v>
      </c>
      <c r="M21" s="52">
        <f>IFERROR(VLOOKUP(L21,PlayerDB!$F$2:$G365,2,FALSE),"")</f>
        <v>134</v>
      </c>
      <c r="N21" s="53" t="str">
        <f>IFERROR(VLOOKUP($L21,PlayerDB!$F$2:$H365,3,FALSE),"")</f>
        <v>K</v>
      </c>
      <c r="O21" s="42"/>
      <c r="P21" s="42" t="str">
        <f>IFERROR(__xludf.DUMMYFUNCTION("""COMPUTED_VALUE"""),"Trevor Lawrence – JAX")</f>
        <v>Trevor Lawrence – JAX</v>
      </c>
      <c r="Q21" s="52">
        <f>IFERROR(VLOOKUP(P21,PlayerDB!$F$2:$G365,2,FALSE),"")</f>
        <v>273.8</v>
      </c>
    </row>
    <row r="22">
      <c r="A22" s="88"/>
      <c r="B22" s="34">
        <v>21.0</v>
      </c>
      <c r="C22" s="34" t="str">
        <f>'Teams &amp; Draft Order'!$C$13</f>
        <v>Luddite</v>
      </c>
      <c r="D22" s="35"/>
      <c r="E22" s="89" t="str">
        <f>IFERROR(VLOOKUP($D22,PlayerDB!$F$2:$G365,2,FALSE),"")</f>
        <v/>
      </c>
      <c r="F22" s="36" t="str">
        <f>IFERROR(VLOOKUP($D22,PlayerDB!$F$2:$H365,3,FALSE),"")</f>
        <v/>
      </c>
      <c r="G22" s="89" t="str">
        <f>IFERROR(VLOOKUP($D22,PlayerDB!$F$2:$I365,4,FALSE),"")</f>
        <v/>
      </c>
      <c r="H22" s="38"/>
      <c r="I22" s="39" t="str">
        <f>IFERROR(__xludf.DUMMYFUNCTION("JOIN("" | "",'Team Stats'!C$9:H$9)"),"0 | 0 | 0 | 0 | 0 | 0")</f>
        <v>0 | 0 | 0 | 0 | 0 | 0</v>
      </c>
      <c r="J22" s="40" t="str">
        <f>IFERROR(__xludf.DUMMYFUNCTION("JOIN("" | "",'Team Stats'!I$9:K$9)"),"0 | 0 | 0")</f>
        <v>0 | 0 | 0</v>
      </c>
      <c r="L22" s="42" t="str">
        <f>IFERROR(__xludf.DUMMYFUNCTION("""COMPUTED_VALUE"""),"Jahmyr Gibbs – DET")</f>
        <v>Jahmyr Gibbs – DET</v>
      </c>
      <c r="M22" s="52">
        <f>IFERROR(VLOOKUP(L22,PlayerDB!$F$2:$G365,2,FALSE),"")</f>
        <v>244</v>
      </c>
      <c r="N22" s="53" t="str">
        <f>IFERROR(VLOOKUP($L22,PlayerDB!$F$2:$H365,3,FALSE),"")</f>
        <v>RB</v>
      </c>
      <c r="O22" s="42"/>
      <c r="P22" s="42" t="str">
        <f>IFERROR(__xludf.DUMMYFUNCTION("""COMPUTED_VALUE"""),"Drake Maye – NE")</f>
        <v>Drake Maye – NE</v>
      </c>
      <c r="Q22" s="52">
        <f>IFERROR(VLOOKUP(P22,PlayerDB!$F$2:$G365,2,FALSE),"")</f>
        <v>270.8</v>
      </c>
    </row>
    <row r="23">
      <c r="A23" s="90"/>
      <c r="B23" s="46">
        <v>22.0</v>
      </c>
      <c r="C23" s="46" t="str">
        <f>'Teams &amp; Draft Order'!$C$12</f>
        <v>Turbo-Ginz</v>
      </c>
      <c r="D23" s="47"/>
      <c r="E23" s="91" t="str">
        <f>IFERROR(VLOOKUP($D23,PlayerDB!$F$2:$G365,2,FALSE),"")</f>
        <v/>
      </c>
      <c r="F23" s="48" t="str">
        <f>IFERROR(VLOOKUP($D23,PlayerDB!$F$2:$H365,3,FALSE),"")</f>
        <v/>
      </c>
      <c r="G23" s="91" t="str">
        <f>IFERROR(VLOOKUP($D23,PlayerDB!$F$2:$I365,4,FALSE),"")</f>
        <v/>
      </c>
      <c r="H23" s="38"/>
      <c r="I23" s="50" t="str">
        <f>IFERROR(__xludf.DUMMYFUNCTION("JOIN("" | "",'Team Stats'!C$8:H$8)"),"0 | 0 | 0 | 0 | 0 | 0")</f>
        <v>0 | 0 | 0 | 0 | 0 | 0</v>
      </c>
      <c r="J23" s="51" t="str">
        <f>IFERROR(__xludf.DUMMYFUNCTION("JOIN("" | "",'Team Stats'!I$8:K$8)"),"0 | 0 | 0")</f>
        <v>0 | 0 | 0</v>
      </c>
      <c r="L23" s="42"/>
      <c r="M23" s="63"/>
      <c r="N23" s="42"/>
      <c r="O23" s="42"/>
      <c r="P23" s="42"/>
      <c r="Q23" s="63"/>
    </row>
    <row r="24">
      <c r="A24" s="88"/>
      <c r="B24" s="34">
        <v>23.0</v>
      </c>
      <c r="C24" s="34" t="str">
        <f>'Teams &amp; Draft Order'!$C$11</f>
        <v>Big Boys Big Work</v>
      </c>
      <c r="D24" s="35"/>
      <c r="E24" s="89" t="str">
        <f>IFERROR(VLOOKUP($D24,PlayerDB!$F$2:$G365,2,FALSE),"")</f>
        <v/>
      </c>
      <c r="F24" s="36" t="str">
        <f>IFERROR(VLOOKUP($D24,PlayerDB!$F$2:$H365,3,FALSE),"")</f>
        <v/>
      </c>
      <c r="G24" s="89" t="str">
        <f>IFERROR(VLOOKUP($D24,PlayerDB!$F$2:$I365,4,FALSE),"")</f>
        <v/>
      </c>
      <c r="H24" s="38"/>
      <c r="I24" s="39" t="str">
        <f>IFERROR(__xludf.DUMMYFUNCTION("JOIN("" | "",'Team Stats'!C$7:H$7)"),"0 | 0 | 0 | 0 | 0 | 0")</f>
        <v>0 | 0 | 0 | 0 | 0 | 0</v>
      </c>
      <c r="J24" s="40" t="str">
        <f>IFERROR(__xludf.DUMMYFUNCTION("JOIN("" | "",'Team Stats'!I$7:K$7)"),"0 | 0 | 0")</f>
        <v>0 | 0 | 0</v>
      </c>
      <c r="L24" s="42"/>
      <c r="M24" s="42"/>
      <c r="N24" s="42"/>
      <c r="O24" s="42"/>
      <c r="P24" s="42"/>
      <c r="Q24" s="42"/>
    </row>
    <row r="25">
      <c r="A25" s="90"/>
      <c r="B25" s="46">
        <v>24.0</v>
      </c>
      <c r="C25" s="46" t="str">
        <f>'Teams &amp; Draft Order'!$C$10</f>
        <v>Buttheads</v>
      </c>
      <c r="D25" s="47"/>
      <c r="E25" s="91" t="str">
        <f>IFERROR(VLOOKUP($D25,PlayerDB!$F$2:$G365,2,FALSE),"")</f>
        <v/>
      </c>
      <c r="F25" s="48" t="str">
        <f>IFERROR(VLOOKUP($D25,PlayerDB!$F$2:$H365,3,FALSE),"")</f>
        <v/>
      </c>
      <c r="G25" s="91" t="str">
        <f>IFERROR(VLOOKUP($D25,PlayerDB!$F$2:$I365,4,FALSE),"")</f>
        <v/>
      </c>
      <c r="H25" s="38"/>
      <c r="I25" s="50" t="str">
        <f>IFERROR(__xludf.DUMMYFUNCTION("JOIN("" | "",'Team Stats'!C$6:H$6)"),"0 | 0 | 0 | 0 | 0 | 0")</f>
        <v>0 | 0 | 0 | 0 | 0 | 0</v>
      </c>
      <c r="J25" s="51" t="str">
        <f>IFERROR(__xludf.DUMMYFUNCTION("JOIN("" | "",'Team Stats'!I$6:K$6)"),"0 | 0 | 0")</f>
        <v>0 | 0 | 0</v>
      </c>
      <c r="L25" s="42"/>
      <c r="M25" s="42"/>
      <c r="N25" s="42"/>
      <c r="O25" s="42"/>
      <c r="P25" s="42"/>
      <c r="Q25" s="42"/>
    </row>
    <row r="26">
      <c r="A26" s="88"/>
      <c r="B26" s="34">
        <v>25.0</v>
      </c>
      <c r="C26" s="34" t="str">
        <f>'Teams &amp; Draft Order'!$C$9</f>
        <v>El Nino</v>
      </c>
      <c r="D26" s="35"/>
      <c r="E26" s="89" t="str">
        <f>IFERROR(VLOOKUP($D26,PlayerDB!$F$2:$G365,2,FALSE),"")</f>
        <v/>
      </c>
      <c r="F26" s="36" t="str">
        <f>IFERROR(VLOOKUP($D26,PlayerDB!$F$2:$H365,3,FALSE),"")</f>
        <v/>
      </c>
      <c r="G26" s="89" t="str">
        <f>IFERROR(VLOOKUP($D26,PlayerDB!$F$2:$I365,4,FALSE),"")</f>
        <v/>
      </c>
      <c r="H26" s="38"/>
      <c r="I26" s="39" t="str">
        <f>IFERROR(__xludf.DUMMYFUNCTION("JOIN("" | "",'Team Stats'!C$5:H$5)"),"0 | 0 | 0 | 0 | 0 | 0")</f>
        <v>0 | 0 | 0 | 0 | 0 | 0</v>
      </c>
      <c r="J26" s="40" t="str">
        <f>IFERROR(__xludf.DUMMYFUNCTION("JOIN("" | "",'Team Stats'!I$5:K$5)"),"0 | 0 | 0")</f>
        <v>0 | 0 | 0</v>
      </c>
      <c r="L26" s="65" t="s">
        <v>31</v>
      </c>
      <c r="M26" s="44">
        <f>COUNTIF(F:F,"RB")</f>
        <v>1</v>
      </c>
      <c r="N26" s="42"/>
      <c r="O26" s="42"/>
      <c r="P26" s="66" t="s">
        <v>35</v>
      </c>
      <c r="Q26" s="44">
        <f>COUNTIF(F:F,"WR")</f>
        <v>0</v>
      </c>
    </row>
    <row r="27">
      <c r="A27" s="90"/>
      <c r="B27" s="46">
        <v>26.0</v>
      </c>
      <c r="C27" s="46" t="str">
        <f>'Teams &amp; Draft Order'!$C$8</f>
        <v>Icelanders</v>
      </c>
      <c r="D27" s="47"/>
      <c r="E27" s="91" t="str">
        <f>IFERROR(VLOOKUP($D27,PlayerDB!$F$2:$G365,2,FALSE),"")</f>
        <v/>
      </c>
      <c r="F27" s="48" t="str">
        <f>IFERROR(VLOOKUP($D27,PlayerDB!$F$2:$H365,3,FALSE),"")</f>
        <v/>
      </c>
      <c r="G27" s="91" t="str">
        <f>IFERROR(VLOOKUP($D27,PlayerDB!$F$2:$I365,4,FALSE),"")</f>
        <v/>
      </c>
      <c r="H27" s="38"/>
      <c r="I27" s="50" t="str">
        <f>IFERROR(__xludf.DUMMYFUNCTION("JOIN("" | "",'Team Stats'!C$4:H$4)"),"0 | 0 | 0 | 0 | 0 | 0")</f>
        <v>0 | 0 | 0 | 0 | 0 | 0</v>
      </c>
      <c r="J27" s="51" t="str">
        <f>IFERROR(__xludf.DUMMYFUNCTION("JOIN("" | "",'Team Stats'!I$4:K$4)"),"0 | 0 | 0")</f>
        <v>0 | 0 | 0</v>
      </c>
      <c r="L27" s="67" t="str">
        <f>IFERROR(__xludf.DUMMYFUNCTION("QUERY(HELP_PlayersLeft!A2:B365, ""select A where B ='RB' LIMIT 20"")"),"Christian McCaffrey – SF")</f>
        <v>Christian McCaffrey – SF</v>
      </c>
      <c r="M27" s="52">
        <f>IFERROR(VLOOKUP(L27,PlayerDB!$F$2:$G365,2,FALSE),"")</f>
        <v>254</v>
      </c>
      <c r="N27" s="42"/>
      <c r="O27" s="42"/>
      <c r="P27" s="67" t="str">
        <f>IFERROR(__xludf.DUMMYFUNCTION("QUERY(HELP_PlayersLeft!A2:B365, ""select A where B ='WR' LIMIT 20"")"),"Ja'Marr Chase – CIN")</f>
        <v>Ja'Marr Chase – CIN</v>
      </c>
      <c r="Q27" s="52">
        <f>IFERROR(VLOOKUP(P27,PlayerDB!$F$2:$G365,2,FALSE),"")</f>
        <v>231.2</v>
      </c>
    </row>
    <row r="28">
      <c r="A28" s="88"/>
      <c r="B28" s="34">
        <v>27.0</v>
      </c>
      <c r="C28" s="34" t="str">
        <f>'Teams &amp; Draft Order'!$C$7</f>
        <v>Phantasm</v>
      </c>
      <c r="D28" s="35"/>
      <c r="E28" s="89" t="str">
        <f>IFERROR(VLOOKUP($D28,PlayerDB!$F$2:$G365,2,FALSE),"")</f>
        <v/>
      </c>
      <c r="F28" s="36" t="str">
        <f>IFERROR(VLOOKUP($D28,PlayerDB!$F$2:$H365,3,FALSE),"")</f>
        <v/>
      </c>
      <c r="G28" s="89" t="str">
        <f>IFERROR(VLOOKUP($D28,PlayerDB!$F$2:$I365,4,FALSE),"")</f>
        <v/>
      </c>
      <c r="H28" s="38"/>
      <c r="I28" s="39" t="str">
        <f>IFERROR(__xludf.DUMMYFUNCTION("JOIN("" | "",'Team Stats'!C$3:H$3)"),"0 | 0 | 0 | 0 | 0 | 0")</f>
        <v>0 | 0 | 0 | 0 | 0 | 0</v>
      </c>
      <c r="J28" s="40" t="str">
        <f>IFERROR(__xludf.DUMMYFUNCTION("JOIN("" | "",'Team Stats'!I$3:K$3)"),"0 | 0 | 0")</f>
        <v>0 | 0 | 0</v>
      </c>
      <c r="L28" s="20" t="str">
        <f>IFERROR(__xludf.DUMMYFUNCTION("""COMPUTED_VALUE"""),"Derrick Henry – BAL")</f>
        <v>Derrick Henry – BAL</v>
      </c>
      <c r="M28" s="52">
        <f>IFERROR(VLOOKUP(L28,PlayerDB!$F$2:$G365,2,FALSE),"")</f>
        <v>253</v>
      </c>
      <c r="N28" s="42"/>
      <c r="O28" s="42"/>
      <c r="P28" s="20" t="str">
        <f>IFERROR(__xludf.DUMMYFUNCTION("""COMPUTED_VALUE"""),"Justin Jefferson – MIN")</f>
        <v>Justin Jefferson – MIN</v>
      </c>
      <c r="Q28" s="52">
        <f>IFERROR(VLOOKUP(P28,PlayerDB!$F$2:$G365,2,FALSE),"")</f>
        <v>205.2</v>
      </c>
    </row>
    <row r="29">
      <c r="A29" s="90"/>
      <c r="B29" s="55">
        <v>28.0</v>
      </c>
      <c r="C29" s="55" t="str">
        <f>'Teams &amp; Draft Order'!$C$6</f>
        <v>Sleeper Cell </v>
      </c>
      <c r="D29" s="56"/>
      <c r="E29" s="93" t="str">
        <f>IFERROR(VLOOKUP($D29,PlayerDB!$F$2:$G365,2,FALSE),"")</f>
        <v/>
      </c>
      <c r="F29" s="57" t="str">
        <f>IFERROR(VLOOKUP($D29,PlayerDB!$F$2:$H365,3,FALSE),"")</f>
        <v/>
      </c>
      <c r="G29" s="93" t="str">
        <f>IFERROR(VLOOKUP($D29,PlayerDB!$F$2:$I365,4,FALSE),"")</f>
        <v/>
      </c>
      <c r="H29" s="59"/>
      <c r="I29" s="60" t="str">
        <f>IFERROR(__xludf.DUMMYFUNCTION("JOIN("" | "",'Team Stats'!C$2:H$2)"),"1 | 0 | 0 | 0 | 0 | 0")</f>
        <v>1 | 0 | 0 | 0 | 0 | 0</v>
      </c>
      <c r="J29" s="64" t="str">
        <f>IFERROR(__xludf.DUMMYFUNCTION("JOIN("" | "",'Team Stats'!I$2:K$2)"),"0 | 0 | 0")</f>
        <v>0 | 0 | 0</v>
      </c>
      <c r="L29" s="42" t="str">
        <f>IFERROR(__xludf.DUMMYFUNCTION("""COMPUTED_VALUE"""),"Saquon Barkley – PHI")</f>
        <v>Saquon Barkley – PHI</v>
      </c>
      <c r="M29" s="52">
        <f>IFERROR(VLOOKUP(L29,PlayerDB!$F$2:$G365,2,FALSE),"")</f>
        <v>231</v>
      </c>
      <c r="N29" s="42"/>
      <c r="O29" s="42"/>
      <c r="P29" s="42" t="str">
        <f>IFERROR(__xludf.DUMMYFUNCTION("""COMPUTED_VALUE"""),"CeeDee Lamb – DAL")</f>
        <v>CeeDee Lamb – DAL</v>
      </c>
      <c r="Q29" s="52">
        <f>IFERROR(VLOOKUP(P29,PlayerDB!$F$2:$G365,2,FALSE),"")</f>
        <v>193</v>
      </c>
    </row>
    <row r="30">
      <c r="A30" s="88" t="s">
        <v>115</v>
      </c>
      <c r="B30" s="73">
        <v>29.0</v>
      </c>
      <c r="C30" s="73" t="str">
        <f>'Teams &amp; Draft Order'!$C$6</f>
        <v>Sleeper Cell </v>
      </c>
      <c r="D30" s="74"/>
      <c r="E30" s="89" t="str">
        <f>IFERROR(VLOOKUP($D30,PlayerDB!$F$2:$G365,2,FALSE),"")</f>
        <v/>
      </c>
      <c r="F30" s="36" t="str">
        <f>IFERROR(VLOOKUP($D30,PlayerDB!$F$2:$H365,3,FALSE),"")</f>
        <v/>
      </c>
      <c r="G30" s="89" t="str">
        <f>IFERROR(VLOOKUP($D30,PlayerDB!$F$2:$I365,4,FALSE),"")</f>
        <v/>
      </c>
      <c r="H30" s="75"/>
      <c r="I30" s="76" t="str">
        <f>IFERROR(__xludf.DUMMYFUNCTION("JOIN("" | "",'Team Stats'!C$2:H$2)"),"1 | 0 | 0 | 0 | 0 | 0")</f>
        <v>1 | 0 | 0 | 0 | 0 | 0</v>
      </c>
      <c r="J30" s="40" t="str">
        <f>IFERROR(__xludf.DUMMYFUNCTION("JOIN("" | "",'Team Stats'!I$2:K$2)"),"0 | 0 | 0")</f>
        <v>0 | 0 | 0</v>
      </c>
      <c r="L30" s="42" t="str">
        <f>IFERROR(__xludf.DUMMYFUNCTION("""COMPUTED_VALUE"""),"Jahmyr Gibbs – DET")</f>
        <v>Jahmyr Gibbs – DET</v>
      </c>
      <c r="M30" s="52">
        <f>IFERROR(VLOOKUP(L30,PlayerDB!$F$2:$G365,2,FALSE),"")</f>
        <v>244</v>
      </c>
      <c r="N30" s="42"/>
      <c r="O30" s="42"/>
      <c r="P30" s="42" t="str">
        <f>IFERROR(__xludf.DUMMYFUNCTION("""COMPUTED_VALUE"""),"Puka Nacua – LAR")</f>
        <v>Puka Nacua – LAR</v>
      </c>
      <c r="Q30" s="52">
        <f>IFERROR(VLOOKUP(P30,PlayerDB!$F$2:$G365,2,FALSE),"")</f>
        <v>187.7</v>
      </c>
    </row>
    <row r="31">
      <c r="A31" s="96"/>
      <c r="B31" s="46">
        <v>30.0</v>
      </c>
      <c r="C31" s="46" t="s">
        <v>54</v>
      </c>
      <c r="D31" s="47"/>
      <c r="E31" s="91" t="str">
        <f>IFERROR(VLOOKUP($D31,PlayerDB!$F$2:$G365,2,FALSE),"")</f>
        <v/>
      </c>
      <c r="F31" s="48" t="str">
        <f>IFERROR(VLOOKUP($D31,PlayerDB!$F$2:$H365,3,FALSE),"")</f>
        <v/>
      </c>
      <c r="G31" s="91" t="str">
        <f>IFERROR(VLOOKUP($D31,PlayerDB!$F$2:$I365,4,FALSE),"")</f>
        <v/>
      </c>
      <c r="H31" s="38"/>
      <c r="I31" s="50" t="str">
        <f>IFERROR(__xludf.DUMMYFUNCTION("JOIN("" | "",'Team Stats'!C$3:H$3)"),"0 | 0 | 0 | 0 | 0 | 0")</f>
        <v>0 | 0 | 0 | 0 | 0 | 0</v>
      </c>
      <c r="J31" s="51" t="str">
        <f>IFERROR(__xludf.DUMMYFUNCTION("JOIN("" | "",'Team Stats'!I$3:K$3)"),"0 | 0 | 0")</f>
        <v>0 | 0 | 0</v>
      </c>
      <c r="L31" s="42" t="str">
        <f>IFERROR(__xludf.DUMMYFUNCTION("""COMPUTED_VALUE"""),"Jonathan Taylor – IND")</f>
        <v>Jonathan Taylor – IND</v>
      </c>
      <c r="M31" s="52">
        <f>IFERROR(VLOOKUP(L31,PlayerDB!$F$2:$G365,2,FALSE),"")</f>
        <v>224</v>
      </c>
      <c r="N31" s="42"/>
      <c r="O31" s="42"/>
      <c r="P31" s="42" t="str">
        <f>IFERROR(__xludf.DUMMYFUNCTION("""COMPUTED_VALUE"""),"Nico Collins – HOU")</f>
        <v>Nico Collins – HOU</v>
      </c>
      <c r="Q31" s="52">
        <f>IFERROR(VLOOKUP(P31,PlayerDB!$F$2:$G365,2,FALSE),"")</f>
        <v>183.6</v>
      </c>
    </row>
    <row r="32">
      <c r="A32" s="97"/>
      <c r="B32" s="34">
        <v>31.0</v>
      </c>
      <c r="C32" s="34" t="s">
        <v>56</v>
      </c>
      <c r="D32" s="35"/>
      <c r="E32" s="89" t="str">
        <f>IFERROR(VLOOKUP($D32,PlayerDB!$F$2:$G365,2,FALSE),"")</f>
        <v/>
      </c>
      <c r="F32" s="36" t="str">
        <f>IFERROR(VLOOKUP($D32,PlayerDB!$F$2:$H365,3,FALSE),"")</f>
        <v/>
      </c>
      <c r="G32" s="89" t="str">
        <f>IFERROR(VLOOKUP($D32,PlayerDB!$F$2:$I365,4,FALSE),"")</f>
        <v/>
      </c>
      <c r="H32" s="38"/>
      <c r="I32" s="39" t="str">
        <f>IFERROR(__xludf.DUMMYFUNCTION("JOIN("" | "",'Team Stats'!C$4:H$4)"),"0 | 0 | 0 | 0 | 0 | 0")</f>
        <v>0 | 0 | 0 | 0 | 0 | 0</v>
      </c>
      <c r="J32" s="40" t="str">
        <f>IFERROR(__xludf.DUMMYFUNCTION("JOIN("" | "",'Team Stats'!I$4:K$4)"),"0 | 0 | 0")</f>
        <v>0 | 0 | 0</v>
      </c>
      <c r="L32" s="42" t="str">
        <f>IFERROR(__xludf.DUMMYFUNCTION("""COMPUTED_VALUE"""),"Josh Jacobs – GB")</f>
        <v>Josh Jacobs – GB</v>
      </c>
      <c r="M32" s="52">
        <f>IFERROR(VLOOKUP(L32,PlayerDB!$F$2:$G365,2,FALSE),"")</f>
        <v>224</v>
      </c>
      <c r="N32" s="42"/>
      <c r="O32" s="42"/>
      <c r="P32" s="42" t="str">
        <f>IFERROR(__xludf.DUMMYFUNCTION("""COMPUTED_VALUE"""),"Malik Nabers – NYG")</f>
        <v>Malik Nabers – NYG</v>
      </c>
      <c r="Q32" s="52">
        <f>IFERROR(VLOOKUP(P32,PlayerDB!$F$2:$G365,2,FALSE),"")</f>
        <v>183.3</v>
      </c>
    </row>
    <row r="33">
      <c r="A33" s="96"/>
      <c r="B33" s="46">
        <v>32.0</v>
      </c>
      <c r="C33" s="46" t="str">
        <f>'Teams &amp; Draft Order'!$C$9</f>
        <v>El Nino</v>
      </c>
      <c r="D33" s="47"/>
      <c r="E33" s="91" t="str">
        <f>IFERROR(VLOOKUP($D33,PlayerDB!$F$2:$G365,2,FALSE),"")</f>
        <v/>
      </c>
      <c r="F33" s="48" t="str">
        <f>IFERROR(VLOOKUP($D33,PlayerDB!$F$2:$H365,3,FALSE),"")</f>
        <v/>
      </c>
      <c r="G33" s="91" t="str">
        <f>IFERROR(VLOOKUP($D33,PlayerDB!$F$2:$I365,4,FALSE),"")</f>
        <v/>
      </c>
      <c r="H33" s="38"/>
      <c r="I33" s="50" t="str">
        <f>IFERROR(__xludf.DUMMYFUNCTION("JOIN("" | "",'Team Stats'!C$5:H$5)"),"0 | 0 | 0 | 0 | 0 | 0")</f>
        <v>0 | 0 | 0 | 0 | 0 | 0</v>
      </c>
      <c r="J33" s="51" t="str">
        <f>IFERROR(__xludf.DUMMYFUNCTION("JOIN("" | "",'Team Stats'!I$5:K$5)"),"0 | 0 | 0")</f>
        <v>0 | 0 | 0</v>
      </c>
      <c r="L33" s="42" t="str">
        <f>IFERROR(__xludf.DUMMYFUNCTION("""COMPUTED_VALUE"""),"Ashton Jeanty – LV")</f>
        <v>Ashton Jeanty – LV</v>
      </c>
      <c r="M33" s="52">
        <f>IFERROR(VLOOKUP(L33,PlayerDB!$F$2:$G365,2,FALSE),"")</f>
        <v>222</v>
      </c>
      <c r="N33" s="42"/>
      <c r="O33" s="42"/>
      <c r="P33" s="42" t="str">
        <f>IFERROR(__xludf.DUMMYFUNCTION("""COMPUTED_VALUE"""),"Brian Thomas Jr. – JAX")</f>
        <v>Brian Thomas Jr. – JAX</v>
      </c>
      <c r="Q33" s="52">
        <f>IFERROR(VLOOKUP(P33,PlayerDB!$F$2:$G365,2,FALSE),"")</f>
        <v>181.4</v>
      </c>
    </row>
    <row r="34">
      <c r="A34" s="97"/>
      <c r="B34" s="34">
        <v>33.0</v>
      </c>
      <c r="C34" s="34" t="str">
        <f>'Teams &amp; Draft Order'!$C$10</f>
        <v>Buttheads</v>
      </c>
      <c r="D34" s="98"/>
      <c r="E34" s="89" t="str">
        <f>IFERROR(VLOOKUP($D34,PlayerDB!$F$2:$G365,2,FALSE),"")</f>
        <v/>
      </c>
      <c r="F34" s="36" t="str">
        <f>IFERROR(VLOOKUP($D34,PlayerDB!$F$2:$H365,3,FALSE),"")</f>
        <v/>
      </c>
      <c r="G34" s="89" t="str">
        <f>IFERROR(VLOOKUP($D34,PlayerDB!$F$2:$I365,4,FALSE),"")</f>
        <v/>
      </c>
      <c r="H34" s="38"/>
      <c r="I34" s="39" t="str">
        <f>IFERROR(__xludf.DUMMYFUNCTION("JOIN("" | "",'Team Stats'!C$6:H$6)"),"0 | 0 | 0 | 0 | 0 | 0")</f>
        <v>0 | 0 | 0 | 0 | 0 | 0</v>
      </c>
      <c r="J34" s="40" t="str">
        <f>IFERROR(__xludf.DUMMYFUNCTION("JOIN("" | "",'Team Stats'!I$6:K$6)"),"0 | 0 | 0")</f>
        <v>0 | 0 | 0</v>
      </c>
      <c r="L34" s="42" t="str">
        <f>IFERROR(__xludf.DUMMYFUNCTION("""COMPUTED_VALUE"""),"Kyren Williams – LAR")</f>
        <v>Kyren Williams – LAR</v>
      </c>
      <c r="M34" s="52">
        <f>IFERROR(VLOOKUP(L34,PlayerDB!$F$2:$G365,2,FALSE),"")</f>
        <v>215</v>
      </c>
      <c r="N34" s="42"/>
      <c r="O34" s="42"/>
      <c r="P34" s="42" t="str">
        <f>IFERROR(__xludf.DUMMYFUNCTION("""COMPUTED_VALUE"""),"Amon-Ra St. Brown – DET")</f>
        <v>Amon-Ra St. Brown – DET</v>
      </c>
      <c r="Q34" s="52">
        <f>IFERROR(VLOOKUP(P34,PlayerDB!$F$2:$G365,2,FALSE),"")</f>
        <v>180.8</v>
      </c>
    </row>
    <row r="35">
      <c r="A35" s="96"/>
      <c r="B35" s="46">
        <v>34.0</v>
      </c>
      <c r="C35" s="46" t="str">
        <f>'Teams &amp; Draft Order'!$C$11</f>
        <v>Big Boys Big Work</v>
      </c>
      <c r="D35" s="47"/>
      <c r="E35" s="91" t="str">
        <f>IFERROR(VLOOKUP($D35,PlayerDB!$F$2:$G365,2,FALSE),"")</f>
        <v/>
      </c>
      <c r="F35" s="48" t="str">
        <f>IFERROR(VLOOKUP($D35,PlayerDB!$F$2:$H365,3,FALSE),"")</f>
        <v/>
      </c>
      <c r="G35" s="91" t="str">
        <f>IFERROR(VLOOKUP($D35,PlayerDB!$F$2:$I365,4,FALSE),"")</f>
        <v/>
      </c>
      <c r="H35" s="38"/>
      <c r="I35" s="50" t="str">
        <f>IFERROR(__xludf.DUMMYFUNCTION("JOIN("" | "",'Team Stats'!C$7:H$7)"),"0 | 0 | 0 | 0 | 0 | 0")</f>
        <v>0 | 0 | 0 | 0 | 0 | 0</v>
      </c>
      <c r="J35" s="51" t="str">
        <f>IFERROR(__xludf.DUMMYFUNCTION("JOIN("" | "",'Team Stats'!I$7:K$7)"),"0 | 0 | 0")</f>
        <v>0 | 0 | 0</v>
      </c>
      <c r="L35" s="42" t="str">
        <f>IFERROR(__xludf.DUMMYFUNCTION("""COMPUTED_VALUE"""),"De'Von Achane – MIA")</f>
        <v>De'Von Achane – MIA</v>
      </c>
      <c r="M35" s="52">
        <f>IFERROR(VLOOKUP(L35,PlayerDB!$F$2:$G365,2,FALSE),"")</f>
        <v>212</v>
      </c>
      <c r="N35" s="42"/>
      <c r="O35" s="42"/>
      <c r="P35" s="42" t="str">
        <f>IFERROR(__xludf.DUMMYFUNCTION("""COMPUTED_VALUE"""),"A.J. Brown – PHI")</f>
        <v>A.J. Brown – PHI</v>
      </c>
      <c r="Q35" s="52">
        <f>IFERROR(VLOOKUP(P35,PlayerDB!$F$2:$G365,2,FALSE),"")</f>
        <v>172.8</v>
      </c>
    </row>
    <row r="36">
      <c r="A36" s="97"/>
      <c r="B36" s="34">
        <v>35.0</v>
      </c>
      <c r="C36" s="34" t="str">
        <f>'Teams &amp; Draft Order'!$C$12</f>
        <v>Turbo-Ginz</v>
      </c>
      <c r="D36" s="35"/>
      <c r="E36" s="89" t="str">
        <f>IFERROR(VLOOKUP($D36,PlayerDB!$F$2:$G365,2,FALSE),"")</f>
        <v/>
      </c>
      <c r="F36" s="36" t="str">
        <f>IFERROR(VLOOKUP($D36,PlayerDB!$F$2:$H365,3,FALSE),"")</f>
        <v/>
      </c>
      <c r="G36" s="89" t="str">
        <f>IFERROR(VLOOKUP($D36,PlayerDB!$F$2:$I365,4,FALSE),"")</f>
        <v/>
      </c>
      <c r="H36" s="38"/>
      <c r="I36" s="39" t="str">
        <f>IFERROR(__xludf.DUMMYFUNCTION("JOIN("" | "",'Team Stats'!C$8:H$8)"),"0 | 0 | 0 | 0 | 0 | 0")</f>
        <v>0 | 0 | 0 | 0 | 0 | 0</v>
      </c>
      <c r="J36" s="40" t="str">
        <f>IFERROR(__xludf.DUMMYFUNCTION("JOIN("" | "",'Team Stats'!I$8:K$8)"),"0 | 0 | 0")</f>
        <v>0 | 0 | 0</v>
      </c>
      <c r="L36" s="42" t="str">
        <f>IFERROR(__xludf.DUMMYFUNCTION("""COMPUTED_VALUE"""),"Bucky Irving – TB")</f>
        <v>Bucky Irving – TB</v>
      </c>
      <c r="M36" s="52">
        <f>IFERROR(VLOOKUP(L36,PlayerDB!$F$2:$G365,2,FALSE),"")</f>
        <v>210</v>
      </c>
      <c r="N36" s="42"/>
      <c r="O36" s="42"/>
      <c r="P36" s="42" t="str">
        <f>IFERROR(__xludf.DUMMYFUNCTION("""COMPUTED_VALUE"""),"Tyreek Hill – MIA")</f>
        <v>Tyreek Hill – MIA</v>
      </c>
      <c r="Q36" s="52">
        <f>IFERROR(VLOOKUP(P36,PlayerDB!$F$2:$G365,2,FALSE),"")</f>
        <v>168.5</v>
      </c>
    </row>
    <row r="37">
      <c r="A37" s="96"/>
      <c r="B37" s="46">
        <v>36.0</v>
      </c>
      <c r="C37" s="46" t="str">
        <f>'Teams &amp; Draft Order'!$C$13</f>
        <v>Luddite</v>
      </c>
      <c r="D37" s="47"/>
      <c r="E37" s="91" t="str">
        <f>IFERROR(VLOOKUP($D37,PlayerDB!$F$2:$G365,2,FALSE),"")</f>
        <v/>
      </c>
      <c r="F37" s="48" t="str">
        <f>IFERROR(VLOOKUP($D37,PlayerDB!$F$2:$H365,3,FALSE),"")</f>
        <v/>
      </c>
      <c r="G37" s="91" t="str">
        <f>IFERROR(VLOOKUP($D37,PlayerDB!$F$2:$I365,4,FALSE),"")</f>
        <v/>
      </c>
      <c r="H37" s="38"/>
      <c r="I37" s="50" t="str">
        <f>IFERROR(__xludf.DUMMYFUNCTION("JOIN("" | "",'Team Stats'!C$9:H$9)"),"0 | 0 | 0 | 0 | 0 | 0")</f>
        <v>0 | 0 | 0 | 0 | 0 | 0</v>
      </c>
      <c r="J37" s="51" t="str">
        <f>IFERROR(__xludf.DUMMYFUNCTION("JOIN("" | "",'Team Stats'!I$9:K$9)"),"0 | 0 | 0")</f>
        <v>0 | 0 | 0</v>
      </c>
      <c r="L37" s="42" t="str">
        <f>IFERROR(__xludf.DUMMYFUNCTION("""COMPUTED_VALUE"""),"James Cook – BUF")</f>
        <v>James Cook – BUF</v>
      </c>
      <c r="M37" s="52">
        <f>IFERROR(VLOOKUP(L37,PlayerDB!$F$2:$G365,2,FALSE),"")</f>
        <v>195</v>
      </c>
      <c r="N37" s="42"/>
      <c r="O37" s="42"/>
      <c r="P37" s="42" t="str">
        <f>IFERROR(__xludf.DUMMYFUNCTION("""COMPUTED_VALUE"""),"Drake London – ATL")</f>
        <v>Drake London – ATL</v>
      </c>
      <c r="Q37" s="52">
        <f>IFERROR(VLOOKUP(P37,PlayerDB!$F$2:$G365,2,FALSE),"")</f>
        <v>167.1</v>
      </c>
    </row>
    <row r="38">
      <c r="A38" s="97"/>
      <c r="B38" s="34">
        <v>37.0</v>
      </c>
      <c r="C38" s="34" t="str">
        <f>'Teams &amp; Draft Order'!$C$14</f>
        <v>Achaians</v>
      </c>
      <c r="D38" s="35"/>
      <c r="E38" s="89" t="str">
        <f>IFERROR(VLOOKUP($D38,PlayerDB!$F$2:$G365,2,FALSE),"")</f>
        <v/>
      </c>
      <c r="F38" s="36" t="str">
        <f>IFERROR(VLOOKUP($D38,PlayerDB!$F$2:$H365,3,FALSE),"")</f>
        <v/>
      </c>
      <c r="G38" s="89" t="str">
        <f>IFERROR(VLOOKUP($D38,PlayerDB!$F$2:$I365,4,FALSE),"")</f>
        <v/>
      </c>
      <c r="H38" s="38"/>
      <c r="I38" s="39" t="str">
        <f>IFERROR(__xludf.DUMMYFUNCTION("JOIN("" | "",'Team Stats'!C$10:H$10)"),"0 | 0 | 0 | 0 | 0 | 0")</f>
        <v>0 | 0 | 0 | 0 | 0 | 0</v>
      </c>
      <c r="J38" s="40" t="str">
        <f>IFERROR(__xludf.DUMMYFUNCTION("JOIN("" | "",'Team Stats'!I$10:K$10)"),"0 | 0 | 0")</f>
        <v>0 | 0 | 0</v>
      </c>
      <c r="L38" s="42" t="str">
        <f>IFERROR(__xludf.DUMMYFUNCTION("""COMPUTED_VALUE"""),"Chase Brown – CIN")</f>
        <v>Chase Brown – CIN</v>
      </c>
      <c r="M38" s="52">
        <f>IFERROR(VLOOKUP(L38,PlayerDB!$F$2:$G365,2,FALSE),"")</f>
        <v>186</v>
      </c>
      <c r="N38" s="42"/>
      <c r="O38" s="42"/>
      <c r="P38" s="42" t="str">
        <f>IFERROR(__xludf.DUMMYFUNCTION("""COMPUTED_VALUE"""),"Ladd McConkey – LAC")</f>
        <v>Ladd McConkey – LAC</v>
      </c>
      <c r="Q38" s="52">
        <f>IFERROR(VLOOKUP(P38,PlayerDB!$F$2:$G365,2,FALSE),"")</f>
        <v>165.4</v>
      </c>
    </row>
    <row r="39">
      <c r="A39" s="96"/>
      <c r="B39" s="46">
        <v>38.0</v>
      </c>
      <c r="C39" s="46" t="str">
        <f>'Teams &amp; Draft Order'!$C$15</f>
        <v>Daddy's Dogs</v>
      </c>
      <c r="D39" s="47"/>
      <c r="E39" s="91" t="str">
        <f>IFERROR(VLOOKUP($D39,PlayerDB!$F$2:$G365,2,FALSE),"")</f>
        <v/>
      </c>
      <c r="F39" s="48" t="str">
        <f>IFERROR(VLOOKUP($D39,PlayerDB!$F$2:$H365,3,FALSE),"")</f>
        <v/>
      </c>
      <c r="G39" s="91" t="str">
        <f>IFERROR(VLOOKUP($D39,PlayerDB!$F$2:$I365,4,FALSE),"")</f>
        <v/>
      </c>
      <c r="H39" s="38"/>
      <c r="I39" s="50" t="str">
        <f>IFERROR(__xludf.DUMMYFUNCTION("JOIN("" | "",'Team Stats'!C$11:H$11)"),"0 | 0 | 0 | 0 | 0 | 0")</f>
        <v>0 | 0 | 0 | 0 | 0 | 0</v>
      </c>
      <c r="J39" s="51" t="str">
        <f>IFERROR(__xludf.DUMMYFUNCTION("JOIN("" | "",'Team Stats'!I$11:K$11)"),"0 | 0 | 0")</f>
        <v>0 | 0 | 0</v>
      </c>
      <c r="L39" s="42" t="str">
        <f>IFERROR(__xludf.DUMMYFUNCTION("""COMPUTED_VALUE"""),"Omarion Hampton – LAC")</f>
        <v>Omarion Hampton – LAC</v>
      </c>
      <c r="M39" s="52">
        <f>IFERROR(VLOOKUP(L39,PlayerDB!$F$2:$G365,2,FALSE),"")</f>
        <v>177</v>
      </c>
      <c r="N39" s="42"/>
      <c r="O39" s="42"/>
      <c r="P39" s="42" t="str">
        <f>IFERROR(__xludf.DUMMYFUNCTION("""COMPUTED_VALUE"""),"Mike Evans – TB")</f>
        <v>Mike Evans – TB</v>
      </c>
      <c r="Q39" s="52">
        <f>IFERROR(VLOOKUP(P39,PlayerDB!$F$2:$G365,2,FALSE),"")</f>
        <v>164.5</v>
      </c>
    </row>
    <row r="40">
      <c r="A40" s="97"/>
      <c r="B40" s="34">
        <v>39.0</v>
      </c>
      <c r="C40" s="34" t="str">
        <f>'Teams &amp; Draft Order'!$C$16</f>
        <v>TDs and Beers</v>
      </c>
      <c r="D40" s="35"/>
      <c r="E40" s="89" t="str">
        <f>IFERROR(VLOOKUP($D40,PlayerDB!$F$2:$G365,2,FALSE),"")</f>
        <v/>
      </c>
      <c r="F40" s="36" t="str">
        <f>IFERROR(VLOOKUP($D40,PlayerDB!$F$2:$H365,3,FALSE),"")</f>
        <v/>
      </c>
      <c r="G40" s="89" t="str">
        <f>IFERROR(VLOOKUP($D40,PlayerDB!$F$2:$I365,4,FALSE),"")</f>
        <v/>
      </c>
      <c r="H40" s="38"/>
      <c r="I40" s="39" t="str">
        <f>IFERROR(__xludf.DUMMYFUNCTION("JOIN("" | "",'Team Stats'!C$12:H$12)"),"0 | 0 | 0 | 0 | 0 | 0")</f>
        <v>0 | 0 | 0 | 0 | 0 | 0</v>
      </c>
      <c r="J40" s="40" t="str">
        <f>IFERROR(__xludf.DUMMYFUNCTION("JOIN("" | "",'Team Stats'!I$12:K$12)"),"0 | 0 | 0")</f>
        <v>0 | 0 | 0</v>
      </c>
      <c r="L40" s="42" t="str">
        <f>IFERROR(__xludf.DUMMYFUNCTION("""COMPUTED_VALUE"""),"Kenneth Walker III – SEA")</f>
        <v>Kenneth Walker III – SEA</v>
      </c>
      <c r="M40" s="52">
        <f>IFERROR(VLOOKUP(L40,PlayerDB!$F$2:$G365,2,FALSE),"")</f>
        <v>180</v>
      </c>
      <c r="N40" s="42"/>
      <c r="O40" s="42"/>
      <c r="P40" s="42" t="str">
        <f>IFERROR(__xludf.DUMMYFUNCTION("""COMPUTED_VALUE"""),"Tee Higgins – CIN")</f>
        <v>Tee Higgins – CIN</v>
      </c>
      <c r="Q40" s="52">
        <f>IFERROR(VLOOKUP(P40,PlayerDB!$F$2:$G365,2,FALSE),"")</f>
        <v>161.1</v>
      </c>
    </row>
    <row r="41">
      <c r="A41" s="96"/>
      <c r="B41" s="46">
        <v>40.0</v>
      </c>
      <c r="C41" s="46" t="str">
        <f>'Teams &amp; Draft Order'!$C$17</f>
        <v>DD Riders</v>
      </c>
      <c r="D41" s="47"/>
      <c r="E41" s="91" t="str">
        <f>IFERROR(VLOOKUP($D41,PlayerDB!$F$2:$G365,2,FALSE),"")</f>
        <v/>
      </c>
      <c r="F41" s="48" t="str">
        <f>IFERROR(VLOOKUP($D41,PlayerDB!$F$2:$H365,3,FALSE),"")</f>
        <v/>
      </c>
      <c r="G41" s="91" t="str">
        <f>IFERROR(VLOOKUP($D41,PlayerDB!$F$2:$I365,4,FALSE),"")</f>
        <v/>
      </c>
      <c r="H41" s="38"/>
      <c r="I41" s="50" t="str">
        <f>IFERROR(__xludf.DUMMYFUNCTION("JOIN("" | "",'Team Stats'!C$13:H$13)"),"0 | 0 | 0 | 0 | 0 | 0")</f>
        <v>0 | 0 | 0 | 0 | 0 | 0</v>
      </c>
      <c r="J41" s="51" t="str">
        <f>IFERROR(__xludf.DUMMYFUNCTION("JOIN("" | "",'Team Stats'!I$13:K$13)"),"0 | 0 | 0")</f>
        <v>0 | 0 | 0</v>
      </c>
      <c r="L41" s="42" t="str">
        <f>IFERROR(__xludf.DUMMYFUNCTION("""COMPUTED_VALUE"""),"Breece Hall – NYJ")</f>
        <v>Breece Hall – NYJ</v>
      </c>
      <c r="M41" s="52">
        <f>IFERROR(VLOOKUP(L41,PlayerDB!$F$2:$G365,2,FALSE),"")</f>
        <v>183</v>
      </c>
      <c r="N41" s="42"/>
      <c r="O41" s="42"/>
      <c r="P41" s="42" t="str">
        <f>IFERROR(__xludf.DUMMYFUNCTION("""COMPUTED_VALUE"""),"Terry McLaurin – WAS")</f>
        <v>Terry McLaurin – WAS</v>
      </c>
      <c r="Q41" s="52">
        <f>IFERROR(VLOOKUP(P41,PlayerDB!$F$2:$G365,2,FALSE),"")</f>
        <v>160.9</v>
      </c>
    </row>
    <row r="42">
      <c r="A42" s="97"/>
      <c r="B42" s="34">
        <v>41.0</v>
      </c>
      <c r="C42" s="34" t="str">
        <f>'Teams &amp; Draft Order'!$C$18</f>
        <v>Nasty</v>
      </c>
      <c r="D42" s="35"/>
      <c r="E42" s="89" t="str">
        <f>IFERROR(VLOOKUP($D42,PlayerDB!$F$2:$G365,2,FALSE),"")</f>
        <v/>
      </c>
      <c r="F42" s="36" t="str">
        <f>IFERROR(VLOOKUP($D42,PlayerDB!$F$2:$H365,3,FALSE),"")</f>
        <v/>
      </c>
      <c r="G42" s="89" t="str">
        <f>IFERROR(VLOOKUP($D42,PlayerDB!$F$2:$I365,4,FALSE),"")</f>
        <v/>
      </c>
      <c r="H42" s="38"/>
      <c r="I42" s="92" t="str">
        <f>IFERROR(__xludf.DUMMYFUNCTION("JOIN("" | "",'Team Stats'!C$14:H$14)"),"0 | 0 | 0 | 0 | 0 | 0")</f>
        <v>0 | 0 | 0 | 0 | 0 | 0</v>
      </c>
      <c r="J42" s="62" t="str">
        <f>IFERROR(__xludf.DUMMYFUNCTION("JOIN("" | "",'Team Stats'!I$13:K$13)"),"0 | 0 | 0")</f>
        <v>0 | 0 | 0</v>
      </c>
      <c r="L42" s="42" t="str">
        <f>IFERROR(__xludf.DUMMYFUNCTION("""COMPUTED_VALUE"""),"Chuba Hubbard – CAR")</f>
        <v>Chuba Hubbard – CAR</v>
      </c>
      <c r="M42" s="52">
        <f>IFERROR(VLOOKUP(L42,PlayerDB!$F$2:$G365,2,FALSE),"")</f>
        <v>176</v>
      </c>
      <c r="N42" s="42"/>
      <c r="O42" s="42"/>
      <c r="P42" s="42" t="str">
        <f>IFERROR(__xludf.DUMMYFUNCTION("""COMPUTED_VALUE"""),"Davante Adams – LAR")</f>
        <v>Davante Adams – LAR</v>
      </c>
      <c r="Q42" s="52">
        <f>IFERROR(VLOOKUP(P42,PlayerDB!$F$2:$G365,2,FALSE),"")</f>
        <v>159.2</v>
      </c>
    </row>
    <row r="43">
      <c r="A43" s="96"/>
      <c r="B43" s="46">
        <v>42.0</v>
      </c>
      <c r="C43" s="46" t="str">
        <f>'Teams &amp; Draft Order'!$C$19</f>
        <v>Red Hammer</v>
      </c>
      <c r="D43" s="47"/>
      <c r="E43" s="93" t="str">
        <f>IFERROR(VLOOKUP($D43,PlayerDB!$F$2:$G365,2,FALSE),"")</f>
        <v/>
      </c>
      <c r="F43" s="57" t="str">
        <f>IFERROR(VLOOKUP($D43,PlayerDB!$F$2:$H365,3,FALSE),"")</f>
        <v/>
      </c>
      <c r="G43" s="93" t="str">
        <f>IFERROR(VLOOKUP($D43,PlayerDB!$F$2:$I365,4,FALSE),"")</f>
        <v/>
      </c>
      <c r="H43" s="38"/>
      <c r="I43" s="94" t="str">
        <f>IFERROR(__xludf.DUMMYFUNCTION("JOIN("" | "",'Team Stats'!C$15:H$15)"),"0 | 0 | 0 | 0 | 0 | 0")</f>
        <v>0 | 0 | 0 | 0 | 0 | 0</v>
      </c>
      <c r="J43" s="51" t="str">
        <f>IFERROR(__xludf.DUMMYFUNCTION("JOIN("" | "",'Team Stats'!I$12:K$12)"),"0 | 0 | 0")</f>
        <v>0 | 0 | 0</v>
      </c>
      <c r="L43" s="42" t="str">
        <f>IFERROR(__xludf.DUMMYFUNCTION("""COMPUTED_VALUE"""),"James Conner – ARI")</f>
        <v>James Conner – ARI</v>
      </c>
      <c r="M43" s="52">
        <f>IFERROR(VLOOKUP(L43,PlayerDB!$F$2:$G365,2,FALSE),"")</f>
        <v>177</v>
      </c>
      <c r="N43" s="42"/>
      <c r="O43" s="42"/>
      <c r="P43" s="42" t="str">
        <f>IFERROR(__xludf.DUMMYFUNCTION("""COMPUTED_VALUE"""),"Marvin Harrison Jr. – ARI")</f>
        <v>Marvin Harrison Jr. – ARI</v>
      </c>
      <c r="Q43" s="52">
        <f>IFERROR(VLOOKUP(P43,PlayerDB!$F$2:$G365,2,FALSE),"")</f>
        <v>154.5</v>
      </c>
    </row>
    <row r="44">
      <c r="A44" s="88" t="s">
        <v>116</v>
      </c>
      <c r="B44" s="73">
        <v>43.0</v>
      </c>
      <c r="C44" s="73" t="str">
        <f>'Teams &amp; Draft Order'!$C$19</f>
        <v>Red Hammer</v>
      </c>
      <c r="D44" s="74"/>
      <c r="E44" s="89" t="str">
        <f>IFERROR(VLOOKUP($D44,PlayerDB!$F$2:$G365,2,FALSE),"")</f>
        <v/>
      </c>
      <c r="F44" s="36" t="str">
        <f>IFERROR(VLOOKUP($D44,PlayerDB!$F$2:$H365,3,FALSE),"")</f>
        <v/>
      </c>
      <c r="G44" s="89" t="str">
        <f>IFERROR(VLOOKUP($D44,PlayerDB!$F$2:$I365,4,FALSE),"")</f>
        <v/>
      </c>
      <c r="H44" s="75"/>
      <c r="I44" s="95" t="str">
        <f>IFERROR(__xludf.DUMMYFUNCTION("JOIN("" | "",'Team Stats'!C$15:H$15)"),"0 | 0 | 0 | 0 | 0 | 0")</f>
        <v>0 | 0 | 0 | 0 | 0 | 0</v>
      </c>
      <c r="J44" s="40" t="str">
        <f>IFERROR(__xludf.DUMMYFUNCTION("JOIN("" | "",'Team Stats'!I$11:K$11)"),"0 | 0 | 0")</f>
        <v>0 | 0 | 0</v>
      </c>
      <c r="L44" s="42" t="str">
        <f>IFERROR(__xludf.DUMMYFUNCTION("""COMPUTED_VALUE"""),"Alvin Kamara – NO")</f>
        <v>Alvin Kamara – NO</v>
      </c>
      <c r="M44" s="52">
        <f>IFERROR(VLOOKUP(L44,PlayerDB!$F$2:$G365,2,FALSE),"")</f>
        <v>174</v>
      </c>
      <c r="N44" s="42"/>
      <c r="O44" s="42"/>
      <c r="P44" s="42" t="str">
        <f>IFERROR(__xludf.DUMMYFUNCTION("""COMPUTED_VALUE"""),"DK Metcalf – PIT")</f>
        <v>DK Metcalf – PIT</v>
      </c>
      <c r="Q44" s="52">
        <f>IFERROR(VLOOKUP(P44,PlayerDB!$F$2:$G365,2,FALSE),"")</f>
        <v>151.9</v>
      </c>
    </row>
    <row r="45">
      <c r="A45" s="96"/>
      <c r="B45" s="46">
        <v>44.0</v>
      </c>
      <c r="C45" s="46" t="str">
        <f>'Teams &amp; Draft Order'!$C$18</f>
        <v>Nasty</v>
      </c>
      <c r="D45" s="47"/>
      <c r="E45" s="91" t="str">
        <f>IFERROR(VLOOKUP($D45,PlayerDB!$F$2:$G365,2,FALSE),"")</f>
        <v/>
      </c>
      <c r="F45" s="48" t="str">
        <f>IFERROR(VLOOKUP($D45,PlayerDB!$F$2:$H365,3,FALSE),"")</f>
        <v/>
      </c>
      <c r="G45" s="91" t="str">
        <f>IFERROR(VLOOKUP($D45,PlayerDB!$F$2:$I365,4,FALSE),"")</f>
        <v/>
      </c>
      <c r="H45" s="38"/>
      <c r="I45" s="94" t="str">
        <f>IFERROR(__xludf.DUMMYFUNCTION("JOIN("" | "",'Team Stats'!C$14:H$14)"),"0 | 0 | 0 | 0 | 0 | 0")</f>
        <v>0 | 0 | 0 | 0 | 0 | 0</v>
      </c>
      <c r="J45" s="51" t="str">
        <f>IFERROR(__xludf.DUMMYFUNCTION("JOIN("" | "",'Team Stats'!I$10:K$10)"),"0 | 0 | 0")</f>
        <v>0 | 0 | 0</v>
      </c>
      <c r="L45" s="42" t="str">
        <f>IFERROR(__xludf.DUMMYFUNCTION("""COMPUTED_VALUE"""),"David Montgomery – DET")</f>
        <v>David Montgomery – DET</v>
      </c>
      <c r="M45" s="52">
        <f>IFERROR(VLOOKUP(L45,PlayerDB!$F$2:$G365,2,FALSE),"")</f>
        <v>159</v>
      </c>
      <c r="N45" s="42"/>
      <c r="O45" s="42"/>
      <c r="P45" s="42" t="str">
        <f>IFERROR(__xludf.DUMMYFUNCTION("""COMPUTED_VALUE"""),"Jaxon Smith-Njigba – SEA")</f>
        <v>Jaxon Smith-Njigba – SEA</v>
      </c>
      <c r="Q45" s="52">
        <f>IFERROR(VLOOKUP(P45,PlayerDB!$F$2:$G365,2,FALSE),"")</f>
        <v>151.5</v>
      </c>
    </row>
    <row r="46">
      <c r="A46" s="97"/>
      <c r="B46" s="34">
        <v>45.0</v>
      </c>
      <c r="C46" s="34" t="str">
        <f>'Teams &amp; Draft Order'!$C$17</f>
        <v>DD Riders</v>
      </c>
      <c r="D46" s="35"/>
      <c r="E46" s="89" t="str">
        <f>IFERROR(VLOOKUP($D46,PlayerDB!$F$2:$G365,2,FALSE),"")</f>
        <v/>
      </c>
      <c r="F46" s="36" t="str">
        <f>IFERROR(VLOOKUP($D46,PlayerDB!$F$2:$H365,3,FALSE),"")</f>
        <v/>
      </c>
      <c r="G46" s="89" t="str">
        <f>IFERROR(VLOOKUP($D46,PlayerDB!$F$2:$I365,4,FALSE),"")</f>
        <v/>
      </c>
      <c r="H46" s="38"/>
      <c r="I46" s="39" t="str">
        <f>IFERROR(__xludf.DUMMYFUNCTION("JOIN("" | "",'Team Stats'!C$13:H$13)"),"0 | 0 | 0 | 0 | 0 | 0")</f>
        <v>0 | 0 | 0 | 0 | 0 | 0</v>
      </c>
      <c r="J46" s="40" t="str">
        <f>IFERROR(__xludf.DUMMYFUNCTION("JOIN("" | "",'Team Stats'!I$9:K$9)"),"0 | 0 | 0")</f>
        <v>0 | 0 | 0</v>
      </c>
      <c r="L46" s="42" t="str">
        <f>IFERROR(__xludf.DUMMYFUNCTION("""COMPUTED_VALUE"""),"Isiah Pacheco – KC")</f>
        <v>Isiah Pacheco – KC</v>
      </c>
      <c r="M46" s="52">
        <f>IFERROR(VLOOKUP(L46,PlayerDB!$F$2:$G365,2,FALSE),"")</f>
        <v>146</v>
      </c>
      <c r="N46" s="42"/>
      <c r="O46" s="42"/>
      <c r="P46" s="42" t="str">
        <f>IFERROR(__xludf.DUMMYFUNCTION("""COMPUTED_VALUE"""),"Zay Flowers – BAL")</f>
        <v>Zay Flowers – BAL</v>
      </c>
      <c r="Q46" s="52">
        <f>IFERROR(VLOOKUP(P46,PlayerDB!$F$2:$G365,2,FALSE),"")</f>
        <v>145.2</v>
      </c>
    </row>
    <row r="47">
      <c r="A47" s="96"/>
      <c r="B47" s="46">
        <v>46.0</v>
      </c>
      <c r="C47" s="46" t="str">
        <f>'Teams &amp; Draft Order'!$C$16</f>
        <v>TDs and Beers</v>
      </c>
      <c r="D47" s="47"/>
      <c r="E47" s="91" t="str">
        <f>IFERROR(VLOOKUP($D47,PlayerDB!$F$2:$G365,2,FALSE),"")</f>
        <v/>
      </c>
      <c r="F47" s="48" t="str">
        <f>IFERROR(VLOOKUP($D47,PlayerDB!$F$2:$H365,3,FALSE),"")</f>
        <v/>
      </c>
      <c r="G47" s="91" t="str">
        <f>IFERROR(VLOOKUP($D47,PlayerDB!$F$2:$I365,4,FALSE),"")</f>
        <v/>
      </c>
      <c r="H47" s="38"/>
      <c r="I47" s="50" t="str">
        <f>IFERROR(__xludf.DUMMYFUNCTION("JOIN("" | "",'Team Stats'!C$12:H$12)"),"0 | 0 | 0 | 0 | 0 | 0")</f>
        <v>0 | 0 | 0 | 0 | 0 | 0</v>
      </c>
      <c r="J47" s="51" t="str">
        <f>IFERROR(__xludf.DUMMYFUNCTION("JOIN("" | "",'Team Stats'!I$8:K$8)"),"0 | 0 | 0")</f>
        <v>0 | 0 | 0</v>
      </c>
      <c r="L47" s="42"/>
      <c r="M47" s="63"/>
      <c r="N47" s="42"/>
      <c r="O47" s="42"/>
      <c r="P47" s="42"/>
      <c r="Q47" s="63"/>
    </row>
    <row r="48">
      <c r="A48" s="97"/>
      <c r="B48" s="34">
        <v>47.0</v>
      </c>
      <c r="C48" s="34" t="str">
        <f>'Teams &amp; Draft Order'!$C$15</f>
        <v>Daddy's Dogs</v>
      </c>
      <c r="D48" s="35"/>
      <c r="E48" s="89" t="str">
        <f>IFERROR(VLOOKUP($D48,PlayerDB!$F$2:$G365,2,FALSE),"")</f>
        <v/>
      </c>
      <c r="F48" s="36" t="str">
        <f>IFERROR(VLOOKUP($D48,PlayerDB!$F$2:$H365,3,FALSE),"")</f>
        <v/>
      </c>
      <c r="G48" s="89" t="str">
        <f>IFERROR(VLOOKUP($D48,PlayerDB!$F$2:$I365,4,FALSE),"")</f>
        <v/>
      </c>
      <c r="H48" s="38"/>
      <c r="I48" s="39" t="str">
        <f>IFERROR(__xludf.DUMMYFUNCTION("JOIN("" | "",'Team Stats'!C$11:H$11)"),"0 | 0 | 0 | 0 | 0 | 0")</f>
        <v>0 | 0 | 0 | 0 | 0 | 0</v>
      </c>
      <c r="J48" s="40" t="str">
        <f>IFERROR(__xludf.DUMMYFUNCTION("JOIN("" | "",'Team Stats'!I$7:K$7)"),"0 | 0 | 0")</f>
        <v>0 | 0 | 0</v>
      </c>
      <c r="L48" s="42"/>
      <c r="M48" s="42"/>
      <c r="N48" s="42"/>
      <c r="O48" s="42"/>
      <c r="P48" s="42"/>
      <c r="Q48" s="42"/>
    </row>
    <row r="49">
      <c r="A49" s="96"/>
      <c r="B49" s="46">
        <v>48.0</v>
      </c>
      <c r="C49" s="46" t="str">
        <f>'Teams &amp; Draft Order'!$C$14</f>
        <v>Achaians</v>
      </c>
      <c r="D49" s="47"/>
      <c r="E49" s="91" t="str">
        <f>IFERROR(VLOOKUP($D49,PlayerDB!$F$2:$G365,2,FALSE),"")</f>
        <v/>
      </c>
      <c r="F49" s="48" t="str">
        <f>IFERROR(VLOOKUP($D49,PlayerDB!$F$2:$H365,3,FALSE),"")</f>
        <v/>
      </c>
      <c r="G49" s="91" t="str">
        <f>IFERROR(VLOOKUP($D49,PlayerDB!$F$2:$I365,4,FALSE),"")</f>
        <v/>
      </c>
      <c r="H49" s="38"/>
      <c r="I49" s="50" t="str">
        <f>IFERROR(__xludf.DUMMYFUNCTION("JOIN("" | "",'Team Stats'!C$10:H$10)"),"0 | 0 | 0 | 0 | 0 | 0")</f>
        <v>0 | 0 | 0 | 0 | 0 | 0</v>
      </c>
      <c r="J49" s="51" t="str">
        <f>IFERROR(__xludf.DUMMYFUNCTION("JOIN("" | "",'Team Stats'!I$6:K$6)"),"0 | 0 | 0")</f>
        <v>0 | 0 | 0</v>
      </c>
      <c r="L49" s="42"/>
      <c r="M49" s="42"/>
      <c r="N49" s="42"/>
      <c r="O49" s="42"/>
      <c r="P49" s="42"/>
      <c r="Q49" s="42"/>
    </row>
    <row r="50">
      <c r="A50" s="97"/>
      <c r="B50" s="34">
        <v>49.0</v>
      </c>
      <c r="C50" s="34" t="str">
        <f>'Teams &amp; Draft Order'!$C$13</f>
        <v>Luddite</v>
      </c>
      <c r="D50" s="35"/>
      <c r="E50" s="89" t="str">
        <f>IFERROR(VLOOKUP($D50,PlayerDB!$F$2:$G365,2,FALSE),"")</f>
        <v/>
      </c>
      <c r="F50" s="36" t="str">
        <f>IFERROR(VLOOKUP($D50,PlayerDB!$F$2:$H365,3,FALSE),"")</f>
        <v/>
      </c>
      <c r="G50" s="89" t="str">
        <f>IFERROR(VLOOKUP($D50,PlayerDB!$F$2:$I365,4,FALSE),"")</f>
        <v/>
      </c>
      <c r="H50" s="38"/>
      <c r="I50" s="39" t="str">
        <f>IFERROR(__xludf.DUMMYFUNCTION("JOIN("" | "",'Team Stats'!C$9:H$9)"),"0 | 0 | 0 | 0 | 0 | 0")</f>
        <v>0 | 0 | 0 | 0 | 0 | 0</v>
      </c>
      <c r="J50" s="40" t="str">
        <f>IFERROR(__xludf.DUMMYFUNCTION("JOIN("" | "",'Team Stats'!I$5:K$5)"),"0 | 0 | 0")</f>
        <v>0 | 0 | 0</v>
      </c>
      <c r="L50" s="68" t="s">
        <v>39</v>
      </c>
      <c r="M50" s="44">
        <f>COUNTIF(F:F,"TE")</f>
        <v>0</v>
      </c>
      <c r="N50" s="42"/>
      <c r="O50" s="42"/>
      <c r="P50" s="69" t="s">
        <v>40</v>
      </c>
      <c r="Q50" s="44">
        <f>COUNTIF(F:F,"K")</f>
        <v>0</v>
      </c>
    </row>
    <row r="51">
      <c r="A51" s="96"/>
      <c r="B51" s="46">
        <v>50.0</v>
      </c>
      <c r="C51" s="46" t="str">
        <f>'Teams &amp; Draft Order'!$C$12</f>
        <v>Turbo-Ginz</v>
      </c>
      <c r="D51" s="47"/>
      <c r="E51" s="91" t="str">
        <f>IFERROR(VLOOKUP($D51,PlayerDB!$F$2:$G365,2,FALSE),"")</f>
        <v/>
      </c>
      <c r="F51" s="48" t="str">
        <f>IFERROR(VLOOKUP($D51,PlayerDB!$F$2:$H365,3,FALSE),"")</f>
        <v/>
      </c>
      <c r="G51" s="91" t="str">
        <f>IFERROR(VLOOKUP($D51,PlayerDB!$F$2:$I365,4,FALSE),"")</f>
        <v/>
      </c>
      <c r="H51" s="38"/>
      <c r="I51" s="50" t="str">
        <f>IFERROR(__xludf.DUMMYFUNCTION("JOIN("" | "",'Team Stats'!C$8:H$8)"),"0 | 0 | 0 | 0 | 0 | 0")</f>
        <v>0 | 0 | 0 | 0 | 0 | 0</v>
      </c>
      <c r="J51" s="51" t="str">
        <f>IFERROR(__xludf.DUMMYFUNCTION("JOIN("" | "",'Team Stats'!I$4:K$4)"),"0 | 0 | 0")</f>
        <v>0 | 0 | 0</v>
      </c>
      <c r="L51" s="67" t="str">
        <f>IFERROR(__xludf.DUMMYFUNCTION("QUERY(HELP_PlayersLeft!A2:B365, ""select A where B ='TE' LIMIT 20"")"),"Brock Bowers – LV")</f>
        <v>Brock Bowers – LV</v>
      </c>
      <c r="M51" s="52">
        <f>IFERROR(VLOOKUP(L51,PlayerDB!$F$2:$G365,2,FALSE),"")</f>
        <v>149.7</v>
      </c>
      <c r="N51" s="42"/>
      <c r="O51" s="42"/>
      <c r="P51" s="42" t="str">
        <f>IFERROR(__xludf.DUMMYFUNCTION("QUERY(HELP_PlayersLeft!A2:B365, ""select A where B ='K' LIMIT 20"")"),"Brandon Aubrey – DAL")</f>
        <v>Brandon Aubrey – DAL</v>
      </c>
      <c r="Q51" s="52">
        <f>IFERROR(VLOOKUP(P51,PlayerDB!$F$2:$G365,2,FALSE),"")</f>
        <v>140</v>
      </c>
    </row>
    <row r="52">
      <c r="A52" s="97"/>
      <c r="B52" s="34">
        <v>51.0</v>
      </c>
      <c r="C52" s="34" t="str">
        <f>'Teams &amp; Draft Order'!$C$11</f>
        <v>Big Boys Big Work</v>
      </c>
      <c r="D52" s="35"/>
      <c r="E52" s="89" t="str">
        <f>IFERROR(VLOOKUP($D52,PlayerDB!$F$2:$G365,2,FALSE),"")</f>
        <v/>
      </c>
      <c r="F52" s="36" t="str">
        <f>IFERROR(VLOOKUP($D52,PlayerDB!$F$2:$H365,3,FALSE),"")</f>
        <v/>
      </c>
      <c r="G52" s="89" t="str">
        <f>IFERROR(VLOOKUP($D52,PlayerDB!$F$2:$I365,4,FALSE),"")</f>
        <v/>
      </c>
      <c r="H52" s="38"/>
      <c r="I52" s="39" t="str">
        <f>IFERROR(__xludf.DUMMYFUNCTION("JOIN("" | "",'Team Stats'!C$7:H$7)"),"0 | 0 | 0 | 0 | 0 | 0")</f>
        <v>0 | 0 | 0 | 0 | 0 | 0</v>
      </c>
      <c r="J52" s="40" t="str">
        <f>IFERROR(__xludf.DUMMYFUNCTION("JOIN("" | "",'Team Stats'!I$3:K$3)"),"0 | 0 | 0")</f>
        <v>0 | 0 | 0</v>
      </c>
      <c r="L52" s="20" t="str">
        <f>IFERROR(__xludf.DUMMYFUNCTION("""COMPUTED_VALUE"""),"George Kittle – SF")</f>
        <v>George Kittle – SF</v>
      </c>
      <c r="M52" s="52">
        <f>IFERROR(VLOOKUP(L52,PlayerDB!$F$2:$G365,2,FALSE),"")</f>
        <v>147.6</v>
      </c>
      <c r="N52" s="42"/>
      <c r="O52" s="42"/>
      <c r="P52" s="20" t="str">
        <f>IFERROR(__xludf.DUMMYFUNCTION("""COMPUTED_VALUE"""),"Chase McLaughlin – TB")</f>
        <v>Chase McLaughlin – TB</v>
      </c>
      <c r="Q52" s="52">
        <f>IFERROR(VLOOKUP(P52,PlayerDB!$F$2:$G365,2,FALSE),"")</f>
        <v>136</v>
      </c>
    </row>
    <row r="53">
      <c r="A53" s="96"/>
      <c r="B53" s="46">
        <v>52.0</v>
      </c>
      <c r="C53" s="46" t="str">
        <f>'Teams &amp; Draft Order'!$C$10</f>
        <v>Buttheads</v>
      </c>
      <c r="D53" s="47"/>
      <c r="E53" s="91" t="str">
        <f>IFERROR(VLOOKUP($D53,PlayerDB!$F$2:$G365,2,FALSE),"")</f>
        <v/>
      </c>
      <c r="F53" s="48" t="str">
        <f>IFERROR(VLOOKUP($D53,PlayerDB!$F$2:$H365,3,FALSE),"")</f>
        <v/>
      </c>
      <c r="G53" s="91" t="str">
        <f>IFERROR(VLOOKUP($D53,PlayerDB!$F$2:$I365,4,FALSE),"")</f>
        <v/>
      </c>
      <c r="H53" s="38"/>
      <c r="I53" s="50" t="str">
        <f>IFERROR(__xludf.DUMMYFUNCTION("JOIN("" | "",'Team Stats'!C$6:H$6)"),"0 | 0 | 0 | 0 | 0 | 0")</f>
        <v>0 | 0 | 0 | 0 | 0 | 0</v>
      </c>
      <c r="J53" s="64" t="str">
        <f>IFERROR(__xludf.DUMMYFUNCTION("JOIN("" | "",'Team Stats'!I$2:K$2)"),"0 | 0 | 0")</f>
        <v>0 | 0 | 0</v>
      </c>
      <c r="L53" s="42" t="str">
        <f>IFERROR(__xludf.DUMMYFUNCTION("""COMPUTED_VALUE"""),"Trey McBride – ARI")</f>
        <v>Trey McBride – ARI</v>
      </c>
      <c r="M53" s="52">
        <f>IFERROR(VLOOKUP(L53,PlayerDB!$F$2:$G365,2,FALSE),"")</f>
        <v>139.4</v>
      </c>
      <c r="N53" s="42"/>
      <c r="O53" s="42"/>
      <c r="P53" s="42" t="str">
        <f>IFERROR(__xludf.DUMMYFUNCTION("""COMPUTED_VALUE"""),"Cameron Dicker – LAC")</f>
        <v>Cameron Dicker – LAC</v>
      </c>
      <c r="Q53" s="52">
        <f>IFERROR(VLOOKUP(P53,PlayerDB!$F$2:$G365,2,FALSE),"")</f>
        <v>135</v>
      </c>
    </row>
    <row r="54">
      <c r="A54" s="97"/>
      <c r="B54" s="34">
        <v>53.0</v>
      </c>
      <c r="C54" s="34" t="str">
        <f>'Teams &amp; Draft Order'!$C$9</f>
        <v>El Nino</v>
      </c>
      <c r="D54" s="35"/>
      <c r="E54" s="89" t="str">
        <f>IFERROR(VLOOKUP($D54,PlayerDB!$F$2:$G365,2,FALSE),"")</f>
        <v/>
      </c>
      <c r="F54" s="36" t="str">
        <f>IFERROR(VLOOKUP($D54,PlayerDB!$F$2:$H365,3,FALSE),"")</f>
        <v/>
      </c>
      <c r="G54" s="89" t="str">
        <f>IFERROR(VLOOKUP($D54,PlayerDB!$F$2:$I365,4,FALSE),"")</f>
        <v/>
      </c>
      <c r="H54" s="38"/>
      <c r="I54" s="39" t="str">
        <f>IFERROR(__xludf.DUMMYFUNCTION("JOIN("" | "",'Team Stats'!C$5:H$5)"),"0 | 0 | 0 | 0 | 0 | 0")</f>
        <v>0 | 0 | 0 | 0 | 0 | 0</v>
      </c>
      <c r="J54" s="40" t="str">
        <f>IFERROR(__xludf.DUMMYFUNCTION("JOIN("" | "",'Team Stats'!I$2:K$2)"),"0 | 0 | 0")</f>
        <v>0 | 0 | 0</v>
      </c>
      <c r="L54" s="42" t="str">
        <f>IFERROR(__xludf.DUMMYFUNCTION("""COMPUTED_VALUE"""),"Mark Andrews – BAL")</f>
        <v>Mark Andrews – BAL</v>
      </c>
      <c r="M54" s="52">
        <f>IFERROR(VLOOKUP(L54,PlayerDB!$F$2:$G365,2,FALSE),"")</f>
        <v>117.3</v>
      </c>
      <c r="N54" s="42"/>
      <c r="O54" s="42"/>
      <c r="P54" s="42" t="str">
        <f>IFERROR(__xludf.DUMMYFUNCTION("""COMPUTED_VALUE"""),"Jake Elliott – PHI")</f>
        <v>Jake Elliott – PHI</v>
      </c>
      <c r="Q54" s="52">
        <f>IFERROR(VLOOKUP(P54,PlayerDB!$F$2:$G365,2,FALSE),"")</f>
        <v>134</v>
      </c>
    </row>
    <row r="55">
      <c r="A55" s="96"/>
      <c r="B55" s="46">
        <v>54.0</v>
      </c>
      <c r="C55" s="46" t="str">
        <f>'Teams &amp; Draft Order'!$C$8</f>
        <v>Icelanders</v>
      </c>
      <c r="D55" s="47"/>
      <c r="E55" s="91" t="str">
        <f>IFERROR(VLOOKUP($D55,PlayerDB!$F$2:$G365,2,FALSE),"")</f>
        <v/>
      </c>
      <c r="F55" s="48" t="str">
        <f>IFERROR(VLOOKUP($D55,PlayerDB!$F$2:$H365,3,FALSE),"")</f>
        <v/>
      </c>
      <c r="G55" s="91" t="str">
        <f>IFERROR(VLOOKUP($D55,PlayerDB!$F$2:$I365,4,FALSE),"")</f>
        <v/>
      </c>
      <c r="H55" s="38"/>
      <c r="I55" s="50" t="str">
        <f>IFERROR(__xludf.DUMMYFUNCTION("JOIN("" | "",'Team Stats'!C$4:H$4)"),"0 | 0 | 0 | 0 | 0 | 0")</f>
        <v>0 | 0 | 0 | 0 | 0 | 0</v>
      </c>
      <c r="J55" s="51" t="str">
        <f>IFERROR(__xludf.DUMMYFUNCTION("JOIN("" | "",'Team Stats'!I$3:K$3)"),"0 | 0 | 0")</f>
        <v>0 | 0 | 0</v>
      </c>
      <c r="L55" s="42" t="str">
        <f>IFERROR(__xludf.DUMMYFUNCTION("""COMPUTED_VALUE"""),"Sam LaPorta – DET")</f>
        <v>Sam LaPorta – DET</v>
      </c>
      <c r="M55" s="52">
        <f>IFERROR(VLOOKUP(L55,PlayerDB!$F$2:$G365,2,FALSE),"")</f>
        <v>115.6</v>
      </c>
      <c r="N55" s="42"/>
      <c r="O55" s="42"/>
      <c r="P55" s="42" t="str">
        <f>IFERROR(__xludf.DUMMYFUNCTION("""COMPUTED_VALUE"""),"Matt Gay – WAS")</f>
        <v>Matt Gay – WAS</v>
      </c>
      <c r="Q55" s="52">
        <f>IFERROR(VLOOKUP(P55,PlayerDB!$F$2:$G365,2,FALSE),"")</f>
        <v>134</v>
      </c>
    </row>
    <row r="56">
      <c r="A56" s="97"/>
      <c r="B56" s="34">
        <v>55.0</v>
      </c>
      <c r="C56" s="34" t="str">
        <f>'Teams &amp; Draft Order'!$C$7</f>
        <v>Phantasm</v>
      </c>
      <c r="D56" s="35"/>
      <c r="E56" s="89" t="str">
        <f>IFERROR(VLOOKUP($D56,PlayerDB!$F$2:$G365,2,FALSE),"")</f>
        <v/>
      </c>
      <c r="F56" s="36" t="str">
        <f>IFERROR(VLOOKUP($D56,PlayerDB!$F$2:$H365,3,FALSE),"")</f>
        <v/>
      </c>
      <c r="G56" s="89" t="str">
        <f>IFERROR(VLOOKUP($D56,PlayerDB!$F$2:$I365,4,FALSE),"")</f>
        <v/>
      </c>
      <c r="H56" s="38"/>
      <c r="I56" s="39" t="str">
        <f>IFERROR(__xludf.DUMMYFUNCTION("JOIN("" | "",'Team Stats'!C$3:H$3)"),"0 | 0 | 0 | 0 | 0 | 0")</f>
        <v>0 | 0 | 0 | 0 | 0 | 0</v>
      </c>
      <c r="J56" s="40" t="str">
        <f>IFERROR(__xludf.DUMMYFUNCTION("JOIN("" | "",'Team Stats'!I$4:K$4)"),"0 | 0 | 0")</f>
        <v>0 | 0 | 0</v>
      </c>
      <c r="L56" s="42" t="str">
        <f>IFERROR(__xludf.DUMMYFUNCTION("""COMPUTED_VALUE"""),"T.J. Hockenson – MIN")</f>
        <v>T.J. Hockenson – MIN</v>
      </c>
      <c r="M56" s="52">
        <f>IFERROR(VLOOKUP(L56,PlayerDB!$F$2:$G365,2,FALSE),"")</f>
        <v>106.5</v>
      </c>
      <c r="N56" s="42"/>
      <c r="O56" s="42"/>
      <c r="P56" s="42" t="str">
        <f>IFERROR(__xludf.DUMMYFUNCTION("""COMPUTED_VALUE"""),"Jake Bates – DET")</f>
        <v>Jake Bates – DET</v>
      </c>
      <c r="Q56" s="52">
        <f>IFERROR(VLOOKUP(P56,PlayerDB!$F$2:$G365,2,FALSE),"")</f>
        <v>132</v>
      </c>
    </row>
    <row r="57">
      <c r="A57" s="99"/>
      <c r="B57" s="55">
        <v>56.0</v>
      </c>
      <c r="C57" s="55" t="str">
        <f>'Teams &amp; Draft Order'!$C$6</f>
        <v>Sleeper Cell </v>
      </c>
      <c r="D57" s="56"/>
      <c r="E57" s="93" t="str">
        <f>IFERROR(VLOOKUP($D57,PlayerDB!$F$2:$G365,2,FALSE),"")</f>
        <v/>
      </c>
      <c r="F57" s="57" t="str">
        <f>IFERROR(VLOOKUP($D57,PlayerDB!$F$2:$H365,3,FALSE),"")</f>
        <v/>
      </c>
      <c r="G57" s="93" t="str">
        <f>IFERROR(VLOOKUP($D57,PlayerDB!$F$2:$I365,4,FALSE),"")</f>
        <v/>
      </c>
      <c r="H57" s="59"/>
      <c r="I57" s="60" t="str">
        <f>IFERROR(__xludf.DUMMYFUNCTION("JOIN("" | "",'Team Stats'!C$2:H$2)"),"1 | 0 | 0 | 0 | 0 | 0")</f>
        <v>1 | 0 | 0 | 0 | 0 | 0</v>
      </c>
      <c r="J57" s="51" t="str">
        <f>IFERROR(__xludf.DUMMYFUNCTION("JOIN("" | "",'Team Stats'!I$5:K$5)"),"0 | 0 | 0")</f>
        <v>0 | 0 | 0</v>
      </c>
      <c r="L57" s="42" t="str">
        <f>IFERROR(__xludf.DUMMYFUNCTION("""COMPUTED_VALUE"""),"Travis Kelce – KC")</f>
        <v>Travis Kelce – KC</v>
      </c>
      <c r="M57" s="52">
        <f>IFERROR(VLOOKUP(L57,PlayerDB!$F$2:$G365,2,FALSE),"")</f>
        <v>105.9</v>
      </c>
      <c r="N57" s="42"/>
      <c r="O57" s="42"/>
      <c r="P57" s="42" t="str">
        <f>IFERROR(__xludf.DUMMYFUNCTION("""COMPUTED_VALUE"""),"Chris Boswell – PIT")</f>
        <v>Chris Boswell – PIT</v>
      </c>
      <c r="Q57" s="52">
        <f>IFERROR(VLOOKUP(P57,PlayerDB!$F$2:$G365,2,FALSE),"")</f>
        <v>132</v>
      </c>
    </row>
    <row r="58">
      <c r="A58" s="88" t="s">
        <v>117</v>
      </c>
      <c r="B58" s="73">
        <v>57.0</v>
      </c>
      <c r="C58" s="73" t="str">
        <f>'Teams &amp; Draft Order'!$C$6</f>
        <v>Sleeper Cell </v>
      </c>
      <c r="D58" s="74"/>
      <c r="E58" s="89" t="str">
        <f>IFERROR(VLOOKUP($D58,PlayerDB!$F$2:$G365,2,FALSE),"")</f>
        <v/>
      </c>
      <c r="F58" s="36" t="str">
        <f>IFERROR(VLOOKUP($D58,PlayerDB!$F$2:$H365,3,FALSE),"")</f>
        <v/>
      </c>
      <c r="G58" s="89" t="str">
        <f>IFERROR(VLOOKUP($D58,PlayerDB!$F$2:$I365,4,FALSE),"")</f>
        <v/>
      </c>
      <c r="H58" s="75"/>
      <c r="I58" s="76" t="str">
        <f>IFERROR(__xludf.DUMMYFUNCTION("JOIN("" | "",'Team Stats'!C$2:H$2)"),"1 | 0 | 0 | 0 | 0 | 0")</f>
        <v>1 | 0 | 0 | 0 | 0 | 0</v>
      </c>
      <c r="J58" s="40" t="str">
        <f>IFERROR(__xludf.DUMMYFUNCTION("JOIN("" | "",'Team Stats'!I$6:K$6)"),"0 | 0 | 0")</f>
        <v>0 | 0 | 0</v>
      </c>
      <c r="L58" s="42" t="str">
        <f>IFERROR(__xludf.DUMMYFUNCTION("""COMPUTED_VALUE"""),"David Njoku – CLE")</f>
        <v>David Njoku – CLE</v>
      </c>
      <c r="M58" s="52">
        <f>IFERROR(VLOOKUP(L58,PlayerDB!$F$2:$G365,2,FALSE),"")</f>
        <v>101.1</v>
      </c>
      <c r="N58" s="42"/>
      <c r="O58" s="42"/>
      <c r="P58" s="42" t="str">
        <f>IFERROR(__xludf.DUMMYFUNCTION("""COMPUTED_VALUE"""),"Tyler Loop – BAL")</f>
        <v>Tyler Loop – BAL</v>
      </c>
      <c r="Q58" s="52">
        <f>IFERROR(VLOOKUP(P58,PlayerDB!$F$2:$G365,2,FALSE),"")</f>
        <v>130</v>
      </c>
    </row>
    <row r="59">
      <c r="A59" s="96"/>
      <c r="B59" s="46">
        <v>58.0</v>
      </c>
      <c r="C59" s="46" t="s">
        <v>60</v>
      </c>
      <c r="D59" s="47"/>
      <c r="E59" s="91" t="str">
        <f>IFERROR(VLOOKUP($D59,PlayerDB!$F$2:$G365,2,FALSE),"")</f>
        <v/>
      </c>
      <c r="F59" s="48" t="str">
        <f>IFERROR(VLOOKUP($D59,PlayerDB!$F$2:$H365,3,FALSE),"")</f>
        <v/>
      </c>
      <c r="G59" s="91" t="str">
        <f>IFERROR(VLOOKUP($D59,PlayerDB!$F$2:$I365,4,FALSE),"")</f>
        <v/>
      </c>
      <c r="H59" s="38"/>
      <c r="I59" s="50" t="str">
        <f>IFERROR(__xludf.DUMMYFUNCTION("JOIN("" | "",'Team Stats'!C$3:H$3)"),"0 | 0 | 0 | 0 | 0 | 0")</f>
        <v>0 | 0 | 0 | 0 | 0 | 0</v>
      </c>
      <c r="J59" s="51" t="str">
        <f>IFERROR(__xludf.DUMMYFUNCTION("JOIN("" | "",'Team Stats'!I$7:K$7)"),"0 | 0 | 0")</f>
        <v>0 | 0 | 0</v>
      </c>
      <c r="L59" s="42" t="str">
        <f>IFERROR(__xludf.DUMMYFUNCTION("""COMPUTED_VALUE"""),"Tucker Kraft – GB")</f>
        <v>Tucker Kraft – GB</v>
      </c>
      <c r="M59" s="52">
        <f>IFERROR(VLOOKUP(L59,PlayerDB!$F$2:$G365,2,FALSE),"")</f>
        <v>92.6</v>
      </c>
      <c r="N59" s="42"/>
      <c r="O59" s="42"/>
      <c r="P59" s="42" t="str">
        <f>IFERROR(__xludf.DUMMYFUNCTION("""COMPUTED_VALUE"""),"Daniel Carlson – LV")</f>
        <v>Daniel Carlson – LV</v>
      </c>
      <c r="Q59" s="52">
        <f>IFERROR(VLOOKUP(P59,PlayerDB!$F$2:$G365,2,FALSE),"")</f>
        <v>129</v>
      </c>
    </row>
    <row r="60">
      <c r="A60" s="97"/>
      <c r="B60" s="34">
        <v>59.0</v>
      </c>
      <c r="C60" s="34" t="s">
        <v>60</v>
      </c>
      <c r="D60" s="35"/>
      <c r="E60" s="89" t="str">
        <f>IFERROR(VLOOKUP($D60,PlayerDB!$F$2:$G365,2,FALSE),"")</f>
        <v/>
      </c>
      <c r="F60" s="36" t="str">
        <f>IFERROR(VLOOKUP($D60,PlayerDB!$F$2:$H365,3,FALSE),"")</f>
        <v/>
      </c>
      <c r="G60" s="89" t="str">
        <f>IFERROR(VLOOKUP($D60,PlayerDB!$F$2:$I365,4,FALSE),"")</f>
        <v/>
      </c>
      <c r="H60" s="38"/>
      <c r="I60" s="39" t="str">
        <f>IFERROR(__xludf.DUMMYFUNCTION("JOIN("" | "",'Team Stats'!C$4:H$4)"),"0 | 0 | 0 | 0 | 0 | 0")</f>
        <v>0 | 0 | 0 | 0 | 0 | 0</v>
      </c>
      <c r="J60" s="40" t="str">
        <f>IFERROR(__xludf.DUMMYFUNCTION("JOIN("" | "",'Team Stats'!I$8:K$8)"),"0 | 0 | 0")</f>
        <v>0 | 0 | 0</v>
      </c>
      <c r="L60" s="42" t="str">
        <f>IFERROR(__xludf.DUMMYFUNCTION("""COMPUTED_VALUE"""),"Tyler Warren – IND")</f>
        <v>Tyler Warren – IND</v>
      </c>
      <c r="M60" s="52">
        <f>IFERROR(VLOOKUP(L60,PlayerDB!$F$2:$G365,2,FALSE),"")</f>
        <v>88.7</v>
      </c>
      <c r="N60" s="42"/>
      <c r="O60" s="42"/>
      <c r="P60" s="42" t="str">
        <f>IFERROR(__xludf.DUMMYFUNCTION("""COMPUTED_VALUE"""),"Ka’imi Fairbairn – HOU")</f>
        <v>Ka’imi Fairbairn – HOU</v>
      </c>
      <c r="Q60" s="52">
        <f>IFERROR(VLOOKUP(P60,PlayerDB!$F$2:$G365,2,FALSE),"")</f>
        <v>128</v>
      </c>
    </row>
    <row r="61">
      <c r="A61" s="96"/>
      <c r="B61" s="46">
        <v>60.0</v>
      </c>
      <c r="C61" s="46" t="str">
        <f>'Teams &amp; Draft Order'!$C$9</f>
        <v>El Nino</v>
      </c>
      <c r="D61" s="47"/>
      <c r="E61" s="91" t="str">
        <f>IFERROR(VLOOKUP($D61,PlayerDB!$F$2:$G365,2,FALSE),"")</f>
        <v/>
      </c>
      <c r="F61" s="48" t="str">
        <f>IFERROR(VLOOKUP($D61,PlayerDB!$F$2:$H365,3,FALSE),"")</f>
        <v/>
      </c>
      <c r="G61" s="91" t="str">
        <f>IFERROR(VLOOKUP($D61,PlayerDB!$F$2:$I365,4,FALSE),"")</f>
        <v/>
      </c>
      <c r="H61" s="38"/>
      <c r="I61" s="50" t="str">
        <f>IFERROR(__xludf.DUMMYFUNCTION("JOIN("" | "",'Team Stats'!C$5:H$5)"),"0 | 0 | 0 | 0 | 0 | 0")</f>
        <v>0 | 0 | 0 | 0 | 0 | 0</v>
      </c>
      <c r="J61" s="51" t="str">
        <f>IFERROR(__xludf.DUMMYFUNCTION("JOIN("" | "",'Team Stats'!I$9:K$9)"),"0 | 0 | 0")</f>
        <v>0 | 0 | 0</v>
      </c>
      <c r="L61" s="42" t="str">
        <f>IFERROR(__xludf.DUMMYFUNCTION("""COMPUTED_VALUE"""),"Dallas Goedert – PHI")</f>
        <v>Dallas Goedert – PHI</v>
      </c>
      <c r="M61" s="52">
        <f>IFERROR(VLOOKUP(L61,PlayerDB!$F$2:$G365,2,FALSE),"")</f>
        <v>85.8</v>
      </c>
      <c r="N61" s="42"/>
      <c r="O61" s="42"/>
      <c r="P61" s="42" t="str">
        <f>IFERROR(__xludf.DUMMYFUNCTION("""COMPUTED_VALUE"""),"Evan McPherson – CIN")</f>
        <v>Evan McPherson – CIN</v>
      </c>
      <c r="Q61" s="52">
        <f>IFERROR(VLOOKUP(P61,PlayerDB!$F$2:$G365,2,FALSE),"")</f>
        <v>127</v>
      </c>
    </row>
    <row r="62">
      <c r="A62" s="97"/>
      <c r="B62" s="34">
        <v>61.0</v>
      </c>
      <c r="C62" s="34" t="str">
        <f>'Teams &amp; Draft Order'!$C$10</f>
        <v>Buttheads</v>
      </c>
      <c r="D62" s="35"/>
      <c r="E62" s="89" t="str">
        <f>IFERROR(VLOOKUP($D62,PlayerDB!$F$2:$G365,2,FALSE),"")</f>
        <v/>
      </c>
      <c r="F62" s="36" t="str">
        <f>IFERROR(VLOOKUP($D62,PlayerDB!$F$2:$H365,3,FALSE),"")</f>
        <v/>
      </c>
      <c r="G62" s="89" t="str">
        <f>IFERROR(VLOOKUP($D62,PlayerDB!$F$2:$I365,4,FALSE),"")</f>
        <v/>
      </c>
      <c r="H62" s="38"/>
      <c r="I62" s="39" t="str">
        <f>IFERROR(__xludf.DUMMYFUNCTION("JOIN("" | "",'Team Stats'!C$6:H$6)"),"0 | 0 | 0 | 0 | 0 | 0")</f>
        <v>0 | 0 | 0 | 0 | 0 | 0</v>
      </c>
      <c r="J62" s="40" t="str">
        <f>IFERROR(__xludf.DUMMYFUNCTION("JOIN("" | "",'Team Stats'!I$10:K$10)"),"0 | 0 | 0")</f>
        <v>0 | 0 | 0</v>
      </c>
      <c r="L62" s="42" t="str">
        <f>IFERROR(__xludf.DUMMYFUNCTION("""COMPUTED_VALUE"""),"Zach Ertz – WAS")</f>
        <v>Zach Ertz – WAS</v>
      </c>
      <c r="M62" s="52">
        <f>IFERROR(VLOOKUP(L62,PlayerDB!$F$2:$G365,2,FALSE),"")</f>
        <v>84.2</v>
      </c>
      <c r="N62" s="42"/>
      <c r="O62" s="42"/>
      <c r="P62" s="42" t="str">
        <f>IFERROR(__xludf.DUMMYFUNCTION("""COMPUTED_VALUE"""),"Tyler Bass – BUF")</f>
        <v>Tyler Bass – BUF</v>
      </c>
      <c r="Q62" s="52">
        <f>IFERROR(VLOOKUP(P62,PlayerDB!$F$2:$G365,2,FALSE),"")</f>
        <v>126</v>
      </c>
    </row>
    <row r="63">
      <c r="A63" s="96"/>
      <c r="B63" s="46">
        <v>62.0</v>
      </c>
      <c r="C63" s="46" t="str">
        <f>'Teams &amp; Draft Order'!$C$11</f>
        <v>Big Boys Big Work</v>
      </c>
      <c r="D63" s="47"/>
      <c r="E63" s="91" t="str">
        <f>IFERROR(VLOOKUP($D63,PlayerDB!$F$2:$G365,2,FALSE),"")</f>
        <v/>
      </c>
      <c r="F63" s="48" t="str">
        <f>IFERROR(VLOOKUP($D63,PlayerDB!$F$2:$H365,3,FALSE),"")</f>
        <v/>
      </c>
      <c r="G63" s="91" t="str">
        <f>IFERROR(VLOOKUP($D63,PlayerDB!$F$2:$I365,4,FALSE),"")</f>
        <v/>
      </c>
      <c r="H63" s="38"/>
      <c r="I63" s="50" t="str">
        <f>IFERROR(__xludf.DUMMYFUNCTION("JOIN("" | "",'Team Stats'!C$7:H$7)"),"0 | 0 | 0 | 0 | 0 | 0")</f>
        <v>0 | 0 | 0 | 0 | 0 | 0</v>
      </c>
      <c r="J63" s="51" t="str">
        <f>IFERROR(__xludf.DUMMYFUNCTION("JOIN("" | "",'Team Stats'!I$11:K$11)"),"0 | 0 | 0")</f>
        <v>0 | 0 | 0</v>
      </c>
      <c r="L63" s="42" t="str">
        <f>IFERROR(__xludf.DUMMYFUNCTION("""COMPUTED_VALUE"""),"Dalton Kincaid – BUF")</f>
        <v>Dalton Kincaid – BUF</v>
      </c>
      <c r="M63" s="52">
        <f>IFERROR(VLOOKUP(L63,PlayerDB!$F$2:$G365,2,FALSE),"")</f>
        <v>83.6</v>
      </c>
      <c r="N63" s="42"/>
      <c r="O63" s="42"/>
      <c r="P63" s="42" t="str">
        <f>IFERROR(__xludf.DUMMYFUNCTION("""COMPUTED_VALUE"""),"Wil Lutz – DEN")</f>
        <v>Wil Lutz – DEN</v>
      </c>
      <c r="Q63" s="52">
        <f>IFERROR(VLOOKUP(P63,PlayerDB!$F$2:$G365,2,FALSE),"")</f>
        <v>126</v>
      </c>
    </row>
    <row r="64">
      <c r="A64" s="97"/>
      <c r="B64" s="34">
        <v>63.0</v>
      </c>
      <c r="C64" s="34" t="str">
        <f>'Teams &amp; Draft Order'!$C$12</f>
        <v>Turbo-Ginz</v>
      </c>
      <c r="D64" s="35"/>
      <c r="E64" s="89" t="str">
        <f>IFERROR(VLOOKUP($D64,PlayerDB!$F$2:$G365,2,FALSE),"")</f>
        <v/>
      </c>
      <c r="F64" s="36" t="str">
        <f>IFERROR(VLOOKUP($D64,PlayerDB!$F$2:$H365,3,FALSE),"")</f>
        <v/>
      </c>
      <c r="G64" s="89" t="str">
        <f>IFERROR(VLOOKUP($D64,PlayerDB!$F$2:$I365,4,FALSE),"")</f>
        <v/>
      </c>
      <c r="H64" s="38"/>
      <c r="I64" s="39" t="str">
        <f>IFERROR(__xludf.DUMMYFUNCTION("JOIN("" | "",'Team Stats'!C$8:H$8)"),"0 | 0 | 0 | 0 | 0 | 0")</f>
        <v>0 | 0 | 0 | 0 | 0 | 0</v>
      </c>
      <c r="J64" s="40" t="str">
        <f>IFERROR(__xludf.DUMMYFUNCTION("JOIN("" | "",'Team Stats'!I$12:K$12)"),"0 | 0 | 0")</f>
        <v>0 | 0 | 0</v>
      </c>
      <c r="L64" s="42" t="str">
        <f>IFERROR(__xludf.DUMMYFUNCTION("""COMPUTED_VALUE"""),"Evan Engram – DEN")</f>
        <v>Evan Engram – DEN</v>
      </c>
      <c r="M64" s="52">
        <f>IFERROR(VLOOKUP(L64,PlayerDB!$F$2:$G365,2,FALSE),"")</f>
        <v>83.4</v>
      </c>
      <c r="N64" s="42"/>
      <c r="O64" s="42"/>
      <c r="P64" s="42" t="str">
        <f>IFERROR(__xludf.DUMMYFUNCTION("""COMPUTED_VALUE"""),"Jason Sanders – MIA")</f>
        <v>Jason Sanders – MIA</v>
      </c>
      <c r="Q64" s="52">
        <f>IFERROR(VLOOKUP(P64,PlayerDB!$F$2:$G365,2,FALSE),"")</f>
        <v>125</v>
      </c>
    </row>
    <row r="65">
      <c r="A65" s="96"/>
      <c r="B65" s="46">
        <v>64.0</v>
      </c>
      <c r="C65" s="46" t="str">
        <f>'Teams &amp; Draft Order'!$C$13</f>
        <v>Luddite</v>
      </c>
      <c r="D65" s="47"/>
      <c r="E65" s="91" t="str">
        <f>IFERROR(VLOOKUP($D65,PlayerDB!$F$2:$G365,2,FALSE),"")</f>
        <v/>
      </c>
      <c r="F65" s="48" t="str">
        <f>IFERROR(VLOOKUP($D65,PlayerDB!$F$2:$H365,3,FALSE),"")</f>
        <v/>
      </c>
      <c r="G65" s="91" t="str">
        <f>IFERROR(VLOOKUP($D65,PlayerDB!$F$2:$I365,4,FALSE),"")</f>
        <v/>
      </c>
      <c r="H65" s="38"/>
      <c r="I65" s="50" t="str">
        <f>IFERROR(__xludf.DUMMYFUNCTION("JOIN("" | "",'Team Stats'!C$9:H$9)"),"0 | 0 | 0 | 0 | 0 | 0")</f>
        <v>0 | 0 | 0 | 0 | 0 | 0</v>
      </c>
      <c r="J65" s="51" t="str">
        <f>IFERROR(__xludf.DUMMYFUNCTION("JOIN("" | "",'Team Stats'!I$13:K$13)"),"0 | 0 | 0")</f>
        <v>0 | 0 | 0</v>
      </c>
      <c r="L65" s="42" t="str">
        <f>IFERROR(__xludf.DUMMYFUNCTION("""COMPUTED_VALUE"""),"Kyle Pitts – ATL")</f>
        <v>Kyle Pitts – ATL</v>
      </c>
      <c r="M65" s="52">
        <f>IFERROR(VLOOKUP(L65,PlayerDB!$F$2:$G365,2,FALSE),"")</f>
        <v>83.2</v>
      </c>
      <c r="N65" s="42"/>
      <c r="O65" s="42"/>
      <c r="P65" s="42" t="str">
        <f>IFERROR(__xludf.DUMMYFUNCTION("""COMPUTED_VALUE"""),"Jake Moody – SF")</f>
        <v>Jake Moody – SF</v>
      </c>
      <c r="Q65" s="52">
        <f>IFERROR(VLOOKUP(P65,PlayerDB!$F$2:$G365,2,FALSE),"")</f>
        <v>125</v>
      </c>
    </row>
    <row r="66">
      <c r="A66" s="97"/>
      <c r="B66" s="34">
        <v>65.0</v>
      </c>
      <c r="C66" s="34" t="str">
        <f>'Teams &amp; Draft Order'!$C$14</f>
        <v>Achaians</v>
      </c>
      <c r="D66" s="35"/>
      <c r="E66" s="89" t="str">
        <f>IFERROR(VLOOKUP($D66,PlayerDB!$F$2:$G365,2,FALSE),"")</f>
        <v/>
      </c>
      <c r="F66" s="36" t="str">
        <f>IFERROR(VLOOKUP($D66,PlayerDB!$F$2:$H365,3,FALSE),"")</f>
        <v/>
      </c>
      <c r="G66" s="89" t="str">
        <f>IFERROR(VLOOKUP($D66,PlayerDB!$F$2:$I365,4,FALSE),"")</f>
        <v/>
      </c>
      <c r="H66" s="38"/>
      <c r="I66" s="39" t="str">
        <f>IFERROR(__xludf.DUMMYFUNCTION("JOIN("" | "",'Team Stats'!C$10:H$10)"),"0 | 0 | 0 | 0 | 0 | 0")</f>
        <v>0 | 0 | 0 | 0 | 0 | 0</v>
      </c>
      <c r="J66" s="62" t="str">
        <f>IFERROR(__xludf.DUMMYFUNCTION("JOIN("" | "",'Team Stats'!I$13:K$13)"),"0 | 0 | 0")</f>
        <v>0 | 0 | 0</v>
      </c>
      <c r="L66" s="42" t="str">
        <f>IFERROR(__xludf.DUMMYFUNCTION("""COMPUTED_VALUE"""),"Jake Ferguson – DAL")</f>
        <v>Jake Ferguson – DAL</v>
      </c>
      <c r="M66" s="52">
        <f>IFERROR(VLOOKUP(L66,PlayerDB!$F$2:$G365,2,FALSE),"")</f>
        <v>82.5</v>
      </c>
      <c r="N66" s="42"/>
      <c r="O66" s="42"/>
      <c r="P66" s="42" t="str">
        <f>IFERROR(__xludf.DUMMYFUNCTION("""COMPUTED_VALUE"""),"Brandon McManus – GB")</f>
        <v>Brandon McManus – GB</v>
      </c>
      <c r="Q66" s="52">
        <f>IFERROR(VLOOKUP(P66,PlayerDB!$F$2:$G365,2,FALSE),"")</f>
        <v>123</v>
      </c>
    </row>
    <row r="67">
      <c r="A67" s="96"/>
      <c r="B67" s="46">
        <v>66.0</v>
      </c>
      <c r="C67" s="46" t="str">
        <f>'Teams &amp; Draft Order'!$C$15</f>
        <v>Daddy's Dogs</v>
      </c>
      <c r="D67" s="47"/>
      <c r="E67" s="91" t="str">
        <f>IFERROR(VLOOKUP($D67,PlayerDB!$F$2:$G365,2,FALSE),"")</f>
        <v/>
      </c>
      <c r="F67" s="48" t="str">
        <f>IFERROR(VLOOKUP($D67,PlayerDB!$F$2:$H365,3,FALSE),"")</f>
        <v/>
      </c>
      <c r="G67" s="91" t="str">
        <f>IFERROR(VLOOKUP($D67,PlayerDB!$F$2:$I365,4,FALSE),"")</f>
        <v/>
      </c>
      <c r="H67" s="38"/>
      <c r="I67" s="50" t="str">
        <f>IFERROR(__xludf.DUMMYFUNCTION("JOIN("" | "",'Team Stats'!C$11:H$11)"),"0 | 0 | 0 | 0 | 0 | 0")</f>
        <v>0 | 0 | 0 | 0 | 0 | 0</v>
      </c>
      <c r="J67" s="51" t="str">
        <f>IFERROR(__xludf.DUMMYFUNCTION("JOIN("" | "",'Team Stats'!I$12:K$12)"),"0 | 0 | 0")</f>
        <v>0 | 0 | 0</v>
      </c>
      <c r="L67" s="42" t="str">
        <f>IFERROR(__xludf.DUMMYFUNCTION("""COMPUTED_VALUE"""),"Hunter Henry – NE")</f>
        <v>Hunter Henry – NE</v>
      </c>
      <c r="M67" s="52">
        <f>IFERROR(VLOOKUP(L67,PlayerDB!$F$2:$G365,2,FALSE),"")</f>
        <v>78.5</v>
      </c>
      <c r="N67" s="42"/>
      <c r="O67" s="42"/>
      <c r="P67" s="42" t="str">
        <f>IFERROR(__xludf.DUMMYFUNCTION("""COMPUTED_VALUE"""),"Younghoe Koo – ATL")</f>
        <v>Younghoe Koo – ATL</v>
      </c>
      <c r="Q67" s="52">
        <f>IFERROR(VLOOKUP(P67,PlayerDB!$F$2:$G365,2,FALSE),"")</f>
        <v>122</v>
      </c>
    </row>
    <row r="68">
      <c r="A68" s="97"/>
      <c r="B68" s="34">
        <v>67.0</v>
      </c>
      <c r="C68" s="34" t="str">
        <f>'Teams &amp; Draft Order'!$C$16</f>
        <v>TDs and Beers</v>
      </c>
      <c r="D68" s="35"/>
      <c r="E68" s="89" t="str">
        <f>IFERROR(VLOOKUP($D68,PlayerDB!$F$2:$G365,2,FALSE),"")</f>
        <v/>
      </c>
      <c r="F68" s="36" t="str">
        <f>IFERROR(VLOOKUP($D68,PlayerDB!$F$2:$H365,3,FALSE),"")</f>
        <v/>
      </c>
      <c r="G68" s="89" t="str">
        <f>IFERROR(VLOOKUP($D68,PlayerDB!$F$2:$I365,4,FALSE),"")</f>
        <v/>
      </c>
      <c r="H68" s="38"/>
      <c r="I68" s="39" t="str">
        <f>IFERROR(__xludf.DUMMYFUNCTION("JOIN("" | "",'Team Stats'!C$12:H$12)"),"0 | 0 | 0 | 0 | 0 | 0")</f>
        <v>0 | 0 | 0 | 0 | 0 | 0</v>
      </c>
      <c r="J68" s="40" t="str">
        <f>IFERROR(__xludf.DUMMYFUNCTION("JOIN("" | "",'Team Stats'!I$11:K$11)"),"0 | 0 | 0")</f>
        <v>0 | 0 | 0</v>
      </c>
      <c r="L68" s="42" t="str">
        <f>IFERROR(__xludf.DUMMYFUNCTION("""COMPUTED_VALUE"""),"Darren Waller – MIA")</f>
        <v>Darren Waller – MIA</v>
      </c>
      <c r="M68" s="52">
        <f>IFERROR(VLOOKUP(L68,PlayerDB!$F$2:$G365,2,FALSE),"")</f>
        <v>77.9</v>
      </c>
      <c r="N68" s="42"/>
      <c r="O68" s="42"/>
      <c r="P68" s="42" t="str">
        <f>IFERROR(__xludf.DUMMYFUNCTION("""COMPUTED_VALUE"""),"Harrison Butker – KC")</f>
        <v>Harrison Butker – KC</v>
      </c>
      <c r="Q68" s="52">
        <f>IFERROR(VLOOKUP(P68,PlayerDB!$F$2:$G365,2,FALSE),"")</f>
        <v>122</v>
      </c>
    </row>
    <row r="69">
      <c r="A69" s="96"/>
      <c r="B69" s="46">
        <v>68.0</v>
      </c>
      <c r="C69" s="46" t="str">
        <f>'Teams &amp; Draft Order'!$C$17</f>
        <v>DD Riders</v>
      </c>
      <c r="D69" s="47"/>
      <c r="E69" s="91" t="str">
        <f>IFERROR(VLOOKUP($D69,PlayerDB!$F$2:$G365,2,FALSE),"")</f>
        <v/>
      </c>
      <c r="F69" s="48" t="str">
        <f>IFERROR(VLOOKUP($D69,PlayerDB!$F$2:$H365,3,FALSE),"")</f>
        <v/>
      </c>
      <c r="G69" s="91" t="str">
        <f>IFERROR(VLOOKUP($D69,PlayerDB!$F$2:$I365,4,FALSE),"")</f>
        <v/>
      </c>
      <c r="H69" s="38"/>
      <c r="I69" s="50" t="str">
        <f>IFERROR(__xludf.DUMMYFUNCTION("JOIN("" | "",'Team Stats'!C$13:H$13)"),"0 | 0 | 0 | 0 | 0 | 0")</f>
        <v>0 | 0 | 0 | 0 | 0 | 0</v>
      </c>
      <c r="J69" s="51" t="str">
        <f>IFERROR(__xludf.DUMMYFUNCTION("JOIN("" | "",'Team Stats'!I$10:K$10)"),"0 | 0 | 0")</f>
        <v>0 | 0 | 0</v>
      </c>
      <c r="L69" s="42" t="str">
        <f>IFERROR(__xludf.DUMMYFUNCTION("""COMPUTED_VALUE"""),"Isaiah Likely – BAL")</f>
        <v>Isaiah Likely – BAL</v>
      </c>
      <c r="M69" s="52">
        <f>IFERROR(VLOOKUP(L69,PlayerDB!$F$2:$G365,2,FALSE),"")</f>
        <v>77</v>
      </c>
      <c r="N69" s="42"/>
      <c r="O69" s="42"/>
      <c r="P69" s="42" t="str">
        <f>IFERROR(__xludf.DUMMYFUNCTION("""COMPUTED_VALUE"""),"Jason Myers – SEA")</f>
        <v>Jason Myers – SEA</v>
      </c>
      <c r="Q69" s="52">
        <f>IFERROR(VLOOKUP(P69,PlayerDB!$F$2:$G365,2,FALSE),"")</f>
        <v>121</v>
      </c>
    </row>
    <row r="70">
      <c r="A70" s="97"/>
      <c r="B70" s="34">
        <v>69.0</v>
      </c>
      <c r="C70" s="34" t="str">
        <f>'Teams &amp; Draft Order'!$C$18</f>
        <v>Nasty</v>
      </c>
      <c r="D70" s="35"/>
      <c r="E70" s="89" t="str">
        <f>IFERROR(VLOOKUP($D70,PlayerDB!$F$2:$G365,2,FALSE),"")</f>
        <v/>
      </c>
      <c r="F70" s="36" t="str">
        <f>IFERROR(VLOOKUP($D70,PlayerDB!$F$2:$H365,3,FALSE),"")</f>
        <v/>
      </c>
      <c r="G70" s="89" t="str">
        <f>IFERROR(VLOOKUP($D70,PlayerDB!$F$2:$I365,4,FALSE),"")</f>
        <v/>
      </c>
      <c r="H70" s="38"/>
      <c r="I70" s="92" t="str">
        <f>IFERROR(__xludf.DUMMYFUNCTION("JOIN("" | "",'Team Stats'!C$14:H$14)"),"0 | 0 | 0 | 0 | 0 | 0")</f>
        <v>0 | 0 | 0 | 0 | 0 | 0</v>
      </c>
      <c r="J70" s="40" t="str">
        <f>IFERROR(__xludf.DUMMYFUNCTION("JOIN("" | "",'Team Stats'!I$9:K$9)"),"0 | 0 | 0")</f>
        <v>0 | 0 | 0</v>
      </c>
      <c r="L70" s="42" t="str">
        <f>IFERROR(__xludf.DUMMYFUNCTION("""COMPUTED_VALUE"""),"Colston Loveland – CHI")</f>
        <v>Colston Loveland – CHI</v>
      </c>
      <c r="M70" s="52">
        <f>IFERROR(VLOOKUP(L70,PlayerDB!$F$2:$G365,2,FALSE),"")</f>
        <v>76.5</v>
      </c>
      <c r="N70" s="42"/>
      <c r="O70" s="42"/>
      <c r="P70" s="42" t="str">
        <f>IFERROR(__xludf.DUMMYFUNCTION("""COMPUTED_VALUE"""),"Joshua Karty – LAR")</f>
        <v>Joshua Karty – LAR</v>
      </c>
      <c r="Q70" s="52">
        <f>IFERROR(VLOOKUP(P70,PlayerDB!$F$2:$G365,2,FALSE),"")</f>
        <v>120</v>
      </c>
    </row>
    <row r="71">
      <c r="A71" s="96"/>
      <c r="B71" s="46">
        <v>70.0</v>
      </c>
      <c r="C71" s="46" t="str">
        <f>'Teams &amp; Draft Order'!$C$19</f>
        <v>Red Hammer</v>
      </c>
      <c r="D71" s="47"/>
      <c r="E71" s="93" t="str">
        <f>IFERROR(VLOOKUP($D71,PlayerDB!$F$2:$G365,2,FALSE),"")</f>
        <v/>
      </c>
      <c r="F71" s="57" t="str">
        <f>IFERROR(VLOOKUP($D71,PlayerDB!$F$2:$H365,3,FALSE),"")</f>
        <v/>
      </c>
      <c r="G71" s="93" t="str">
        <f>IFERROR(VLOOKUP($D71,PlayerDB!$F$2:$I365,4,FALSE),"")</f>
        <v/>
      </c>
      <c r="H71" s="38"/>
      <c r="I71" s="94" t="str">
        <f>IFERROR(__xludf.DUMMYFUNCTION("JOIN("" | "",'Team Stats'!C$15:H$15)"),"0 | 0 | 0 | 0 | 0 | 0")</f>
        <v>0 | 0 | 0 | 0 | 0 | 0</v>
      </c>
      <c r="J71" s="51" t="str">
        <f>IFERROR(__xludf.DUMMYFUNCTION("JOIN("" | "",'Team Stats'!I$8:K$8)"),"0 | 0 | 0")</f>
        <v>0 | 0 | 0</v>
      </c>
      <c r="L71" s="42"/>
      <c r="M71" s="63"/>
      <c r="N71" s="42"/>
      <c r="O71" s="42"/>
      <c r="P71" s="42"/>
      <c r="Q71" s="63"/>
    </row>
    <row r="72">
      <c r="A72" s="88" t="s">
        <v>118</v>
      </c>
      <c r="B72" s="73">
        <v>71.0</v>
      </c>
      <c r="C72" s="73" t="str">
        <f>'Teams &amp; Draft Order'!$C$19</f>
        <v>Red Hammer</v>
      </c>
      <c r="D72" s="74"/>
      <c r="E72" s="89" t="str">
        <f>IFERROR(VLOOKUP($D72,PlayerDB!$F$2:$G365,2,FALSE),"")</f>
        <v/>
      </c>
      <c r="F72" s="36" t="str">
        <f>IFERROR(VLOOKUP($D72,PlayerDB!$F$2:$H365,3,FALSE),"")</f>
        <v/>
      </c>
      <c r="G72" s="89" t="str">
        <f>IFERROR(VLOOKUP($D72,PlayerDB!$F$2:$I365,4,FALSE),"")</f>
        <v/>
      </c>
      <c r="H72" s="75"/>
      <c r="I72" s="95" t="str">
        <f>IFERROR(__xludf.DUMMYFUNCTION("JOIN("" | "",'Team Stats'!C$15:H$15)"),"0 | 0 | 0 | 0 | 0 | 0")</f>
        <v>0 | 0 | 0 | 0 | 0 | 0</v>
      </c>
      <c r="J72" s="40" t="str">
        <f>IFERROR(__xludf.DUMMYFUNCTION("JOIN("" | "",'Team Stats'!I$7:K$7)"),"0 | 0 | 0")</f>
        <v>0 | 0 | 0</v>
      </c>
      <c r="L72" s="42"/>
      <c r="M72" s="42"/>
      <c r="N72" s="42"/>
      <c r="O72" s="42"/>
      <c r="P72" s="42"/>
      <c r="Q72" s="42"/>
    </row>
    <row r="73">
      <c r="A73" s="96"/>
      <c r="B73" s="46">
        <v>72.0</v>
      </c>
      <c r="C73" s="46" t="str">
        <f>'Teams &amp; Draft Order'!$C$18</f>
        <v>Nasty</v>
      </c>
      <c r="D73" s="47"/>
      <c r="E73" s="91" t="str">
        <f>IFERROR(VLOOKUP($D73,PlayerDB!$F$2:$G365,2,FALSE),"")</f>
        <v/>
      </c>
      <c r="F73" s="48" t="str">
        <f>IFERROR(VLOOKUP($D73,PlayerDB!$F$2:$H365,3,FALSE),"")</f>
        <v/>
      </c>
      <c r="G73" s="91" t="str">
        <f>IFERROR(VLOOKUP($D73,PlayerDB!$F$2:$I365,4,FALSE),"")</f>
        <v/>
      </c>
      <c r="H73" s="38"/>
      <c r="I73" s="94" t="str">
        <f>IFERROR(__xludf.DUMMYFUNCTION("JOIN("" | "",'Team Stats'!C$14:H$14)"),"0 | 0 | 0 | 0 | 0 | 0")</f>
        <v>0 | 0 | 0 | 0 | 0 | 0</v>
      </c>
      <c r="J73" s="51" t="str">
        <f>IFERROR(__xludf.DUMMYFUNCTION("JOIN("" | "",'Team Stats'!I$6:K$6)"),"0 | 0 | 0")</f>
        <v>0 | 0 | 0</v>
      </c>
      <c r="L73" s="42"/>
      <c r="M73" s="42"/>
      <c r="N73" s="42"/>
      <c r="O73" s="42"/>
      <c r="P73" s="42"/>
      <c r="Q73" s="42"/>
    </row>
    <row r="74">
      <c r="A74" s="97"/>
      <c r="B74" s="34">
        <v>73.0</v>
      </c>
      <c r="C74" s="34" t="str">
        <f>'Teams &amp; Draft Order'!$C$17</f>
        <v>DD Riders</v>
      </c>
      <c r="D74" s="35"/>
      <c r="E74" s="89" t="str">
        <f>IFERROR(VLOOKUP($D74,PlayerDB!$F$2:$G365,2,FALSE),"")</f>
        <v/>
      </c>
      <c r="F74" s="36" t="str">
        <f>IFERROR(VLOOKUP($D74,PlayerDB!$F$2:$H365,3,FALSE),"")</f>
        <v/>
      </c>
      <c r="G74" s="89" t="str">
        <f>IFERROR(VLOOKUP($D74,PlayerDB!$F$2:$I365,4,FALSE),"")</f>
        <v/>
      </c>
      <c r="H74" s="38"/>
      <c r="I74" s="39" t="str">
        <f>IFERROR(__xludf.DUMMYFUNCTION("JOIN("" | "",'Team Stats'!C$13:H$13)"),"0 | 0 | 0 | 0 | 0 | 0")</f>
        <v>0 | 0 | 0 | 0 | 0 | 0</v>
      </c>
      <c r="J74" s="40" t="str">
        <f>IFERROR(__xludf.DUMMYFUNCTION("JOIN("" | "",'Team Stats'!I$5:K$5)"),"0 | 0 | 0")</f>
        <v>0 | 0 | 0</v>
      </c>
      <c r="L74" s="70" t="s">
        <v>41</v>
      </c>
      <c r="M74" s="44">
        <f>COUNTIF(F:F,"D/ST")</f>
        <v>0</v>
      </c>
      <c r="N74" s="42"/>
      <c r="O74" s="42"/>
      <c r="P74" s="71"/>
      <c r="Q74" s="44"/>
    </row>
    <row r="75">
      <c r="A75" s="96"/>
      <c r="B75" s="46">
        <v>74.0</v>
      </c>
      <c r="C75" s="46" t="str">
        <f>'Teams &amp; Draft Order'!$C$16</f>
        <v>TDs and Beers</v>
      </c>
      <c r="D75" s="47"/>
      <c r="E75" s="91" t="str">
        <f>IFERROR(VLOOKUP($D75,PlayerDB!$F$2:$G365,2,FALSE),"")</f>
        <v/>
      </c>
      <c r="F75" s="48" t="str">
        <f>IFERROR(VLOOKUP($D75,PlayerDB!$F$2:$H365,3,FALSE),"")</f>
        <v/>
      </c>
      <c r="G75" s="91" t="str">
        <f>IFERROR(VLOOKUP($D75,PlayerDB!$F$2:$I365,4,FALSE),"")</f>
        <v/>
      </c>
      <c r="H75" s="38"/>
      <c r="I75" s="50" t="str">
        <f>IFERROR(__xludf.DUMMYFUNCTION("JOIN("" | "",'Team Stats'!C$12:H$12)"),"0 | 0 | 0 | 0 | 0 | 0")</f>
        <v>0 | 0 | 0 | 0 | 0 | 0</v>
      </c>
      <c r="J75" s="51" t="str">
        <f>IFERROR(__xludf.DUMMYFUNCTION("JOIN("" | "",'Team Stats'!I$4:K$4)"),"0 | 0 | 0")</f>
        <v>0 | 0 | 0</v>
      </c>
      <c r="L75" s="42" t="str">
        <f>IFERROR(__xludf.DUMMYFUNCTION("QUERY(HELP_PlayersLeft!A2:B365, ""select A where B ='D/ST' LIMIT 20"")"),"Denver Broncos – DEN")</f>
        <v>Denver Broncos – DEN</v>
      </c>
      <c r="M75" s="52">
        <f>IFERROR(VLOOKUP(L75,PlayerDB!$F$2:$G365,2,FALSE),"")</f>
        <v>142</v>
      </c>
      <c r="N75" s="42"/>
      <c r="O75" s="42"/>
      <c r="P75" s="42"/>
      <c r="Q75" s="52"/>
    </row>
    <row r="76">
      <c r="A76" s="97"/>
      <c r="B76" s="34">
        <v>75.0</v>
      </c>
      <c r="C76" s="34" t="str">
        <f>'Teams &amp; Draft Order'!$C$15</f>
        <v>Daddy's Dogs</v>
      </c>
      <c r="D76" s="35"/>
      <c r="E76" s="89" t="str">
        <f>IFERROR(VLOOKUP($D76,PlayerDB!$F$2:$G365,2,FALSE),"")</f>
        <v/>
      </c>
      <c r="F76" s="36" t="str">
        <f>IFERROR(VLOOKUP($D76,PlayerDB!$F$2:$H365,3,FALSE),"")</f>
        <v/>
      </c>
      <c r="G76" s="89" t="str">
        <f>IFERROR(VLOOKUP($D76,PlayerDB!$F$2:$I365,4,FALSE),"")</f>
        <v/>
      </c>
      <c r="H76" s="38"/>
      <c r="I76" s="39" t="str">
        <f>IFERROR(__xludf.DUMMYFUNCTION("JOIN("" | "",'Team Stats'!C$11:H$11)"),"0 | 0 | 0 | 0 | 0 | 0")</f>
        <v>0 | 0 | 0 | 0 | 0 | 0</v>
      </c>
      <c r="J76" s="40" t="str">
        <f>IFERROR(__xludf.DUMMYFUNCTION("JOIN("" | "",'Team Stats'!I$3:K$3)"),"0 | 0 | 0")</f>
        <v>0 | 0 | 0</v>
      </c>
      <c r="L76" s="20" t="str">
        <f>IFERROR(__xludf.DUMMYFUNCTION("""COMPUTED_VALUE"""),"Philadelphia Eagles – PHI")</f>
        <v>Philadelphia Eagles – PHI</v>
      </c>
      <c r="M76" s="52">
        <f>IFERROR(VLOOKUP(L76,PlayerDB!$F$2:$G365,2,FALSE),"")</f>
        <v>139</v>
      </c>
      <c r="N76" s="42"/>
      <c r="O76" s="42"/>
      <c r="P76" s="20"/>
      <c r="Q76" s="52"/>
    </row>
    <row r="77">
      <c r="A77" s="96"/>
      <c r="B77" s="46">
        <v>76.0</v>
      </c>
      <c r="C77" s="46" t="str">
        <f>'Teams &amp; Draft Order'!$C$14</f>
        <v>Achaians</v>
      </c>
      <c r="D77" s="47"/>
      <c r="E77" s="91" t="str">
        <f>IFERROR(VLOOKUP($D77,PlayerDB!$F$2:$G365,2,FALSE),"")</f>
        <v/>
      </c>
      <c r="F77" s="48" t="str">
        <f>IFERROR(VLOOKUP($D77,PlayerDB!$F$2:$H365,3,FALSE),"")</f>
        <v/>
      </c>
      <c r="G77" s="91" t="str">
        <f>IFERROR(VLOOKUP($D77,PlayerDB!$F$2:$I365,4,FALSE),"")</f>
        <v/>
      </c>
      <c r="H77" s="38"/>
      <c r="I77" s="50" t="str">
        <f>IFERROR(__xludf.DUMMYFUNCTION("JOIN("" | "",'Team Stats'!C$10:H$10)"),"0 | 0 | 0 | 0 | 0 | 0")</f>
        <v>0 | 0 | 0 | 0 | 0 | 0</v>
      </c>
      <c r="J77" s="64" t="str">
        <f>IFERROR(__xludf.DUMMYFUNCTION("JOIN("" | "",'Team Stats'!I$2:K$2)"),"0 | 0 | 0")</f>
        <v>0 | 0 | 0</v>
      </c>
      <c r="L77" s="42" t="str">
        <f>IFERROR(__xludf.DUMMYFUNCTION("""COMPUTED_VALUE"""),"Pittsburgh Steelers – PIT")</f>
        <v>Pittsburgh Steelers – PIT</v>
      </c>
      <c r="M77" s="52">
        <f>IFERROR(VLOOKUP(L77,PlayerDB!$F$2:$G365,2,FALSE),"")</f>
        <v>137</v>
      </c>
      <c r="N77" s="42"/>
      <c r="O77" s="42"/>
      <c r="P77" s="42"/>
      <c r="Q77" s="52"/>
    </row>
    <row r="78">
      <c r="A78" s="97"/>
      <c r="B78" s="34">
        <v>77.0</v>
      </c>
      <c r="C78" s="34" t="s">
        <v>54</v>
      </c>
      <c r="D78" s="35"/>
      <c r="E78" s="89" t="str">
        <f>IFERROR(VLOOKUP($D78,PlayerDB!$F$2:$G365,2,FALSE),"")</f>
        <v/>
      </c>
      <c r="F78" s="36" t="str">
        <f>IFERROR(VLOOKUP($D78,PlayerDB!$F$2:$H365,3,FALSE),"")</f>
        <v/>
      </c>
      <c r="G78" s="89" t="str">
        <f>IFERROR(VLOOKUP($D78,PlayerDB!$F$2:$I365,4,FALSE),"")</f>
        <v/>
      </c>
      <c r="H78" s="38"/>
      <c r="I78" s="39" t="str">
        <f>IFERROR(__xludf.DUMMYFUNCTION("JOIN("" | "",'Team Stats'!C$9:H$9)"),"0 | 0 | 0 | 0 | 0 | 0")</f>
        <v>0 | 0 | 0 | 0 | 0 | 0</v>
      </c>
      <c r="J78" s="40" t="str">
        <f>IFERROR(__xludf.DUMMYFUNCTION("JOIN("" | "",'Team Stats'!I$2:K$2)"),"0 | 0 | 0")</f>
        <v>0 | 0 | 0</v>
      </c>
      <c r="L78" s="42" t="str">
        <f>IFERROR(__xludf.DUMMYFUNCTION("""COMPUTED_VALUE"""),"Baltimore Ravens – BAL")</f>
        <v>Baltimore Ravens – BAL</v>
      </c>
      <c r="M78" s="52">
        <f>IFERROR(VLOOKUP(L78,PlayerDB!$F$2:$G365,2,FALSE),"")</f>
        <v>135</v>
      </c>
      <c r="N78" s="42"/>
      <c r="O78" s="42"/>
      <c r="P78" s="42"/>
      <c r="Q78" s="52"/>
    </row>
    <row r="79">
      <c r="A79" s="96"/>
      <c r="B79" s="46">
        <v>78.0</v>
      </c>
      <c r="C79" s="46" t="str">
        <f>'Teams &amp; Draft Order'!$C$12</f>
        <v>Turbo-Ginz</v>
      </c>
      <c r="D79" s="47"/>
      <c r="E79" s="91" t="str">
        <f>IFERROR(VLOOKUP($D79,PlayerDB!$F$2:$G365,2,FALSE),"")</f>
        <v/>
      </c>
      <c r="F79" s="48" t="str">
        <f>IFERROR(VLOOKUP($D79,PlayerDB!$F$2:$H365,3,FALSE),"")</f>
        <v/>
      </c>
      <c r="G79" s="91" t="str">
        <f>IFERROR(VLOOKUP($D79,PlayerDB!$F$2:$I365,4,FALSE),"")</f>
        <v/>
      </c>
      <c r="H79" s="38"/>
      <c r="I79" s="50" t="str">
        <f>IFERROR(__xludf.DUMMYFUNCTION("JOIN("" | "",'Team Stats'!C$8:H$8)"),"0 | 0 | 0 | 0 | 0 | 0")</f>
        <v>0 | 0 | 0 | 0 | 0 | 0</v>
      </c>
      <c r="J79" s="51" t="str">
        <f>IFERROR(__xludf.DUMMYFUNCTION("JOIN("" | "",'Team Stats'!I$3:K$3)"),"0 | 0 | 0")</f>
        <v>0 | 0 | 0</v>
      </c>
      <c r="L79" s="42" t="str">
        <f>IFERROR(__xludf.DUMMYFUNCTION("""COMPUTED_VALUE"""),"Minnesota Vikings – MIN")</f>
        <v>Minnesota Vikings – MIN</v>
      </c>
      <c r="M79" s="52">
        <f>IFERROR(VLOOKUP(L79,PlayerDB!$F$2:$G365,2,FALSE),"")</f>
        <v>132</v>
      </c>
      <c r="N79" s="42"/>
      <c r="O79" s="42"/>
      <c r="P79" s="42"/>
      <c r="Q79" s="52"/>
    </row>
    <row r="80">
      <c r="A80" s="97"/>
      <c r="B80" s="34">
        <v>79.0</v>
      </c>
      <c r="C80" s="34" t="str">
        <f>'Teams &amp; Draft Order'!$C$11</f>
        <v>Big Boys Big Work</v>
      </c>
      <c r="D80" s="35"/>
      <c r="E80" s="89" t="str">
        <f>IFERROR(VLOOKUP($D80,PlayerDB!$F$2:$G365,2,FALSE),"")</f>
        <v/>
      </c>
      <c r="F80" s="36" t="str">
        <f>IFERROR(VLOOKUP($D80,PlayerDB!$F$2:$H365,3,FALSE),"")</f>
        <v/>
      </c>
      <c r="G80" s="89" t="str">
        <f>IFERROR(VLOOKUP($D80,PlayerDB!$F$2:$I365,4,FALSE),"")</f>
        <v/>
      </c>
      <c r="H80" s="38"/>
      <c r="I80" s="39" t="str">
        <f>IFERROR(__xludf.DUMMYFUNCTION("JOIN("" | "",'Team Stats'!C$7:H$7)"),"0 | 0 | 0 | 0 | 0 | 0")</f>
        <v>0 | 0 | 0 | 0 | 0 | 0</v>
      </c>
      <c r="J80" s="40" t="str">
        <f>IFERROR(__xludf.DUMMYFUNCTION("JOIN("" | "",'Team Stats'!I$4:K$4)"),"0 | 0 | 0")</f>
        <v>0 | 0 | 0</v>
      </c>
      <c r="L80" s="42" t="str">
        <f>IFERROR(__xludf.DUMMYFUNCTION("""COMPUTED_VALUE"""),"Kansas City Chiefs – KC")</f>
        <v>Kansas City Chiefs – KC</v>
      </c>
      <c r="M80" s="52">
        <f>IFERROR(VLOOKUP(L80,PlayerDB!$F$2:$G365,2,FALSE),"")</f>
        <v>130</v>
      </c>
      <c r="N80" s="42"/>
      <c r="O80" s="42"/>
      <c r="P80" s="42"/>
      <c r="Q80" s="52"/>
    </row>
    <row r="81">
      <c r="A81" s="96"/>
      <c r="B81" s="46">
        <v>80.0</v>
      </c>
      <c r="C81" s="46" t="str">
        <f>'Teams &amp; Draft Order'!$C$10</f>
        <v>Buttheads</v>
      </c>
      <c r="D81" s="47"/>
      <c r="E81" s="91" t="str">
        <f>IFERROR(VLOOKUP($D81,PlayerDB!$F$2:$G365,2,FALSE),"")</f>
        <v/>
      </c>
      <c r="F81" s="48" t="str">
        <f>IFERROR(VLOOKUP($D81,PlayerDB!$F$2:$H365,3,FALSE),"")</f>
        <v/>
      </c>
      <c r="G81" s="91" t="str">
        <f>IFERROR(VLOOKUP($D81,PlayerDB!$F$2:$I365,4,FALSE),"")</f>
        <v/>
      </c>
      <c r="H81" s="38"/>
      <c r="I81" s="50" t="str">
        <f>IFERROR(__xludf.DUMMYFUNCTION("JOIN("" | "",'Team Stats'!C$6:H$6)"),"0 | 0 | 0 | 0 | 0 | 0")</f>
        <v>0 | 0 | 0 | 0 | 0 | 0</v>
      </c>
      <c r="J81" s="51" t="str">
        <f>IFERROR(__xludf.DUMMYFUNCTION("JOIN("" | "",'Team Stats'!I$5:K$5)"),"0 | 0 | 0")</f>
        <v>0 | 0 | 0</v>
      </c>
      <c r="L81" s="42" t="str">
        <f>IFERROR(__xludf.DUMMYFUNCTION("""COMPUTED_VALUE"""),"Detroit Lions – DET")</f>
        <v>Detroit Lions – DET</v>
      </c>
      <c r="M81" s="52">
        <f>IFERROR(VLOOKUP(L81,PlayerDB!$F$2:$G365,2,FALSE),"")</f>
        <v>129</v>
      </c>
      <c r="N81" s="42"/>
      <c r="O81" s="42"/>
      <c r="P81" s="42"/>
      <c r="Q81" s="52"/>
    </row>
    <row r="82">
      <c r="A82" s="97"/>
      <c r="B82" s="34">
        <v>81.0</v>
      </c>
      <c r="C82" s="34" t="str">
        <f>'Teams &amp; Draft Order'!$C$9</f>
        <v>El Nino</v>
      </c>
      <c r="D82" s="35"/>
      <c r="E82" s="89" t="str">
        <f>IFERROR(VLOOKUP($D82,PlayerDB!$F$2:$G365,2,FALSE),"")</f>
        <v/>
      </c>
      <c r="F82" s="36" t="str">
        <f>IFERROR(VLOOKUP($D82,PlayerDB!$F$2:$H365,3,FALSE),"")</f>
        <v/>
      </c>
      <c r="G82" s="89" t="str">
        <f>IFERROR(VLOOKUP($D82,PlayerDB!$F$2:$I365,4,FALSE),"")</f>
        <v/>
      </c>
      <c r="H82" s="38"/>
      <c r="I82" s="39" t="str">
        <f>IFERROR(__xludf.DUMMYFUNCTION("JOIN("" | "",'Team Stats'!C$5:H$5)"),"0 | 0 | 0 | 0 | 0 | 0")</f>
        <v>0 | 0 | 0 | 0 | 0 | 0</v>
      </c>
      <c r="J82" s="40" t="str">
        <f>IFERROR(__xludf.DUMMYFUNCTION("JOIN("" | "",'Team Stats'!I$6:K$6)"),"0 | 0 | 0")</f>
        <v>0 | 0 | 0</v>
      </c>
      <c r="L82" s="42" t="str">
        <f>IFERROR(__xludf.DUMMYFUNCTION("""COMPUTED_VALUE"""),"New York Jets – NYJ")</f>
        <v>New York Jets – NYJ</v>
      </c>
      <c r="M82" s="52">
        <f>IFERROR(VLOOKUP(L82,PlayerDB!$F$2:$G365,2,FALSE),"")</f>
        <v>128</v>
      </c>
      <c r="N82" s="42"/>
      <c r="O82" s="42"/>
      <c r="P82" s="42"/>
      <c r="Q82" s="52"/>
    </row>
    <row r="83">
      <c r="A83" s="96"/>
      <c r="B83" s="46">
        <v>82.0</v>
      </c>
      <c r="C83" s="46" t="str">
        <f>'Teams &amp; Draft Order'!$C$8</f>
        <v>Icelanders</v>
      </c>
      <c r="D83" s="47"/>
      <c r="E83" s="91" t="str">
        <f>IFERROR(VLOOKUP($D83,PlayerDB!$F$2:$G365,2,FALSE),"")</f>
        <v/>
      </c>
      <c r="F83" s="48" t="str">
        <f>IFERROR(VLOOKUP($D83,PlayerDB!$F$2:$H365,3,FALSE),"")</f>
        <v/>
      </c>
      <c r="G83" s="91" t="str">
        <f>IFERROR(VLOOKUP($D83,PlayerDB!$F$2:$I365,4,FALSE),"")</f>
        <v/>
      </c>
      <c r="H83" s="38"/>
      <c r="I83" s="50" t="str">
        <f>IFERROR(__xludf.DUMMYFUNCTION("JOIN("" | "",'Team Stats'!C$4:H$4)"),"0 | 0 | 0 | 0 | 0 | 0")</f>
        <v>0 | 0 | 0 | 0 | 0 | 0</v>
      </c>
      <c r="J83" s="51" t="str">
        <f>IFERROR(__xludf.DUMMYFUNCTION("JOIN("" | "",'Team Stats'!I$7:K$7)"),"0 | 0 | 0")</f>
        <v>0 | 0 | 0</v>
      </c>
      <c r="L83" s="42" t="str">
        <f>IFERROR(__xludf.DUMMYFUNCTION("""COMPUTED_VALUE"""),"Houston Texans – HOU")</f>
        <v>Houston Texans – HOU</v>
      </c>
      <c r="M83" s="52">
        <f>IFERROR(VLOOKUP(L83,PlayerDB!$F$2:$G365,2,FALSE),"")</f>
        <v>127</v>
      </c>
      <c r="N83" s="42"/>
      <c r="O83" s="42"/>
      <c r="P83" s="42"/>
      <c r="Q83" s="52"/>
    </row>
    <row r="84">
      <c r="A84" s="97"/>
      <c r="B84" s="34">
        <v>83.0</v>
      </c>
      <c r="C84" s="34" t="str">
        <f>'Teams &amp; Draft Order'!$C$7</f>
        <v>Phantasm</v>
      </c>
      <c r="D84" s="35"/>
      <c r="E84" s="89" t="str">
        <f>IFERROR(VLOOKUP($D84,PlayerDB!$F$2:$G365,2,FALSE),"")</f>
        <v/>
      </c>
      <c r="F84" s="36" t="str">
        <f>IFERROR(VLOOKUP($D84,PlayerDB!$F$2:$H365,3,FALSE),"")</f>
        <v/>
      </c>
      <c r="G84" s="89" t="str">
        <f>IFERROR(VLOOKUP($D84,PlayerDB!$F$2:$I365,4,FALSE),"")</f>
        <v/>
      </c>
      <c r="H84" s="38"/>
      <c r="I84" s="39" t="str">
        <f>IFERROR(__xludf.DUMMYFUNCTION("JOIN("" | "",'Team Stats'!C$3:H$3)"),"0 | 0 | 0 | 0 | 0 | 0")</f>
        <v>0 | 0 | 0 | 0 | 0 | 0</v>
      </c>
      <c r="J84" s="40" t="str">
        <f>IFERROR(__xludf.DUMMYFUNCTION("JOIN("" | "",'Team Stats'!I$8:K$8)"),"0 | 0 | 0")</f>
        <v>0 | 0 | 0</v>
      </c>
      <c r="L84" s="42" t="str">
        <f>IFERROR(__xludf.DUMMYFUNCTION("""COMPUTED_VALUE"""),"Los Angeles Chargers – LAC")</f>
        <v>Los Angeles Chargers – LAC</v>
      </c>
      <c r="M84" s="52">
        <f>IFERROR(VLOOKUP(L84,PlayerDB!$F$2:$G365,2,FALSE),"")</f>
        <v>126</v>
      </c>
      <c r="N84" s="42"/>
      <c r="O84" s="42"/>
      <c r="P84" s="42"/>
      <c r="Q84" s="52"/>
    </row>
    <row r="85">
      <c r="A85" s="99"/>
      <c r="B85" s="55">
        <v>84.0</v>
      </c>
      <c r="C85" s="55" t="str">
        <f>'Teams &amp; Draft Order'!$C$6</f>
        <v>Sleeper Cell </v>
      </c>
      <c r="D85" s="56"/>
      <c r="E85" s="93" t="str">
        <f>IFERROR(VLOOKUP($D85,PlayerDB!$F$2:$G365,2,FALSE),"")</f>
        <v/>
      </c>
      <c r="F85" s="57" t="str">
        <f>IFERROR(VLOOKUP($D85,PlayerDB!$F$2:$H365,3,FALSE),"")</f>
        <v/>
      </c>
      <c r="G85" s="93" t="str">
        <f>IFERROR(VLOOKUP($D85,PlayerDB!$F$2:$I365,4,FALSE),"")</f>
        <v/>
      </c>
      <c r="H85" s="59"/>
      <c r="I85" s="60" t="str">
        <f>IFERROR(__xludf.DUMMYFUNCTION("JOIN("" | "",'Team Stats'!C$2:H$2)"),"1 | 0 | 0 | 0 | 0 | 0")</f>
        <v>1 | 0 | 0 | 0 | 0 | 0</v>
      </c>
      <c r="J85" s="51" t="str">
        <f>IFERROR(__xludf.DUMMYFUNCTION("JOIN("" | "",'Team Stats'!I$9:K$9)"),"0 | 0 | 0")</f>
        <v>0 | 0 | 0</v>
      </c>
      <c r="L85" s="42" t="str">
        <f>IFERROR(__xludf.DUMMYFUNCTION("""COMPUTED_VALUE"""),"Buffalo Bills – BUF")</f>
        <v>Buffalo Bills – BUF</v>
      </c>
      <c r="M85" s="52">
        <f>IFERROR(VLOOKUP(L85,PlayerDB!$F$2:$G365,2,FALSE),"")</f>
        <v>125</v>
      </c>
      <c r="N85" s="42"/>
      <c r="O85" s="42"/>
      <c r="P85" s="42"/>
      <c r="Q85" s="52"/>
    </row>
    <row r="86">
      <c r="A86" s="88" t="s">
        <v>119</v>
      </c>
      <c r="B86" s="73">
        <v>85.0</v>
      </c>
      <c r="C86" s="73" t="str">
        <f>'Teams &amp; Draft Order'!$C$6</f>
        <v>Sleeper Cell </v>
      </c>
      <c r="D86" s="74"/>
      <c r="E86" s="89" t="str">
        <f>IFERROR(VLOOKUP($D86,PlayerDB!$F$2:$G365,2,FALSE),"")</f>
        <v/>
      </c>
      <c r="F86" s="36" t="str">
        <f>IFERROR(VLOOKUP($D86,PlayerDB!$F$2:$H365,3,FALSE),"")</f>
        <v/>
      </c>
      <c r="G86" s="89" t="str">
        <f>IFERROR(VLOOKUP($D86,PlayerDB!$F$2:$I365,4,FALSE),"")</f>
        <v/>
      </c>
      <c r="H86" s="75"/>
      <c r="I86" s="76" t="str">
        <f>IFERROR(__xludf.DUMMYFUNCTION("JOIN("" | "",'Team Stats'!C$2:H$2)"),"1 | 0 | 0 | 0 | 0 | 0")</f>
        <v>1 | 0 | 0 | 0 | 0 | 0</v>
      </c>
      <c r="J86" s="40" t="str">
        <f>IFERROR(__xludf.DUMMYFUNCTION("JOIN("" | "",'Team Stats'!I$10:K$10)"),"0 | 0 | 0")</f>
        <v>0 | 0 | 0</v>
      </c>
      <c r="L86" s="42" t="str">
        <f>IFERROR(__xludf.DUMMYFUNCTION("""COMPUTED_VALUE"""),"Seattle Seahawks – SEA")</f>
        <v>Seattle Seahawks – SEA</v>
      </c>
      <c r="M86" s="52">
        <f>IFERROR(VLOOKUP(L86,PlayerDB!$F$2:$G365,2,FALSE),"")</f>
        <v>124</v>
      </c>
      <c r="N86" s="42"/>
      <c r="O86" s="42"/>
      <c r="P86" s="42"/>
      <c r="Q86" s="52"/>
    </row>
    <row r="87">
      <c r="A87" s="96"/>
      <c r="B87" s="46">
        <v>86.0</v>
      </c>
      <c r="C87" s="46" t="str">
        <f>'Teams &amp; Draft Order'!$C$7</f>
        <v>Phantasm</v>
      </c>
      <c r="D87" s="47"/>
      <c r="E87" s="91" t="str">
        <f>IFERROR(VLOOKUP($D87,PlayerDB!$F$2:$G365,2,FALSE),"")</f>
        <v/>
      </c>
      <c r="F87" s="48" t="str">
        <f>IFERROR(VLOOKUP($D87,PlayerDB!$F$2:$H365,3,FALSE),"")</f>
        <v/>
      </c>
      <c r="G87" s="91" t="str">
        <f>IFERROR(VLOOKUP($D87,PlayerDB!$F$2:$I365,4,FALSE),"")</f>
        <v/>
      </c>
      <c r="H87" s="38"/>
      <c r="I87" s="50" t="str">
        <f>IFERROR(__xludf.DUMMYFUNCTION("JOIN("" | "",'Team Stats'!C$3:H$3)"),"0 | 0 | 0 | 0 | 0 | 0")</f>
        <v>0 | 0 | 0 | 0 | 0 | 0</v>
      </c>
      <c r="J87" s="51" t="str">
        <f>IFERROR(__xludf.DUMMYFUNCTION("JOIN("" | "",'Team Stats'!I$11:K$11)"),"0 | 0 | 0")</f>
        <v>0 | 0 | 0</v>
      </c>
      <c r="L87" s="42" t="str">
        <f>IFERROR(__xludf.DUMMYFUNCTION("""COMPUTED_VALUE"""),"Los Angeles Rams – LAR")</f>
        <v>Los Angeles Rams – LAR</v>
      </c>
      <c r="M87" s="52">
        <f>IFERROR(VLOOKUP(L87,PlayerDB!$F$2:$G365,2,FALSE),"")</f>
        <v>122</v>
      </c>
      <c r="N87" s="42"/>
      <c r="O87" s="42"/>
      <c r="P87" s="42"/>
      <c r="Q87" s="52"/>
    </row>
    <row r="88">
      <c r="A88" s="97"/>
      <c r="B88" s="34">
        <v>87.0</v>
      </c>
      <c r="C88" s="34" t="str">
        <f>'Teams &amp; Draft Order'!$C$8</f>
        <v>Icelanders</v>
      </c>
      <c r="D88" s="35"/>
      <c r="E88" s="89" t="str">
        <f>IFERROR(VLOOKUP($D88,PlayerDB!$F$2:$G365,2,FALSE),"")</f>
        <v/>
      </c>
      <c r="F88" s="36" t="str">
        <f>IFERROR(VLOOKUP($D88,PlayerDB!$F$2:$H365,3,FALSE),"")</f>
        <v/>
      </c>
      <c r="G88" s="89" t="str">
        <f>IFERROR(VLOOKUP($D88,PlayerDB!$F$2:$I365,4,FALSE),"")</f>
        <v/>
      </c>
      <c r="H88" s="38"/>
      <c r="I88" s="39" t="str">
        <f>IFERROR(__xludf.DUMMYFUNCTION("JOIN("" | "",'Team Stats'!C$4:H$4)"),"0 | 0 | 0 | 0 | 0 | 0")</f>
        <v>0 | 0 | 0 | 0 | 0 | 0</v>
      </c>
      <c r="J88" s="40" t="str">
        <f>IFERROR(__xludf.DUMMYFUNCTION("JOIN("" | "",'Team Stats'!I$12:K$12)"),"0 | 0 | 0")</f>
        <v>0 | 0 | 0</v>
      </c>
      <c r="L88" s="42" t="str">
        <f>IFERROR(__xludf.DUMMYFUNCTION("""COMPUTED_VALUE"""),"Green Bay Packers – GB")</f>
        <v>Green Bay Packers – GB</v>
      </c>
      <c r="M88" s="52">
        <f>IFERROR(VLOOKUP(L88,PlayerDB!$F$2:$G365,2,FALSE),"")</f>
        <v>121</v>
      </c>
      <c r="N88" s="42"/>
      <c r="O88" s="42"/>
      <c r="P88" s="42"/>
      <c r="Q88" s="52"/>
    </row>
    <row r="89">
      <c r="A89" s="96"/>
      <c r="B89" s="46">
        <v>88.0</v>
      </c>
      <c r="C89" s="46" t="str">
        <f>'Teams &amp; Draft Order'!$C$9</f>
        <v>El Nino</v>
      </c>
      <c r="D89" s="47"/>
      <c r="E89" s="91" t="str">
        <f>IFERROR(VLOOKUP($D89,PlayerDB!$F$2:$G365,2,FALSE),"")</f>
        <v/>
      </c>
      <c r="F89" s="48" t="str">
        <f>IFERROR(VLOOKUP($D89,PlayerDB!$F$2:$H365,3,FALSE),"")</f>
        <v/>
      </c>
      <c r="G89" s="91" t="str">
        <f>IFERROR(VLOOKUP($D89,PlayerDB!$F$2:$I365,4,FALSE),"")</f>
        <v/>
      </c>
      <c r="H89" s="38"/>
      <c r="I89" s="50" t="str">
        <f>IFERROR(__xludf.DUMMYFUNCTION("JOIN("" | "",'Team Stats'!C$5:H$5)"),"0 | 0 | 0 | 0 | 0 | 0")</f>
        <v>0 | 0 | 0 | 0 | 0 | 0</v>
      </c>
      <c r="J89" s="51" t="str">
        <f>IFERROR(__xludf.DUMMYFUNCTION("JOIN("" | "",'Team Stats'!I$13:K$13)"),"0 | 0 | 0")</f>
        <v>0 | 0 | 0</v>
      </c>
      <c r="L89" s="42" t="str">
        <f>IFERROR(__xludf.DUMMYFUNCTION("""COMPUTED_VALUE"""),"Dallas Cowboys – DAL")</f>
        <v>Dallas Cowboys – DAL</v>
      </c>
      <c r="M89" s="52">
        <f>IFERROR(VLOOKUP(L89,PlayerDB!$F$2:$G365,2,FALSE),"")</f>
        <v>120</v>
      </c>
      <c r="N89" s="42"/>
      <c r="O89" s="42"/>
      <c r="P89" s="42"/>
      <c r="Q89" s="52"/>
    </row>
    <row r="90">
      <c r="A90" s="97"/>
      <c r="B90" s="34">
        <v>89.0</v>
      </c>
      <c r="C90" s="34" t="str">
        <f>'Teams &amp; Draft Order'!$C$10</f>
        <v>Buttheads</v>
      </c>
      <c r="D90" s="35"/>
      <c r="E90" s="89" t="str">
        <f>IFERROR(VLOOKUP($D90,PlayerDB!$F$2:$G365,2,FALSE),"")</f>
        <v/>
      </c>
      <c r="F90" s="36" t="str">
        <f>IFERROR(VLOOKUP($D90,PlayerDB!$F$2:$H365,3,FALSE),"")</f>
        <v/>
      </c>
      <c r="G90" s="89" t="str">
        <f>IFERROR(VLOOKUP($D90,PlayerDB!$F$2:$I365,4,FALSE),"")</f>
        <v/>
      </c>
      <c r="H90" s="38"/>
      <c r="I90" s="39" t="str">
        <f>IFERROR(__xludf.DUMMYFUNCTION("JOIN("" | "",'Team Stats'!C$6:H$6)"),"0 | 0 | 0 | 0 | 0 | 0")</f>
        <v>0 | 0 | 0 | 0 | 0 | 0</v>
      </c>
      <c r="J90" s="62" t="str">
        <f>IFERROR(__xludf.DUMMYFUNCTION("JOIN("" | "",'Team Stats'!I$13:K$13)"),"0 | 0 | 0")</f>
        <v>0 | 0 | 0</v>
      </c>
      <c r="L90" s="42" t="str">
        <f>IFERROR(__xludf.DUMMYFUNCTION("""COMPUTED_VALUE"""),"New York Giants – NYG")</f>
        <v>New York Giants – NYG</v>
      </c>
      <c r="M90" s="52">
        <f>IFERROR(VLOOKUP(L90,PlayerDB!$F$2:$G365,2,FALSE),"")</f>
        <v>118</v>
      </c>
      <c r="N90" s="42"/>
      <c r="O90" s="42"/>
      <c r="P90" s="42"/>
      <c r="Q90" s="52"/>
    </row>
    <row r="91">
      <c r="A91" s="96"/>
      <c r="B91" s="46">
        <v>90.0</v>
      </c>
      <c r="C91" s="46" t="str">
        <f>'Teams &amp; Draft Order'!$C$11</f>
        <v>Big Boys Big Work</v>
      </c>
      <c r="D91" s="47"/>
      <c r="E91" s="91" t="str">
        <f>IFERROR(VLOOKUP($D91,PlayerDB!$F$2:$G365,2,FALSE),"")</f>
        <v/>
      </c>
      <c r="F91" s="48" t="str">
        <f>IFERROR(VLOOKUP($D91,PlayerDB!$F$2:$H365,3,FALSE),"")</f>
        <v/>
      </c>
      <c r="G91" s="91" t="str">
        <f>IFERROR(VLOOKUP($D91,PlayerDB!$F$2:$I365,4,FALSE),"")</f>
        <v/>
      </c>
      <c r="H91" s="38"/>
      <c r="I91" s="50" t="str">
        <f>IFERROR(__xludf.DUMMYFUNCTION("JOIN("" | "",'Team Stats'!C$7:H$7)"),"0 | 0 | 0 | 0 | 0 | 0")</f>
        <v>0 | 0 | 0 | 0 | 0 | 0</v>
      </c>
      <c r="J91" s="51" t="str">
        <f>IFERROR(__xludf.DUMMYFUNCTION("JOIN("" | "",'Team Stats'!I$12:K$12)"),"0 | 0 | 0")</f>
        <v>0 | 0 | 0</v>
      </c>
      <c r="L91" s="42" t="str">
        <f>IFERROR(__xludf.DUMMYFUNCTION("""COMPUTED_VALUE"""),"Cleveland Browns – CLE")</f>
        <v>Cleveland Browns – CLE</v>
      </c>
      <c r="M91" s="52">
        <f>IFERROR(VLOOKUP(L91,PlayerDB!$F$2:$G365,2,FALSE),"")</f>
        <v>117</v>
      </c>
      <c r="N91" s="42"/>
      <c r="O91" s="42"/>
      <c r="P91" s="42"/>
      <c r="Q91" s="52"/>
    </row>
    <row r="92">
      <c r="A92" s="97"/>
      <c r="B92" s="34">
        <v>91.0</v>
      </c>
      <c r="C92" s="34" t="str">
        <f>'Teams &amp; Draft Order'!$C$12</f>
        <v>Turbo-Ginz</v>
      </c>
      <c r="D92" s="35"/>
      <c r="E92" s="89" t="str">
        <f>IFERROR(VLOOKUP($D92,PlayerDB!$F$2:$G365,2,FALSE),"")</f>
        <v/>
      </c>
      <c r="F92" s="36" t="str">
        <f>IFERROR(VLOOKUP($D92,PlayerDB!$F$2:$H365,3,FALSE),"")</f>
        <v/>
      </c>
      <c r="G92" s="89" t="str">
        <f>IFERROR(VLOOKUP($D92,PlayerDB!$F$2:$I365,4,FALSE),"")</f>
        <v/>
      </c>
      <c r="H92" s="38"/>
      <c r="I92" s="39" t="str">
        <f>IFERROR(__xludf.DUMMYFUNCTION("JOIN("" | "",'Team Stats'!C$8:H$8)"),"0 | 0 | 0 | 0 | 0 | 0")</f>
        <v>0 | 0 | 0 | 0 | 0 | 0</v>
      </c>
      <c r="J92" s="40" t="str">
        <f>IFERROR(__xludf.DUMMYFUNCTION("JOIN("" | "",'Team Stats'!I$11:K$11)"),"0 | 0 | 0")</f>
        <v>0 | 0 | 0</v>
      </c>
      <c r="L92" s="42" t="str">
        <f>IFERROR(__xludf.DUMMYFUNCTION("""COMPUTED_VALUE"""),"San Francisco 49ers – SF")</f>
        <v>San Francisco 49ers – SF</v>
      </c>
      <c r="M92" s="52">
        <f>IFERROR(VLOOKUP(L92,PlayerDB!$F$2:$G365,2,FALSE),"")</f>
        <v>116</v>
      </c>
      <c r="N92" s="42"/>
      <c r="O92" s="42"/>
      <c r="P92" s="42"/>
      <c r="Q92" s="52"/>
    </row>
    <row r="93">
      <c r="A93" s="96"/>
      <c r="B93" s="46">
        <v>92.0</v>
      </c>
      <c r="C93" s="46" t="str">
        <f>'Teams &amp; Draft Order'!$C$13</f>
        <v>Luddite</v>
      </c>
      <c r="D93" s="47"/>
      <c r="E93" s="91" t="str">
        <f>IFERROR(VLOOKUP($D93,PlayerDB!$F$2:$G365,2,FALSE),"")</f>
        <v/>
      </c>
      <c r="F93" s="48" t="str">
        <f>IFERROR(VLOOKUP($D93,PlayerDB!$F$2:$H365,3,FALSE),"")</f>
        <v/>
      </c>
      <c r="G93" s="91" t="str">
        <f>IFERROR(VLOOKUP($D93,PlayerDB!$F$2:$I365,4,FALSE),"")</f>
        <v/>
      </c>
      <c r="H93" s="38"/>
      <c r="I93" s="50" t="str">
        <f>IFERROR(__xludf.DUMMYFUNCTION("JOIN("" | "",'Team Stats'!C$9:H$9)"),"0 | 0 | 0 | 0 | 0 | 0")</f>
        <v>0 | 0 | 0 | 0 | 0 | 0</v>
      </c>
      <c r="J93" s="51" t="str">
        <f>IFERROR(__xludf.DUMMYFUNCTION("JOIN("" | "",'Team Stats'!I$10:K$10)"),"0 | 0 | 0")</f>
        <v>0 | 0 | 0</v>
      </c>
      <c r="L93" s="42" t="str">
        <f>IFERROR(__xludf.DUMMYFUNCTION("""COMPUTED_VALUE"""),"Tampa Bay Buccaneers – TB")</f>
        <v>Tampa Bay Buccaneers – TB</v>
      </c>
      <c r="M93" s="52">
        <f>IFERROR(VLOOKUP(L93,PlayerDB!$F$2:$G365,2,FALSE),"")</f>
        <v>115</v>
      </c>
      <c r="N93" s="42"/>
      <c r="O93" s="42"/>
      <c r="P93" s="42"/>
      <c r="Q93" s="52"/>
    </row>
    <row r="94">
      <c r="A94" s="97"/>
      <c r="B94" s="34">
        <v>93.0</v>
      </c>
      <c r="C94" s="34" t="s">
        <v>58</v>
      </c>
      <c r="D94" s="35"/>
      <c r="E94" s="89" t="str">
        <f>IFERROR(VLOOKUP($D94,PlayerDB!$F$2:$G365,2,FALSE),"")</f>
        <v/>
      </c>
      <c r="F94" s="36" t="str">
        <f>IFERROR(VLOOKUP($D94,PlayerDB!$F$2:$H365,3,FALSE),"")</f>
        <v/>
      </c>
      <c r="G94" s="89" t="str">
        <f>IFERROR(VLOOKUP($D94,PlayerDB!$F$2:$I365,4,FALSE),"")</f>
        <v/>
      </c>
      <c r="H94" s="38"/>
      <c r="I94" s="39" t="str">
        <f>IFERROR(__xludf.DUMMYFUNCTION("JOIN("" | "",'Team Stats'!C$10:H$10)"),"0 | 0 | 0 | 0 | 0 | 0")</f>
        <v>0 | 0 | 0 | 0 | 0 | 0</v>
      </c>
      <c r="J94" s="40" t="str">
        <f>IFERROR(__xludf.DUMMYFUNCTION("JOIN("" | "",'Team Stats'!I$9:K$9)"),"0 | 0 | 0")</f>
        <v>0 | 0 | 0</v>
      </c>
      <c r="L94" s="42" t="str">
        <f>IFERROR(__xludf.DUMMYFUNCTION("""COMPUTED_VALUE"""),"Miami Dolphins – MIA")</f>
        <v>Miami Dolphins – MIA</v>
      </c>
      <c r="M94" s="52">
        <f>IFERROR(VLOOKUP(L94,PlayerDB!$F$2:$G365,2,FALSE),"")</f>
        <v>114</v>
      </c>
      <c r="N94" s="42"/>
      <c r="O94" s="42"/>
      <c r="P94" s="42"/>
      <c r="Q94" s="52"/>
    </row>
    <row r="95">
      <c r="A95" s="96"/>
      <c r="B95" s="46">
        <v>94.0</v>
      </c>
      <c r="C95" s="46" t="str">
        <f>'Teams &amp; Draft Order'!$C$15</f>
        <v>Daddy's Dogs</v>
      </c>
      <c r="D95" s="47"/>
      <c r="E95" s="91" t="str">
        <f>IFERROR(VLOOKUP($D95,PlayerDB!$F$2:$G365,2,FALSE),"")</f>
        <v/>
      </c>
      <c r="F95" s="48" t="str">
        <f>IFERROR(VLOOKUP($D95,PlayerDB!$F$2:$H365,3,FALSE),"")</f>
        <v/>
      </c>
      <c r="G95" s="91" t="str">
        <f>IFERROR(VLOOKUP($D95,PlayerDB!$F$2:$I365,4,FALSE),"")</f>
        <v/>
      </c>
      <c r="H95" s="38"/>
      <c r="I95" s="50" t="str">
        <f>IFERROR(__xludf.DUMMYFUNCTION("JOIN("" | "",'Team Stats'!C$11:H$11)"),"0 | 0 | 0 | 0 | 0 | 0")</f>
        <v>0 | 0 | 0 | 0 | 0 | 0</v>
      </c>
      <c r="J95" s="51" t="str">
        <f>IFERROR(__xludf.DUMMYFUNCTION("JOIN("" | "",'Team Stats'!I$8:K$8)"),"0 | 0 | 0")</f>
        <v>0 | 0 | 0</v>
      </c>
      <c r="L95" s="20"/>
      <c r="M95" s="20"/>
      <c r="N95" s="20"/>
      <c r="O95" s="20"/>
      <c r="P95" s="20"/>
      <c r="Q95" s="20"/>
    </row>
    <row r="96">
      <c r="A96" s="97"/>
      <c r="B96" s="34">
        <v>95.0</v>
      </c>
      <c r="C96" s="34" t="str">
        <f>'Teams &amp; Draft Order'!$C$16</f>
        <v>TDs and Beers</v>
      </c>
      <c r="D96" s="35"/>
      <c r="E96" s="89" t="str">
        <f>IFERROR(VLOOKUP($D96,PlayerDB!$F$2:$G365,2,FALSE),"")</f>
        <v/>
      </c>
      <c r="F96" s="36" t="str">
        <f>IFERROR(VLOOKUP($D96,PlayerDB!$F$2:$H365,3,FALSE),"")</f>
        <v/>
      </c>
      <c r="G96" s="89" t="str">
        <f>IFERROR(VLOOKUP($D96,PlayerDB!$F$2:$I365,4,FALSE),"")</f>
        <v/>
      </c>
      <c r="H96" s="38"/>
      <c r="I96" s="39" t="str">
        <f>IFERROR(__xludf.DUMMYFUNCTION("JOIN("" | "",'Team Stats'!C$12:H$12)"),"0 | 0 | 0 | 0 | 0 | 0")</f>
        <v>0 | 0 | 0 | 0 | 0 | 0</v>
      </c>
      <c r="J96" s="40" t="str">
        <f>IFERROR(__xludf.DUMMYFUNCTION("JOIN("" | "",'Team Stats'!I$7:K$7)"),"0 | 0 | 0")</f>
        <v>0 | 0 | 0</v>
      </c>
      <c r="L96" s="42"/>
      <c r="M96" s="42"/>
      <c r="N96" s="42"/>
      <c r="O96" s="42"/>
      <c r="P96" s="42"/>
      <c r="Q96" s="42"/>
    </row>
    <row r="97">
      <c r="A97" s="96"/>
      <c r="B97" s="46">
        <v>96.0</v>
      </c>
      <c r="C97" s="46" t="str">
        <f>'Teams &amp; Draft Order'!$C$17</f>
        <v>DD Riders</v>
      </c>
      <c r="D97" s="47"/>
      <c r="E97" s="91" t="str">
        <f>IFERROR(VLOOKUP($D97,PlayerDB!$F$2:$G365,2,FALSE),"")</f>
        <v/>
      </c>
      <c r="F97" s="48" t="str">
        <f>IFERROR(VLOOKUP($D97,PlayerDB!$F$2:$H365,3,FALSE),"")</f>
        <v/>
      </c>
      <c r="G97" s="91" t="str">
        <f>IFERROR(VLOOKUP($D97,PlayerDB!$F$2:$I365,4,FALSE),"")</f>
        <v/>
      </c>
      <c r="H97" s="38"/>
      <c r="I97" s="50" t="str">
        <f>IFERROR(__xludf.DUMMYFUNCTION("JOIN("" | "",'Team Stats'!C$13:H$13)"),"0 | 0 | 0 | 0 | 0 | 0")</f>
        <v>0 | 0 | 0 | 0 | 0 | 0</v>
      </c>
      <c r="J97" s="51" t="str">
        <f>IFERROR(__xludf.DUMMYFUNCTION("JOIN("" | "",'Team Stats'!I$6:K$6)"),"0 | 0 | 0")</f>
        <v>0 | 0 | 0</v>
      </c>
      <c r="L97" s="42"/>
      <c r="M97" s="42"/>
      <c r="N97" s="42"/>
      <c r="O97" s="42"/>
      <c r="P97" s="42"/>
      <c r="Q97" s="42"/>
    </row>
    <row r="98">
      <c r="A98" s="97"/>
      <c r="B98" s="34">
        <v>97.0</v>
      </c>
      <c r="C98" s="34" t="str">
        <f>'Teams &amp; Draft Order'!$C$18</f>
        <v>Nasty</v>
      </c>
      <c r="D98" s="35"/>
      <c r="E98" s="89" t="str">
        <f>IFERROR(VLOOKUP($D98,PlayerDB!$F$2:$G365,2,FALSE),"")</f>
        <v/>
      </c>
      <c r="F98" s="36" t="str">
        <f>IFERROR(VLOOKUP($D98,PlayerDB!$F$2:$H365,3,FALSE),"")</f>
        <v/>
      </c>
      <c r="G98" s="89" t="str">
        <f>IFERROR(VLOOKUP($D98,PlayerDB!$F$2:$I365,4,FALSE),"")</f>
        <v/>
      </c>
      <c r="H98" s="38"/>
      <c r="I98" s="92" t="str">
        <f>IFERROR(__xludf.DUMMYFUNCTION("JOIN("" | "",'Team Stats'!C$14:H$14)"),"0 | 0 | 0 | 0 | 0 | 0")</f>
        <v>0 | 0 | 0 | 0 | 0 | 0</v>
      </c>
      <c r="J98" s="40" t="str">
        <f>IFERROR(__xludf.DUMMYFUNCTION("JOIN("" | "",'Team Stats'!I$5:K$5)"),"0 | 0 | 0")</f>
        <v>0 | 0 | 0</v>
      </c>
      <c r="L98" s="71"/>
      <c r="M98" s="44"/>
      <c r="N98" s="42"/>
      <c r="O98" s="42"/>
      <c r="P98" s="71"/>
      <c r="Q98" s="44"/>
    </row>
    <row r="99">
      <c r="A99" s="96"/>
      <c r="B99" s="46">
        <v>98.0</v>
      </c>
      <c r="C99" s="46" t="str">
        <f>'Teams &amp; Draft Order'!$C$19</f>
        <v>Red Hammer</v>
      </c>
      <c r="D99" s="47"/>
      <c r="E99" s="93" t="str">
        <f>IFERROR(VLOOKUP($D99,PlayerDB!$F$2:$G365,2,FALSE),"")</f>
        <v/>
      </c>
      <c r="F99" s="57" t="str">
        <f>IFERROR(VLOOKUP($D99,PlayerDB!$F$2:$H365,3,FALSE),"")</f>
        <v/>
      </c>
      <c r="G99" s="93" t="str">
        <f>IFERROR(VLOOKUP($D99,PlayerDB!$F$2:$I365,4,FALSE),"")</f>
        <v/>
      </c>
      <c r="H99" s="38"/>
      <c r="I99" s="94" t="str">
        <f>IFERROR(__xludf.DUMMYFUNCTION("JOIN("" | "",'Team Stats'!C$15:H$15)"),"0 | 0 | 0 | 0 | 0 | 0")</f>
        <v>0 | 0 | 0 | 0 | 0 | 0</v>
      </c>
      <c r="J99" s="51" t="str">
        <f>IFERROR(__xludf.DUMMYFUNCTION("JOIN("" | "",'Team Stats'!I$4:K$4)"),"0 | 0 | 0")</f>
        <v>0 | 0 | 0</v>
      </c>
      <c r="L99" s="42"/>
      <c r="M99" s="52"/>
      <c r="N99" s="42"/>
      <c r="O99" s="42"/>
      <c r="P99" s="42"/>
      <c r="Q99" s="52"/>
    </row>
    <row r="100">
      <c r="A100" s="88" t="s">
        <v>120</v>
      </c>
      <c r="B100" s="73">
        <v>99.0</v>
      </c>
      <c r="C100" s="73" t="str">
        <f>'Teams &amp; Draft Order'!$C$19</f>
        <v>Red Hammer</v>
      </c>
      <c r="D100" s="74"/>
      <c r="E100" s="89" t="str">
        <f>IFERROR(VLOOKUP($D100,PlayerDB!$F$2:$G365,2,FALSE),"")</f>
        <v/>
      </c>
      <c r="F100" s="36" t="str">
        <f>IFERROR(VLOOKUP($D100,PlayerDB!$F$2:$H365,3,FALSE),"")</f>
        <v/>
      </c>
      <c r="G100" s="89" t="str">
        <f>IFERROR(VLOOKUP($D100,PlayerDB!$F$2:$I365,4,FALSE),"")</f>
        <v/>
      </c>
      <c r="H100" s="75"/>
      <c r="I100" s="95" t="str">
        <f>IFERROR(__xludf.DUMMYFUNCTION("JOIN("" | "",'Team Stats'!C$15:H$15)"),"0 | 0 | 0 | 0 | 0 | 0")</f>
        <v>0 | 0 | 0 | 0 | 0 | 0</v>
      </c>
      <c r="J100" s="40" t="str">
        <f>IFERROR(__xludf.DUMMYFUNCTION("JOIN("" | "",'Team Stats'!I$3:K$3)"),"0 | 0 | 0")</f>
        <v>0 | 0 | 0</v>
      </c>
      <c r="L100" s="42"/>
      <c r="M100" s="52"/>
      <c r="N100" s="42"/>
      <c r="O100" s="42"/>
      <c r="P100" s="42"/>
      <c r="Q100" s="52"/>
    </row>
    <row r="101">
      <c r="A101" s="96"/>
      <c r="B101" s="46">
        <v>100.0</v>
      </c>
      <c r="C101" s="46" t="str">
        <f>'Teams &amp; Draft Order'!$C$18</f>
        <v>Nasty</v>
      </c>
      <c r="D101" s="47"/>
      <c r="E101" s="91" t="str">
        <f>IFERROR(VLOOKUP($D101,PlayerDB!$F$2:$G365,2,FALSE),"")</f>
        <v/>
      </c>
      <c r="F101" s="48" t="str">
        <f>IFERROR(VLOOKUP($D101,PlayerDB!$F$2:$H365,3,FALSE),"")</f>
        <v/>
      </c>
      <c r="G101" s="91" t="str">
        <f>IFERROR(VLOOKUP($D101,PlayerDB!$F$2:$I365,4,FALSE),"")</f>
        <v/>
      </c>
      <c r="H101" s="38"/>
      <c r="I101" s="94" t="str">
        <f>IFERROR(__xludf.DUMMYFUNCTION("JOIN("" | "",'Team Stats'!C$14:H$14)"),"0 | 0 | 0 | 0 | 0 | 0")</f>
        <v>0 | 0 | 0 | 0 | 0 | 0</v>
      </c>
      <c r="J101" s="64" t="str">
        <f>IFERROR(__xludf.DUMMYFUNCTION("JOIN("" | "",'Team Stats'!I$2:K$2)"),"0 | 0 | 0")</f>
        <v>0 | 0 | 0</v>
      </c>
      <c r="L101" s="20"/>
      <c r="M101" s="52"/>
      <c r="N101" s="42"/>
      <c r="O101" s="42"/>
      <c r="P101" s="42"/>
      <c r="Q101" s="52"/>
    </row>
    <row r="102">
      <c r="A102" s="97"/>
      <c r="B102" s="34">
        <v>101.0</v>
      </c>
      <c r="C102" s="34" t="str">
        <f>'Teams &amp; Draft Order'!$C$17</f>
        <v>DD Riders</v>
      </c>
      <c r="D102" s="35"/>
      <c r="E102" s="89" t="str">
        <f>IFERROR(VLOOKUP($D102,PlayerDB!$F$2:$G365,2,FALSE),"")</f>
        <v/>
      </c>
      <c r="F102" s="36" t="str">
        <f>IFERROR(VLOOKUP($D102,PlayerDB!$F$2:$H365,3,FALSE),"")</f>
        <v/>
      </c>
      <c r="G102" s="89" t="str">
        <f>IFERROR(VLOOKUP($D102,PlayerDB!$F$2:$I365,4,FALSE),"")</f>
        <v/>
      </c>
      <c r="H102" s="38"/>
      <c r="I102" s="39" t="str">
        <f>IFERROR(__xludf.DUMMYFUNCTION("JOIN("" | "",'Team Stats'!C$13:H$13)"),"0 | 0 | 0 | 0 | 0 | 0")</f>
        <v>0 | 0 | 0 | 0 | 0 | 0</v>
      </c>
      <c r="J102" s="40" t="str">
        <f>IFERROR(__xludf.DUMMYFUNCTION("JOIN("" | "",'Team Stats'!I$2:K$2)"),"0 | 0 | 0")</f>
        <v>0 | 0 | 0</v>
      </c>
      <c r="L102" s="42"/>
      <c r="M102" s="52"/>
      <c r="N102" s="42"/>
      <c r="O102" s="42"/>
      <c r="P102" s="42"/>
      <c r="Q102" s="52"/>
    </row>
    <row r="103">
      <c r="A103" s="96"/>
      <c r="B103" s="46">
        <v>102.0</v>
      </c>
      <c r="C103" s="46" t="str">
        <f>'Teams &amp; Draft Order'!$C$16</f>
        <v>TDs and Beers</v>
      </c>
      <c r="D103" s="47"/>
      <c r="E103" s="91" t="str">
        <f>IFERROR(VLOOKUP($D103,PlayerDB!$F$2:$G365,2,FALSE),"")</f>
        <v/>
      </c>
      <c r="F103" s="48" t="str">
        <f>IFERROR(VLOOKUP($D103,PlayerDB!$F$2:$H365,3,FALSE),"")</f>
        <v/>
      </c>
      <c r="G103" s="91" t="str">
        <f>IFERROR(VLOOKUP($D103,PlayerDB!$F$2:$I365,4,FALSE),"")</f>
        <v/>
      </c>
      <c r="H103" s="38"/>
      <c r="I103" s="50" t="str">
        <f>IFERROR(__xludf.DUMMYFUNCTION("JOIN("" | "",'Team Stats'!C$12:H$12)"),"0 | 0 | 0 | 0 | 0 | 0")</f>
        <v>0 | 0 | 0 | 0 | 0 | 0</v>
      </c>
      <c r="J103" s="51" t="str">
        <f>IFERROR(__xludf.DUMMYFUNCTION("JOIN("" | "",'Team Stats'!I$3:K$3)"),"0 | 0 | 0")</f>
        <v>0 | 0 | 0</v>
      </c>
      <c r="L103" s="42"/>
      <c r="M103" s="52"/>
      <c r="N103" s="42"/>
      <c r="O103" s="42"/>
      <c r="P103" s="42"/>
      <c r="Q103" s="52"/>
    </row>
    <row r="104">
      <c r="A104" s="97"/>
      <c r="B104" s="34">
        <v>103.0</v>
      </c>
      <c r="C104" s="34" t="str">
        <f>'Teams &amp; Draft Order'!$C$15</f>
        <v>Daddy's Dogs</v>
      </c>
      <c r="D104" s="35"/>
      <c r="E104" s="89" t="str">
        <f>IFERROR(VLOOKUP($D104,PlayerDB!$F$2:$G365,2,FALSE),"")</f>
        <v/>
      </c>
      <c r="F104" s="36" t="str">
        <f>IFERROR(VLOOKUP($D104,PlayerDB!$F$2:$H365,3,FALSE),"")</f>
        <v/>
      </c>
      <c r="G104" s="89" t="str">
        <f>IFERROR(VLOOKUP($D104,PlayerDB!$F$2:$I365,4,FALSE),"")</f>
        <v/>
      </c>
      <c r="H104" s="38"/>
      <c r="I104" s="39" t="str">
        <f>IFERROR(__xludf.DUMMYFUNCTION("JOIN("" | "",'Team Stats'!C$11:H$11)"),"0 | 0 | 0 | 0 | 0 | 0")</f>
        <v>0 | 0 | 0 | 0 | 0 | 0</v>
      </c>
      <c r="J104" s="40" t="str">
        <f>IFERROR(__xludf.DUMMYFUNCTION("JOIN("" | "",'Team Stats'!I$4:K$4)"),"0 | 0 | 0")</f>
        <v>0 | 0 | 0</v>
      </c>
      <c r="L104" s="42"/>
      <c r="M104" s="52"/>
      <c r="N104" s="42"/>
      <c r="O104" s="42"/>
      <c r="P104" s="42"/>
      <c r="Q104" s="52"/>
    </row>
    <row r="105">
      <c r="A105" s="96"/>
      <c r="B105" s="46">
        <v>104.0</v>
      </c>
      <c r="C105" s="46" t="s">
        <v>60</v>
      </c>
      <c r="D105" s="47"/>
      <c r="E105" s="91" t="str">
        <f>IFERROR(VLOOKUP($D105,PlayerDB!$F$2:$G365,2,FALSE),"")</f>
        <v/>
      </c>
      <c r="F105" s="48" t="str">
        <f>IFERROR(VLOOKUP($D105,PlayerDB!$F$2:$H365,3,FALSE),"")</f>
        <v/>
      </c>
      <c r="G105" s="91" t="str">
        <f>IFERROR(VLOOKUP($D105,PlayerDB!$F$2:$I365,4,FALSE),"")</f>
        <v/>
      </c>
      <c r="H105" s="38"/>
      <c r="I105" s="50" t="str">
        <f>IFERROR(__xludf.DUMMYFUNCTION("JOIN("" | "",'Team Stats'!C$10:H$10)"),"0 | 0 | 0 | 0 | 0 | 0")</f>
        <v>0 | 0 | 0 | 0 | 0 | 0</v>
      </c>
      <c r="J105" s="51" t="str">
        <f>IFERROR(__xludf.DUMMYFUNCTION("JOIN("" | "",'Team Stats'!I$5:K$5)"),"0 | 0 | 0")</f>
        <v>0 | 0 | 0</v>
      </c>
      <c r="L105" s="42"/>
      <c r="M105" s="52"/>
      <c r="N105" s="42"/>
      <c r="O105" s="42"/>
      <c r="P105" s="42"/>
      <c r="Q105" s="52"/>
    </row>
    <row r="106">
      <c r="A106" s="97"/>
      <c r="B106" s="34">
        <v>105.0</v>
      </c>
      <c r="C106" s="34" t="s">
        <v>121</v>
      </c>
      <c r="D106" s="35"/>
      <c r="E106" s="89" t="str">
        <f>IFERROR(VLOOKUP($D106,PlayerDB!$F$2:$G365,2,FALSE),"")</f>
        <v/>
      </c>
      <c r="F106" s="36" t="str">
        <f>IFERROR(VLOOKUP($D106,PlayerDB!$F$2:$H365,3,FALSE),"")</f>
        <v/>
      </c>
      <c r="G106" s="89" t="str">
        <f>IFERROR(VLOOKUP($D106,PlayerDB!$F$2:$I365,4,FALSE),"")</f>
        <v/>
      </c>
      <c r="H106" s="38"/>
      <c r="I106" s="39" t="str">
        <f>IFERROR(__xludf.DUMMYFUNCTION("JOIN("" | "",'Team Stats'!C$9:H$9)"),"0 | 0 | 0 | 0 | 0 | 0")</f>
        <v>0 | 0 | 0 | 0 | 0 | 0</v>
      </c>
      <c r="J106" s="40" t="str">
        <f>IFERROR(__xludf.DUMMYFUNCTION("JOIN("" | "",'Team Stats'!I$6:K$6)"),"0 | 0 | 0")</f>
        <v>0 | 0 | 0</v>
      </c>
      <c r="L106" s="42"/>
      <c r="M106" s="52"/>
      <c r="N106" s="42"/>
      <c r="O106" s="42"/>
      <c r="P106" s="42"/>
      <c r="Q106" s="52"/>
    </row>
    <row r="107">
      <c r="A107" s="96"/>
      <c r="B107" s="46">
        <v>106.0</v>
      </c>
      <c r="C107" s="46" t="str">
        <f>'Teams &amp; Draft Order'!$C$12</f>
        <v>Turbo-Ginz</v>
      </c>
      <c r="D107" s="47"/>
      <c r="E107" s="91" t="str">
        <f>IFERROR(VLOOKUP($D107,PlayerDB!$F$2:$G365,2,FALSE),"")</f>
        <v/>
      </c>
      <c r="F107" s="48" t="str">
        <f>IFERROR(VLOOKUP($D107,PlayerDB!$F$2:$H365,3,FALSE),"")</f>
        <v/>
      </c>
      <c r="G107" s="91" t="str">
        <f>IFERROR(VLOOKUP($D107,PlayerDB!$F$2:$I365,4,FALSE),"")</f>
        <v/>
      </c>
      <c r="H107" s="38"/>
      <c r="I107" s="50" t="str">
        <f>IFERROR(__xludf.DUMMYFUNCTION("JOIN("" | "",'Team Stats'!C$8:H$8)"),"0 | 0 | 0 | 0 | 0 | 0")</f>
        <v>0 | 0 | 0 | 0 | 0 | 0</v>
      </c>
      <c r="J107" s="51" t="str">
        <f>IFERROR(__xludf.DUMMYFUNCTION("JOIN("" | "",'Team Stats'!I$7:K$7)"),"0 | 0 | 0")</f>
        <v>0 | 0 | 0</v>
      </c>
      <c r="L107" s="42"/>
      <c r="M107" s="52"/>
      <c r="N107" s="42"/>
      <c r="O107" s="42"/>
      <c r="P107" s="42"/>
      <c r="Q107" s="52"/>
    </row>
    <row r="108">
      <c r="A108" s="97"/>
      <c r="B108" s="34">
        <v>107.0</v>
      </c>
      <c r="C108" s="34" t="str">
        <f>'Teams &amp; Draft Order'!$C$11</f>
        <v>Big Boys Big Work</v>
      </c>
      <c r="D108" s="35"/>
      <c r="E108" s="89" t="str">
        <f>IFERROR(VLOOKUP($D108,PlayerDB!$F$2:$G365,2,FALSE),"")</f>
        <v/>
      </c>
      <c r="F108" s="36" t="str">
        <f>IFERROR(VLOOKUP($D108,PlayerDB!$F$2:$H365,3,FALSE),"")</f>
        <v/>
      </c>
      <c r="G108" s="89" t="str">
        <f>IFERROR(VLOOKUP($D108,PlayerDB!$F$2:$I365,4,FALSE),"")</f>
        <v/>
      </c>
      <c r="H108" s="38"/>
      <c r="I108" s="39" t="str">
        <f>IFERROR(__xludf.DUMMYFUNCTION("JOIN("" | "",'Team Stats'!C$7:H$7)"),"0 | 0 | 0 | 0 | 0 | 0")</f>
        <v>0 | 0 | 0 | 0 | 0 | 0</v>
      </c>
      <c r="J108" s="40" t="str">
        <f>IFERROR(__xludf.DUMMYFUNCTION("JOIN("" | "",'Team Stats'!I$8:K$8)"),"0 | 0 | 0")</f>
        <v>0 | 0 | 0</v>
      </c>
      <c r="L108" s="42"/>
      <c r="M108" s="52"/>
      <c r="N108" s="42"/>
      <c r="O108" s="42"/>
      <c r="P108" s="42"/>
      <c r="Q108" s="52"/>
    </row>
    <row r="109">
      <c r="A109" s="96"/>
      <c r="B109" s="46">
        <v>108.0</v>
      </c>
      <c r="C109" s="46" t="str">
        <f>'Teams &amp; Draft Order'!$C$10</f>
        <v>Buttheads</v>
      </c>
      <c r="D109" s="47"/>
      <c r="E109" s="91" t="str">
        <f>IFERROR(VLOOKUP($D109,PlayerDB!$F$2:$G365,2,FALSE),"")</f>
        <v/>
      </c>
      <c r="F109" s="48" t="str">
        <f>IFERROR(VLOOKUP($D109,PlayerDB!$F$2:$H365,3,FALSE),"")</f>
        <v/>
      </c>
      <c r="G109" s="91" t="str">
        <f>IFERROR(VLOOKUP($D109,PlayerDB!$F$2:$I365,4,FALSE),"")</f>
        <v/>
      </c>
      <c r="H109" s="38"/>
      <c r="I109" s="50" t="str">
        <f>IFERROR(__xludf.DUMMYFUNCTION("JOIN("" | "",'Team Stats'!C$6:H$6)"),"0 | 0 | 0 | 0 | 0 | 0")</f>
        <v>0 | 0 | 0 | 0 | 0 | 0</v>
      </c>
      <c r="J109" s="51" t="str">
        <f>IFERROR(__xludf.DUMMYFUNCTION("JOIN("" | "",'Team Stats'!I$9:K$9)"),"0 | 0 | 0")</f>
        <v>0 | 0 | 0</v>
      </c>
      <c r="L109" s="42"/>
      <c r="M109" s="52"/>
      <c r="N109" s="42"/>
      <c r="O109" s="42"/>
      <c r="P109" s="42"/>
      <c r="Q109" s="52"/>
    </row>
    <row r="110">
      <c r="A110" s="97"/>
      <c r="B110" s="34">
        <v>109.0</v>
      </c>
      <c r="C110" s="34" t="str">
        <f>'Teams &amp; Draft Order'!$C$9</f>
        <v>El Nino</v>
      </c>
      <c r="D110" s="35"/>
      <c r="E110" s="89" t="str">
        <f>IFERROR(VLOOKUP($D110,PlayerDB!$F$2:$G365,2,FALSE),"")</f>
        <v/>
      </c>
      <c r="F110" s="36" t="str">
        <f>IFERROR(VLOOKUP($D110,PlayerDB!$F$2:$H365,3,FALSE),"")</f>
        <v/>
      </c>
      <c r="G110" s="89" t="str">
        <f>IFERROR(VLOOKUP($D110,PlayerDB!$F$2:$I365,4,FALSE),"")</f>
        <v/>
      </c>
      <c r="H110" s="38"/>
      <c r="I110" s="39" t="str">
        <f>IFERROR(__xludf.DUMMYFUNCTION("JOIN("" | "",'Team Stats'!C$5:H$5)"),"0 | 0 | 0 | 0 | 0 | 0")</f>
        <v>0 | 0 | 0 | 0 | 0 | 0</v>
      </c>
      <c r="J110" s="40" t="str">
        <f>IFERROR(__xludf.DUMMYFUNCTION("JOIN("" | "",'Team Stats'!I$10:K$10)"),"0 | 0 | 0")</f>
        <v>0 | 0 | 0</v>
      </c>
      <c r="L110" s="42"/>
      <c r="M110" s="52"/>
      <c r="N110" s="42"/>
      <c r="O110" s="42"/>
      <c r="P110" s="42"/>
      <c r="Q110" s="52"/>
    </row>
    <row r="111">
      <c r="A111" s="96"/>
      <c r="B111" s="46">
        <v>110.0</v>
      </c>
      <c r="C111" s="46" t="str">
        <f>'Teams &amp; Draft Order'!$C$8</f>
        <v>Icelanders</v>
      </c>
      <c r="D111" s="47"/>
      <c r="E111" s="91" t="str">
        <f>IFERROR(VLOOKUP($D111,PlayerDB!$F$2:$G365,2,FALSE),"")</f>
        <v/>
      </c>
      <c r="F111" s="48" t="str">
        <f>IFERROR(VLOOKUP($D111,PlayerDB!$F$2:$H365,3,FALSE),"")</f>
        <v/>
      </c>
      <c r="G111" s="91" t="str">
        <f>IFERROR(VLOOKUP($D111,PlayerDB!$F$2:$I365,4,FALSE),"")</f>
        <v/>
      </c>
      <c r="H111" s="38"/>
      <c r="I111" s="50" t="str">
        <f>IFERROR(__xludf.DUMMYFUNCTION("JOIN("" | "",'Team Stats'!C$4:H$4)"),"0 | 0 | 0 | 0 | 0 | 0")</f>
        <v>0 | 0 | 0 | 0 | 0 | 0</v>
      </c>
      <c r="J111" s="51" t="str">
        <f>IFERROR(__xludf.DUMMYFUNCTION("JOIN("" | "",'Team Stats'!I$11:K$11)"),"0 | 0 | 0")</f>
        <v>0 | 0 | 0</v>
      </c>
      <c r="L111" s="42"/>
      <c r="M111" s="52"/>
      <c r="N111" s="42"/>
      <c r="O111" s="42"/>
      <c r="P111" s="42"/>
      <c r="Q111" s="52"/>
    </row>
    <row r="112">
      <c r="A112" s="97"/>
      <c r="B112" s="34">
        <v>111.0</v>
      </c>
      <c r="C112" s="34" t="s">
        <v>66</v>
      </c>
      <c r="D112" s="35"/>
      <c r="E112" s="89" t="str">
        <f>IFERROR(VLOOKUP($D112,PlayerDB!$F$2:$G365,2,FALSE),"")</f>
        <v/>
      </c>
      <c r="F112" s="36" t="str">
        <f>IFERROR(VLOOKUP($D112,PlayerDB!$F$2:$H365,3,FALSE),"")</f>
        <v/>
      </c>
      <c r="G112" s="89" t="str">
        <f>IFERROR(VLOOKUP($D112,PlayerDB!$F$2:$I365,4,FALSE),"")</f>
        <v/>
      </c>
      <c r="H112" s="38"/>
      <c r="I112" s="39" t="str">
        <f>IFERROR(__xludf.DUMMYFUNCTION("JOIN("" | "",'Team Stats'!C$3:H$3)"),"0 | 0 | 0 | 0 | 0 | 0")</f>
        <v>0 | 0 | 0 | 0 | 0 | 0</v>
      </c>
      <c r="J112" s="40" t="str">
        <f>IFERROR(__xludf.DUMMYFUNCTION("JOIN("" | "",'Team Stats'!I$12:K$12)"),"0 | 0 | 0")</f>
        <v>0 | 0 | 0</v>
      </c>
      <c r="L112" s="42"/>
      <c r="M112" s="52"/>
      <c r="N112" s="42"/>
      <c r="O112" s="42"/>
      <c r="P112" s="42"/>
      <c r="Q112" s="52"/>
    </row>
    <row r="113">
      <c r="A113" s="99"/>
      <c r="B113" s="55">
        <v>112.0</v>
      </c>
      <c r="C113" s="55" t="str">
        <f>'Teams &amp; Draft Order'!$C$6</f>
        <v>Sleeper Cell </v>
      </c>
      <c r="D113" s="56"/>
      <c r="E113" s="93" t="str">
        <f>IFERROR(VLOOKUP($D113,PlayerDB!$F$2:$G365,2,FALSE),"")</f>
        <v/>
      </c>
      <c r="F113" s="57" t="str">
        <f>IFERROR(VLOOKUP($D113,PlayerDB!$F$2:$H365,3,FALSE),"")</f>
        <v/>
      </c>
      <c r="G113" s="93" t="str">
        <f>IFERROR(VLOOKUP($D113,PlayerDB!$F$2:$I365,4,FALSE),"")</f>
        <v/>
      </c>
      <c r="H113" s="59"/>
      <c r="I113" s="60" t="str">
        <f>IFERROR(__xludf.DUMMYFUNCTION("JOIN("" | "",'Team Stats'!C$2:H$2)"),"1 | 0 | 0 | 0 | 0 | 0")</f>
        <v>1 | 0 | 0 | 0 | 0 | 0</v>
      </c>
      <c r="J113" s="51" t="str">
        <f>IFERROR(__xludf.DUMMYFUNCTION("JOIN("" | "",'Team Stats'!I$13:K$13)"),"0 | 0 | 0")</f>
        <v>0 | 0 | 0</v>
      </c>
      <c r="L113" s="42"/>
      <c r="M113" s="52"/>
      <c r="N113" s="42"/>
      <c r="O113" s="42"/>
      <c r="P113" s="42"/>
      <c r="Q113" s="52"/>
    </row>
    <row r="114">
      <c r="A114" s="88" t="s">
        <v>122</v>
      </c>
      <c r="B114" s="73">
        <v>113.0</v>
      </c>
      <c r="C114" s="73" t="str">
        <f>'Teams &amp; Draft Order'!$C$6</f>
        <v>Sleeper Cell </v>
      </c>
      <c r="D114" s="74"/>
      <c r="E114" s="89" t="str">
        <f>IFERROR(VLOOKUP($D114,PlayerDB!$F$2:$G365,2,FALSE),"")</f>
        <v/>
      </c>
      <c r="F114" s="36" t="str">
        <f>IFERROR(VLOOKUP($D114,PlayerDB!$F$2:$H365,3,FALSE),"")</f>
        <v/>
      </c>
      <c r="G114" s="89" t="str">
        <f>IFERROR(VLOOKUP($D114,PlayerDB!$F$2:$I365,4,FALSE),"")</f>
        <v/>
      </c>
      <c r="H114" s="75"/>
      <c r="I114" s="76" t="str">
        <f>IFERROR(__xludf.DUMMYFUNCTION("JOIN("" | "",'Team Stats'!C$2:H$2)"),"1 | 0 | 0 | 0 | 0 | 0")</f>
        <v>1 | 0 | 0 | 0 | 0 | 0</v>
      </c>
      <c r="J114" s="62" t="str">
        <f>IFERROR(__xludf.DUMMYFUNCTION("JOIN("" | "",'Team Stats'!I$13:K$13)"),"0 | 0 | 0")</f>
        <v>0 | 0 | 0</v>
      </c>
      <c r="L114" s="42"/>
      <c r="M114" s="52"/>
      <c r="N114" s="42"/>
      <c r="O114" s="42"/>
      <c r="P114" s="42"/>
      <c r="Q114" s="52"/>
    </row>
    <row r="115">
      <c r="A115" s="96"/>
      <c r="B115" s="46">
        <v>114.0</v>
      </c>
      <c r="C115" s="46" t="str">
        <f>'Teams &amp; Draft Order'!$C$7</f>
        <v>Phantasm</v>
      </c>
      <c r="D115" s="47"/>
      <c r="E115" s="91" t="str">
        <f>IFERROR(VLOOKUP($D115,PlayerDB!$F$2:$G365,2,FALSE),"")</f>
        <v/>
      </c>
      <c r="F115" s="48" t="str">
        <f>IFERROR(VLOOKUP($D115,PlayerDB!$F$2:$H365,3,FALSE),"")</f>
        <v/>
      </c>
      <c r="G115" s="91" t="str">
        <f>IFERROR(VLOOKUP($D115,PlayerDB!$F$2:$I365,4,FALSE),"")</f>
        <v/>
      </c>
      <c r="H115" s="38"/>
      <c r="I115" s="50" t="str">
        <f>IFERROR(__xludf.DUMMYFUNCTION("JOIN("" | "",'Team Stats'!C$3:H$3)"),"0 | 0 | 0 | 0 | 0 | 0")</f>
        <v>0 | 0 | 0 | 0 | 0 | 0</v>
      </c>
      <c r="J115" s="51" t="str">
        <f>IFERROR(__xludf.DUMMYFUNCTION("JOIN("" | "",'Team Stats'!I$12:K$12)"),"0 | 0 | 0")</f>
        <v>0 | 0 | 0</v>
      </c>
      <c r="L115" s="42"/>
      <c r="M115" s="52"/>
      <c r="N115" s="42"/>
      <c r="O115" s="42"/>
      <c r="P115" s="42"/>
      <c r="Q115" s="52"/>
    </row>
    <row r="116">
      <c r="A116" s="97"/>
      <c r="B116" s="34">
        <v>115.0</v>
      </c>
      <c r="C116" s="34" t="str">
        <f>'Teams &amp; Draft Order'!$C$8</f>
        <v>Icelanders</v>
      </c>
      <c r="D116" s="35"/>
      <c r="E116" s="89" t="str">
        <f>IFERROR(VLOOKUP($D116,PlayerDB!$F$2:$G365,2,FALSE),"")</f>
        <v/>
      </c>
      <c r="F116" s="36" t="str">
        <f>IFERROR(VLOOKUP($D116,PlayerDB!$F$2:$H365,3,FALSE),"")</f>
        <v/>
      </c>
      <c r="G116" s="89" t="str">
        <f>IFERROR(VLOOKUP($D116,PlayerDB!$F$2:$I365,4,FALSE),"")</f>
        <v/>
      </c>
      <c r="H116" s="38"/>
      <c r="I116" s="39" t="str">
        <f>IFERROR(__xludf.DUMMYFUNCTION("JOIN("" | "",'Team Stats'!C$4:H$4)"),"0 | 0 | 0 | 0 | 0 | 0")</f>
        <v>0 | 0 | 0 | 0 | 0 | 0</v>
      </c>
      <c r="J116" s="40" t="str">
        <f>IFERROR(__xludf.DUMMYFUNCTION("JOIN("" | "",'Team Stats'!I$11:K$11)"),"0 | 0 | 0")</f>
        <v>0 | 0 | 0</v>
      </c>
      <c r="L116" s="42"/>
      <c r="M116" s="52"/>
      <c r="N116" s="42"/>
      <c r="O116" s="42"/>
      <c r="P116" s="42"/>
      <c r="Q116" s="52"/>
    </row>
    <row r="117">
      <c r="A117" s="96"/>
      <c r="B117" s="46">
        <v>116.0</v>
      </c>
      <c r="C117" s="46" t="str">
        <f>'Teams &amp; Draft Order'!$C$9</f>
        <v>El Nino</v>
      </c>
      <c r="D117" s="47"/>
      <c r="E117" s="91" t="str">
        <f>IFERROR(VLOOKUP($D117,PlayerDB!$F$2:$G365,2,FALSE),"")</f>
        <v/>
      </c>
      <c r="F117" s="48" t="str">
        <f>IFERROR(VLOOKUP($D117,PlayerDB!$F$2:$H365,3,FALSE),"")</f>
        <v/>
      </c>
      <c r="G117" s="91" t="str">
        <f>IFERROR(VLOOKUP($D117,PlayerDB!$F$2:$I365,4,FALSE),"")</f>
        <v/>
      </c>
      <c r="H117" s="38"/>
      <c r="I117" s="50" t="str">
        <f>IFERROR(__xludf.DUMMYFUNCTION("JOIN("" | "",'Team Stats'!C$5:H$5)"),"0 | 0 | 0 | 0 | 0 | 0")</f>
        <v>0 | 0 | 0 | 0 | 0 | 0</v>
      </c>
      <c r="J117" s="51" t="str">
        <f>IFERROR(__xludf.DUMMYFUNCTION("JOIN("" | "",'Team Stats'!I$10:K$10)"),"0 | 0 | 0")</f>
        <v>0 | 0 | 0</v>
      </c>
      <c r="L117" s="42"/>
      <c r="M117" s="52"/>
      <c r="N117" s="42"/>
      <c r="O117" s="42"/>
      <c r="P117" s="42"/>
      <c r="Q117" s="52"/>
    </row>
    <row r="118">
      <c r="A118" s="97"/>
      <c r="B118" s="34">
        <v>117.0</v>
      </c>
      <c r="C118" s="34" t="s">
        <v>56</v>
      </c>
      <c r="D118" s="35"/>
      <c r="E118" s="89" t="str">
        <f>IFERROR(VLOOKUP($D118,PlayerDB!$F$2:$G365,2,FALSE),"")</f>
        <v/>
      </c>
      <c r="F118" s="36" t="str">
        <f>IFERROR(VLOOKUP($D118,PlayerDB!$F$2:$H365,3,FALSE),"")</f>
        <v/>
      </c>
      <c r="G118" s="89" t="str">
        <f>IFERROR(VLOOKUP($D118,PlayerDB!$F$2:$I365,4,FALSE),"")</f>
        <v/>
      </c>
      <c r="H118" s="38"/>
      <c r="I118" s="39" t="str">
        <f>IFERROR(__xludf.DUMMYFUNCTION("JOIN("" | "",'Team Stats'!C$6:H$6)"),"0 | 0 | 0 | 0 | 0 | 0")</f>
        <v>0 | 0 | 0 | 0 | 0 | 0</v>
      </c>
      <c r="J118" s="40" t="str">
        <f>IFERROR(__xludf.DUMMYFUNCTION("JOIN("" | "",'Team Stats'!I$9:K$9)"),"0 | 0 | 0")</f>
        <v>0 | 0 | 0</v>
      </c>
      <c r="L118" s="42"/>
      <c r="M118" s="52"/>
      <c r="N118" s="42"/>
      <c r="O118" s="42"/>
      <c r="P118" s="42"/>
      <c r="Q118" s="52"/>
    </row>
    <row r="119">
      <c r="A119" s="96"/>
      <c r="B119" s="46">
        <v>118.0</v>
      </c>
      <c r="C119" s="46" t="str">
        <f>'Teams &amp; Draft Order'!$C$11</f>
        <v>Big Boys Big Work</v>
      </c>
      <c r="D119" s="47"/>
      <c r="E119" s="91" t="str">
        <f>IFERROR(VLOOKUP($D119,PlayerDB!$F$2:$G365,2,FALSE),"")</f>
        <v/>
      </c>
      <c r="F119" s="48" t="str">
        <f>IFERROR(VLOOKUP($D119,PlayerDB!$F$2:$H365,3,FALSE),"")</f>
        <v/>
      </c>
      <c r="G119" s="91" t="str">
        <f>IFERROR(VLOOKUP($D119,PlayerDB!$F$2:$I365,4,FALSE),"")</f>
        <v/>
      </c>
      <c r="H119" s="38"/>
      <c r="I119" s="50" t="str">
        <f>IFERROR(__xludf.DUMMYFUNCTION("JOIN("" | "",'Team Stats'!C$7:H$7)"),"0 | 0 | 0 | 0 | 0 | 0")</f>
        <v>0 | 0 | 0 | 0 | 0 | 0</v>
      </c>
      <c r="J119" s="51" t="str">
        <f>IFERROR(__xludf.DUMMYFUNCTION("JOIN("" | "",'Team Stats'!I$8:K$8)"),"0 | 0 | 0")</f>
        <v>0 | 0 | 0</v>
      </c>
      <c r="L119" s="42"/>
      <c r="M119" s="42"/>
      <c r="N119" s="42"/>
      <c r="O119" s="42"/>
      <c r="P119" s="42"/>
      <c r="Q119" s="42"/>
    </row>
    <row r="120">
      <c r="A120" s="97"/>
      <c r="B120" s="34">
        <v>119.0</v>
      </c>
      <c r="C120" s="34" t="str">
        <f>'Teams &amp; Draft Order'!$C$12</f>
        <v>Turbo-Ginz</v>
      </c>
      <c r="D120" s="35"/>
      <c r="E120" s="89" t="str">
        <f>IFERROR(VLOOKUP($D120,PlayerDB!$F$2:$G365,2,FALSE),"")</f>
        <v/>
      </c>
      <c r="F120" s="36" t="str">
        <f>IFERROR(VLOOKUP($D120,PlayerDB!$F$2:$H365,3,FALSE),"")</f>
        <v/>
      </c>
      <c r="G120" s="89" t="str">
        <f>IFERROR(VLOOKUP($D120,PlayerDB!$F$2:$I365,4,FALSE),"")</f>
        <v/>
      </c>
      <c r="H120" s="38"/>
      <c r="I120" s="39" t="str">
        <f>IFERROR(__xludf.DUMMYFUNCTION("JOIN("" | "",'Team Stats'!C$8:H$8)"),"0 | 0 | 0 | 0 | 0 | 0")</f>
        <v>0 | 0 | 0 | 0 | 0 | 0</v>
      </c>
      <c r="J120" s="40" t="str">
        <f>IFERROR(__xludf.DUMMYFUNCTION("JOIN("" | "",'Team Stats'!I$7:K$7)"),"0 | 0 | 0")</f>
        <v>0 | 0 | 0</v>
      </c>
      <c r="L120" s="42"/>
      <c r="M120" s="42"/>
      <c r="N120" s="42"/>
      <c r="O120" s="42"/>
      <c r="P120" s="42"/>
      <c r="Q120" s="42"/>
    </row>
    <row r="121">
      <c r="A121" s="96"/>
      <c r="B121" s="46">
        <v>120.0</v>
      </c>
      <c r="C121" s="46" t="str">
        <f>'Teams &amp; Draft Order'!$C$13</f>
        <v>Luddite</v>
      </c>
      <c r="D121" s="47"/>
      <c r="E121" s="91" t="str">
        <f>IFERROR(VLOOKUP($D121,PlayerDB!$F$2:$G365,2,FALSE),"")</f>
        <v/>
      </c>
      <c r="F121" s="48" t="str">
        <f>IFERROR(VLOOKUP($D121,PlayerDB!$F$2:$H365,3,FALSE),"")</f>
        <v/>
      </c>
      <c r="G121" s="91" t="str">
        <f>IFERROR(VLOOKUP($D121,PlayerDB!$F$2:$I365,4,FALSE),"")</f>
        <v/>
      </c>
      <c r="H121" s="38"/>
      <c r="I121" s="50" t="str">
        <f>IFERROR(__xludf.DUMMYFUNCTION("JOIN("" | "",'Team Stats'!C$9:H$9)"),"0 | 0 | 0 | 0 | 0 | 0")</f>
        <v>0 | 0 | 0 | 0 | 0 | 0</v>
      </c>
      <c r="J121" s="51" t="str">
        <f>IFERROR(__xludf.DUMMYFUNCTION("JOIN("" | "",'Team Stats'!I$6:K$6)"),"0 | 0 | 0")</f>
        <v>0 | 0 | 0</v>
      </c>
      <c r="L121" s="42"/>
      <c r="M121" s="42"/>
      <c r="N121" s="42"/>
      <c r="O121" s="42"/>
      <c r="P121" s="42"/>
      <c r="Q121" s="42"/>
    </row>
    <row r="122">
      <c r="A122" s="97"/>
      <c r="B122" s="34">
        <v>121.0</v>
      </c>
      <c r="C122" s="34" t="str">
        <f>'Teams &amp; Draft Order'!$C$14</f>
        <v>Achaians</v>
      </c>
      <c r="D122" s="35"/>
      <c r="E122" s="89" t="str">
        <f>IFERROR(VLOOKUP($D122,PlayerDB!$F$2:$G365,2,FALSE),"")</f>
        <v/>
      </c>
      <c r="F122" s="36" t="str">
        <f>IFERROR(VLOOKUP($D122,PlayerDB!$F$2:$H365,3,FALSE),"")</f>
        <v/>
      </c>
      <c r="G122" s="89" t="str">
        <f>IFERROR(VLOOKUP($D122,PlayerDB!$F$2:$I365,4,FALSE),"")</f>
        <v/>
      </c>
      <c r="H122" s="38"/>
      <c r="I122" s="39" t="str">
        <f>IFERROR(__xludf.DUMMYFUNCTION("JOIN("" | "",'Team Stats'!C$10:H$10)"),"0 | 0 | 0 | 0 | 0 | 0")</f>
        <v>0 | 0 | 0 | 0 | 0 | 0</v>
      </c>
      <c r="J122" s="40" t="str">
        <f>IFERROR(__xludf.DUMMYFUNCTION("JOIN("" | "",'Team Stats'!I$5:K$5)"),"0 | 0 | 0")</f>
        <v>0 | 0 | 0</v>
      </c>
      <c r="L122" s="71"/>
      <c r="M122" s="44"/>
      <c r="N122" s="42"/>
      <c r="O122" s="42"/>
      <c r="P122" s="71"/>
      <c r="Q122" s="44"/>
    </row>
    <row r="123">
      <c r="A123" s="96"/>
      <c r="B123" s="46">
        <v>122.0</v>
      </c>
      <c r="C123" s="46" t="str">
        <f>'Teams &amp; Draft Order'!$C$15</f>
        <v>Daddy's Dogs</v>
      </c>
      <c r="D123" s="100"/>
      <c r="E123" s="91" t="str">
        <f>IFERROR(VLOOKUP($D123,PlayerDB!$F$2:$G365,2,FALSE),"")</f>
        <v/>
      </c>
      <c r="F123" s="48" t="str">
        <f>IFERROR(VLOOKUP($D123,PlayerDB!$F$2:$H365,3,FALSE),"")</f>
        <v/>
      </c>
      <c r="G123" s="91" t="str">
        <f>IFERROR(VLOOKUP($D123,PlayerDB!$F$2:$I365,4,FALSE),"")</f>
        <v/>
      </c>
      <c r="H123" s="38"/>
      <c r="I123" s="50" t="str">
        <f>IFERROR(__xludf.DUMMYFUNCTION("JOIN("" | "",'Team Stats'!C$11:H$11)"),"0 | 0 | 0 | 0 | 0 | 0")</f>
        <v>0 | 0 | 0 | 0 | 0 | 0</v>
      </c>
      <c r="J123" s="51" t="str">
        <f>IFERROR(__xludf.DUMMYFUNCTION("JOIN("" | "",'Team Stats'!I$4:K$4)"),"0 | 0 | 0")</f>
        <v>0 | 0 | 0</v>
      </c>
      <c r="L123" s="42"/>
      <c r="M123" s="52"/>
      <c r="N123" s="42"/>
      <c r="O123" s="42"/>
      <c r="P123" s="42"/>
      <c r="Q123" s="52"/>
    </row>
    <row r="124">
      <c r="A124" s="97"/>
      <c r="B124" s="34">
        <v>123.0</v>
      </c>
      <c r="C124" s="34" t="str">
        <f>'Teams &amp; Draft Order'!$C$16</f>
        <v>TDs and Beers</v>
      </c>
      <c r="D124" s="35"/>
      <c r="E124" s="89" t="str">
        <f>IFERROR(VLOOKUP($D124,PlayerDB!$F$2:$G365,2,FALSE),"")</f>
        <v/>
      </c>
      <c r="F124" s="36" t="str">
        <f>IFERROR(VLOOKUP($D124,PlayerDB!$F$2:$H365,3,FALSE),"")</f>
        <v/>
      </c>
      <c r="G124" s="89" t="str">
        <f>IFERROR(VLOOKUP($D124,PlayerDB!$F$2:$I365,4,FALSE),"")</f>
        <v/>
      </c>
      <c r="H124" s="38"/>
      <c r="I124" s="39" t="str">
        <f>IFERROR(__xludf.DUMMYFUNCTION("JOIN("" | "",'Team Stats'!C$12:H$12)"),"0 | 0 | 0 | 0 | 0 | 0")</f>
        <v>0 | 0 | 0 | 0 | 0 | 0</v>
      </c>
      <c r="J124" s="40" t="str">
        <f>IFERROR(__xludf.DUMMYFUNCTION("JOIN("" | "",'Team Stats'!I$3:K$3)"),"0 | 0 | 0")</f>
        <v>0 | 0 | 0</v>
      </c>
      <c r="L124" s="42"/>
      <c r="M124" s="52"/>
      <c r="N124" s="42"/>
      <c r="O124" s="42"/>
      <c r="P124" s="42"/>
      <c r="Q124" s="52"/>
    </row>
    <row r="125">
      <c r="A125" s="96"/>
      <c r="B125" s="46">
        <v>124.0</v>
      </c>
      <c r="C125" s="46" t="str">
        <f>'Teams &amp; Draft Order'!$C$17</f>
        <v>DD Riders</v>
      </c>
      <c r="D125" s="47"/>
      <c r="E125" s="91" t="str">
        <f>IFERROR(VLOOKUP($D125,PlayerDB!$F$2:$G365,2,FALSE),"")</f>
        <v/>
      </c>
      <c r="F125" s="48" t="str">
        <f>IFERROR(VLOOKUP($D125,PlayerDB!$F$2:$H365,3,FALSE),"")</f>
        <v/>
      </c>
      <c r="G125" s="91" t="str">
        <f>IFERROR(VLOOKUP($D125,PlayerDB!$F$2:$I365,4,FALSE),"")</f>
        <v/>
      </c>
      <c r="H125" s="38"/>
      <c r="I125" s="50" t="str">
        <f>IFERROR(__xludf.DUMMYFUNCTION("JOIN("" | "",'Team Stats'!C$13:H$13)"),"0 | 0 | 0 | 0 | 0 | 0")</f>
        <v>0 | 0 | 0 | 0 | 0 | 0</v>
      </c>
      <c r="J125" s="64" t="str">
        <f>IFERROR(__xludf.DUMMYFUNCTION("JOIN("" | "",'Team Stats'!I$2:K$2)"),"0 | 0 | 0")</f>
        <v>0 | 0 | 0</v>
      </c>
      <c r="L125" s="42"/>
      <c r="M125" s="52"/>
      <c r="N125" s="42"/>
      <c r="O125" s="42"/>
      <c r="P125" s="42"/>
      <c r="Q125" s="52"/>
    </row>
    <row r="126">
      <c r="A126" s="97"/>
      <c r="B126" s="34">
        <v>125.0</v>
      </c>
      <c r="C126" s="34" t="str">
        <f>'Teams &amp; Draft Order'!$C$18</f>
        <v>Nasty</v>
      </c>
      <c r="D126" s="35"/>
      <c r="E126" s="89" t="str">
        <f>IFERROR(VLOOKUP($D126,PlayerDB!$F$2:$G365,2,FALSE),"")</f>
        <v/>
      </c>
      <c r="F126" s="36" t="str">
        <f>IFERROR(VLOOKUP($D126,PlayerDB!$F$2:$H365,3,FALSE),"")</f>
        <v/>
      </c>
      <c r="G126" s="89" t="str">
        <f>IFERROR(VLOOKUP($D126,PlayerDB!$F$2:$I365,4,FALSE),"")</f>
        <v/>
      </c>
      <c r="H126" s="38"/>
      <c r="I126" s="92" t="str">
        <f>IFERROR(__xludf.DUMMYFUNCTION("JOIN("" | "",'Team Stats'!C$14:H$14)"),"0 | 0 | 0 | 0 | 0 | 0")</f>
        <v>0 | 0 | 0 | 0 | 0 | 0</v>
      </c>
      <c r="J126" s="40" t="str">
        <f>IFERROR(__xludf.DUMMYFUNCTION("JOIN("" | "",'Team Stats'!I$2:K$2)"),"0 | 0 | 0")</f>
        <v>0 | 0 | 0</v>
      </c>
      <c r="L126" s="42"/>
      <c r="M126" s="52"/>
      <c r="N126" s="42"/>
      <c r="O126" s="42"/>
      <c r="P126" s="42"/>
      <c r="Q126" s="52"/>
    </row>
    <row r="127">
      <c r="A127" s="96"/>
      <c r="B127" s="46">
        <v>126.0</v>
      </c>
      <c r="C127" s="46" t="str">
        <f>'Teams &amp; Draft Order'!$C$19</f>
        <v>Red Hammer</v>
      </c>
      <c r="D127" s="47"/>
      <c r="E127" s="93" t="str">
        <f>IFERROR(VLOOKUP($D127,PlayerDB!$F$2:$G365,2,FALSE),"")</f>
        <v/>
      </c>
      <c r="F127" s="57" t="str">
        <f>IFERROR(VLOOKUP($D127,PlayerDB!$F$2:$H365,3,FALSE),"")</f>
        <v/>
      </c>
      <c r="G127" s="93" t="str">
        <f>IFERROR(VLOOKUP($D127,PlayerDB!$F$2:$I365,4,FALSE),"")</f>
        <v/>
      </c>
      <c r="H127" s="38"/>
      <c r="I127" s="94" t="str">
        <f>IFERROR(__xludf.DUMMYFUNCTION("JOIN("" | "",'Team Stats'!C$15:H$15)"),"0 | 0 | 0 | 0 | 0 | 0")</f>
        <v>0 | 0 | 0 | 0 | 0 | 0</v>
      </c>
      <c r="J127" s="51" t="str">
        <f>IFERROR(__xludf.DUMMYFUNCTION("JOIN("" | "",'Team Stats'!I$3:K$3)"),"0 | 0 | 0")</f>
        <v>0 | 0 | 0</v>
      </c>
      <c r="L127" s="42"/>
      <c r="M127" s="52"/>
      <c r="N127" s="42"/>
      <c r="O127" s="42"/>
      <c r="P127" s="42"/>
      <c r="Q127" s="52"/>
    </row>
    <row r="128">
      <c r="A128" s="88" t="s">
        <v>123</v>
      </c>
      <c r="B128" s="73">
        <v>127.0</v>
      </c>
      <c r="C128" s="73" t="str">
        <f>'Teams &amp; Draft Order'!$C$19</f>
        <v>Red Hammer</v>
      </c>
      <c r="D128" s="74"/>
      <c r="E128" s="89" t="str">
        <f>IFERROR(VLOOKUP($D128,PlayerDB!$F$2:$G365,2,FALSE),"")</f>
        <v/>
      </c>
      <c r="F128" s="36" t="str">
        <f>IFERROR(VLOOKUP($D128,PlayerDB!$F$2:$H365,3,FALSE),"")</f>
        <v/>
      </c>
      <c r="G128" s="89" t="str">
        <f>IFERROR(VLOOKUP($D128,PlayerDB!$F$2:$I365,4,FALSE),"")</f>
        <v/>
      </c>
      <c r="H128" s="75"/>
      <c r="I128" s="95" t="str">
        <f>IFERROR(__xludf.DUMMYFUNCTION("JOIN("" | "",'Team Stats'!C$15:H$15)"),"0 | 0 | 0 | 0 | 0 | 0")</f>
        <v>0 | 0 | 0 | 0 | 0 | 0</v>
      </c>
      <c r="J128" s="40" t="str">
        <f>IFERROR(__xludf.DUMMYFUNCTION("JOIN("" | "",'Team Stats'!I$4:K$4)"),"0 | 0 | 0")</f>
        <v>0 | 0 | 0</v>
      </c>
      <c r="L128" s="42"/>
      <c r="M128" s="52"/>
      <c r="N128" s="42"/>
      <c r="O128" s="42"/>
      <c r="P128" s="42"/>
      <c r="Q128" s="52"/>
    </row>
    <row r="129">
      <c r="A129" s="96"/>
      <c r="B129" s="46">
        <v>128.0</v>
      </c>
      <c r="C129" s="46" t="str">
        <f>'Teams &amp; Draft Order'!$C$18</f>
        <v>Nasty</v>
      </c>
      <c r="D129" s="47"/>
      <c r="E129" s="91" t="str">
        <f>IFERROR(VLOOKUP($D129,PlayerDB!$F$2:$G365,2,FALSE),"")</f>
        <v/>
      </c>
      <c r="F129" s="48" t="str">
        <f>IFERROR(VLOOKUP($D129,PlayerDB!$F$2:$H365,3,FALSE),"")</f>
        <v/>
      </c>
      <c r="G129" s="91" t="str">
        <f>IFERROR(VLOOKUP($D129,PlayerDB!$F$2:$I365,4,FALSE),"")</f>
        <v/>
      </c>
      <c r="H129" s="38"/>
      <c r="I129" s="94" t="str">
        <f>IFERROR(__xludf.DUMMYFUNCTION("JOIN("" | "",'Team Stats'!C$14:H$14)"),"0 | 0 | 0 | 0 | 0 | 0")</f>
        <v>0 | 0 | 0 | 0 | 0 | 0</v>
      </c>
      <c r="J129" s="51" t="str">
        <f>IFERROR(__xludf.DUMMYFUNCTION("JOIN("" | "",'Team Stats'!I$5:K$5)"),"0 | 0 | 0")</f>
        <v>0 | 0 | 0</v>
      </c>
      <c r="L129" s="42"/>
      <c r="M129" s="52"/>
      <c r="N129" s="42"/>
      <c r="O129" s="42"/>
      <c r="P129" s="42"/>
      <c r="Q129" s="52"/>
    </row>
    <row r="130">
      <c r="A130" s="97"/>
      <c r="B130" s="34">
        <v>129.0</v>
      </c>
      <c r="C130" s="34" t="str">
        <f>'Teams &amp; Draft Order'!$C$17</f>
        <v>DD Riders</v>
      </c>
      <c r="D130" s="35"/>
      <c r="E130" s="89" t="str">
        <f>IFERROR(VLOOKUP($D130,PlayerDB!$F$2:$G365,2,FALSE),"")</f>
        <v/>
      </c>
      <c r="F130" s="36" t="str">
        <f>IFERROR(VLOOKUP($D130,PlayerDB!$F$2:$H365,3,FALSE),"")</f>
        <v/>
      </c>
      <c r="G130" s="89" t="str">
        <f>IFERROR(VLOOKUP($D130,PlayerDB!$F$2:$I365,4,FALSE),"")</f>
        <v/>
      </c>
      <c r="H130" s="38"/>
      <c r="I130" s="39" t="str">
        <f>IFERROR(__xludf.DUMMYFUNCTION("JOIN("" | "",'Team Stats'!C$13:H$13)"),"0 | 0 | 0 | 0 | 0 | 0")</f>
        <v>0 | 0 | 0 | 0 | 0 | 0</v>
      </c>
      <c r="J130" s="40" t="str">
        <f>IFERROR(__xludf.DUMMYFUNCTION("JOIN("" | "",'Team Stats'!I$6:K$6)"),"0 | 0 | 0")</f>
        <v>0 | 0 | 0</v>
      </c>
      <c r="L130" s="42"/>
      <c r="M130" s="52"/>
      <c r="N130" s="42"/>
      <c r="O130" s="42"/>
      <c r="P130" s="42"/>
      <c r="Q130" s="52"/>
    </row>
    <row r="131">
      <c r="A131" s="96"/>
      <c r="B131" s="46">
        <v>130.0</v>
      </c>
      <c r="C131" s="46" t="str">
        <f>'Teams &amp; Draft Order'!$C$16</f>
        <v>TDs and Beers</v>
      </c>
      <c r="D131" s="47"/>
      <c r="E131" s="91" t="str">
        <f>IFERROR(VLOOKUP($D131,PlayerDB!$F$2:$G365,2,FALSE),"")</f>
        <v/>
      </c>
      <c r="F131" s="48" t="str">
        <f>IFERROR(VLOOKUP($D131,PlayerDB!$F$2:$H365,3,FALSE),"")</f>
        <v/>
      </c>
      <c r="G131" s="91" t="str">
        <f>IFERROR(VLOOKUP($D131,PlayerDB!$F$2:$I365,4,FALSE),"")</f>
        <v/>
      </c>
      <c r="H131" s="38"/>
      <c r="I131" s="50" t="str">
        <f>IFERROR(__xludf.DUMMYFUNCTION("JOIN("" | "",'Team Stats'!C$12:H$12)"),"0 | 0 | 0 | 0 | 0 | 0")</f>
        <v>0 | 0 | 0 | 0 | 0 | 0</v>
      </c>
      <c r="J131" s="51" t="str">
        <f>IFERROR(__xludf.DUMMYFUNCTION("JOIN("" | "",'Team Stats'!I$7:K$7)"),"0 | 0 | 0")</f>
        <v>0 | 0 | 0</v>
      </c>
      <c r="L131" s="42"/>
      <c r="M131" s="52"/>
      <c r="N131" s="42"/>
      <c r="O131" s="42"/>
      <c r="P131" s="42"/>
      <c r="Q131" s="52"/>
    </row>
    <row r="132">
      <c r="A132" s="97"/>
      <c r="B132" s="34">
        <v>131.0</v>
      </c>
      <c r="C132" s="34" t="str">
        <f>'Teams &amp; Draft Order'!$C$15</f>
        <v>Daddy's Dogs</v>
      </c>
      <c r="D132" s="35"/>
      <c r="E132" s="89" t="str">
        <f>IFERROR(VLOOKUP($D132,PlayerDB!$F$2:$G365,2,FALSE),"")</f>
        <v/>
      </c>
      <c r="F132" s="36" t="str">
        <f>IFERROR(VLOOKUP($D132,PlayerDB!$F$2:$H365,3,FALSE),"")</f>
        <v/>
      </c>
      <c r="G132" s="89" t="str">
        <f>IFERROR(VLOOKUP($D132,PlayerDB!$F$2:$I365,4,FALSE),"")</f>
        <v/>
      </c>
      <c r="H132" s="38"/>
      <c r="I132" s="39" t="str">
        <f>IFERROR(__xludf.DUMMYFUNCTION("JOIN("" | "",'Team Stats'!C$11:H$11)"),"0 | 0 | 0 | 0 | 0 | 0")</f>
        <v>0 | 0 | 0 | 0 | 0 | 0</v>
      </c>
      <c r="J132" s="40" t="str">
        <f>IFERROR(__xludf.DUMMYFUNCTION("JOIN("" | "",'Team Stats'!I$8:K$8)"),"0 | 0 | 0")</f>
        <v>0 | 0 | 0</v>
      </c>
      <c r="L132" s="42"/>
      <c r="M132" s="52"/>
      <c r="N132" s="42"/>
      <c r="O132" s="42"/>
      <c r="P132" s="42"/>
      <c r="Q132" s="52"/>
    </row>
    <row r="133">
      <c r="A133" s="96"/>
      <c r="B133" s="46">
        <v>132.0</v>
      </c>
      <c r="C133" s="46" t="str">
        <f>'Teams &amp; Draft Order'!$C$14</f>
        <v>Achaians</v>
      </c>
      <c r="D133" s="47"/>
      <c r="E133" s="91" t="str">
        <f>IFERROR(VLOOKUP($D133,PlayerDB!$F$2:$G365,2,FALSE),"")</f>
        <v/>
      </c>
      <c r="F133" s="48" t="str">
        <f>IFERROR(VLOOKUP($D133,PlayerDB!$F$2:$H365,3,FALSE),"")</f>
        <v/>
      </c>
      <c r="G133" s="91" t="str">
        <f>IFERROR(VLOOKUP($D133,PlayerDB!$F$2:$I365,4,FALSE),"")</f>
        <v/>
      </c>
      <c r="H133" s="38"/>
      <c r="I133" s="50" t="str">
        <f>IFERROR(__xludf.DUMMYFUNCTION("JOIN("" | "",'Team Stats'!C$10:H$10)"),"0 | 0 | 0 | 0 | 0 | 0")</f>
        <v>0 | 0 | 0 | 0 | 0 | 0</v>
      </c>
      <c r="J133" s="51" t="str">
        <f>IFERROR(__xludf.DUMMYFUNCTION("JOIN("" | "",'Team Stats'!I$9:K$9)"),"0 | 0 | 0")</f>
        <v>0 | 0 | 0</v>
      </c>
      <c r="L133" s="42"/>
      <c r="M133" s="52"/>
      <c r="N133" s="42"/>
      <c r="O133" s="42"/>
      <c r="P133" s="42"/>
      <c r="Q133" s="52"/>
    </row>
    <row r="134">
      <c r="A134" s="97"/>
      <c r="B134" s="34">
        <v>133.0</v>
      </c>
      <c r="C134" s="34" t="str">
        <f>'Teams &amp; Draft Order'!$C$13</f>
        <v>Luddite</v>
      </c>
      <c r="D134" s="35"/>
      <c r="E134" s="89" t="str">
        <f>IFERROR(VLOOKUP($D134,PlayerDB!$F$2:$G365,2,FALSE),"")</f>
        <v/>
      </c>
      <c r="F134" s="36" t="str">
        <f>IFERROR(VLOOKUP($D134,PlayerDB!$F$2:$H365,3,FALSE),"")</f>
        <v/>
      </c>
      <c r="G134" s="89" t="str">
        <f>IFERROR(VLOOKUP($D134,PlayerDB!$F$2:$I365,4,FALSE),"")</f>
        <v/>
      </c>
      <c r="H134" s="38"/>
      <c r="I134" s="39" t="str">
        <f>IFERROR(__xludf.DUMMYFUNCTION("JOIN("" | "",'Team Stats'!C$9:H$9)"),"0 | 0 | 0 | 0 | 0 | 0")</f>
        <v>0 | 0 | 0 | 0 | 0 | 0</v>
      </c>
      <c r="J134" s="40" t="str">
        <f>IFERROR(__xludf.DUMMYFUNCTION("JOIN("" | "",'Team Stats'!I$10:K$10)"),"0 | 0 | 0")</f>
        <v>0 | 0 | 0</v>
      </c>
      <c r="L134" s="42"/>
      <c r="M134" s="52"/>
      <c r="N134" s="42"/>
      <c r="O134" s="42"/>
      <c r="P134" s="42"/>
      <c r="Q134" s="52"/>
    </row>
    <row r="135">
      <c r="A135" s="96"/>
      <c r="B135" s="46">
        <v>134.0</v>
      </c>
      <c r="C135" s="46" t="str">
        <f>'Teams &amp; Draft Order'!$C$12</f>
        <v>Turbo-Ginz</v>
      </c>
      <c r="D135" s="47"/>
      <c r="E135" s="91" t="str">
        <f>IFERROR(VLOOKUP($D135,PlayerDB!$F$2:$G365,2,FALSE),"")</f>
        <v/>
      </c>
      <c r="F135" s="48" t="str">
        <f>IFERROR(VLOOKUP($D135,PlayerDB!$F$2:$H365,3,FALSE),"")</f>
        <v/>
      </c>
      <c r="G135" s="91" t="str">
        <f>IFERROR(VLOOKUP($D135,PlayerDB!$F$2:$I365,4,FALSE),"")</f>
        <v/>
      </c>
      <c r="H135" s="38"/>
      <c r="I135" s="50" t="str">
        <f>IFERROR(__xludf.DUMMYFUNCTION("JOIN("" | "",'Team Stats'!C$8:H$8)"),"0 | 0 | 0 | 0 | 0 | 0")</f>
        <v>0 | 0 | 0 | 0 | 0 | 0</v>
      </c>
      <c r="J135" s="51" t="str">
        <f>IFERROR(__xludf.DUMMYFUNCTION("JOIN("" | "",'Team Stats'!I$11:K$11)"),"0 | 0 | 0")</f>
        <v>0 | 0 | 0</v>
      </c>
      <c r="L135" s="42"/>
      <c r="M135" s="52"/>
      <c r="N135" s="42"/>
      <c r="O135" s="42"/>
      <c r="P135" s="42"/>
      <c r="Q135" s="52"/>
    </row>
    <row r="136">
      <c r="A136" s="97"/>
      <c r="B136" s="34">
        <v>135.0</v>
      </c>
      <c r="C136" s="34" t="str">
        <f>'Teams &amp; Draft Order'!$C$11</f>
        <v>Big Boys Big Work</v>
      </c>
      <c r="D136" s="35"/>
      <c r="E136" s="89" t="str">
        <f>IFERROR(VLOOKUP($D136,PlayerDB!$F$2:$G365,2,FALSE),"")</f>
        <v/>
      </c>
      <c r="F136" s="36" t="str">
        <f>IFERROR(VLOOKUP($D136,PlayerDB!$F$2:$H365,3,FALSE),"")</f>
        <v/>
      </c>
      <c r="G136" s="89" t="str">
        <f>IFERROR(VLOOKUP($D136,PlayerDB!$F$2:$I365,4,FALSE),"")</f>
        <v/>
      </c>
      <c r="H136" s="38"/>
      <c r="I136" s="39" t="str">
        <f>IFERROR(__xludf.DUMMYFUNCTION("JOIN("" | "",'Team Stats'!C$7:H$7)"),"0 | 0 | 0 | 0 | 0 | 0")</f>
        <v>0 | 0 | 0 | 0 | 0 | 0</v>
      </c>
      <c r="J136" s="40" t="str">
        <f>IFERROR(__xludf.DUMMYFUNCTION("JOIN("" | "",'Team Stats'!I$12:K$12)"),"0 | 0 | 0")</f>
        <v>0 | 0 | 0</v>
      </c>
      <c r="L136" s="42"/>
      <c r="M136" s="52"/>
      <c r="N136" s="42"/>
      <c r="O136" s="42"/>
      <c r="P136" s="42"/>
      <c r="Q136" s="52"/>
    </row>
    <row r="137">
      <c r="A137" s="96"/>
      <c r="B137" s="46">
        <v>136.0</v>
      </c>
      <c r="C137" s="46" t="str">
        <f>'Teams &amp; Draft Order'!$C$10</f>
        <v>Buttheads</v>
      </c>
      <c r="D137" s="47"/>
      <c r="E137" s="91" t="str">
        <f>IFERROR(VLOOKUP($D137,PlayerDB!$F$2:$G365,2,FALSE),"")</f>
        <v/>
      </c>
      <c r="F137" s="48" t="str">
        <f>IFERROR(VLOOKUP($D137,PlayerDB!$F$2:$H365,3,FALSE),"")</f>
        <v/>
      </c>
      <c r="G137" s="91" t="str">
        <f>IFERROR(VLOOKUP($D137,PlayerDB!$F$2:$I365,4,FALSE),"")</f>
        <v/>
      </c>
      <c r="H137" s="38"/>
      <c r="I137" s="50" t="str">
        <f>IFERROR(__xludf.DUMMYFUNCTION("JOIN("" | "",'Team Stats'!C$6:H$6)"),"0 | 0 | 0 | 0 | 0 | 0")</f>
        <v>0 | 0 | 0 | 0 | 0 | 0</v>
      </c>
      <c r="J137" s="51" t="str">
        <f>IFERROR(__xludf.DUMMYFUNCTION("JOIN("" | "",'Team Stats'!I$13:K$13)"),"0 | 0 | 0")</f>
        <v>0 | 0 | 0</v>
      </c>
      <c r="L137" s="42"/>
      <c r="M137" s="52"/>
      <c r="N137" s="42"/>
      <c r="O137" s="42"/>
      <c r="P137" s="42"/>
      <c r="Q137" s="52"/>
    </row>
    <row r="138">
      <c r="A138" s="97"/>
      <c r="B138" s="34">
        <v>137.0</v>
      </c>
      <c r="C138" s="34" t="str">
        <f>'Teams &amp; Draft Order'!$C$9</f>
        <v>El Nino</v>
      </c>
      <c r="D138" s="35"/>
      <c r="E138" s="89" t="str">
        <f>IFERROR(VLOOKUP($D138,PlayerDB!$F$2:$G365,2,FALSE),"")</f>
        <v/>
      </c>
      <c r="F138" s="36" t="str">
        <f>IFERROR(VLOOKUP($D138,PlayerDB!$F$2:$H365,3,FALSE),"")</f>
        <v/>
      </c>
      <c r="G138" s="89" t="str">
        <f>IFERROR(VLOOKUP($D138,PlayerDB!$F$2:$I365,4,FALSE),"")</f>
        <v/>
      </c>
      <c r="H138" s="38"/>
      <c r="I138" s="39" t="str">
        <f>IFERROR(__xludf.DUMMYFUNCTION("JOIN("" | "",'Team Stats'!C$5:H$5)"),"0 | 0 | 0 | 0 | 0 | 0")</f>
        <v>0 | 0 | 0 | 0 | 0 | 0</v>
      </c>
      <c r="J138" s="62" t="str">
        <f>IFERROR(__xludf.DUMMYFUNCTION("JOIN("" | "",'Team Stats'!I$13:K$13)"),"0 | 0 | 0")</f>
        <v>0 | 0 | 0</v>
      </c>
      <c r="L138" s="42"/>
      <c r="M138" s="52"/>
      <c r="N138" s="42"/>
      <c r="O138" s="42"/>
      <c r="P138" s="42"/>
      <c r="Q138" s="52"/>
    </row>
    <row r="139">
      <c r="A139" s="96"/>
      <c r="B139" s="46">
        <v>138.0</v>
      </c>
      <c r="C139" s="46" t="str">
        <f>'Teams &amp; Draft Order'!$C$8</f>
        <v>Icelanders</v>
      </c>
      <c r="D139" s="47"/>
      <c r="E139" s="91" t="str">
        <f>IFERROR(VLOOKUP($D139,PlayerDB!$F$2:$G365,2,FALSE),"")</f>
        <v/>
      </c>
      <c r="F139" s="48" t="str">
        <f>IFERROR(VLOOKUP($D139,PlayerDB!$F$2:$H365,3,FALSE),"")</f>
        <v/>
      </c>
      <c r="G139" s="91" t="str">
        <f>IFERROR(VLOOKUP($D139,PlayerDB!$F$2:$I365,4,FALSE),"")</f>
        <v/>
      </c>
      <c r="H139" s="38"/>
      <c r="I139" s="50" t="str">
        <f>IFERROR(__xludf.DUMMYFUNCTION("JOIN("" | "",'Team Stats'!C$4:H$4)"),"0 | 0 | 0 | 0 | 0 | 0")</f>
        <v>0 | 0 | 0 | 0 | 0 | 0</v>
      </c>
      <c r="J139" s="51" t="str">
        <f>IFERROR(__xludf.DUMMYFUNCTION("JOIN("" | "",'Team Stats'!I$12:K$12)"),"0 | 0 | 0")</f>
        <v>0 | 0 | 0</v>
      </c>
      <c r="L139" s="42"/>
      <c r="M139" s="52"/>
      <c r="N139" s="42"/>
      <c r="O139" s="42"/>
      <c r="P139" s="42"/>
      <c r="Q139" s="52"/>
    </row>
    <row r="140">
      <c r="A140" s="97"/>
      <c r="B140" s="34">
        <v>139.0</v>
      </c>
      <c r="C140" s="34" t="str">
        <f>'Teams &amp; Draft Order'!$C$7</f>
        <v>Phantasm</v>
      </c>
      <c r="D140" s="35"/>
      <c r="E140" s="89" t="str">
        <f>IFERROR(VLOOKUP($D140,PlayerDB!$F$2:$G365,2,FALSE),"")</f>
        <v/>
      </c>
      <c r="F140" s="36" t="str">
        <f>IFERROR(VLOOKUP($D140,PlayerDB!$F$2:$H365,3,FALSE),"")</f>
        <v/>
      </c>
      <c r="G140" s="89" t="str">
        <f>IFERROR(VLOOKUP($D140,PlayerDB!$F$2:$I365,4,FALSE),"")</f>
        <v/>
      </c>
      <c r="H140" s="38"/>
      <c r="I140" s="39" t="str">
        <f>IFERROR(__xludf.DUMMYFUNCTION("JOIN("" | "",'Team Stats'!C$3:H$3)"),"0 | 0 | 0 | 0 | 0 | 0")</f>
        <v>0 | 0 | 0 | 0 | 0 | 0</v>
      </c>
      <c r="J140" s="40" t="str">
        <f>IFERROR(__xludf.DUMMYFUNCTION("JOIN("" | "",'Team Stats'!I$11:K$11)"),"0 | 0 | 0")</f>
        <v>0 | 0 | 0</v>
      </c>
      <c r="L140" s="42"/>
      <c r="M140" s="52"/>
      <c r="N140" s="42"/>
      <c r="O140" s="42"/>
      <c r="P140" s="42"/>
      <c r="Q140" s="52"/>
    </row>
    <row r="141">
      <c r="A141" s="99"/>
      <c r="B141" s="55">
        <v>140.0</v>
      </c>
      <c r="C141" s="55" t="str">
        <f>'Teams &amp; Draft Order'!$C$6</f>
        <v>Sleeper Cell </v>
      </c>
      <c r="D141" s="56"/>
      <c r="E141" s="93" t="str">
        <f>IFERROR(VLOOKUP($D141,PlayerDB!$F$2:$G365,2,FALSE),"")</f>
        <v/>
      </c>
      <c r="F141" s="57" t="str">
        <f>IFERROR(VLOOKUP($D141,PlayerDB!$F$2:$H365,3,FALSE),"")</f>
        <v/>
      </c>
      <c r="G141" s="93" t="str">
        <f>IFERROR(VLOOKUP($D141,PlayerDB!$F$2:$I365,4,FALSE),"")</f>
        <v/>
      </c>
      <c r="H141" s="59"/>
      <c r="I141" s="60" t="str">
        <f>IFERROR(__xludf.DUMMYFUNCTION("JOIN("" | "",'Team Stats'!C$2:H$2)"),"1 | 0 | 0 | 0 | 0 | 0")</f>
        <v>1 | 0 | 0 | 0 | 0 | 0</v>
      </c>
      <c r="J141" s="51" t="str">
        <f>IFERROR(__xludf.DUMMYFUNCTION("JOIN("" | "",'Team Stats'!I$10:K$10)"),"0 | 0 | 0")</f>
        <v>0 | 0 | 0</v>
      </c>
      <c r="L141" s="42"/>
      <c r="M141" s="52"/>
      <c r="N141" s="42"/>
      <c r="O141" s="42"/>
      <c r="P141" s="42"/>
      <c r="Q141" s="52"/>
    </row>
    <row r="142">
      <c r="A142" s="88" t="s">
        <v>124</v>
      </c>
      <c r="B142" s="73">
        <v>141.0</v>
      </c>
      <c r="C142" s="73" t="str">
        <f>'Teams &amp; Draft Order'!$C$6</f>
        <v>Sleeper Cell </v>
      </c>
      <c r="D142" s="74"/>
      <c r="E142" s="89" t="str">
        <f>IFERROR(VLOOKUP($D142,PlayerDB!$F$2:$G365,2,FALSE),"")</f>
        <v/>
      </c>
      <c r="F142" s="36" t="str">
        <f>IFERROR(VLOOKUP($D142,PlayerDB!$F$2:$H365,3,FALSE),"")</f>
        <v/>
      </c>
      <c r="G142" s="89" t="str">
        <f>IFERROR(VLOOKUP($D142,PlayerDB!$F$2:$I365,4,FALSE),"")</f>
        <v/>
      </c>
      <c r="H142" s="75"/>
      <c r="I142" s="76" t="str">
        <f>IFERROR(__xludf.DUMMYFUNCTION("JOIN("" | "",'Team Stats'!C$2:H$2)"),"1 | 0 | 0 | 0 | 0 | 0")</f>
        <v>1 | 0 | 0 | 0 | 0 | 0</v>
      </c>
      <c r="J142" s="40" t="str">
        <f>IFERROR(__xludf.DUMMYFUNCTION("JOIN("" | "",'Team Stats'!I$9:K$9)"),"0 | 0 | 0")</f>
        <v>0 | 0 | 0</v>
      </c>
      <c r="L142" s="42"/>
      <c r="M142" s="52"/>
      <c r="N142" s="42"/>
      <c r="O142" s="42"/>
      <c r="P142" s="42"/>
      <c r="Q142" s="52"/>
    </row>
    <row r="143">
      <c r="A143" s="96"/>
      <c r="B143" s="46">
        <v>142.0</v>
      </c>
      <c r="C143" s="46" t="str">
        <f>'Teams &amp; Draft Order'!$C$7</f>
        <v>Phantasm</v>
      </c>
      <c r="D143" s="47"/>
      <c r="E143" s="91" t="str">
        <f>IFERROR(VLOOKUP($D143,PlayerDB!$F$2:$G365,2,FALSE),"")</f>
        <v/>
      </c>
      <c r="F143" s="48" t="str">
        <f>IFERROR(VLOOKUP($D143,PlayerDB!$F$2:$H365,3,FALSE),"")</f>
        <v/>
      </c>
      <c r="G143" s="91" t="str">
        <f>IFERROR(VLOOKUP($D143,PlayerDB!$F$2:$I365,4,FALSE),"")</f>
        <v/>
      </c>
      <c r="H143" s="38"/>
      <c r="I143" s="50" t="str">
        <f>IFERROR(__xludf.DUMMYFUNCTION("JOIN("" | "",'Team Stats'!C$3:H$3)"),"0 | 0 | 0 | 0 | 0 | 0")</f>
        <v>0 | 0 | 0 | 0 | 0 | 0</v>
      </c>
      <c r="J143" s="51" t="str">
        <f>IFERROR(__xludf.DUMMYFUNCTION("JOIN("" | "",'Team Stats'!I$8:K$8)"),"0 | 0 | 0")</f>
        <v>0 | 0 | 0</v>
      </c>
      <c r="L143" s="42"/>
      <c r="M143" s="42"/>
      <c r="N143" s="42"/>
      <c r="O143" s="42"/>
      <c r="P143" s="42"/>
      <c r="Q143" s="42"/>
    </row>
    <row r="144">
      <c r="A144" s="97"/>
      <c r="B144" s="34">
        <v>143.0</v>
      </c>
      <c r="C144" s="34" t="str">
        <f>'Teams &amp; Draft Order'!$C$8</f>
        <v>Icelanders</v>
      </c>
      <c r="D144" s="35"/>
      <c r="E144" s="89" t="str">
        <f>IFERROR(VLOOKUP($D144,PlayerDB!$F$2:$G365,2,FALSE),"")</f>
        <v/>
      </c>
      <c r="F144" s="36" t="str">
        <f>IFERROR(VLOOKUP($D144,PlayerDB!$F$2:$H365,3,FALSE),"")</f>
        <v/>
      </c>
      <c r="G144" s="89" t="str">
        <f>IFERROR(VLOOKUP($D144,PlayerDB!$F$2:$I365,4,FALSE),"")</f>
        <v/>
      </c>
      <c r="H144" s="38"/>
      <c r="I144" s="39" t="str">
        <f>IFERROR(__xludf.DUMMYFUNCTION("JOIN("" | "",'Team Stats'!C$4:H$4)"),"0 | 0 | 0 | 0 | 0 | 0")</f>
        <v>0 | 0 | 0 | 0 | 0 | 0</v>
      </c>
      <c r="J144" s="40" t="str">
        <f>IFERROR(__xludf.DUMMYFUNCTION("JOIN("" | "",'Team Stats'!I$7:K$7)"),"0 | 0 | 0")</f>
        <v>0 | 0 | 0</v>
      </c>
      <c r="L144" s="42"/>
      <c r="M144" s="42"/>
      <c r="N144" s="42"/>
      <c r="O144" s="42"/>
      <c r="P144" s="42"/>
      <c r="Q144" s="42"/>
    </row>
    <row r="145">
      <c r="A145" s="96"/>
      <c r="B145" s="46">
        <v>144.0</v>
      </c>
      <c r="C145" s="46" t="str">
        <f>'Teams &amp; Draft Order'!$C$9</f>
        <v>El Nino</v>
      </c>
      <c r="D145" s="47"/>
      <c r="E145" s="91" t="str">
        <f>IFERROR(VLOOKUP($D145,PlayerDB!$F$2:$G365,2,FALSE),"")</f>
        <v/>
      </c>
      <c r="F145" s="48" t="str">
        <f>IFERROR(VLOOKUP($D145,PlayerDB!$F$2:$H365,3,FALSE),"")</f>
        <v/>
      </c>
      <c r="G145" s="91" t="str">
        <f>IFERROR(VLOOKUP($D145,PlayerDB!$F$2:$I365,4,FALSE),"")</f>
        <v/>
      </c>
      <c r="H145" s="38"/>
      <c r="I145" s="50" t="str">
        <f>IFERROR(__xludf.DUMMYFUNCTION("JOIN("" | "",'Team Stats'!C$5:H$5)"),"0 | 0 | 0 | 0 | 0 | 0")</f>
        <v>0 | 0 | 0 | 0 | 0 | 0</v>
      </c>
      <c r="J145" s="51" t="str">
        <f>IFERROR(__xludf.DUMMYFUNCTION("JOIN("" | "",'Team Stats'!I$6:K$6)"),"0 | 0 | 0")</f>
        <v>0 | 0 | 0</v>
      </c>
      <c r="L145" s="42"/>
      <c r="M145" s="42"/>
      <c r="N145" s="42"/>
      <c r="O145" s="42"/>
      <c r="P145" s="42"/>
      <c r="Q145" s="42"/>
    </row>
    <row r="146">
      <c r="A146" s="97"/>
      <c r="B146" s="34">
        <v>145.0</v>
      </c>
      <c r="C146" s="34" t="str">
        <f>'Teams &amp; Draft Order'!$C$10</f>
        <v>Buttheads</v>
      </c>
      <c r="D146" s="35"/>
      <c r="E146" s="89" t="str">
        <f>IFERROR(VLOOKUP($D146,PlayerDB!$F$2:$G365,2,FALSE),"")</f>
        <v/>
      </c>
      <c r="F146" s="36" t="str">
        <f>IFERROR(VLOOKUP($D146,PlayerDB!$F$2:$H365,3,FALSE),"")</f>
        <v/>
      </c>
      <c r="G146" s="89" t="str">
        <f>IFERROR(VLOOKUP($D146,PlayerDB!$F$2:$I365,4,FALSE),"")</f>
        <v/>
      </c>
      <c r="H146" s="38"/>
      <c r="I146" s="39" t="str">
        <f>IFERROR(__xludf.DUMMYFUNCTION("JOIN("" | "",'Team Stats'!C$6:H$6)"),"0 | 0 | 0 | 0 | 0 | 0")</f>
        <v>0 | 0 | 0 | 0 | 0 | 0</v>
      </c>
      <c r="J146" s="40" t="str">
        <f>IFERROR(__xludf.DUMMYFUNCTION("JOIN("" | "",'Team Stats'!I$5:K$5)"),"0 | 0 | 0")</f>
        <v>0 | 0 | 0</v>
      </c>
      <c r="L146" s="71"/>
      <c r="M146" s="44"/>
      <c r="N146" s="42"/>
      <c r="O146" s="42"/>
      <c r="P146" s="71"/>
      <c r="Q146" s="44"/>
    </row>
    <row r="147">
      <c r="A147" s="96"/>
      <c r="B147" s="46">
        <v>146.0</v>
      </c>
      <c r="C147" s="46" t="str">
        <f>'Teams &amp; Draft Order'!$C$11</f>
        <v>Big Boys Big Work</v>
      </c>
      <c r="D147" s="47"/>
      <c r="E147" s="91" t="str">
        <f>IFERROR(VLOOKUP($D147,PlayerDB!$F$2:$G365,2,FALSE),"")</f>
        <v/>
      </c>
      <c r="F147" s="48" t="str">
        <f>IFERROR(VLOOKUP($D147,PlayerDB!$F$2:$H365,3,FALSE),"")</f>
        <v/>
      </c>
      <c r="G147" s="91" t="str">
        <f>IFERROR(VLOOKUP($D147,PlayerDB!$F$2:$I365,4,FALSE),"")</f>
        <v/>
      </c>
      <c r="H147" s="38"/>
      <c r="I147" s="50" t="str">
        <f>IFERROR(__xludf.DUMMYFUNCTION("JOIN("" | "",'Team Stats'!C$7:H$7)"),"0 | 0 | 0 | 0 | 0 | 0")</f>
        <v>0 | 0 | 0 | 0 | 0 | 0</v>
      </c>
      <c r="J147" s="51" t="str">
        <f>IFERROR(__xludf.DUMMYFUNCTION("JOIN("" | "",'Team Stats'!I$4:K$4)"),"0 | 0 | 0")</f>
        <v>0 | 0 | 0</v>
      </c>
      <c r="L147" s="42"/>
      <c r="M147" s="52"/>
      <c r="N147" s="42"/>
      <c r="O147" s="42"/>
      <c r="P147" s="42"/>
      <c r="Q147" s="52"/>
    </row>
    <row r="148">
      <c r="A148" s="97"/>
      <c r="B148" s="34">
        <v>147.0</v>
      </c>
      <c r="C148" s="34" t="str">
        <f>'Teams &amp; Draft Order'!$C$12</f>
        <v>Turbo-Ginz</v>
      </c>
      <c r="D148" s="35"/>
      <c r="E148" s="89" t="str">
        <f>IFERROR(VLOOKUP($D148,PlayerDB!$F$2:$G365,2,FALSE),"")</f>
        <v/>
      </c>
      <c r="F148" s="36" t="str">
        <f>IFERROR(VLOOKUP($D148,PlayerDB!$F$2:$H365,3,FALSE),"")</f>
        <v/>
      </c>
      <c r="G148" s="89" t="str">
        <f>IFERROR(VLOOKUP($D148,PlayerDB!$F$2:$I365,4,FALSE),"")</f>
        <v/>
      </c>
      <c r="H148" s="38"/>
      <c r="I148" s="39" t="str">
        <f>IFERROR(__xludf.DUMMYFUNCTION("JOIN("" | "",'Team Stats'!C$8:H$8)"),"0 | 0 | 0 | 0 | 0 | 0")</f>
        <v>0 | 0 | 0 | 0 | 0 | 0</v>
      </c>
      <c r="J148" s="40" t="str">
        <f>IFERROR(__xludf.DUMMYFUNCTION("JOIN("" | "",'Team Stats'!I$3:K$3)"),"0 | 0 | 0")</f>
        <v>0 | 0 | 0</v>
      </c>
      <c r="L148" s="42"/>
      <c r="M148" s="52"/>
      <c r="N148" s="42"/>
      <c r="O148" s="42"/>
      <c r="P148" s="42"/>
      <c r="Q148" s="52"/>
    </row>
    <row r="149">
      <c r="A149" s="96"/>
      <c r="B149" s="46">
        <v>148.0</v>
      </c>
      <c r="C149" s="46" t="str">
        <f>'Teams &amp; Draft Order'!$C$13</f>
        <v>Luddite</v>
      </c>
      <c r="D149" s="47"/>
      <c r="E149" s="91" t="str">
        <f>IFERROR(VLOOKUP($D149,PlayerDB!$F$2:$G365,2,FALSE),"")</f>
        <v/>
      </c>
      <c r="F149" s="48" t="str">
        <f>IFERROR(VLOOKUP($D149,PlayerDB!$F$2:$H365,3,FALSE),"")</f>
        <v/>
      </c>
      <c r="G149" s="91" t="str">
        <f>IFERROR(VLOOKUP($D149,PlayerDB!$F$2:$I365,4,FALSE),"")</f>
        <v/>
      </c>
      <c r="H149" s="38"/>
      <c r="I149" s="50" t="str">
        <f>IFERROR(__xludf.DUMMYFUNCTION("JOIN("" | "",'Team Stats'!C$9:H$9)"),"0 | 0 | 0 | 0 | 0 | 0")</f>
        <v>0 | 0 | 0 | 0 | 0 | 0</v>
      </c>
      <c r="J149" s="64" t="str">
        <f>IFERROR(__xludf.DUMMYFUNCTION("JOIN("" | "",'Team Stats'!I$2:K$2)"),"0 | 0 | 0")</f>
        <v>0 | 0 | 0</v>
      </c>
      <c r="L149" s="42"/>
      <c r="M149" s="52"/>
      <c r="N149" s="42"/>
      <c r="O149" s="42"/>
      <c r="P149" s="42"/>
      <c r="Q149" s="52"/>
    </row>
    <row r="150">
      <c r="A150" s="97"/>
      <c r="B150" s="34">
        <v>149.0</v>
      </c>
      <c r="C150" s="34" t="str">
        <f>'Teams &amp; Draft Order'!$C$14</f>
        <v>Achaians</v>
      </c>
      <c r="D150" s="35"/>
      <c r="E150" s="89" t="str">
        <f>IFERROR(VLOOKUP($D150,PlayerDB!$F$2:$G365,2,FALSE),"")</f>
        <v/>
      </c>
      <c r="F150" s="36" t="str">
        <f>IFERROR(VLOOKUP($D150,PlayerDB!$F$2:$H365,3,FALSE),"")</f>
        <v/>
      </c>
      <c r="G150" s="89" t="str">
        <f>IFERROR(VLOOKUP($D150,PlayerDB!$F$2:$I365,4,FALSE),"")</f>
        <v/>
      </c>
      <c r="H150" s="38"/>
      <c r="I150" s="39" t="str">
        <f>IFERROR(__xludf.DUMMYFUNCTION("JOIN("" | "",'Team Stats'!C$10:H$10)"),"0 | 0 | 0 | 0 | 0 | 0")</f>
        <v>0 | 0 | 0 | 0 | 0 | 0</v>
      </c>
      <c r="J150" s="40" t="str">
        <f>IFERROR(__xludf.DUMMYFUNCTION("JOIN("" | "",'Team Stats'!I$2:K$2)"),"0 | 0 | 0")</f>
        <v>0 | 0 | 0</v>
      </c>
      <c r="L150" s="42"/>
      <c r="M150" s="52"/>
      <c r="N150" s="42"/>
      <c r="O150" s="42"/>
      <c r="P150" s="42"/>
      <c r="Q150" s="52"/>
    </row>
    <row r="151">
      <c r="A151" s="96"/>
      <c r="B151" s="46">
        <v>150.0</v>
      </c>
      <c r="C151" s="46" t="str">
        <f>'Teams &amp; Draft Order'!$C$15</f>
        <v>Daddy's Dogs</v>
      </c>
      <c r="D151" s="47"/>
      <c r="E151" s="91" t="str">
        <f>IFERROR(VLOOKUP($D151,PlayerDB!$F$2:$G365,2,FALSE),"")</f>
        <v/>
      </c>
      <c r="F151" s="48" t="str">
        <f>IFERROR(VLOOKUP($D151,PlayerDB!$F$2:$H365,3,FALSE),"")</f>
        <v/>
      </c>
      <c r="G151" s="91" t="str">
        <f>IFERROR(VLOOKUP($D151,PlayerDB!$F$2:$I365,4,FALSE),"")</f>
        <v/>
      </c>
      <c r="H151" s="38"/>
      <c r="I151" s="50" t="str">
        <f>IFERROR(__xludf.DUMMYFUNCTION("JOIN("" | "",'Team Stats'!C$11:H$11)"),"0 | 0 | 0 | 0 | 0 | 0")</f>
        <v>0 | 0 | 0 | 0 | 0 | 0</v>
      </c>
      <c r="J151" s="51" t="str">
        <f>IFERROR(__xludf.DUMMYFUNCTION("JOIN("" | "",'Team Stats'!I$3:K$3)"),"0 | 0 | 0")</f>
        <v>0 | 0 | 0</v>
      </c>
      <c r="L151" s="42"/>
      <c r="M151" s="52"/>
      <c r="N151" s="42"/>
      <c r="O151" s="42"/>
      <c r="P151" s="42"/>
      <c r="Q151" s="52"/>
    </row>
    <row r="152">
      <c r="A152" s="97"/>
      <c r="B152" s="34">
        <v>151.0</v>
      </c>
      <c r="C152" s="34" t="str">
        <f>'Teams &amp; Draft Order'!$C$16</f>
        <v>TDs and Beers</v>
      </c>
      <c r="D152" s="35"/>
      <c r="E152" s="89" t="str">
        <f>IFERROR(VLOOKUP($D152,PlayerDB!$F$2:$G365,2,FALSE),"")</f>
        <v/>
      </c>
      <c r="F152" s="36" t="str">
        <f>IFERROR(VLOOKUP($D152,PlayerDB!$F$2:$H365,3,FALSE),"")</f>
        <v/>
      </c>
      <c r="G152" s="89" t="str">
        <f>IFERROR(VLOOKUP($D152,PlayerDB!$F$2:$I365,4,FALSE),"")</f>
        <v/>
      </c>
      <c r="H152" s="38"/>
      <c r="I152" s="39" t="str">
        <f>IFERROR(__xludf.DUMMYFUNCTION("JOIN("" | "",'Team Stats'!C$12:H$12)"),"0 | 0 | 0 | 0 | 0 | 0")</f>
        <v>0 | 0 | 0 | 0 | 0 | 0</v>
      </c>
      <c r="J152" s="40" t="str">
        <f>IFERROR(__xludf.DUMMYFUNCTION("JOIN("" | "",'Team Stats'!I$4:K$4)"),"0 | 0 | 0")</f>
        <v>0 | 0 | 0</v>
      </c>
      <c r="L152" s="42"/>
      <c r="M152" s="52"/>
      <c r="N152" s="42"/>
      <c r="O152" s="42"/>
      <c r="P152" s="42"/>
      <c r="Q152" s="52"/>
    </row>
    <row r="153">
      <c r="A153" s="96"/>
      <c r="B153" s="46">
        <v>152.0</v>
      </c>
      <c r="C153" s="46" t="str">
        <f>'Teams &amp; Draft Order'!$C$17</f>
        <v>DD Riders</v>
      </c>
      <c r="D153" s="47"/>
      <c r="E153" s="91" t="str">
        <f>IFERROR(VLOOKUP($D153,PlayerDB!$F$2:$G365,2,FALSE),"")</f>
        <v/>
      </c>
      <c r="F153" s="48" t="str">
        <f>IFERROR(VLOOKUP($D153,PlayerDB!$F$2:$H365,3,FALSE),"")</f>
        <v/>
      </c>
      <c r="G153" s="91" t="str">
        <f>IFERROR(VLOOKUP($D153,PlayerDB!$F$2:$I365,4,FALSE),"")</f>
        <v/>
      </c>
      <c r="H153" s="38"/>
      <c r="I153" s="50" t="str">
        <f>IFERROR(__xludf.DUMMYFUNCTION("JOIN("" | "",'Team Stats'!C$13:H$13)"),"0 | 0 | 0 | 0 | 0 | 0")</f>
        <v>0 | 0 | 0 | 0 | 0 | 0</v>
      </c>
      <c r="J153" s="51" t="str">
        <f>IFERROR(__xludf.DUMMYFUNCTION("JOIN("" | "",'Team Stats'!I$5:K$5)"),"0 | 0 | 0")</f>
        <v>0 | 0 | 0</v>
      </c>
      <c r="L153" s="42"/>
      <c r="M153" s="52"/>
      <c r="N153" s="42"/>
      <c r="O153" s="42"/>
      <c r="P153" s="42"/>
      <c r="Q153" s="52"/>
    </row>
    <row r="154">
      <c r="A154" s="97"/>
      <c r="B154" s="34">
        <v>153.0</v>
      </c>
      <c r="C154" s="34" t="str">
        <f>'Teams &amp; Draft Order'!$C$18</f>
        <v>Nasty</v>
      </c>
      <c r="D154" s="35"/>
      <c r="E154" s="89" t="str">
        <f>IFERROR(VLOOKUP($D154,PlayerDB!$F$2:$G365,2,FALSE),"")</f>
        <v/>
      </c>
      <c r="F154" s="36" t="str">
        <f>IFERROR(VLOOKUP($D154,PlayerDB!$F$2:$H365,3,FALSE),"")</f>
        <v/>
      </c>
      <c r="G154" s="89" t="str">
        <f>IFERROR(VLOOKUP($D154,PlayerDB!$F$2:$I365,4,FALSE),"")</f>
        <v/>
      </c>
      <c r="H154" s="38"/>
      <c r="I154" s="92" t="str">
        <f>IFERROR(__xludf.DUMMYFUNCTION("JOIN("" | "",'Team Stats'!C$14:H$14)"),"0 | 0 | 0 | 0 | 0 | 0")</f>
        <v>0 | 0 | 0 | 0 | 0 | 0</v>
      </c>
      <c r="J154" s="40" t="str">
        <f>IFERROR(__xludf.DUMMYFUNCTION("JOIN("" | "",'Team Stats'!I$6:K$6)"),"0 | 0 | 0")</f>
        <v>0 | 0 | 0</v>
      </c>
      <c r="L154" s="42"/>
      <c r="M154" s="52"/>
      <c r="N154" s="42"/>
      <c r="O154" s="42"/>
      <c r="P154" s="42"/>
      <c r="Q154" s="52"/>
    </row>
    <row r="155">
      <c r="A155" s="96"/>
      <c r="B155" s="46">
        <v>154.0</v>
      </c>
      <c r="C155" s="46" t="str">
        <f>'Teams &amp; Draft Order'!$C$19</f>
        <v>Red Hammer</v>
      </c>
      <c r="D155" s="47"/>
      <c r="E155" s="93" t="str">
        <f>IFERROR(VLOOKUP($D155,PlayerDB!$F$2:$G365,2,FALSE),"")</f>
        <v/>
      </c>
      <c r="F155" s="57" t="str">
        <f>IFERROR(VLOOKUP($D155,PlayerDB!$F$2:$H365,3,FALSE),"")</f>
        <v/>
      </c>
      <c r="G155" s="93" t="str">
        <f>IFERROR(VLOOKUP($D155,PlayerDB!$F$2:$I365,4,FALSE),"")</f>
        <v/>
      </c>
      <c r="H155" s="38"/>
      <c r="I155" s="94" t="str">
        <f>IFERROR(__xludf.DUMMYFUNCTION("JOIN("" | "",'Team Stats'!C$15:H$15)"),"0 | 0 | 0 | 0 | 0 | 0")</f>
        <v>0 | 0 | 0 | 0 | 0 | 0</v>
      </c>
      <c r="J155" s="51" t="str">
        <f>IFERROR(__xludf.DUMMYFUNCTION("JOIN("" | "",'Team Stats'!I$7:K$7)"),"0 | 0 | 0")</f>
        <v>0 | 0 | 0</v>
      </c>
      <c r="L155" s="42"/>
      <c r="M155" s="52"/>
      <c r="N155" s="42"/>
      <c r="O155" s="42"/>
      <c r="P155" s="42"/>
      <c r="Q155" s="52"/>
    </row>
    <row r="156">
      <c r="A156" s="88" t="s">
        <v>125</v>
      </c>
      <c r="B156" s="73">
        <v>155.0</v>
      </c>
      <c r="C156" s="73" t="str">
        <f>'Teams &amp; Draft Order'!$C$19</f>
        <v>Red Hammer</v>
      </c>
      <c r="D156" s="74"/>
      <c r="E156" s="89" t="str">
        <f>IFERROR(VLOOKUP($D156,PlayerDB!$F$2:$G365,2,FALSE),"")</f>
        <v/>
      </c>
      <c r="F156" s="36" t="str">
        <f>IFERROR(VLOOKUP($D156,PlayerDB!$F$2:$H365,3,FALSE),"")</f>
        <v/>
      </c>
      <c r="G156" s="89" t="str">
        <f>IFERROR(VLOOKUP($D156,PlayerDB!$F$2:$I365,4,FALSE),"")</f>
        <v/>
      </c>
      <c r="H156" s="75"/>
      <c r="I156" s="95" t="str">
        <f>IFERROR(__xludf.DUMMYFUNCTION("JOIN("" | "",'Team Stats'!C$15:H$15)"),"0 | 0 | 0 | 0 | 0 | 0")</f>
        <v>0 | 0 | 0 | 0 | 0 | 0</v>
      </c>
      <c r="J156" s="40" t="str">
        <f>IFERROR(__xludf.DUMMYFUNCTION("JOIN("" | "",'Team Stats'!I$8:K$8)"),"0 | 0 | 0")</f>
        <v>0 | 0 | 0</v>
      </c>
      <c r="L156" s="42"/>
      <c r="M156" s="52"/>
      <c r="N156" s="42"/>
      <c r="O156" s="42"/>
      <c r="P156" s="42"/>
      <c r="Q156" s="52"/>
    </row>
    <row r="157">
      <c r="A157" s="96"/>
      <c r="B157" s="46">
        <v>156.0</v>
      </c>
      <c r="C157" s="46" t="str">
        <f>'Teams &amp; Draft Order'!$C$18</f>
        <v>Nasty</v>
      </c>
      <c r="D157" s="47"/>
      <c r="E157" s="91" t="str">
        <f>IFERROR(VLOOKUP($D157,PlayerDB!$F$2:$G365,2,FALSE),"")</f>
        <v/>
      </c>
      <c r="F157" s="48" t="str">
        <f>IFERROR(VLOOKUP($D157,PlayerDB!$F$2:$H365,3,FALSE),"")</f>
        <v/>
      </c>
      <c r="G157" s="91" t="str">
        <f>IFERROR(VLOOKUP($D157,PlayerDB!$F$2:$I365,4,FALSE),"")</f>
        <v/>
      </c>
      <c r="H157" s="38"/>
      <c r="I157" s="94" t="str">
        <f>IFERROR(__xludf.DUMMYFUNCTION("JOIN("" | "",'Team Stats'!C$14:H$14)"),"0 | 0 | 0 | 0 | 0 | 0")</f>
        <v>0 | 0 | 0 | 0 | 0 | 0</v>
      </c>
      <c r="J157" s="51" t="str">
        <f>IFERROR(__xludf.DUMMYFUNCTION("JOIN("" | "",'Team Stats'!I$9:K$9)"),"0 | 0 | 0")</f>
        <v>0 | 0 | 0</v>
      </c>
      <c r="L157" s="42"/>
      <c r="M157" s="52"/>
      <c r="N157" s="42"/>
      <c r="O157" s="42"/>
      <c r="P157" s="42"/>
      <c r="Q157" s="52"/>
    </row>
    <row r="158">
      <c r="A158" s="97"/>
      <c r="B158" s="34">
        <v>157.0</v>
      </c>
      <c r="C158" s="34" t="str">
        <f>'Teams &amp; Draft Order'!$C$17</f>
        <v>DD Riders</v>
      </c>
      <c r="D158" s="35"/>
      <c r="E158" s="89" t="str">
        <f>IFERROR(VLOOKUP($D158,PlayerDB!$F$2:$G365,2,FALSE),"")</f>
        <v/>
      </c>
      <c r="F158" s="36" t="str">
        <f>IFERROR(VLOOKUP($D158,PlayerDB!$F$2:$H365,3,FALSE),"")</f>
        <v/>
      </c>
      <c r="G158" s="89" t="str">
        <f>IFERROR(VLOOKUP($D158,PlayerDB!$F$2:$I365,4,FALSE),"")</f>
        <v/>
      </c>
      <c r="H158" s="38"/>
      <c r="I158" s="39" t="str">
        <f>IFERROR(__xludf.DUMMYFUNCTION("JOIN("" | "",'Team Stats'!C$13:H$13)"),"0 | 0 | 0 | 0 | 0 | 0")</f>
        <v>0 | 0 | 0 | 0 | 0 | 0</v>
      </c>
      <c r="J158" s="40" t="str">
        <f>IFERROR(__xludf.DUMMYFUNCTION("JOIN("" | "",'Team Stats'!I$10:K$10)"),"0 | 0 | 0")</f>
        <v>0 | 0 | 0</v>
      </c>
      <c r="L158" s="42"/>
      <c r="M158" s="52"/>
      <c r="N158" s="42"/>
      <c r="O158" s="42"/>
      <c r="P158" s="42"/>
      <c r="Q158" s="52"/>
    </row>
    <row r="159">
      <c r="A159" s="96"/>
      <c r="B159" s="46">
        <v>158.0</v>
      </c>
      <c r="C159" s="46" t="str">
        <f>'Teams &amp; Draft Order'!$C$16</f>
        <v>TDs and Beers</v>
      </c>
      <c r="D159" s="47"/>
      <c r="E159" s="91" t="str">
        <f>IFERROR(VLOOKUP($D159,PlayerDB!$F$2:$G365,2,FALSE),"")</f>
        <v/>
      </c>
      <c r="F159" s="48" t="str">
        <f>IFERROR(VLOOKUP($D159,PlayerDB!$F$2:$H365,3,FALSE),"")</f>
        <v/>
      </c>
      <c r="G159" s="91" t="str">
        <f>IFERROR(VLOOKUP($D159,PlayerDB!$F$2:$I365,4,FALSE),"")</f>
        <v/>
      </c>
      <c r="H159" s="38"/>
      <c r="I159" s="50" t="str">
        <f>IFERROR(__xludf.DUMMYFUNCTION("JOIN("" | "",'Team Stats'!C$12:H$12)"),"0 | 0 | 0 | 0 | 0 | 0")</f>
        <v>0 | 0 | 0 | 0 | 0 | 0</v>
      </c>
      <c r="J159" s="51" t="str">
        <f>IFERROR(__xludf.DUMMYFUNCTION("JOIN("" | "",'Team Stats'!I$11:K$11)"),"0 | 0 | 0")</f>
        <v>0 | 0 | 0</v>
      </c>
      <c r="L159" s="42"/>
      <c r="M159" s="52"/>
      <c r="N159" s="42"/>
      <c r="O159" s="42"/>
      <c r="P159" s="42"/>
      <c r="Q159" s="52"/>
    </row>
    <row r="160">
      <c r="A160" s="97"/>
      <c r="B160" s="34">
        <v>159.0</v>
      </c>
      <c r="C160" s="34" t="str">
        <f>'Teams &amp; Draft Order'!$C$15</f>
        <v>Daddy's Dogs</v>
      </c>
      <c r="D160" s="35"/>
      <c r="E160" s="89" t="str">
        <f>IFERROR(VLOOKUP($D160,PlayerDB!$F$2:$G365,2,FALSE),"")</f>
        <v/>
      </c>
      <c r="F160" s="36" t="str">
        <f>IFERROR(VLOOKUP($D160,PlayerDB!$F$2:$H365,3,FALSE),"")</f>
        <v/>
      </c>
      <c r="G160" s="89" t="str">
        <f>IFERROR(VLOOKUP($D160,PlayerDB!$F$2:$I365,4,FALSE),"")</f>
        <v/>
      </c>
      <c r="H160" s="38"/>
      <c r="I160" s="39" t="str">
        <f>IFERROR(__xludf.DUMMYFUNCTION("JOIN("" | "",'Team Stats'!C$11:H$11)"),"0 | 0 | 0 | 0 | 0 | 0")</f>
        <v>0 | 0 | 0 | 0 | 0 | 0</v>
      </c>
      <c r="J160" s="40" t="str">
        <f>IFERROR(__xludf.DUMMYFUNCTION("JOIN("" | "",'Team Stats'!I$12:K$12)"),"0 | 0 | 0")</f>
        <v>0 | 0 | 0</v>
      </c>
      <c r="L160" s="42"/>
      <c r="M160" s="52"/>
      <c r="N160" s="42"/>
      <c r="O160" s="42"/>
      <c r="P160" s="42"/>
      <c r="Q160" s="52"/>
    </row>
    <row r="161">
      <c r="A161" s="96"/>
      <c r="B161" s="46">
        <v>160.0</v>
      </c>
      <c r="C161" s="46" t="str">
        <f>'Teams &amp; Draft Order'!$C$14</f>
        <v>Achaians</v>
      </c>
      <c r="D161" s="47"/>
      <c r="E161" s="91" t="str">
        <f>IFERROR(VLOOKUP($D161,PlayerDB!$F$2:$G365,2,FALSE),"")</f>
        <v/>
      </c>
      <c r="F161" s="48" t="str">
        <f>IFERROR(VLOOKUP($D161,PlayerDB!$F$2:$H365,3,FALSE),"")</f>
        <v/>
      </c>
      <c r="G161" s="91" t="str">
        <f>IFERROR(VLOOKUP($D161,PlayerDB!$F$2:$I365,4,FALSE),"")</f>
        <v/>
      </c>
      <c r="H161" s="38"/>
      <c r="I161" s="50" t="str">
        <f>IFERROR(__xludf.DUMMYFUNCTION("JOIN("" | "",'Team Stats'!C$10:H$10)"),"0 | 0 | 0 | 0 | 0 | 0")</f>
        <v>0 | 0 | 0 | 0 | 0 | 0</v>
      </c>
      <c r="J161" s="51" t="str">
        <f>IFERROR(__xludf.DUMMYFUNCTION("JOIN("" | "",'Team Stats'!I$13:K$13)"),"0 | 0 | 0")</f>
        <v>0 | 0 | 0</v>
      </c>
      <c r="L161" s="42"/>
      <c r="M161" s="52"/>
      <c r="N161" s="42"/>
      <c r="O161" s="42"/>
      <c r="P161" s="42"/>
      <c r="Q161" s="52"/>
    </row>
    <row r="162">
      <c r="A162" s="97"/>
      <c r="B162" s="34">
        <v>161.0</v>
      </c>
      <c r="C162" s="34" t="str">
        <f>'Teams &amp; Draft Order'!$C$13</f>
        <v>Luddite</v>
      </c>
      <c r="D162" s="35"/>
      <c r="E162" s="89" t="str">
        <f>IFERROR(VLOOKUP($D162,PlayerDB!$F$2:$G365,2,FALSE),"")</f>
        <v/>
      </c>
      <c r="F162" s="36" t="str">
        <f>IFERROR(VLOOKUP($D162,PlayerDB!$F$2:$H365,3,FALSE),"")</f>
        <v/>
      </c>
      <c r="G162" s="89" t="str">
        <f>IFERROR(VLOOKUP($D162,PlayerDB!$F$2:$I365,4,FALSE),"")</f>
        <v/>
      </c>
      <c r="H162" s="38"/>
      <c r="I162" s="39" t="str">
        <f>IFERROR(__xludf.DUMMYFUNCTION("JOIN("" | "",'Team Stats'!C$9:H$9)"),"0 | 0 | 0 | 0 | 0 | 0")</f>
        <v>0 | 0 | 0 | 0 | 0 | 0</v>
      </c>
      <c r="J162" s="62" t="str">
        <f>IFERROR(__xludf.DUMMYFUNCTION("JOIN("" | "",'Team Stats'!I$13:K$13)"),"0 | 0 | 0")</f>
        <v>0 | 0 | 0</v>
      </c>
      <c r="L162" s="42"/>
      <c r="M162" s="52"/>
      <c r="N162" s="42"/>
      <c r="O162" s="42"/>
      <c r="P162" s="42"/>
      <c r="Q162" s="52"/>
    </row>
    <row r="163">
      <c r="A163" s="96"/>
      <c r="B163" s="46">
        <v>162.0</v>
      </c>
      <c r="C163" s="46" t="str">
        <f>'Teams &amp; Draft Order'!$C$12</f>
        <v>Turbo-Ginz</v>
      </c>
      <c r="D163" s="47"/>
      <c r="E163" s="91" t="str">
        <f>IFERROR(VLOOKUP($D163,PlayerDB!$F$2:$G365,2,FALSE),"")</f>
        <v/>
      </c>
      <c r="F163" s="48" t="str">
        <f>IFERROR(VLOOKUP($D163,PlayerDB!$F$2:$H365,3,FALSE),"")</f>
        <v/>
      </c>
      <c r="G163" s="91" t="str">
        <f>IFERROR(VLOOKUP($D163,PlayerDB!$F$2:$I365,4,FALSE),"")</f>
        <v/>
      </c>
      <c r="H163" s="38"/>
      <c r="I163" s="50" t="str">
        <f>IFERROR(__xludf.DUMMYFUNCTION("JOIN("" | "",'Team Stats'!C$8:H$8)"),"0 | 0 | 0 | 0 | 0 | 0")</f>
        <v>0 | 0 | 0 | 0 | 0 | 0</v>
      </c>
      <c r="J163" s="51" t="str">
        <f>IFERROR(__xludf.DUMMYFUNCTION("JOIN("" | "",'Team Stats'!I$12:K$12)"),"0 | 0 | 0")</f>
        <v>0 | 0 | 0</v>
      </c>
      <c r="L163" s="42"/>
      <c r="M163" s="52"/>
      <c r="N163" s="42"/>
      <c r="O163" s="42"/>
      <c r="P163" s="42"/>
      <c r="Q163" s="52"/>
    </row>
    <row r="164">
      <c r="A164" s="97"/>
      <c r="B164" s="34">
        <v>163.0</v>
      </c>
      <c r="C164" s="34" t="str">
        <f>'Teams &amp; Draft Order'!$C$11</f>
        <v>Big Boys Big Work</v>
      </c>
      <c r="D164" s="35"/>
      <c r="E164" s="89" t="str">
        <f>IFERROR(VLOOKUP($D164,PlayerDB!$F$2:$G365,2,FALSE),"")</f>
        <v/>
      </c>
      <c r="F164" s="36" t="str">
        <f>IFERROR(VLOOKUP($D164,PlayerDB!$F$2:$H365,3,FALSE),"")</f>
        <v/>
      </c>
      <c r="G164" s="89" t="str">
        <f>IFERROR(VLOOKUP($D164,PlayerDB!$F$2:$I365,4,FALSE),"")</f>
        <v/>
      </c>
      <c r="H164" s="38"/>
      <c r="I164" s="39" t="str">
        <f>IFERROR(__xludf.DUMMYFUNCTION("JOIN("" | "",'Team Stats'!C$7:H$7)"),"0 | 0 | 0 | 0 | 0 | 0")</f>
        <v>0 | 0 | 0 | 0 | 0 | 0</v>
      </c>
      <c r="J164" s="40" t="str">
        <f>IFERROR(__xludf.DUMMYFUNCTION("JOIN("" | "",'Team Stats'!I$11:K$11)"),"0 | 0 | 0")</f>
        <v>0 | 0 | 0</v>
      </c>
      <c r="L164" s="42"/>
      <c r="M164" s="52"/>
      <c r="N164" s="42"/>
      <c r="O164" s="42"/>
      <c r="P164" s="42"/>
      <c r="Q164" s="52"/>
    </row>
    <row r="165">
      <c r="A165" s="96"/>
      <c r="B165" s="46">
        <v>164.0</v>
      </c>
      <c r="C165" s="46" t="str">
        <f>'Teams &amp; Draft Order'!$C$10</f>
        <v>Buttheads</v>
      </c>
      <c r="D165" s="47"/>
      <c r="E165" s="91" t="str">
        <f>IFERROR(VLOOKUP($D165,PlayerDB!$F$2:$G365,2,FALSE),"")</f>
        <v/>
      </c>
      <c r="F165" s="48" t="str">
        <f>IFERROR(VLOOKUP($D165,PlayerDB!$F$2:$H365,3,FALSE),"")</f>
        <v/>
      </c>
      <c r="G165" s="91" t="str">
        <f>IFERROR(VLOOKUP($D165,PlayerDB!$F$2:$I365,4,FALSE),"")</f>
        <v/>
      </c>
      <c r="H165" s="38"/>
      <c r="I165" s="50" t="str">
        <f>IFERROR(__xludf.DUMMYFUNCTION("JOIN("" | "",'Team Stats'!C$6:H$6)"),"0 | 0 | 0 | 0 | 0 | 0")</f>
        <v>0 | 0 | 0 | 0 | 0 | 0</v>
      </c>
      <c r="J165" s="51" t="str">
        <f>IFERROR(__xludf.DUMMYFUNCTION("JOIN("" | "",'Team Stats'!I$10:K$10)"),"0 | 0 | 0")</f>
        <v>0 | 0 | 0</v>
      </c>
      <c r="L165" s="42"/>
      <c r="M165" s="52"/>
      <c r="N165" s="42"/>
      <c r="O165" s="42"/>
      <c r="P165" s="42"/>
      <c r="Q165" s="52"/>
    </row>
    <row r="166">
      <c r="A166" s="97"/>
      <c r="B166" s="34">
        <v>165.0</v>
      </c>
      <c r="C166" s="34" t="str">
        <f>'Teams &amp; Draft Order'!$C$9</f>
        <v>El Nino</v>
      </c>
      <c r="D166" s="35"/>
      <c r="E166" s="89" t="str">
        <f>IFERROR(VLOOKUP($D166,PlayerDB!$F$2:$G365,2,FALSE),"")</f>
        <v/>
      </c>
      <c r="F166" s="36" t="str">
        <f>IFERROR(VLOOKUP($D166,PlayerDB!$F$2:$H365,3,FALSE),"")</f>
        <v/>
      </c>
      <c r="G166" s="89" t="str">
        <f>IFERROR(VLOOKUP($D166,PlayerDB!$F$2:$I365,4,FALSE),"")</f>
        <v/>
      </c>
      <c r="H166" s="38"/>
      <c r="I166" s="39" t="str">
        <f>IFERROR(__xludf.DUMMYFUNCTION("JOIN("" | "",'Team Stats'!C$5:H$5)"),"0 | 0 | 0 | 0 | 0 | 0")</f>
        <v>0 | 0 | 0 | 0 | 0 | 0</v>
      </c>
      <c r="J166" s="40" t="str">
        <f>IFERROR(__xludf.DUMMYFUNCTION("JOIN("" | "",'Team Stats'!I$9:K$9)"),"0 | 0 | 0")</f>
        <v>0 | 0 | 0</v>
      </c>
      <c r="L166" s="42"/>
      <c r="M166" s="52"/>
      <c r="N166" s="42"/>
      <c r="O166" s="42"/>
      <c r="P166" s="42"/>
      <c r="Q166" s="52"/>
    </row>
    <row r="167">
      <c r="A167" s="96"/>
      <c r="B167" s="46">
        <v>166.0</v>
      </c>
      <c r="C167" s="46" t="str">
        <f>'Teams &amp; Draft Order'!$C$8</f>
        <v>Icelanders</v>
      </c>
      <c r="D167" s="47"/>
      <c r="E167" s="91" t="str">
        <f>IFERROR(VLOOKUP($D167,PlayerDB!$F$2:$G365,2,FALSE),"")</f>
        <v/>
      </c>
      <c r="F167" s="48" t="str">
        <f>IFERROR(VLOOKUP($D167,PlayerDB!$F$2:$H365,3,FALSE),"")</f>
        <v/>
      </c>
      <c r="G167" s="91" t="str">
        <f>IFERROR(VLOOKUP($D167,PlayerDB!$F$2:$I365,4,FALSE),"")</f>
        <v/>
      </c>
      <c r="H167" s="38"/>
      <c r="I167" s="50" t="str">
        <f>IFERROR(__xludf.DUMMYFUNCTION("JOIN("" | "",'Team Stats'!C$4:H$4)"),"0 | 0 | 0 | 0 | 0 | 0")</f>
        <v>0 | 0 | 0 | 0 | 0 | 0</v>
      </c>
      <c r="J167" s="51" t="str">
        <f>IFERROR(__xludf.DUMMYFUNCTION("JOIN("" | "",'Team Stats'!I$8:K$8)"),"0 | 0 | 0")</f>
        <v>0 | 0 | 0</v>
      </c>
      <c r="L167" s="42"/>
      <c r="M167" s="42"/>
      <c r="N167" s="42"/>
      <c r="O167" s="42"/>
      <c r="P167" s="42"/>
      <c r="Q167" s="42"/>
    </row>
    <row r="168">
      <c r="A168" s="97"/>
      <c r="B168" s="34">
        <v>167.0</v>
      </c>
      <c r="C168" s="34" t="str">
        <f>'Teams &amp; Draft Order'!$C$7</f>
        <v>Phantasm</v>
      </c>
      <c r="D168" s="35"/>
      <c r="E168" s="89" t="str">
        <f>IFERROR(VLOOKUP($D168,PlayerDB!$F$2:$G365,2,FALSE),"")</f>
        <v/>
      </c>
      <c r="F168" s="36" t="str">
        <f>IFERROR(VLOOKUP($D168,PlayerDB!$F$2:$H365,3,FALSE),"")</f>
        <v/>
      </c>
      <c r="G168" s="89" t="str">
        <f>IFERROR(VLOOKUP($D168,PlayerDB!$F$2:$I365,4,FALSE),"")</f>
        <v/>
      </c>
      <c r="H168" s="38"/>
      <c r="I168" s="39" t="str">
        <f>IFERROR(__xludf.DUMMYFUNCTION("JOIN("" | "",'Team Stats'!C$3:H$3)"),"0 | 0 | 0 | 0 | 0 | 0")</f>
        <v>0 | 0 | 0 | 0 | 0 | 0</v>
      </c>
      <c r="J168" s="40" t="str">
        <f>IFERROR(__xludf.DUMMYFUNCTION("JOIN("" | "",'Team Stats'!I$7:K$7)"),"0 | 0 | 0")</f>
        <v>0 | 0 | 0</v>
      </c>
      <c r="L168" s="42"/>
      <c r="M168" s="42"/>
      <c r="N168" s="42"/>
      <c r="O168" s="42"/>
      <c r="P168" s="42"/>
      <c r="Q168" s="42"/>
    </row>
    <row r="169">
      <c r="A169" s="99"/>
      <c r="B169" s="55">
        <v>168.0</v>
      </c>
      <c r="C169" s="55" t="str">
        <f>'Teams &amp; Draft Order'!$C$6</f>
        <v>Sleeper Cell </v>
      </c>
      <c r="D169" s="56"/>
      <c r="E169" s="93" t="str">
        <f>IFERROR(VLOOKUP($D169,PlayerDB!$F$2:$G365,2,FALSE),"")</f>
        <v/>
      </c>
      <c r="F169" s="57" t="str">
        <f>IFERROR(VLOOKUP($D169,PlayerDB!$F$2:$H365,3,FALSE),"")</f>
        <v/>
      </c>
      <c r="G169" s="93" t="str">
        <f>IFERROR(VLOOKUP($D169,PlayerDB!$F$2:$I365,4,FALSE),"")</f>
        <v/>
      </c>
      <c r="H169" s="59"/>
      <c r="I169" s="60" t="str">
        <f>IFERROR(__xludf.DUMMYFUNCTION("JOIN("" | "",'Team Stats'!C$2:H$2)"),"1 | 0 | 0 | 0 | 0 | 0")</f>
        <v>1 | 0 | 0 | 0 | 0 | 0</v>
      </c>
      <c r="J169" s="51" t="str">
        <f>IFERROR(__xludf.DUMMYFUNCTION("JOIN("" | "",'Team Stats'!I$6:K$6)"),"0 | 0 | 0")</f>
        <v>0 | 0 | 0</v>
      </c>
      <c r="L169" s="42"/>
      <c r="M169" s="42"/>
      <c r="N169" s="42"/>
      <c r="O169" s="42"/>
      <c r="P169" s="42"/>
      <c r="Q169" s="42"/>
    </row>
    <row r="170">
      <c r="A170" s="88" t="s">
        <v>126</v>
      </c>
      <c r="B170" s="73">
        <v>169.0</v>
      </c>
      <c r="C170" s="73" t="str">
        <f>'Teams &amp; Draft Order'!$C$6</f>
        <v>Sleeper Cell </v>
      </c>
      <c r="D170" s="74"/>
      <c r="E170" s="89" t="str">
        <f>IFERROR(VLOOKUP($D170,PlayerDB!$F$2:$G365,2,FALSE),"")</f>
        <v/>
      </c>
      <c r="F170" s="36" t="str">
        <f>IFERROR(VLOOKUP($D170,PlayerDB!$F$2:$H365,3,FALSE),"")</f>
        <v/>
      </c>
      <c r="G170" s="89" t="str">
        <f>IFERROR(VLOOKUP($D170,PlayerDB!$F$2:$I365,4,FALSE),"")</f>
        <v/>
      </c>
      <c r="H170" s="75"/>
      <c r="I170" s="76" t="str">
        <f>IFERROR(__xludf.DUMMYFUNCTION("JOIN("" | "",'Team Stats'!C$2:H$2)"),"1 | 0 | 0 | 0 | 0 | 0")</f>
        <v>1 | 0 | 0 | 0 | 0 | 0</v>
      </c>
      <c r="J170" s="40" t="str">
        <f>IFERROR(__xludf.DUMMYFUNCTION("JOIN("" | "",'Team Stats'!I$5:K$5)"),"0 | 0 | 0")</f>
        <v>0 | 0 | 0</v>
      </c>
      <c r="L170" s="71"/>
      <c r="M170" s="44"/>
      <c r="N170" s="42"/>
      <c r="O170" s="42"/>
      <c r="P170" s="42"/>
      <c r="Q170" s="42"/>
    </row>
    <row r="171">
      <c r="A171" s="96"/>
      <c r="B171" s="46">
        <v>170.0</v>
      </c>
      <c r="C171" s="46" t="str">
        <f>'Teams &amp; Draft Order'!$C$7</f>
        <v>Phantasm</v>
      </c>
      <c r="D171" s="47"/>
      <c r="E171" s="91" t="str">
        <f>IFERROR(VLOOKUP($D171,PlayerDB!$F$2:$G365,2,FALSE),"")</f>
        <v/>
      </c>
      <c r="F171" s="48" t="str">
        <f>IFERROR(VLOOKUP($D171,PlayerDB!$F$2:$H365,3,FALSE),"")</f>
        <v/>
      </c>
      <c r="G171" s="91" t="str">
        <f>IFERROR(VLOOKUP($D171,PlayerDB!$F$2:$I365,4,FALSE),"")</f>
        <v/>
      </c>
      <c r="H171" s="38"/>
      <c r="I171" s="50" t="str">
        <f>IFERROR(__xludf.DUMMYFUNCTION("JOIN("" | "",'Team Stats'!C$3:H$3)"),"0 | 0 | 0 | 0 | 0 | 0")</f>
        <v>0 | 0 | 0 | 0 | 0 | 0</v>
      </c>
      <c r="J171" s="51" t="str">
        <f>IFERROR(__xludf.DUMMYFUNCTION("JOIN("" | "",'Team Stats'!I$4:K$4)"),"0 | 0 | 0")</f>
        <v>0 | 0 | 0</v>
      </c>
      <c r="L171" s="42"/>
      <c r="M171" s="52"/>
      <c r="N171" s="42"/>
      <c r="O171" s="42"/>
      <c r="P171" s="42"/>
      <c r="Q171" s="42"/>
    </row>
    <row r="172">
      <c r="A172" s="97"/>
      <c r="B172" s="34">
        <v>171.0</v>
      </c>
      <c r="C172" s="34" t="str">
        <f>'Teams &amp; Draft Order'!$C$8</f>
        <v>Icelanders</v>
      </c>
      <c r="D172" s="35"/>
      <c r="E172" s="89" t="str">
        <f>IFERROR(VLOOKUP($D172,PlayerDB!$F$2:$G365,2,FALSE),"")</f>
        <v/>
      </c>
      <c r="F172" s="36" t="str">
        <f>IFERROR(VLOOKUP($D172,PlayerDB!$F$2:$H365,3,FALSE),"")</f>
        <v/>
      </c>
      <c r="G172" s="89" t="str">
        <f>IFERROR(VLOOKUP($D172,PlayerDB!$F$2:$I365,4,FALSE),"")</f>
        <v/>
      </c>
      <c r="H172" s="38"/>
      <c r="I172" s="39" t="str">
        <f>IFERROR(__xludf.DUMMYFUNCTION("JOIN("" | "",'Team Stats'!C$4:H$4)"),"0 | 0 | 0 | 0 | 0 | 0")</f>
        <v>0 | 0 | 0 | 0 | 0 | 0</v>
      </c>
      <c r="J172" s="40" t="str">
        <f>IFERROR(__xludf.DUMMYFUNCTION("JOIN("" | "",'Team Stats'!I$3:K$3)"),"0 | 0 | 0")</f>
        <v>0 | 0 | 0</v>
      </c>
      <c r="L172" s="42"/>
      <c r="M172" s="52"/>
      <c r="N172" s="42"/>
      <c r="O172" s="42"/>
      <c r="P172" s="42"/>
      <c r="Q172" s="42"/>
    </row>
    <row r="173">
      <c r="A173" s="96"/>
      <c r="B173" s="46">
        <v>172.0</v>
      </c>
      <c r="C173" s="46" t="str">
        <f>'Teams &amp; Draft Order'!$C$9</f>
        <v>El Nino</v>
      </c>
      <c r="D173" s="47"/>
      <c r="E173" s="91" t="str">
        <f>IFERROR(VLOOKUP($D173,PlayerDB!$F$2:$G365,2,FALSE),"")</f>
        <v/>
      </c>
      <c r="F173" s="48" t="str">
        <f>IFERROR(VLOOKUP($D173,PlayerDB!$F$2:$H365,3,FALSE),"")</f>
        <v/>
      </c>
      <c r="G173" s="91" t="str">
        <f>IFERROR(VLOOKUP($D173,PlayerDB!$F$2:$I365,4,FALSE),"")</f>
        <v/>
      </c>
      <c r="H173" s="38"/>
      <c r="I173" s="50" t="str">
        <f>IFERROR(__xludf.DUMMYFUNCTION("JOIN("" | "",'Team Stats'!C$5:H$5)"),"0 | 0 | 0 | 0 | 0 | 0")</f>
        <v>0 | 0 | 0 | 0 | 0 | 0</v>
      </c>
      <c r="J173" s="64" t="str">
        <f>IFERROR(__xludf.DUMMYFUNCTION("JOIN("" | "",'Team Stats'!I$2:K$2)"),"0 | 0 | 0")</f>
        <v>0 | 0 | 0</v>
      </c>
      <c r="L173" s="42"/>
      <c r="M173" s="52"/>
      <c r="N173" s="42"/>
      <c r="O173" s="42"/>
      <c r="P173" s="42"/>
      <c r="Q173" s="42"/>
    </row>
    <row r="174">
      <c r="A174" s="97"/>
      <c r="B174" s="34">
        <v>173.0</v>
      </c>
      <c r="C174" s="34" t="str">
        <f>'Teams &amp; Draft Order'!$C$10</f>
        <v>Buttheads</v>
      </c>
      <c r="D174" s="35"/>
      <c r="E174" s="89" t="str">
        <f>IFERROR(VLOOKUP($D174,PlayerDB!$F$2:$G365,2,FALSE),"")</f>
        <v/>
      </c>
      <c r="F174" s="36" t="str">
        <f>IFERROR(VLOOKUP($D174,PlayerDB!$F$2:$H365,3,FALSE),"")</f>
        <v/>
      </c>
      <c r="G174" s="89" t="str">
        <f>IFERROR(VLOOKUP($D174,PlayerDB!$F$2:$I365,4,FALSE),"")</f>
        <v/>
      </c>
      <c r="H174" s="38"/>
      <c r="I174" s="39" t="str">
        <f>IFERROR(__xludf.DUMMYFUNCTION("JOIN("" | "",'Team Stats'!C$6:H$6)"),"0 | 0 | 0 | 0 | 0 | 0")</f>
        <v>0 | 0 | 0 | 0 | 0 | 0</v>
      </c>
      <c r="J174" s="40" t="str">
        <f>IFERROR(__xludf.DUMMYFUNCTION("JOIN("" | "",'Team Stats'!I$2:K$2)"),"0 | 0 | 0")</f>
        <v>0 | 0 | 0</v>
      </c>
      <c r="L174" s="42"/>
      <c r="M174" s="52"/>
      <c r="N174" s="42"/>
      <c r="O174" s="42"/>
      <c r="P174" s="42"/>
      <c r="Q174" s="42"/>
    </row>
    <row r="175">
      <c r="A175" s="96"/>
      <c r="B175" s="46">
        <v>174.0</v>
      </c>
      <c r="C175" s="46" t="str">
        <f>'Teams &amp; Draft Order'!$C$11</f>
        <v>Big Boys Big Work</v>
      </c>
      <c r="D175" s="47"/>
      <c r="E175" s="91" t="str">
        <f>IFERROR(VLOOKUP($D175,PlayerDB!$F$2:$G365,2,FALSE),"")</f>
        <v/>
      </c>
      <c r="F175" s="48" t="str">
        <f>IFERROR(VLOOKUP($D175,PlayerDB!$F$2:$H365,3,FALSE),"")</f>
        <v/>
      </c>
      <c r="G175" s="91" t="str">
        <f>IFERROR(VLOOKUP($D175,PlayerDB!$F$2:$I365,4,FALSE),"")</f>
        <v/>
      </c>
      <c r="H175" s="38"/>
      <c r="I175" s="50" t="str">
        <f>IFERROR(__xludf.DUMMYFUNCTION("JOIN("" | "",'Team Stats'!C$7:H$7)"),"0 | 0 | 0 | 0 | 0 | 0")</f>
        <v>0 | 0 | 0 | 0 | 0 | 0</v>
      </c>
      <c r="J175" s="51" t="str">
        <f>IFERROR(__xludf.DUMMYFUNCTION("JOIN("" | "",'Team Stats'!I$3:K$3)"),"0 | 0 | 0")</f>
        <v>0 | 0 | 0</v>
      </c>
      <c r="L175" s="42"/>
      <c r="M175" s="52"/>
      <c r="N175" s="42"/>
      <c r="O175" s="42"/>
      <c r="P175" s="42"/>
      <c r="Q175" s="42"/>
    </row>
    <row r="176">
      <c r="A176" s="97"/>
      <c r="B176" s="34">
        <v>175.0</v>
      </c>
      <c r="C176" s="34" t="str">
        <f>'Teams &amp; Draft Order'!$C$12</f>
        <v>Turbo-Ginz</v>
      </c>
      <c r="D176" s="35"/>
      <c r="E176" s="89" t="str">
        <f>IFERROR(VLOOKUP($D176,PlayerDB!$F$2:$G365,2,FALSE),"")</f>
        <v/>
      </c>
      <c r="F176" s="36" t="str">
        <f>IFERROR(VLOOKUP($D176,PlayerDB!$F$2:$H365,3,FALSE),"")</f>
        <v/>
      </c>
      <c r="G176" s="89" t="str">
        <f>IFERROR(VLOOKUP($D176,PlayerDB!$F$2:$I365,4,FALSE),"")</f>
        <v/>
      </c>
      <c r="H176" s="38"/>
      <c r="I176" s="39" t="str">
        <f>IFERROR(__xludf.DUMMYFUNCTION("JOIN("" | "",'Team Stats'!C$8:H$8)"),"0 | 0 | 0 | 0 | 0 | 0")</f>
        <v>0 | 0 | 0 | 0 | 0 | 0</v>
      </c>
      <c r="J176" s="40" t="str">
        <f>IFERROR(__xludf.DUMMYFUNCTION("JOIN("" | "",'Team Stats'!I$4:K$4)"),"0 | 0 | 0")</f>
        <v>0 | 0 | 0</v>
      </c>
      <c r="L176" s="42"/>
      <c r="M176" s="52"/>
      <c r="N176" s="42"/>
      <c r="O176" s="42"/>
      <c r="P176" s="42"/>
      <c r="Q176" s="42"/>
    </row>
    <row r="177">
      <c r="A177" s="96"/>
      <c r="B177" s="46">
        <v>176.0</v>
      </c>
      <c r="C177" s="46" t="str">
        <f>'Teams &amp; Draft Order'!$C$13</f>
        <v>Luddite</v>
      </c>
      <c r="D177" s="47"/>
      <c r="E177" s="91" t="str">
        <f>IFERROR(VLOOKUP($D177,PlayerDB!$F$2:$G365,2,FALSE),"")</f>
        <v/>
      </c>
      <c r="F177" s="48" t="str">
        <f>IFERROR(VLOOKUP($D177,PlayerDB!$F$2:$H365,3,FALSE),"")</f>
        <v/>
      </c>
      <c r="G177" s="91" t="str">
        <f>IFERROR(VLOOKUP($D177,PlayerDB!$F$2:$I365,4,FALSE),"")</f>
        <v/>
      </c>
      <c r="H177" s="38"/>
      <c r="I177" s="50" t="str">
        <f>IFERROR(__xludf.DUMMYFUNCTION("JOIN("" | "",'Team Stats'!C$9:H$9)"),"0 | 0 | 0 | 0 | 0 | 0")</f>
        <v>0 | 0 | 0 | 0 | 0 | 0</v>
      </c>
      <c r="J177" s="51" t="str">
        <f>IFERROR(__xludf.DUMMYFUNCTION("JOIN("" | "",'Team Stats'!I$5:K$5)"),"0 | 0 | 0")</f>
        <v>0 | 0 | 0</v>
      </c>
      <c r="L177" s="42"/>
      <c r="M177" s="52"/>
      <c r="N177" s="42"/>
      <c r="O177" s="42"/>
      <c r="P177" s="42"/>
      <c r="Q177" s="42"/>
    </row>
    <row r="178">
      <c r="A178" s="97"/>
      <c r="B178" s="34">
        <v>177.0</v>
      </c>
      <c r="C178" s="34" t="str">
        <f>'Teams &amp; Draft Order'!$C$14</f>
        <v>Achaians</v>
      </c>
      <c r="D178" s="35"/>
      <c r="E178" s="89" t="str">
        <f>IFERROR(VLOOKUP($D178,PlayerDB!$F$2:$G365,2,FALSE),"")</f>
        <v/>
      </c>
      <c r="F178" s="36" t="str">
        <f>IFERROR(VLOOKUP($D178,PlayerDB!$F$2:$H365,3,FALSE),"")</f>
        <v/>
      </c>
      <c r="G178" s="89" t="str">
        <f>IFERROR(VLOOKUP($D178,PlayerDB!$F$2:$I365,4,FALSE),"")</f>
        <v/>
      </c>
      <c r="H178" s="38"/>
      <c r="I178" s="39" t="str">
        <f>IFERROR(__xludf.DUMMYFUNCTION("JOIN("" | "",'Team Stats'!C$10:H$10)"),"0 | 0 | 0 | 0 | 0 | 0")</f>
        <v>0 | 0 | 0 | 0 | 0 | 0</v>
      </c>
      <c r="J178" s="40" t="str">
        <f>IFERROR(__xludf.DUMMYFUNCTION("JOIN("" | "",'Team Stats'!I$6:K$6)"),"0 | 0 | 0")</f>
        <v>0 | 0 | 0</v>
      </c>
      <c r="L178" s="42"/>
      <c r="M178" s="52"/>
      <c r="N178" s="42"/>
      <c r="O178" s="42"/>
      <c r="P178" s="42"/>
      <c r="Q178" s="42"/>
    </row>
    <row r="179">
      <c r="A179" s="96"/>
      <c r="B179" s="46">
        <v>178.0</v>
      </c>
      <c r="C179" s="46" t="str">
        <f>'Teams &amp; Draft Order'!$C$15</f>
        <v>Daddy's Dogs</v>
      </c>
      <c r="D179" s="47"/>
      <c r="E179" s="91" t="str">
        <f>IFERROR(VLOOKUP($D179,PlayerDB!$F$2:$G365,2,FALSE),"")</f>
        <v/>
      </c>
      <c r="F179" s="48" t="str">
        <f>IFERROR(VLOOKUP($D179,PlayerDB!$F$2:$H365,3,FALSE),"")</f>
        <v/>
      </c>
      <c r="G179" s="91" t="str">
        <f>IFERROR(VLOOKUP($D179,PlayerDB!$F$2:$I365,4,FALSE),"")</f>
        <v/>
      </c>
      <c r="H179" s="38"/>
      <c r="I179" s="50" t="str">
        <f>IFERROR(__xludf.DUMMYFUNCTION("JOIN("" | "",'Team Stats'!C$11:H$11)"),"0 | 0 | 0 | 0 | 0 | 0")</f>
        <v>0 | 0 | 0 | 0 | 0 | 0</v>
      </c>
      <c r="J179" s="51" t="str">
        <f>IFERROR(__xludf.DUMMYFUNCTION("JOIN("" | "",'Team Stats'!I$7:K$7)"),"0 | 0 | 0")</f>
        <v>0 | 0 | 0</v>
      </c>
      <c r="L179" s="42"/>
      <c r="M179" s="52"/>
      <c r="N179" s="42"/>
      <c r="O179" s="42"/>
      <c r="P179" s="42"/>
      <c r="Q179" s="42"/>
    </row>
    <row r="180">
      <c r="A180" s="97"/>
      <c r="B180" s="34">
        <v>179.0</v>
      </c>
      <c r="C180" s="34" t="str">
        <f>'Teams &amp; Draft Order'!$C$16</f>
        <v>TDs and Beers</v>
      </c>
      <c r="D180" s="35"/>
      <c r="E180" s="89" t="str">
        <f>IFERROR(VLOOKUP($D180,PlayerDB!$F$2:$G365,2,FALSE),"")</f>
        <v/>
      </c>
      <c r="F180" s="36" t="str">
        <f>IFERROR(VLOOKUP($D180,PlayerDB!$F$2:$H365,3,FALSE),"")</f>
        <v/>
      </c>
      <c r="G180" s="89" t="str">
        <f>IFERROR(VLOOKUP($D180,PlayerDB!$F$2:$I365,4,FALSE),"")</f>
        <v/>
      </c>
      <c r="H180" s="38"/>
      <c r="I180" s="39" t="str">
        <f>IFERROR(__xludf.DUMMYFUNCTION("JOIN("" | "",'Team Stats'!C$12:H$12)"),"0 | 0 | 0 | 0 | 0 | 0")</f>
        <v>0 | 0 | 0 | 0 | 0 | 0</v>
      </c>
      <c r="J180" s="40" t="str">
        <f>IFERROR(__xludf.DUMMYFUNCTION("JOIN("" | "",'Team Stats'!I$8:K$8)"),"0 | 0 | 0")</f>
        <v>0 | 0 | 0</v>
      </c>
      <c r="L180" s="42"/>
      <c r="M180" s="52"/>
      <c r="N180" s="42"/>
      <c r="O180" s="42"/>
      <c r="P180" s="42"/>
      <c r="Q180" s="42"/>
    </row>
    <row r="181">
      <c r="A181" s="96"/>
      <c r="B181" s="46">
        <v>180.0</v>
      </c>
      <c r="C181" s="46" t="str">
        <f>'Teams &amp; Draft Order'!$C$17</f>
        <v>DD Riders</v>
      </c>
      <c r="D181" s="47"/>
      <c r="E181" s="91" t="str">
        <f>IFERROR(VLOOKUP($D181,PlayerDB!$F$2:$G365,2,FALSE),"")</f>
        <v/>
      </c>
      <c r="F181" s="48" t="str">
        <f>IFERROR(VLOOKUP($D181,PlayerDB!$F$2:$H365,3,FALSE),"")</f>
        <v/>
      </c>
      <c r="G181" s="91" t="str">
        <f>IFERROR(VLOOKUP($D181,PlayerDB!$F$2:$I365,4,FALSE),"")</f>
        <v/>
      </c>
      <c r="H181" s="38"/>
      <c r="I181" s="50" t="str">
        <f>IFERROR(__xludf.DUMMYFUNCTION("JOIN("" | "",'Team Stats'!C$13:H$13)"),"0 | 0 | 0 | 0 | 0 | 0")</f>
        <v>0 | 0 | 0 | 0 | 0 | 0</v>
      </c>
      <c r="J181" s="51" t="str">
        <f>IFERROR(__xludf.DUMMYFUNCTION("JOIN("" | "",'Team Stats'!I$9:K$9)"),"0 | 0 | 0")</f>
        <v>0 | 0 | 0</v>
      </c>
      <c r="L181" s="42"/>
      <c r="M181" s="52"/>
      <c r="N181" s="42"/>
      <c r="O181" s="42"/>
      <c r="P181" s="42"/>
      <c r="Q181" s="42"/>
    </row>
    <row r="182">
      <c r="A182" s="97"/>
      <c r="B182" s="34">
        <v>181.0</v>
      </c>
      <c r="C182" s="34" t="str">
        <f>'Teams &amp; Draft Order'!$C$18</f>
        <v>Nasty</v>
      </c>
      <c r="D182" s="35"/>
      <c r="E182" s="89" t="str">
        <f>IFERROR(VLOOKUP($D182,PlayerDB!$F$2:$G365,2,FALSE),"")</f>
        <v/>
      </c>
      <c r="F182" s="36" t="str">
        <f>IFERROR(VLOOKUP($D182,PlayerDB!$F$2:$H365,3,FALSE),"")</f>
        <v/>
      </c>
      <c r="G182" s="89" t="str">
        <f>IFERROR(VLOOKUP($D182,PlayerDB!$F$2:$I365,4,FALSE),"")</f>
        <v/>
      </c>
      <c r="H182" s="38"/>
      <c r="I182" s="92" t="str">
        <f>IFERROR(__xludf.DUMMYFUNCTION("JOIN("" | "",'Team Stats'!C$14:H$14)"),"0 | 0 | 0 | 0 | 0 | 0")</f>
        <v>0 | 0 | 0 | 0 | 0 | 0</v>
      </c>
      <c r="J182" s="40" t="str">
        <f>IFERROR(__xludf.DUMMYFUNCTION("JOIN("" | "",'Team Stats'!I$10:K$10)"),"0 | 0 | 0")</f>
        <v>0 | 0 | 0</v>
      </c>
      <c r="L182" s="42"/>
      <c r="M182" s="52"/>
      <c r="N182" s="42"/>
      <c r="O182" s="42"/>
      <c r="P182" s="42"/>
      <c r="Q182" s="42"/>
    </row>
    <row r="183">
      <c r="A183" s="96"/>
      <c r="B183" s="46">
        <v>182.0</v>
      </c>
      <c r="C183" s="46" t="str">
        <f>'Teams &amp; Draft Order'!$C$19</f>
        <v>Red Hammer</v>
      </c>
      <c r="D183" s="47"/>
      <c r="E183" s="93" t="str">
        <f>IFERROR(VLOOKUP($D183,PlayerDB!$F$2:$G365,2,FALSE),"")</f>
        <v/>
      </c>
      <c r="F183" s="57" t="str">
        <f>IFERROR(VLOOKUP($D183,PlayerDB!$F$2:$H365,3,FALSE),"")</f>
        <v/>
      </c>
      <c r="G183" s="93" t="str">
        <f>IFERROR(VLOOKUP($D183,PlayerDB!$F$2:$I365,4,FALSE),"")</f>
        <v/>
      </c>
      <c r="H183" s="38"/>
      <c r="I183" s="94" t="str">
        <f>IFERROR(__xludf.DUMMYFUNCTION("JOIN("" | "",'Team Stats'!C$15:H$15)"),"0 | 0 | 0 | 0 | 0 | 0")</f>
        <v>0 | 0 | 0 | 0 | 0 | 0</v>
      </c>
      <c r="J183" s="51" t="str">
        <f>IFERROR(__xludf.DUMMYFUNCTION("JOIN("" | "",'Team Stats'!I$11:K$11)"),"0 | 0 | 0")</f>
        <v>0 | 0 | 0</v>
      </c>
      <c r="L183" s="42"/>
      <c r="M183" s="52"/>
      <c r="N183" s="42"/>
      <c r="O183" s="42"/>
      <c r="P183" s="42"/>
      <c r="Q183" s="42"/>
    </row>
    <row r="184">
      <c r="A184" s="88" t="s">
        <v>127</v>
      </c>
      <c r="B184" s="73">
        <v>183.0</v>
      </c>
      <c r="C184" s="73" t="str">
        <f>'Teams &amp; Draft Order'!$C$19</f>
        <v>Red Hammer</v>
      </c>
      <c r="D184" s="74"/>
      <c r="E184" s="89" t="str">
        <f>IFERROR(VLOOKUP($D184,PlayerDB!$F$2:$G365,2,FALSE),"")</f>
        <v/>
      </c>
      <c r="F184" s="36" t="str">
        <f>IFERROR(VLOOKUP($D184,PlayerDB!$F$2:$H365,3,FALSE),"")</f>
        <v/>
      </c>
      <c r="G184" s="89" t="str">
        <f>IFERROR(VLOOKUP($D184,PlayerDB!$F$2:$I365,4,FALSE),"")</f>
        <v/>
      </c>
      <c r="H184" s="75"/>
      <c r="I184" s="95" t="str">
        <f>IFERROR(__xludf.DUMMYFUNCTION("JOIN("" | "",'Team Stats'!C$15:H$15)"),"0 | 0 | 0 | 0 | 0 | 0")</f>
        <v>0 | 0 | 0 | 0 | 0 | 0</v>
      </c>
      <c r="J184" s="40" t="str">
        <f>IFERROR(__xludf.DUMMYFUNCTION("JOIN("" | "",'Team Stats'!I$12:K$12)"),"0 | 0 | 0")</f>
        <v>0 | 0 | 0</v>
      </c>
      <c r="L184" s="42"/>
      <c r="M184" s="52"/>
      <c r="N184" s="42"/>
      <c r="O184" s="42"/>
      <c r="P184" s="42"/>
      <c r="Q184" s="42"/>
    </row>
    <row r="185">
      <c r="A185" s="96"/>
      <c r="B185" s="46">
        <v>184.0</v>
      </c>
      <c r="C185" s="46" t="str">
        <f>'Teams &amp; Draft Order'!$C$18</f>
        <v>Nasty</v>
      </c>
      <c r="D185" s="47"/>
      <c r="E185" s="91" t="str">
        <f>IFERROR(VLOOKUP($D185,PlayerDB!$F$2:$G365,2,FALSE),"")</f>
        <v/>
      </c>
      <c r="F185" s="48" t="str">
        <f>IFERROR(VLOOKUP($D185,PlayerDB!$F$2:$H365,3,FALSE),"")</f>
        <v/>
      </c>
      <c r="G185" s="91" t="str">
        <f>IFERROR(VLOOKUP($D185,PlayerDB!$F$2:$I365,4,FALSE),"")</f>
        <v/>
      </c>
      <c r="H185" s="38"/>
      <c r="I185" s="94" t="str">
        <f>IFERROR(__xludf.DUMMYFUNCTION("JOIN("" | "",'Team Stats'!C$14:H$14)"),"0 | 0 | 0 | 0 | 0 | 0")</f>
        <v>0 | 0 | 0 | 0 | 0 | 0</v>
      </c>
      <c r="J185" s="51" t="str">
        <f>IFERROR(__xludf.DUMMYFUNCTION("JOIN("" | "",'Team Stats'!I$13:K$13)"),"0 | 0 | 0")</f>
        <v>0 | 0 | 0</v>
      </c>
      <c r="L185" s="42"/>
      <c r="M185" s="52"/>
      <c r="N185" s="42"/>
      <c r="O185" s="42"/>
      <c r="P185" s="42"/>
      <c r="Q185" s="42"/>
    </row>
    <row r="186">
      <c r="A186" s="97"/>
      <c r="B186" s="34">
        <v>185.0</v>
      </c>
      <c r="C186" s="34" t="str">
        <f>'Teams &amp; Draft Order'!$C$17</f>
        <v>DD Riders</v>
      </c>
      <c r="D186" s="35"/>
      <c r="E186" s="89" t="str">
        <f>IFERROR(VLOOKUP($D186,PlayerDB!$F$2:$G365,2,FALSE),"")</f>
        <v/>
      </c>
      <c r="F186" s="36" t="str">
        <f>IFERROR(VLOOKUP($D186,PlayerDB!$F$2:$H365,3,FALSE),"")</f>
        <v/>
      </c>
      <c r="G186" s="89" t="str">
        <f>IFERROR(VLOOKUP($D186,PlayerDB!$F$2:$I365,4,FALSE),"")</f>
        <v/>
      </c>
      <c r="H186" s="38"/>
      <c r="I186" s="39" t="str">
        <f>IFERROR(__xludf.DUMMYFUNCTION("JOIN("" | "",'Team Stats'!C$13:H$13)"),"0 | 0 | 0 | 0 | 0 | 0")</f>
        <v>0 | 0 | 0 | 0 | 0 | 0</v>
      </c>
      <c r="J186" s="62" t="str">
        <f>IFERROR(__xludf.DUMMYFUNCTION("JOIN("" | "",'Team Stats'!I$13:K$13)"),"0 | 0 | 0")</f>
        <v>0 | 0 | 0</v>
      </c>
      <c r="L186" s="42"/>
      <c r="M186" s="52"/>
      <c r="N186" s="42"/>
      <c r="O186" s="42"/>
      <c r="P186" s="42"/>
      <c r="Q186" s="42"/>
    </row>
    <row r="187">
      <c r="A187" s="96"/>
      <c r="B187" s="46">
        <v>186.0</v>
      </c>
      <c r="C187" s="46" t="str">
        <f>'Teams &amp; Draft Order'!$C$16</f>
        <v>TDs and Beers</v>
      </c>
      <c r="D187" s="47"/>
      <c r="E187" s="91" t="str">
        <f>IFERROR(VLOOKUP($D187,PlayerDB!$F$2:$G365,2,FALSE),"")</f>
        <v/>
      </c>
      <c r="F187" s="48" t="str">
        <f>IFERROR(VLOOKUP($D187,PlayerDB!$F$2:$H365,3,FALSE),"")</f>
        <v/>
      </c>
      <c r="G187" s="91" t="str">
        <f>IFERROR(VLOOKUP($D187,PlayerDB!$F$2:$I365,4,FALSE),"")</f>
        <v/>
      </c>
      <c r="H187" s="38"/>
      <c r="I187" s="50" t="str">
        <f>IFERROR(__xludf.DUMMYFUNCTION("JOIN("" | "",'Team Stats'!C$12:H$12)"),"0 | 0 | 0 | 0 | 0 | 0")</f>
        <v>0 | 0 | 0 | 0 | 0 | 0</v>
      </c>
      <c r="J187" s="51" t="str">
        <f>IFERROR(__xludf.DUMMYFUNCTION("JOIN("" | "",'Team Stats'!I$12:K$12)"),"0 | 0 | 0")</f>
        <v>0 | 0 | 0</v>
      </c>
      <c r="L187" s="42"/>
      <c r="M187" s="52"/>
      <c r="N187" s="42"/>
      <c r="O187" s="42"/>
      <c r="P187" s="42"/>
      <c r="Q187" s="42"/>
    </row>
    <row r="188">
      <c r="A188" s="97"/>
      <c r="B188" s="34">
        <v>187.0</v>
      </c>
      <c r="C188" s="34" t="str">
        <f>'Teams &amp; Draft Order'!$C$15</f>
        <v>Daddy's Dogs</v>
      </c>
      <c r="D188" s="35"/>
      <c r="E188" s="89" t="str">
        <f>IFERROR(VLOOKUP($D189,PlayerDB!$F$2:$G365,2,FALSE),"")</f>
        <v/>
      </c>
      <c r="F188" s="36" t="str">
        <f>IFERROR(VLOOKUP($D189,PlayerDB!$F$2:$H365,3,FALSE),"")</f>
        <v/>
      </c>
      <c r="G188" s="89" t="str">
        <f>IFERROR(VLOOKUP($D189,PlayerDB!$F$2:$I365,4,FALSE),"")</f>
        <v/>
      </c>
      <c r="H188" s="38"/>
      <c r="I188" s="39" t="str">
        <f>IFERROR(__xludf.DUMMYFUNCTION("JOIN("" | "",'Team Stats'!C$11:H$11)"),"0 | 0 | 0 | 0 | 0 | 0")</f>
        <v>0 | 0 | 0 | 0 | 0 | 0</v>
      </c>
      <c r="J188" s="40" t="str">
        <f>IFERROR(__xludf.DUMMYFUNCTION("JOIN("" | "",'Team Stats'!I$11:K$11)"),"0 | 0 | 0")</f>
        <v>0 | 0 | 0</v>
      </c>
      <c r="L188" s="42"/>
      <c r="M188" s="52"/>
      <c r="N188" s="42"/>
      <c r="O188" s="42"/>
      <c r="P188" s="42"/>
      <c r="Q188" s="42"/>
    </row>
    <row r="189">
      <c r="A189" s="96"/>
      <c r="B189" s="46">
        <v>188.0</v>
      </c>
      <c r="C189" s="46" t="str">
        <f>'Teams &amp; Draft Order'!$C$14</f>
        <v>Achaians</v>
      </c>
      <c r="D189" s="47"/>
      <c r="E189" s="91" t="str">
        <f>IFERROR(VLOOKUP(#REF!,PlayerDB!$F$2:$G365,2,FALSE),"")</f>
        <v/>
      </c>
      <c r="F189" s="48" t="str">
        <f>IFERROR(VLOOKUP(#REF!,PlayerDB!$F$2:$H365,3,FALSE),"")</f>
        <v/>
      </c>
      <c r="G189" s="91" t="str">
        <f>IFERROR(VLOOKUP(#REF!,PlayerDB!$F$2:$I365,4,FALSE),"")</f>
        <v/>
      </c>
      <c r="H189" s="38"/>
      <c r="I189" s="50" t="str">
        <f>IFERROR(__xludf.DUMMYFUNCTION("JOIN("" | "",'Team Stats'!C$10:H$10)"),"0 | 0 | 0 | 0 | 0 | 0")</f>
        <v>0 | 0 | 0 | 0 | 0 | 0</v>
      </c>
      <c r="J189" s="51" t="str">
        <f>IFERROR(__xludf.DUMMYFUNCTION("JOIN("" | "",'Team Stats'!I$10:K$10)"),"0 | 0 | 0")</f>
        <v>0 | 0 | 0</v>
      </c>
      <c r="L189" s="42"/>
      <c r="M189" s="52"/>
      <c r="N189" s="42"/>
      <c r="O189" s="42"/>
      <c r="P189" s="42"/>
      <c r="Q189" s="42"/>
    </row>
    <row r="190">
      <c r="A190" s="97"/>
      <c r="B190" s="34">
        <v>189.0</v>
      </c>
      <c r="C190" s="34" t="str">
        <f>'Teams &amp; Draft Order'!$C$13</f>
        <v>Luddite</v>
      </c>
      <c r="D190" s="35"/>
      <c r="E190" s="89" t="str">
        <f>IFERROR(VLOOKUP($D190,PlayerDB!$F$2:$G365,2,FALSE),"")</f>
        <v/>
      </c>
      <c r="F190" s="36" t="str">
        <f>IFERROR(VLOOKUP($D190,PlayerDB!$F$2:$H365,3,FALSE),"")</f>
        <v/>
      </c>
      <c r="G190" s="89" t="str">
        <f>IFERROR(VLOOKUP($D190,PlayerDB!$F$2:$I365,4,FALSE),"")</f>
        <v/>
      </c>
      <c r="H190" s="38"/>
      <c r="I190" s="39" t="str">
        <f>IFERROR(__xludf.DUMMYFUNCTION("JOIN("" | "",'Team Stats'!C$9:H$9)"),"0 | 0 | 0 | 0 | 0 | 0")</f>
        <v>0 | 0 | 0 | 0 | 0 | 0</v>
      </c>
      <c r="J190" s="40" t="str">
        <f>IFERROR(__xludf.DUMMYFUNCTION("JOIN("" | "",'Team Stats'!I$9:K$9)"),"0 | 0 | 0")</f>
        <v>0 | 0 | 0</v>
      </c>
      <c r="L190" s="42"/>
      <c r="M190" s="52"/>
      <c r="N190" s="42"/>
      <c r="O190" s="42"/>
      <c r="P190" s="42"/>
      <c r="Q190" s="42"/>
    </row>
    <row r="191">
      <c r="A191" s="96"/>
      <c r="B191" s="46">
        <v>190.0</v>
      </c>
      <c r="C191" s="46" t="str">
        <f>'Teams &amp; Draft Order'!$C$12</f>
        <v>Turbo-Ginz</v>
      </c>
      <c r="D191" s="47"/>
      <c r="E191" s="91" t="str">
        <f>IFERROR(VLOOKUP($D191,PlayerDB!$F$2:$G365,2,FALSE),"")</f>
        <v/>
      </c>
      <c r="F191" s="48" t="str">
        <f>IFERROR(VLOOKUP($D191,PlayerDB!$F$2:$H365,3,FALSE),"")</f>
        <v/>
      </c>
      <c r="G191" s="91" t="str">
        <f>IFERROR(VLOOKUP($D191,PlayerDB!$F$2:$I365,4,FALSE),"")</f>
        <v/>
      </c>
      <c r="H191" s="38"/>
      <c r="I191" s="50" t="str">
        <f>IFERROR(__xludf.DUMMYFUNCTION("JOIN("" | "",'Team Stats'!C$8:H$8)"),"0 | 0 | 0 | 0 | 0 | 0")</f>
        <v>0 | 0 | 0 | 0 | 0 | 0</v>
      </c>
      <c r="J191" s="51" t="str">
        <f>IFERROR(__xludf.DUMMYFUNCTION("JOIN("" | "",'Team Stats'!I$8:K$8)"),"0 | 0 | 0")</f>
        <v>0 | 0 | 0</v>
      </c>
      <c r="L191" s="42"/>
      <c r="M191" s="42"/>
      <c r="N191" s="42"/>
      <c r="O191" s="42"/>
      <c r="P191" s="42"/>
      <c r="Q191" s="42"/>
    </row>
    <row r="192">
      <c r="A192" s="97"/>
      <c r="B192" s="34">
        <v>191.0</v>
      </c>
      <c r="C192" s="34" t="str">
        <f>'Teams &amp; Draft Order'!$C$11</f>
        <v>Big Boys Big Work</v>
      </c>
      <c r="D192" s="35"/>
      <c r="E192" s="89" t="str">
        <f>IFERROR(VLOOKUP($D192,PlayerDB!$F$2:$G365,2,FALSE),"")</f>
        <v/>
      </c>
      <c r="F192" s="36" t="str">
        <f>IFERROR(VLOOKUP($D192,PlayerDB!$F$2:$H365,3,FALSE),"")</f>
        <v/>
      </c>
      <c r="G192" s="89" t="str">
        <f>IFERROR(VLOOKUP($D192,PlayerDB!$F$2:$I365,4,FALSE),"")</f>
        <v/>
      </c>
      <c r="H192" s="38"/>
      <c r="I192" s="39" t="str">
        <f>IFERROR(__xludf.DUMMYFUNCTION("JOIN("" | "",'Team Stats'!C$7:H$7)"),"0 | 0 | 0 | 0 | 0 | 0")</f>
        <v>0 | 0 | 0 | 0 | 0 | 0</v>
      </c>
      <c r="J192" s="40" t="str">
        <f>IFERROR(__xludf.DUMMYFUNCTION("JOIN("" | "",'Team Stats'!I$7:K$7)"),"0 | 0 | 0")</f>
        <v>0 | 0 | 0</v>
      </c>
      <c r="L192" s="42"/>
      <c r="M192" s="42"/>
      <c r="N192" s="42"/>
      <c r="O192" s="42"/>
      <c r="P192" s="42"/>
      <c r="Q192" s="42"/>
    </row>
    <row r="193">
      <c r="A193" s="96"/>
      <c r="B193" s="46">
        <v>192.0</v>
      </c>
      <c r="C193" s="46" t="str">
        <f>'Teams &amp; Draft Order'!$C$10</f>
        <v>Buttheads</v>
      </c>
      <c r="D193" s="47"/>
      <c r="E193" s="91" t="str">
        <f>IFERROR(VLOOKUP($D193,PlayerDB!$F$2:$G365,2,FALSE),"")</f>
        <v/>
      </c>
      <c r="F193" s="48" t="str">
        <f>IFERROR(VLOOKUP($D193,PlayerDB!$F$2:$H365,3,FALSE),"")</f>
        <v/>
      </c>
      <c r="G193" s="91" t="str">
        <f>IFERROR(VLOOKUP($D193,PlayerDB!$F$2:$I365,4,FALSE),"")</f>
        <v/>
      </c>
      <c r="H193" s="38"/>
      <c r="I193" s="50" t="str">
        <f>IFERROR(__xludf.DUMMYFUNCTION("JOIN("" | "",'Team Stats'!C$6:H$6)"),"0 | 0 | 0 | 0 | 0 | 0")</f>
        <v>0 | 0 | 0 | 0 | 0 | 0</v>
      </c>
      <c r="J193" s="51" t="str">
        <f>IFERROR(__xludf.DUMMYFUNCTION("JOIN("" | "",'Team Stats'!I$6:K$6)"),"0 | 0 | 0")</f>
        <v>0 | 0 | 0</v>
      </c>
      <c r="L193" s="42"/>
      <c r="M193" s="42"/>
      <c r="N193" s="42"/>
      <c r="O193" s="42"/>
      <c r="P193" s="42"/>
      <c r="Q193" s="42"/>
    </row>
    <row r="194">
      <c r="A194" s="97"/>
      <c r="B194" s="34">
        <v>193.0</v>
      </c>
      <c r="C194" s="34" t="str">
        <f>'Teams &amp; Draft Order'!$C$9</f>
        <v>El Nino</v>
      </c>
      <c r="D194" s="35"/>
      <c r="E194" s="89" t="str">
        <f>IFERROR(VLOOKUP($D194,PlayerDB!$F$2:$G365,2,FALSE),"")</f>
        <v/>
      </c>
      <c r="F194" s="36" t="str">
        <f>IFERROR(VLOOKUP($D194,PlayerDB!$F$2:$H365,3,FALSE),"")</f>
        <v/>
      </c>
      <c r="G194" s="89" t="str">
        <f>IFERROR(VLOOKUP($D194,PlayerDB!$F$2:$I365,4,FALSE),"")</f>
        <v/>
      </c>
      <c r="H194" s="38"/>
      <c r="I194" s="39" t="str">
        <f>IFERROR(__xludf.DUMMYFUNCTION("JOIN("" | "",'Team Stats'!C$5:H$5)"),"0 | 0 | 0 | 0 | 0 | 0")</f>
        <v>0 | 0 | 0 | 0 | 0 | 0</v>
      </c>
      <c r="J194" s="40" t="str">
        <f>IFERROR(__xludf.DUMMYFUNCTION("JOIN("" | "",'Team Stats'!I$5:K$5)"),"0 | 0 | 0")</f>
        <v>0 | 0 | 0</v>
      </c>
      <c r="L194" s="42"/>
      <c r="M194" s="42"/>
      <c r="N194" s="42"/>
      <c r="O194" s="42"/>
      <c r="P194" s="42"/>
      <c r="Q194" s="42"/>
    </row>
    <row r="195">
      <c r="A195" s="96"/>
      <c r="B195" s="46">
        <v>194.0</v>
      </c>
      <c r="C195" s="46" t="str">
        <f>'Teams &amp; Draft Order'!$C$8</f>
        <v>Icelanders</v>
      </c>
      <c r="D195" s="47"/>
      <c r="E195" s="91" t="str">
        <f>IFERROR(VLOOKUP($D195,PlayerDB!$F$2:$G365,2,FALSE),"")</f>
        <v/>
      </c>
      <c r="F195" s="48" t="str">
        <f>IFERROR(VLOOKUP($D195,PlayerDB!$F$2:$H365,3,FALSE),"")</f>
        <v/>
      </c>
      <c r="G195" s="91" t="str">
        <f>IFERROR(VLOOKUP($D195,PlayerDB!$F$2:$I365,4,FALSE),"")</f>
        <v/>
      </c>
      <c r="H195" s="38"/>
      <c r="I195" s="50" t="str">
        <f>IFERROR(__xludf.DUMMYFUNCTION("JOIN("" | "",'Team Stats'!C$4:H$4)"),"0 | 0 | 0 | 0 | 0 | 0")</f>
        <v>0 | 0 | 0 | 0 | 0 | 0</v>
      </c>
      <c r="J195" s="51" t="str">
        <f>IFERROR(__xludf.DUMMYFUNCTION("JOIN("" | "",'Team Stats'!I$4:K$4)"),"0 | 0 | 0")</f>
        <v>0 | 0 | 0</v>
      </c>
      <c r="L195" s="42"/>
      <c r="M195" s="42"/>
      <c r="N195" s="42"/>
      <c r="O195" s="42"/>
      <c r="P195" s="42"/>
      <c r="Q195" s="42"/>
    </row>
    <row r="196">
      <c r="A196" s="97"/>
      <c r="B196" s="34">
        <v>195.0</v>
      </c>
      <c r="C196" s="34" t="str">
        <f>'Teams &amp; Draft Order'!$C$7</f>
        <v>Phantasm</v>
      </c>
      <c r="D196" s="35"/>
      <c r="E196" s="89" t="str">
        <f>IFERROR(VLOOKUP($D196,PlayerDB!$F$2:$G365,2,FALSE),"")</f>
        <v/>
      </c>
      <c r="F196" s="36" t="str">
        <f>IFERROR(VLOOKUP($D196,PlayerDB!$F$2:$H365,3,FALSE),"")</f>
        <v/>
      </c>
      <c r="G196" s="89" t="str">
        <f>IFERROR(VLOOKUP($D196,PlayerDB!$F$2:$I365,4,FALSE),"")</f>
        <v/>
      </c>
      <c r="H196" s="38"/>
      <c r="I196" s="39" t="str">
        <f>IFERROR(__xludf.DUMMYFUNCTION("JOIN("" | "",'Team Stats'!C$3:H$3)"),"0 | 0 | 0 | 0 | 0 | 0")</f>
        <v>0 | 0 | 0 | 0 | 0 | 0</v>
      </c>
      <c r="J196" s="40" t="str">
        <f>IFERROR(__xludf.DUMMYFUNCTION("JOIN("" | "",'Team Stats'!I$3:K$3)"),"0 | 0 | 0")</f>
        <v>0 | 0 | 0</v>
      </c>
      <c r="L196" s="42"/>
      <c r="M196" s="42"/>
      <c r="N196" s="42"/>
      <c r="O196" s="42"/>
      <c r="P196" s="42"/>
      <c r="Q196" s="42"/>
    </row>
    <row r="197">
      <c r="A197" s="99"/>
      <c r="B197" s="55">
        <v>196.0</v>
      </c>
      <c r="C197" s="55" t="str">
        <f>'Teams &amp; Draft Order'!$C$6</f>
        <v>Sleeper Cell </v>
      </c>
      <c r="D197" s="56"/>
      <c r="E197" s="93" t="str">
        <f>IFERROR(VLOOKUP($D197,PlayerDB!$F$2:$G365,2,FALSE),"")</f>
        <v/>
      </c>
      <c r="F197" s="57" t="str">
        <f>IFERROR(VLOOKUP($D197,PlayerDB!$F$2:$H365,3,FALSE),"")</f>
        <v/>
      </c>
      <c r="G197" s="93" t="str">
        <f>IFERROR(VLOOKUP($D197,PlayerDB!$F$2:$I365,4,FALSE),"")</f>
        <v/>
      </c>
      <c r="H197" s="59"/>
      <c r="I197" s="60" t="str">
        <f>IFERROR(__xludf.DUMMYFUNCTION("JOIN("" | "",'Team Stats'!C$2:H$2)"),"1 | 0 | 0 | 0 | 0 | 0")</f>
        <v>1 | 0 | 0 | 0 | 0 | 0</v>
      </c>
      <c r="J197" s="64" t="str">
        <f>IFERROR(__xludf.DUMMYFUNCTION("JOIN("" | "",'Team Stats'!I$2:K$2)"),"0 | 0 | 0")</f>
        <v>0 | 0 | 0</v>
      </c>
      <c r="L197" s="42"/>
      <c r="M197" s="42"/>
      <c r="N197" s="42"/>
      <c r="O197" s="42"/>
      <c r="P197" s="42"/>
      <c r="Q197" s="42"/>
    </row>
    <row r="198">
      <c r="A198" s="88" t="s">
        <v>128</v>
      </c>
      <c r="B198" s="73">
        <v>197.0</v>
      </c>
      <c r="C198" s="73" t="str">
        <f>'Teams &amp; Draft Order'!$C$6</f>
        <v>Sleeper Cell </v>
      </c>
      <c r="D198" s="74"/>
      <c r="E198" s="89" t="str">
        <f>IFERROR(VLOOKUP($D198,PlayerDB!$F$2:$G365,2,FALSE),"")</f>
        <v/>
      </c>
      <c r="F198" s="36" t="str">
        <f>IFERROR(VLOOKUP($D198,PlayerDB!$F$2:$H365,3,FALSE),"")</f>
        <v/>
      </c>
      <c r="G198" s="89" t="str">
        <f>IFERROR(VLOOKUP($D198,PlayerDB!$F$2:$I365,4,FALSE),"")</f>
        <v/>
      </c>
      <c r="H198" s="75"/>
      <c r="I198" s="76" t="str">
        <f>IFERROR(__xludf.DUMMYFUNCTION("JOIN("" | "",'Team Stats'!C$2:H$2)"),"1 | 0 | 0 | 0 | 0 | 0")</f>
        <v>1 | 0 | 0 | 0 | 0 | 0</v>
      </c>
      <c r="J198" s="40" t="str">
        <f>IFERROR(__xludf.DUMMYFUNCTION("JOIN("" | "",'Team Stats'!I$2:K$2)"),"0 | 0 | 0")</f>
        <v>0 | 0 | 0</v>
      </c>
      <c r="L198" s="42"/>
      <c r="M198" s="42"/>
      <c r="N198" s="42"/>
      <c r="O198" s="42"/>
      <c r="P198" s="42"/>
      <c r="Q198" s="42"/>
    </row>
    <row r="199">
      <c r="A199" s="96"/>
      <c r="B199" s="46">
        <v>198.0</v>
      </c>
      <c r="C199" s="46" t="str">
        <f>'Teams &amp; Draft Order'!$C$7</f>
        <v>Phantasm</v>
      </c>
      <c r="D199" s="47"/>
      <c r="E199" s="91" t="str">
        <f>IFERROR(VLOOKUP($D199,PlayerDB!$F$2:$G365,2,FALSE),"")</f>
        <v/>
      </c>
      <c r="F199" s="48" t="str">
        <f>IFERROR(VLOOKUP($D199,PlayerDB!$F$2:$H365,3,FALSE),"")</f>
        <v/>
      </c>
      <c r="G199" s="91" t="str">
        <f>IFERROR(VLOOKUP($D199,PlayerDB!$F$2:$I365,4,FALSE),"")</f>
        <v/>
      </c>
      <c r="H199" s="38"/>
      <c r="I199" s="50" t="str">
        <f>IFERROR(__xludf.DUMMYFUNCTION("JOIN("" | "",'Team Stats'!C$3:H$3)"),"0 | 0 | 0 | 0 | 0 | 0")</f>
        <v>0 | 0 | 0 | 0 | 0 | 0</v>
      </c>
      <c r="J199" s="51" t="str">
        <f>IFERROR(__xludf.DUMMYFUNCTION("JOIN("" | "",'Team Stats'!I$3:K$3)"),"0 | 0 | 0")</f>
        <v>0 | 0 | 0</v>
      </c>
      <c r="L199" s="42"/>
      <c r="M199" s="42"/>
      <c r="N199" s="42"/>
      <c r="O199" s="42"/>
      <c r="P199" s="42"/>
      <c r="Q199" s="42"/>
    </row>
    <row r="200">
      <c r="A200" s="97"/>
      <c r="B200" s="34">
        <v>199.0</v>
      </c>
      <c r="C200" s="34" t="str">
        <f>'Teams &amp; Draft Order'!$C$8</f>
        <v>Icelanders</v>
      </c>
      <c r="D200" s="35"/>
      <c r="E200" s="89" t="str">
        <f>IFERROR(VLOOKUP($D200,PlayerDB!$F$2:$G365,2,FALSE),"")</f>
        <v/>
      </c>
      <c r="F200" s="36" t="str">
        <f>IFERROR(VLOOKUP($D200,PlayerDB!$F$2:$H365,3,FALSE),"")</f>
        <v/>
      </c>
      <c r="G200" s="89" t="str">
        <f>IFERROR(VLOOKUP($D200,PlayerDB!$F$2:$I365,4,FALSE),"")</f>
        <v/>
      </c>
      <c r="H200" s="38"/>
      <c r="I200" s="39" t="str">
        <f>IFERROR(__xludf.DUMMYFUNCTION("JOIN("" | "",'Team Stats'!C$4:H$4)"),"0 | 0 | 0 | 0 | 0 | 0")</f>
        <v>0 | 0 | 0 | 0 | 0 | 0</v>
      </c>
      <c r="J200" s="40" t="str">
        <f>IFERROR(__xludf.DUMMYFUNCTION("JOIN("" | "",'Team Stats'!I$4:K$4)"),"0 | 0 | 0")</f>
        <v>0 | 0 | 0</v>
      </c>
      <c r="L200" s="42"/>
      <c r="M200" s="42"/>
      <c r="N200" s="42"/>
      <c r="O200" s="42"/>
      <c r="P200" s="42"/>
      <c r="Q200" s="42"/>
    </row>
    <row r="201">
      <c r="A201" s="96"/>
      <c r="B201" s="46">
        <v>200.0</v>
      </c>
      <c r="C201" s="46" t="str">
        <f>'Teams &amp; Draft Order'!$C$9</f>
        <v>El Nino</v>
      </c>
      <c r="D201" s="47"/>
      <c r="E201" s="91" t="str">
        <f>IFERROR(VLOOKUP($D201,PlayerDB!$F$2:$G365,2,FALSE),"")</f>
        <v/>
      </c>
      <c r="F201" s="48" t="str">
        <f>IFERROR(VLOOKUP($D201,PlayerDB!$F$2:$H365,3,FALSE),"")</f>
        <v/>
      </c>
      <c r="G201" s="91" t="str">
        <f>IFERROR(VLOOKUP($D201,PlayerDB!$F$2:$I365,4,FALSE),"")</f>
        <v/>
      </c>
      <c r="H201" s="38"/>
      <c r="I201" s="50" t="str">
        <f>IFERROR(__xludf.DUMMYFUNCTION("JOIN("" | "",'Team Stats'!C$5:H$5)"),"0 | 0 | 0 | 0 | 0 | 0")</f>
        <v>0 | 0 | 0 | 0 | 0 | 0</v>
      </c>
      <c r="J201" s="51" t="str">
        <f>IFERROR(__xludf.DUMMYFUNCTION("JOIN("" | "",'Team Stats'!I$5:K$5)"),"0 | 0 | 0")</f>
        <v>0 | 0 | 0</v>
      </c>
      <c r="L201" s="42"/>
      <c r="M201" s="42"/>
      <c r="N201" s="42"/>
      <c r="O201" s="42"/>
      <c r="P201" s="42"/>
      <c r="Q201" s="42"/>
    </row>
    <row r="202">
      <c r="A202" s="97"/>
      <c r="B202" s="34">
        <v>201.0</v>
      </c>
      <c r="C202" s="34" t="str">
        <f>'Teams &amp; Draft Order'!$C$10</f>
        <v>Buttheads</v>
      </c>
      <c r="D202" s="35"/>
      <c r="E202" s="89" t="str">
        <f>IFERROR(VLOOKUP($D202,PlayerDB!$F$2:$G365,2,FALSE),"")</f>
        <v/>
      </c>
      <c r="F202" s="36" t="str">
        <f>IFERROR(VLOOKUP($D202,PlayerDB!$F$2:$H365,3,FALSE),"")</f>
        <v/>
      </c>
      <c r="G202" s="89" t="str">
        <f>IFERROR(VLOOKUP($D202,PlayerDB!$F$2:$I365,4,FALSE),"")</f>
        <v/>
      </c>
      <c r="H202" s="38"/>
      <c r="I202" s="39" t="str">
        <f>IFERROR(__xludf.DUMMYFUNCTION("JOIN("" | "",'Team Stats'!C$6:H$6)"),"0 | 0 | 0 | 0 | 0 | 0")</f>
        <v>0 | 0 | 0 | 0 | 0 | 0</v>
      </c>
      <c r="J202" s="40" t="str">
        <f>IFERROR(__xludf.DUMMYFUNCTION("JOIN("" | "",'Team Stats'!I$6:K$6)"),"0 | 0 | 0")</f>
        <v>0 | 0 | 0</v>
      </c>
      <c r="L202" s="42"/>
      <c r="M202" s="42"/>
      <c r="N202" s="42"/>
      <c r="O202" s="42"/>
      <c r="P202" s="42"/>
      <c r="Q202" s="42"/>
    </row>
    <row r="203">
      <c r="A203" s="96"/>
      <c r="B203" s="46">
        <v>202.0</v>
      </c>
      <c r="C203" s="46" t="str">
        <f>'Teams &amp; Draft Order'!$C$11</f>
        <v>Big Boys Big Work</v>
      </c>
      <c r="D203" s="47"/>
      <c r="E203" s="91" t="str">
        <f>IFERROR(VLOOKUP($D203,PlayerDB!$F$2:$G365,2,FALSE),"")</f>
        <v/>
      </c>
      <c r="F203" s="48" t="str">
        <f>IFERROR(VLOOKUP($D203,PlayerDB!$F$2:$H365,3,FALSE),"")</f>
        <v/>
      </c>
      <c r="G203" s="91" t="str">
        <f>IFERROR(VLOOKUP($D203,PlayerDB!$F$2:$I365,4,FALSE),"")</f>
        <v/>
      </c>
      <c r="H203" s="38"/>
      <c r="I203" s="50" t="str">
        <f>IFERROR(__xludf.DUMMYFUNCTION("JOIN("" | "",'Team Stats'!C$7:H$7)"),"0 | 0 | 0 | 0 | 0 | 0")</f>
        <v>0 | 0 | 0 | 0 | 0 | 0</v>
      </c>
      <c r="J203" s="51" t="str">
        <f>IFERROR(__xludf.DUMMYFUNCTION("JOIN("" | "",'Team Stats'!I$7:K$7)"),"0 | 0 | 0")</f>
        <v>0 | 0 | 0</v>
      </c>
      <c r="L203" s="42"/>
      <c r="M203" s="42"/>
      <c r="N203" s="42"/>
      <c r="O203" s="42"/>
      <c r="P203" s="42"/>
      <c r="Q203" s="42"/>
    </row>
    <row r="204">
      <c r="A204" s="97"/>
      <c r="B204" s="34">
        <v>203.0</v>
      </c>
      <c r="C204" s="34" t="str">
        <f>'Teams &amp; Draft Order'!$C$12</f>
        <v>Turbo-Ginz</v>
      </c>
      <c r="D204" s="35"/>
      <c r="E204" s="89" t="str">
        <f>IFERROR(VLOOKUP($D204,PlayerDB!$F$2:$G365,2,FALSE),"")</f>
        <v/>
      </c>
      <c r="F204" s="36" t="str">
        <f>IFERROR(VLOOKUP($D204,PlayerDB!$F$2:$H365,3,FALSE),"")</f>
        <v/>
      </c>
      <c r="G204" s="89" t="str">
        <f>IFERROR(VLOOKUP($D204,PlayerDB!$F$2:$I365,4,FALSE),"")</f>
        <v/>
      </c>
      <c r="H204" s="38"/>
      <c r="I204" s="39" t="str">
        <f>IFERROR(__xludf.DUMMYFUNCTION("JOIN("" | "",'Team Stats'!C$8:H$8)"),"0 | 0 | 0 | 0 | 0 | 0")</f>
        <v>0 | 0 | 0 | 0 | 0 | 0</v>
      </c>
      <c r="J204" s="40" t="str">
        <f>IFERROR(__xludf.DUMMYFUNCTION("JOIN("" | "",'Team Stats'!I$8:K$8)"),"0 | 0 | 0")</f>
        <v>0 | 0 | 0</v>
      </c>
      <c r="L204" s="42"/>
      <c r="M204" s="42"/>
      <c r="N204" s="42"/>
      <c r="O204" s="42"/>
      <c r="P204" s="42"/>
      <c r="Q204" s="42"/>
    </row>
    <row r="205">
      <c r="A205" s="96"/>
      <c r="B205" s="46">
        <v>204.0</v>
      </c>
      <c r="C205" s="46" t="str">
        <f>'Teams &amp; Draft Order'!$C$13</f>
        <v>Luddite</v>
      </c>
      <c r="D205" s="47"/>
      <c r="E205" s="91" t="str">
        <f>IFERROR(VLOOKUP($D205,PlayerDB!$F$2:$G365,2,FALSE),"")</f>
        <v/>
      </c>
      <c r="F205" s="48" t="str">
        <f>IFERROR(VLOOKUP($D205,PlayerDB!$F$2:$H365,3,FALSE),"")</f>
        <v/>
      </c>
      <c r="G205" s="91" t="str">
        <f>IFERROR(VLOOKUP($D205,PlayerDB!$F$2:$I365,4,FALSE),"")</f>
        <v/>
      </c>
      <c r="H205" s="38"/>
      <c r="I205" s="50" t="str">
        <f>IFERROR(__xludf.DUMMYFUNCTION("JOIN("" | "",'Team Stats'!C$9:H$9)"),"0 | 0 | 0 | 0 | 0 | 0")</f>
        <v>0 | 0 | 0 | 0 | 0 | 0</v>
      </c>
      <c r="J205" s="51" t="str">
        <f>IFERROR(__xludf.DUMMYFUNCTION("JOIN("" | "",'Team Stats'!I$9:K$9)"),"0 | 0 | 0")</f>
        <v>0 | 0 | 0</v>
      </c>
      <c r="L205" s="42"/>
      <c r="M205" s="42"/>
      <c r="N205" s="42"/>
      <c r="O205" s="42"/>
      <c r="P205" s="42"/>
      <c r="Q205" s="42"/>
    </row>
    <row r="206">
      <c r="A206" s="97"/>
      <c r="B206" s="34">
        <v>205.0</v>
      </c>
      <c r="C206" s="34" t="str">
        <f>'Teams &amp; Draft Order'!$C$14</f>
        <v>Achaians</v>
      </c>
      <c r="D206" s="35"/>
      <c r="E206" s="89" t="str">
        <f>IFERROR(VLOOKUP($D206,PlayerDB!$F$2:$G365,2,FALSE),"")</f>
        <v/>
      </c>
      <c r="F206" s="36" t="str">
        <f>IFERROR(VLOOKUP($D206,PlayerDB!$F$2:$H365,3,FALSE),"")</f>
        <v/>
      </c>
      <c r="G206" s="89" t="str">
        <f>IFERROR(VLOOKUP($D206,PlayerDB!$F$2:$I365,4,FALSE),"")</f>
        <v/>
      </c>
      <c r="H206" s="38"/>
      <c r="I206" s="39" t="str">
        <f>IFERROR(__xludf.DUMMYFUNCTION("JOIN("" | "",'Team Stats'!C$10:H$10)"),"0 | 0 | 0 | 0 | 0 | 0")</f>
        <v>0 | 0 | 0 | 0 | 0 | 0</v>
      </c>
      <c r="J206" s="40" t="str">
        <f>IFERROR(__xludf.DUMMYFUNCTION("JOIN("" | "",'Team Stats'!I$10:K$10)"),"0 | 0 | 0")</f>
        <v>0 | 0 | 0</v>
      </c>
      <c r="L206" s="42"/>
      <c r="M206" s="42"/>
      <c r="N206" s="42"/>
      <c r="O206" s="42"/>
      <c r="P206" s="42"/>
      <c r="Q206" s="42"/>
    </row>
    <row r="207">
      <c r="A207" s="96"/>
      <c r="B207" s="46">
        <v>206.0</v>
      </c>
      <c r="C207" s="46" t="str">
        <f>'Teams &amp; Draft Order'!$C$15</f>
        <v>Daddy's Dogs</v>
      </c>
      <c r="D207" s="47"/>
      <c r="E207" s="91" t="str">
        <f>IFERROR(VLOOKUP($D207,PlayerDB!$F$2:$G365,2,FALSE),"")</f>
        <v/>
      </c>
      <c r="F207" s="48" t="str">
        <f>IFERROR(VLOOKUP($D207,PlayerDB!$F$2:$H365,3,FALSE),"")</f>
        <v/>
      </c>
      <c r="G207" s="91" t="str">
        <f>IFERROR(VLOOKUP($D207,PlayerDB!$F$2:$I365,4,FALSE),"")</f>
        <v/>
      </c>
      <c r="H207" s="38"/>
      <c r="I207" s="50" t="str">
        <f>IFERROR(__xludf.DUMMYFUNCTION("JOIN("" | "",'Team Stats'!C$11:H$11)"),"0 | 0 | 0 | 0 | 0 | 0")</f>
        <v>0 | 0 | 0 | 0 | 0 | 0</v>
      </c>
      <c r="J207" s="51" t="str">
        <f>IFERROR(__xludf.DUMMYFUNCTION("JOIN("" | "",'Team Stats'!I$11:K$11)"),"0 | 0 | 0")</f>
        <v>0 | 0 | 0</v>
      </c>
      <c r="L207" s="42"/>
      <c r="M207" s="42"/>
      <c r="N207" s="42"/>
      <c r="O207" s="42"/>
      <c r="P207" s="42"/>
      <c r="Q207" s="42"/>
    </row>
    <row r="208">
      <c r="A208" s="97"/>
      <c r="B208" s="34">
        <v>207.0</v>
      </c>
      <c r="C208" s="34" t="str">
        <f>'Teams &amp; Draft Order'!$C$16</f>
        <v>TDs and Beers</v>
      </c>
      <c r="D208" s="35"/>
      <c r="E208" s="89" t="str">
        <f>IFERROR(VLOOKUP($D208,PlayerDB!$F$2:$G365,2,FALSE),"")</f>
        <v/>
      </c>
      <c r="F208" s="36" t="str">
        <f>IFERROR(VLOOKUP($D208,PlayerDB!$F$2:$H365,3,FALSE),"")</f>
        <v/>
      </c>
      <c r="G208" s="89" t="str">
        <f>IFERROR(VLOOKUP($D208,PlayerDB!$F$2:$I365,4,FALSE),"")</f>
        <v/>
      </c>
      <c r="H208" s="38"/>
      <c r="I208" s="39" t="str">
        <f>IFERROR(__xludf.DUMMYFUNCTION("JOIN("" | "",'Team Stats'!C$12:H$12)"),"0 | 0 | 0 | 0 | 0 | 0")</f>
        <v>0 | 0 | 0 | 0 | 0 | 0</v>
      </c>
      <c r="J208" s="40" t="str">
        <f>IFERROR(__xludf.DUMMYFUNCTION("JOIN("" | "",'Team Stats'!I$12:K$12)"),"0 | 0 | 0")</f>
        <v>0 | 0 | 0</v>
      </c>
      <c r="L208" s="42"/>
      <c r="M208" s="42"/>
      <c r="N208" s="42"/>
      <c r="O208" s="42"/>
      <c r="P208" s="42"/>
      <c r="Q208" s="42"/>
    </row>
    <row r="209">
      <c r="A209" s="96"/>
      <c r="B209" s="46">
        <v>208.0</v>
      </c>
      <c r="C209" s="46" t="str">
        <f>'Teams &amp; Draft Order'!$C$17</f>
        <v>DD Riders</v>
      </c>
      <c r="D209" s="47"/>
      <c r="E209" s="91" t="str">
        <f>IFERROR(VLOOKUP($D209,PlayerDB!$F$2:$G365,2,FALSE),"")</f>
        <v/>
      </c>
      <c r="F209" s="48" t="str">
        <f>IFERROR(VLOOKUP($D209,PlayerDB!$F$2:$H365,3,FALSE),"")</f>
        <v/>
      </c>
      <c r="G209" s="91" t="str">
        <f>IFERROR(VLOOKUP($D209,PlayerDB!$F$2:$I365,4,FALSE),"")</f>
        <v/>
      </c>
      <c r="H209" s="38"/>
      <c r="I209" s="50" t="str">
        <f>IFERROR(__xludf.DUMMYFUNCTION("JOIN("" | "",'Team Stats'!C$13:H$13)"),"0 | 0 | 0 | 0 | 0 | 0")</f>
        <v>0 | 0 | 0 | 0 | 0 | 0</v>
      </c>
      <c r="J209" s="51" t="str">
        <f>IFERROR(__xludf.DUMMYFUNCTION("JOIN("" | "",'Team Stats'!I$13:K$13)"),"0 | 0 | 0")</f>
        <v>0 | 0 | 0</v>
      </c>
      <c r="L209" s="42"/>
      <c r="M209" s="42"/>
      <c r="N209" s="42"/>
      <c r="O209" s="42"/>
      <c r="P209" s="42"/>
      <c r="Q209" s="42"/>
    </row>
    <row r="210">
      <c r="A210" s="97"/>
      <c r="B210" s="34">
        <v>209.0</v>
      </c>
      <c r="C210" s="34" t="str">
        <f>'Teams &amp; Draft Order'!$C$18</f>
        <v>Nasty</v>
      </c>
      <c r="D210" s="35"/>
      <c r="E210" s="89" t="str">
        <f>IFERROR(VLOOKUP($D210,PlayerDB!$F$2:$G365,2,FALSE),"")</f>
        <v/>
      </c>
      <c r="F210" s="36" t="str">
        <f>IFERROR(VLOOKUP($D210,PlayerDB!$F$2:$H365,3,FALSE),"")</f>
        <v/>
      </c>
      <c r="G210" s="89" t="str">
        <f>IFERROR(VLOOKUP($D210,PlayerDB!$F$2:$I365,4,FALSE),"")</f>
        <v/>
      </c>
      <c r="H210" s="38"/>
      <c r="I210" s="92" t="str">
        <f>IFERROR(__xludf.DUMMYFUNCTION("JOIN("" | "",'Team Stats'!C$14:H$14)"),"0 | 0 | 0 | 0 | 0 | 0")</f>
        <v>0 | 0 | 0 | 0 | 0 | 0</v>
      </c>
      <c r="J210" s="62" t="str">
        <f>IFERROR(__xludf.DUMMYFUNCTION("JOIN("" | "",'Team Stats'!I$13:K$13)"),"0 | 0 | 0")</f>
        <v>0 | 0 | 0</v>
      </c>
      <c r="L210" s="42"/>
      <c r="M210" s="42"/>
      <c r="N210" s="42"/>
      <c r="O210" s="42"/>
      <c r="P210" s="42"/>
      <c r="Q210" s="42"/>
    </row>
    <row r="211">
      <c r="A211" s="96"/>
      <c r="B211" s="46">
        <v>210.0</v>
      </c>
      <c r="C211" s="46" t="str">
        <f>'Teams &amp; Draft Order'!$C$19</f>
        <v>Red Hammer</v>
      </c>
      <c r="D211" s="47"/>
      <c r="E211" s="93" t="str">
        <f>IFERROR(VLOOKUP($D211,PlayerDB!$F$2:$G365,2,FALSE),"")</f>
        <v/>
      </c>
      <c r="F211" s="57" t="str">
        <f>IFERROR(VLOOKUP($D211,PlayerDB!$F$2:$H365,3,FALSE),"")</f>
        <v/>
      </c>
      <c r="G211" s="93" t="str">
        <f>IFERROR(VLOOKUP($D211,PlayerDB!$F$2:$I365,4,FALSE),"")</f>
        <v/>
      </c>
      <c r="H211" s="38"/>
      <c r="I211" s="94" t="str">
        <f>IFERROR(__xludf.DUMMYFUNCTION("JOIN("" | "",'Team Stats'!C$15:H$15)"),"0 | 0 | 0 | 0 | 0 | 0")</f>
        <v>0 | 0 | 0 | 0 | 0 | 0</v>
      </c>
      <c r="J211" s="51" t="str">
        <f>IFERROR(__xludf.DUMMYFUNCTION("JOIN("" | "",'Team Stats'!I$12:K$12)"),"0 | 0 | 0")</f>
        <v>0 | 0 | 0</v>
      </c>
      <c r="L211" s="42"/>
      <c r="M211" s="42"/>
      <c r="N211" s="42"/>
      <c r="O211" s="42"/>
      <c r="P211" s="42"/>
      <c r="Q211" s="42"/>
    </row>
    <row r="212">
      <c r="A212" s="88" t="s">
        <v>129</v>
      </c>
      <c r="B212" s="73">
        <v>211.0</v>
      </c>
      <c r="C212" s="73" t="str">
        <f>'Teams &amp; Draft Order'!$C$19</f>
        <v>Red Hammer</v>
      </c>
      <c r="D212" s="74"/>
      <c r="E212" s="89" t="str">
        <f>IFERROR(VLOOKUP($D212,PlayerDB!$F$2:$G365,2,FALSE),"")</f>
        <v/>
      </c>
      <c r="F212" s="36" t="str">
        <f>IFERROR(VLOOKUP($D212,PlayerDB!$F$2:$H365,3,FALSE),"")</f>
        <v/>
      </c>
      <c r="G212" s="89" t="str">
        <f>IFERROR(VLOOKUP($D212,PlayerDB!$F$2:$I365,4,FALSE),"")</f>
        <v/>
      </c>
      <c r="H212" s="75"/>
      <c r="I212" s="95" t="str">
        <f>IFERROR(__xludf.DUMMYFUNCTION("JOIN("" | "",'Team Stats'!C$15:H$15)"),"0 | 0 | 0 | 0 | 0 | 0")</f>
        <v>0 | 0 | 0 | 0 | 0 | 0</v>
      </c>
      <c r="J212" s="40" t="str">
        <f>IFERROR(__xludf.DUMMYFUNCTION("JOIN("" | "",'Team Stats'!I$11:K$11)"),"0 | 0 | 0")</f>
        <v>0 | 0 | 0</v>
      </c>
      <c r="L212" s="42"/>
      <c r="M212" s="42"/>
      <c r="N212" s="42"/>
      <c r="O212" s="42"/>
      <c r="P212" s="42"/>
      <c r="Q212" s="42"/>
    </row>
    <row r="213">
      <c r="A213" s="96"/>
      <c r="B213" s="46">
        <v>212.0</v>
      </c>
      <c r="C213" s="46" t="str">
        <f>'Teams &amp; Draft Order'!$C$18</f>
        <v>Nasty</v>
      </c>
      <c r="D213" s="47"/>
      <c r="E213" s="91" t="str">
        <f>IFERROR(VLOOKUP($D213,PlayerDB!$F$2:$G365,2,FALSE),"")</f>
        <v/>
      </c>
      <c r="F213" s="48" t="str">
        <f>IFERROR(VLOOKUP($D213,PlayerDB!$F$2:$H365,3,FALSE),"")</f>
        <v/>
      </c>
      <c r="G213" s="91" t="str">
        <f>IFERROR(VLOOKUP($D213,PlayerDB!$F$2:$I365,4,FALSE),"")</f>
        <v/>
      </c>
      <c r="H213" s="38"/>
      <c r="I213" s="94" t="str">
        <f>IFERROR(__xludf.DUMMYFUNCTION("JOIN("" | "",'Team Stats'!C$14:H$14)"),"0 | 0 | 0 | 0 | 0 | 0")</f>
        <v>0 | 0 | 0 | 0 | 0 | 0</v>
      </c>
      <c r="J213" s="51" t="str">
        <f>IFERROR(__xludf.DUMMYFUNCTION("JOIN("" | "",'Team Stats'!I$10:K$10)"),"0 | 0 | 0")</f>
        <v>0 | 0 | 0</v>
      </c>
      <c r="L213" s="42"/>
      <c r="M213" s="42"/>
      <c r="N213" s="42"/>
      <c r="O213" s="42"/>
      <c r="P213" s="42"/>
      <c r="Q213" s="42"/>
    </row>
    <row r="214">
      <c r="A214" s="97"/>
      <c r="B214" s="34">
        <v>213.0</v>
      </c>
      <c r="C214" s="34" t="str">
        <f>'Teams &amp; Draft Order'!$C$17</f>
        <v>DD Riders</v>
      </c>
      <c r="D214" s="35"/>
      <c r="E214" s="89" t="str">
        <f>IFERROR(VLOOKUP($D214,PlayerDB!$F$2:$G365,2,FALSE),"")</f>
        <v/>
      </c>
      <c r="F214" s="36" t="str">
        <f>IFERROR(VLOOKUP($D214,PlayerDB!$F$2:$H365,3,FALSE),"")</f>
        <v/>
      </c>
      <c r="G214" s="89" t="str">
        <f>IFERROR(VLOOKUP($D214,PlayerDB!$F$2:$I365,4,FALSE),"")</f>
        <v/>
      </c>
      <c r="H214" s="38"/>
      <c r="I214" s="39" t="str">
        <f>IFERROR(__xludf.DUMMYFUNCTION("JOIN("" | "",'Team Stats'!C$13:H$13)"),"0 | 0 | 0 | 0 | 0 | 0")</f>
        <v>0 | 0 | 0 | 0 | 0 | 0</v>
      </c>
      <c r="J214" s="40" t="str">
        <f>IFERROR(__xludf.DUMMYFUNCTION("JOIN("" | "",'Team Stats'!I$9:K$9)"),"0 | 0 | 0")</f>
        <v>0 | 0 | 0</v>
      </c>
      <c r="L214" s="42"/>
      <c r="M214" s="42"/>
      <c r="N214" s="42"/>
      <c r="O214" s="42"/>
      <c r="P214" s="42"/>
      <c r="Q214" s="42"/>
    </row>
    <row r="215">
      <c r="A215" s="96"/>
      <c r="B215" s="46">
        <v>214.0</v>
      </c>
      <c r="C215" s="46" t="str">
        <f>'Teams &amp; Draft Order'!$C$16</f>
        <v>TDs and Beers</v>
      </c>
      <c r="D215" s="47"/>
      <c r="E215" s="91" t="str">
        <f>IFERROR(VLOOKUP($D215,PlayerDB!$F$2:$G365,2,FALSE),"")</f>
        <v/>
      </c>
      <c r="F215" s="48" t="str">
        <f>IFERROR(VLOOKUP($D215,PlayerDB!$F$2:$H365,3,FALSE),"")</f>
        <v/>
      </c>
      <c r="G215" s="91" t="str">
        <f>IFERROR(VLOOKUP($D215,PlayerDB!$F$2:$I365,4,FALSE),"")</f>
        <v/>
      </c>
      <c r="H215" s="38"/>
      <c r="I215" s="50" t="str">
        <f>IFERROR(__xludf.DUMMYFUNCTION("JOIN("" | "",'Team Stats'!C$12:H$12)"),"0 | 0 | 0 | 0 | 0 | 0")</f>
        <v>0 | 0 | 0 | 0 | 0 | 0</v>
      </c>
      <c r="J215" s="51" t="str">
        <f>IFERROR(__xludf.DUMMYFUNCTION("JOIN("" | "",'Team Stats'!I$8:K$8)"),"0 | 0 | 0")</f>
        <v>0 | 0 | 0</v>
      </c>
      <c r="L215" s="42"/>
      <c r="M215" s="42"/>
      <c r="N215" s="42"/>
      <c r="O215" s="42"/>
      <c r="P215" s="42"/>
      <c r="Q215" s="42"/>
    </row>
    <row r="216">
      <c r="A216" s="97"/>
      <c r="B216" s="34">
        <v>215.0</v>
      </c>
      <c r="C216" s="34" t="str">
        <f>'Teams &amp; Draft Order'!$C$15</f>
        <v>Daddy's Dogs</v>
      </c>
      <c r="D216" s="35"/>
      <c r="E216" s="89" t="str">
        <f>IFERROR(VLOOKUP($D216,PlayerDB!$F$2:$G365,2,FALSE),"")</f>
        <v/>
      </c>
      <c r="F216" s="36" t="str">
        <f>IFERROR(VLOOKUP($D216,PlayerDB!$F$2:$H365,3,FALSE),"")</f>
        <v/>
      </c>
      <c r="G216" s="89" t="str">
        <f>IFERROR(VLOOKUP($D216,PlayerDB!$F$2:$I365,4,FALSE),"")</f>
        <v/>
      </c>
      <c r="H216" s="38"/>
      <c r="I216" s="39" t="str">
        <f>IFERROR(__xludf.DUMMYFUNCTION("JOIN("" | "",'Team Stats'!C$11:H$11)"),"0 | 0 | 0 | 0 | 0 | 0")</f>
        <v>0 | 0 | 0 | 0 | 0 | 0</v>
      </c>
      <c r="J216" s="40" t="str">
        <f>IFERROR(__xludf.DUMMYFUNCTION("JOIN("" | "",'Team Stats'!I$7:K$7)"),"0 | 0 | 0")</f>
        <v>0 | 0 | 0</v>
      </c>
      <c r="L216" s="42"/>
      <c r="M216" s="42"/>
      <c r="N216" s="42"/>
      <c r="O216" s="42"/>
      <c r="P216" s="42"/>
      <c r="Q216" s="42"/>
    </row>
    <row r="217">
      <c r="A217" s="96"/>
      <c r="B217" s="46">
        <v>216.0</v>
      </c>
      <c r="C217" s="46" t="str">
        <f>'Teams &amp; Draft Order'!$C$14</f>
        <v>Achaians</v>
      </c>
      <c r="D217" s="47"/>
      <c r="E217" s="91" t="str">
        <f>IFERROR(VLOOKUP($D217,PlayerDB!$F$2:$G365,2,FALSE),"")</f>
        <v/>
      </c>
      <c r="F217" s="48" t="str">
        <f>IFERROR(VLOOKUP($D217,PlayerDB!$F$2:$H365,3,FALSE),"")</f>
        <v/>
      </c>
      <c r="G217" s="91" t="str">
        <f>IFERROR(VLOOKUP($D217,PlayerDB!$F$2:$I365,4,FALSE),"")</f>
        <v/>
      </c>
      <c r="H217" s="38"/>
      <c r="I217" s="50" t="str">
        <f>IFERROR(__xludf.DUMMYFUNCTION("JOIN("" | "",'Team Stats'!C$10:H$10)"),"0 | 0 | 0 | 0 | 0 | 0")</f>
        <v>0 | 0 | 0 | 0 | 0 | 0</v>
      </c>
      <c r="J217" s="51" t="str">
        <f>IFERROR(__xludf.DUMMYFUNCTION("JOIN("" | "",'Team Stats'!I$6:K$6)"),"0 | 0 | 0")</f>
        <v>0 | 0 | 0</v>
      </c>
      <c r="L217" s="42"/>
      <c r="M217" s="42"/>
      <c r="N217" s="42"/>
      <c r="O217" s="42"/>
      <c r="P217" s="42"/>
      <c r="Q217" s="42"/>
    </row>
    <row r="218">
      <c r="A218" s="97"/>
      <c r="B218" s="34">
        <v>217.0</v>
      </c>
      <c r="C218" s="34" t="str">
        <f>'Teams &amp; Draft Order'!$C$13</f>
        <v>Luddite</v>
      </c>
      <c r="D218" s="35"/>
      <c r="E218" s="89" t="str">
        <f>IFERROR(VLOOKUP($D218,PlayerDB!$F$2:$G365,2,FALSE),"")</f>
        <v/>
      </c>
      <c r="F218" s="36" t="str">
        <f>IFERROR(VLOOKUP($D218,PlayerDB!$F$2:$H365,3,FALSE),"")</f>
        <v/>
      </c>
      <c r="G218" s="89" t="str">
        <f>IFERROR(VLOOKUP($D218,PlayerDB!$F$2:$I365,4,FALSE),"")</f>
        <v/>
      </c>
      <c r="H218" s="38"/>
      <c r="I218" s="39" t="str">
        <f>IFERROR(__xludf.DUMMYFUNCTION("JOIN("" | "",'Team Stats'!C$9:H$9)"),"0 | 0 | 0 | 0 | 0 | 0")</f>
        <v>0 | 0 | 0 | 0 | 0 | 0</v>
      </c>
      <c r="J218" s="40" t="str">
        <f>IFERROR(__xludf.DUMMYFUNCTION("JOIN("" | "",'Team Stats'!I$5:K$5)"),"0 | 0 | 0")</f>
        <v>0 | 0 | 0</v>
      </c>
      <c r="L218" s="42"/>
      <c r="M218" s="42"/>
      <c r="N218" s="42"/>
      <c r="O218" s="42"/>
      <c r="P218" s="42"/>
      <c r="Q218" s="42"/>
    </row>
    <row r="219">
      <c r="A219" s="96"/>
      <c r="B219" s="46">
        <v>218.0</v>
      </c>
      <c r="C219" s="46" t="str">
        <f>'Teams &amp; Draft Order'!$C$12</f>
        <v>Turbo-Ginz</v>
      </c>
      <c r="D219" s="47"/>
      <c r="E219" s="91" t="str">
        <f>IFERROR(VLOOKUP($D219,PlayerDB!$F$2:$G365,2,FALSE),"")</f>
        <v/>
      </c>
      <c r="F219" s="48" t="str">
        <f>IFERROR(VLOOKUP($D219,PlayerDB!$F$2:$H365,3,FALSE),"")</f>
        <v/>
      </c>
      <c r="G219" s="91" t="str">
        <f>IFERROR(VLOOKUP($D219,PlayerDB!$F$2:$I365,4,FALSE),"")</f>
        <v/>
      </c>
      <c r="H219" s="38"/>
      <c r="I219" s="50" t="str">
        <f>IFERROR(__xludf.DUMMYFUNCTION("JOIN("" | "",'Team Stats'!C$8:H$8)"),"0 | 0 | 0 | 0 | 0 | 0")</f>
        <v>0 | 0 | 0 | 0 | 0 | 0</v>
      </c>
      <c r="J219" s="51" t="str">
        <f>IFERROR(__xludf.DUMMYFUNCTION("JOIN("" | "",'Team Stats'!I$4:K$4)"),"0 | 0 | 0")</f>
        <v>0 | 0 | 0</v>
      </c>
      <c r="L219" s="42"/>
      <c r="M219" s="42"/>
      <c r="N219" s="42"/>
      <c r="O219" s="42"/>
      <c r="P219" s="42"/>
      <c r="Q219" s="42"/>
    </row>
    <row r="220">
      <c r="A220" s="97"/>
      <c r="B220" s="34">
        <v>219.0</v>
      </c>
      <c r="C220" s="34" t="str">
        <f>'Teams &amp; Draft Order'!$C$11</f>
        <v>Big Boys Big Work</v>
      </c>
      <c r="D220" s="35"/>
      <c r="E220" s="89" t="str">
        <f>IFERROR(VLOOKUP($D220,PlayerDB!$F$2:$G365,2,FALSE),"")</f>
        <v/>
      </c>
      <c r="F220" s="36" t="str">
        <f>IFERROR(VLOOKUP($D220,PlayerDB!$F$2:$H365,3,FALSE),"")</f>
        <v/>
      </c>
      <c r="G220" s="89" t="str">
        <f>IFERROR(VLOOKUP($D220,PlayerDB!$F$2:$I365,4,FALSE),"")</f>
        <v/>
      </c>
      <c r="H220" s="38"/>
      <c r="I220" s="39" t="str">
        <f>IFERROR(__xludf.DUMMYFUNCTION("JOIN("" | "",'Team Stats'!C$7:H$7)"),"0 | 0 | 0 | 0 | 0 | 0")</f>
        <v>0 | 0 | 0 | 0 | 0 | 0</v>
      </c>
      <c r="J220" s="40" t="str">
        <f>IFERROR(__xludf.DUMMYFUNCTION("JOIN("" | "",'Team Stats'!I$3:K$3)"),"0 | 0 | 0")</f>
        <v>0 | 0 | 0</v>
      </c>
      <c r="L220" s="42"/>
      <c r="M220" s="42"/>
      <c r="N220" s="42"/>
      <c r="O220" s="42"/>
      <c r="P220" s="42"/>
      <c r="Q220" s="42"/>
    </row>
    <row r="221">
      <c r="A221" s="96"/>
      <c r="B221" s="46">
        <v>220.0</v>
      </c>
      <c r="C221" s="46" t="str">
        <f>'Teams &amp; Draft Order'!$C$10</f>
        <v>Buttheads</v>
      </c>
      <c r="D221" s="47"/>
      <c r="E221" s="91" t="str">
        <f>IFERROR(VLOOKUP($D221,PlayerDB!$F$2:$G365,2,FALSE),"")</f>
        <v/>
      </c>
      <c r="F221" s="48" t="str">
        <f>IFERROR(VLOOKUP($D221,PlayerDB!$F$2:$H365,3,FALSE),"")</f>
        <v/>
      </c>
      <c r="G221" s="91" t="str">
        <f>IFERROR(VLOOKUP($D221,PlayerDB!$F$2:$I365,4,FALSE),"")</f>
        <v/>
      </c>
      <c r="H221" s="38"/>
      <c r="I221" s="50" t="str">
        <f>IFERROR(__xludf.DUMMYFUNCTION("JOIN("" | "",'Team Stats'!C$6:H$6)"),"0 | 0 | 0 | 0 | 0 | 0")</f>
        <v>0 | 0 | 0 | 0 | 0 | 0</v>
      </c>
      <c r="J221" s="64" t="str">
        <f>IFERROR(__xludf.DUMMYFUNCTION("JOIN("" | "",'Team Stats'!I$2:K$2)"),"0 | 0 | 0")</f>
        <v>0 | 0 | 0</v>
      </c>
      <c r="L221" s="42"/>
      <c r="M221" s="42"/>
      <c r="N221" s="42"/>
      <c r="O221" s="42"/>
      <c r="P221" s="42"/>
      <c r="Q221" s="42"/>
    </row>
    <row r="222">
      <c r="A222" s="97"/>
      <c r="B222" s="34">
        <v>221.0</v>
      </c>
      <c r="C222" s="34" t="str">
        <f>'Teams &amp; Draft Order'!$C$9</f>
        <v>El Nino</v>
      </c>
      <c r="D222" s="35"/>
      <c r="E222" s="89" t="str">
        <f>IFERROR(VLOOKUP($D222,PlayerDB!$F$2:$G365,2,FALSE),"")</f>
        <v/>
      </c>
      <c r="F222" s="36" t="str">
        <f>IFERROR(VLOOKUP($D222,PlayerDB!$F$2:$H365,3,FALSE),"")</f>
        <v/>
      </c>
      <c r="G222" s="89" t="str">
        <f>IFERROR(VLOOKUP($D222,PlayerDB!$F$2:$I365,4,FALSE),"")</f>
        <v/>
      </c>
      <c r="H222" s="38"/>
      <c r="I222" s="39" t="str">
        <f>IFERROR(__xludf.DUMMYFUNCTION("JOIN("" | "",'Team Stats'!C$5:H$5)"),"0 | 0 | 0 | 0 | 0 | 0")</f>
        <v>0 | 0 | 0 | 0 | 0 | 0</v>
      </c>
      <c r="J222" s="77" t="str">
        <f>IFERROR(__xludf.DUMMYFUNCTION("JOIN("" | "",'Team Stats'!I$2:K$2)"),"0 | 0 | 0")</f>
        <v>0 | 0 | 0</v>
      </c>
      <c r="L222" s="42"/>
      <c r="M222" s="42"/>
      <c r="N222" s="42"/>
      <c r="O222" s="42"/>
      <c r="P222" s="42"/>
      <c r="Q222" s="42"/>
    </row>
    <row r="223">
      <c r="A223" s="96"/>
      <c r="B223" s="46">
        <v>222.0</v>
      </c>
      <c r="C223" s="46" t="str">
        <f>'Teams &amp; Draft Order'!$C$8</f>
        <v>Icelanders</v>
      </c>
      <c r="D223" s="47"/>
      <c r="E223" s="91" t="str">
        <f>IFERROR(VLOOKUP($D223,PlayerDB!$F$2:$G365,2,FALSE),"")</f>
        <v/>
      </c>
      <c r="F223" s="48" t="str">
        <f>IFERROR(VLOOKUP($D223,PlayerDB!$F$2:$H365,3,FALSE),"")</f>
        <v/>
      </c>
      <c r="G223" s="91" t="str">
        <f>IFERROR(VLOOKUP($D223,PlayerDB!$F$2:$I365,4,FALSE),"")</f>
        <v/>
      </c>
      <c r="H223" s="38"/>
      <c r="I223" s="50" t="str">
        <f>IFERROR(__xludf.DUMMYFUNCTION("JOIN("" | "",'Team Stats'!C$4:H$4)"),"0 | 0 | 0 | 0 | 0 | 0")</f>
        <v>0 | 0 | 0 | 0 | 0 | 0</v>
      </c>
      <c r="J223" s="78" t="str">
        <f>IFERROR(__xludf.DUMMYFUNCTION("JOIN("" | "",'Team Stats'!I$3:K$3)"),"0 | 0 | 0")</f>
        <v>0 | 0 | 0</v>
      </c>
      <c r="L223" s="42"/>
      <c r="M223" s="42"/>
      <c r="N223" s="42"/>
      <c r="O223" s="42"/>
      <c r="P223" s="42"/>
      <c r="Q223" s="42"/>
    </row>
    <row r="224">
      <c r="A224" s="97"/>
      <c r="B224" s="34">
        <v>223.0</v>
      </c>
      <c r="C224" s="34" t="str">
        <f>'Teams &amp; Draft Order'!$C$7</f>
        <v>Phantasm</v>
      </c>
      <c r="D224" s="35"/>
      <c r="E224" s="89" t="str">
        <f>IFERROR(VLOOKUP($D224,PlayerDB!$F$2:$G365,2,FALSE),"")</f>
        <v/>
      </c>
      <c r="F224" s="36" t="str">
        <f>IFERROR(VLOOKUP($D224,PlayerDB!$F$2:$H365,3,FALSE),"")</f>
        <v/>
      </c>
      <c r="G224" s="89" t="str">
        <f>IFERROR(VLOOKUP($D224,PlayerDB!$F$2:$I365,4,FALSE),"")</f>
        <v/>
      </c>
      <c r="H224" s="38"/>
      <c r="I224" s="39" t="str">
        <f>IFERROR(__xludf.DUMMYFUNCTION("JOIN("" | "",'Team Stats'!C$3:H$3)"),"0 | 0 | 0 | 0 | 0 | 0")</f>
        <v>0 | 0 | 0 | 0 | 0 | 0</v>
      </c>
      <c r="J224" s="79" t="str">
        <f>IFERROR(__xludf.DUMMYFUNCTION("JOIN("" | "",'Team Stats'!I$4:K$4)"),"0 | 0 | 0")</f>
        <v>0 | 0 | 0</v>
      </c>
      <c r="L224" s="42"/>
      <c r="M224" s="42"/>
      <c r="N224" s="42"/>
      <c r="O224" s="42"/>
      <c r="P224" s="42"/>
      <c r="Q224" s="42"/>
    </row>
    <row r="225">
      <c r="A225" s="99"/>
      <c r="B225" s="55">
        <v>224.0</v>
      </c>
      <c r="C225" s="55" t="str">
        <f>'Teams &amp; Draft Order'!$C$6</f>
        <v>Sleeper Cell </v>
      </c>
      <c r="D225" s="56"/>
      <c r="E225" s="93" t="str">
        <f>IFERROR(VLOOKUP($D225,PlayerDB!$F$2:$G365,2,FALSE),"")</f>
        <v/>
      </c>
      <c r="F225" s="57" t="str">
        <f>IFERROR(VLOOKUP($D225,PlayerDB!$F$2:$H365,3,FALSE),"")</f>
        <v/>
      </c>
      <c r="G225" s="93" t="str">
        <f>IFERROR(VLOOKUP($D225,PlayerDB!$F$2:$I365,4,FALSE),"")</f>
        <v/>
      </c>
      <c r="H225" s="59"/>
      <c r="I225" s="60" t="str">
        <f>IFERROR(__xludf.DUMMYFUNCTION("JOIN("" | "",'Team Stats'!C$2:H$2)"),"1 | 0 | 0 | 0 | 0 | 0")</f>
        <v>1 | 0 | 0 | 0 | 0 | 0</v>
      </c>
      <c r="J225" s="78" t="str">
        <f>IFERROR(__xludf.DUMMYFUNCTION("JOIN("" | "",'Team Stats'!I$5:K$5)"),"0 | 0 | 0")</f>
        <v>0 | 0 | 0</v>
      </c>
      <c r="L225" s="42"/>
      <c r="M225" s="42"/>
      <c r="N225" s="42"/>
      <c r="O225" s="42"/>
      <c r="P225" s="42"/>
      <c r="Q225" s="42"/>
    </row>
    <row r="226">
      <c r="A226" s="88" t="s">
        <v>101</v>
      </c>
      <c r="B226" s="73">
        <v>225.0</v>
      </c>
      <c r="C226" s="73" t="str">
        <f>'Teams &amp; Draft Order'!$C$6</f>
        <v>Sleeper Cell </v>
      </c>
      <c r="D226" s="74"/>
      <c r="E226" s="89" t="str">
        <f>IFERROR(VLOOKUP($D226,PlayerDB!$F$2:$G365,2,FALSE),"")</f>
        <v/>
      </c>
      <c r="F226" s="36" t="str">
        <f>IFERROR(VLOOKUP($D226,PlayerDB!$F$2:$H365,3,FALSE),"")</f>
        <v/>
      </c>
      <c r="G226" s="89" t="str">
        <f>IFERROR(VLOOKUP($D226,PlayerDB!$F$2:$I365,4,FALSE),"")</f>
        <v/>
      </c>
      <c r="H226" s="75"/>
      <c r="I226" s="76" t="str">
        <f>IFERROR(__xludf.DUMMYFUNCTION("JOIN("" | "",'Team Stats'!C$2:H$2)"),"1 | 0 | 0 | 0 | 0 | 0")</f>
        <v>1 | 0 | 0 | 0 | 0 | 0</v>
      </c>
      <c r="J226" s="79" t="str">
        <f>IFERROR(__xludf.DUMMYFUNCTION("JOIN("" | "",'Team Stats'!I$6:K$6)"),"0 | 0 | 0")</f>
        <v>0 | 0 | 0</v>
      </c>
      <c r="L226" s="42"/>
      <c r="M226" s="42"/>
      <c r="N226" s="42"/>
      <c r="O226" s="42"/>
      <c r="P226" s="42"/>
      <c r="Q226" s="42"/>
    </row>
    <row r="227">
      <c r="A227" s="96"/>
      <c r="B227" s="46">
        <v>226.0</v>
      </c>
      <c r="C227" s="46" t="str">
        <f>'Teams &amp; Draft Order'!$C$7</f>
        <v>Phantasm</v>
      </c>
      <c r="D227" s="47"/>
      <c r="E227" s="91" t="str">
        <f>IFERROR(VLOOKUP($D227,PlayerDB!$F$2:$G365,2,FALSE),"")</f>
        <v/>
      </c>
      <c r="F227" s="48" t="str">
        <f>IFERROR(VLOOKUP($D227,PlayerDB!$F$2:$H365,3,FALSE),"")</f>
        <v/>
      </c>
      <c r="G227" s="91" t="str">
        <f>IFERROR(VLOOKUP($D227,PlayerDB!$F$2:$I365,4,FALSE),"")</f>
        <v/>
      </c>
      <c r="H227" s="38"/>
      <c r="I227" s="50" t="str">
        <f>IFERROR(__xludf.DUMMYFUNCTION("JOIN("" | "",'Team Stats'!C$3:H$3)"),"0 | 0 | 0 | 0 | 0 | 0")</f>
        <v>0 | 0 | 0 | 0 | 0 | 0</v>
      </c>
      <c r="J227" s="78" t="str">
        <f>IFERROR(__xludf.DUMMYFUNCTION("JOIN("" | "",'Team Stats'!I$7:K$7)"),"0 | 0 | 0")</f>
        <v>0 | 0 | 0</v>
      </c>
      <c r="L227" s="42"/>
      <c r="M227" s="42"/>
      <c r="N227" s="42"/>
      <c r="O227" s="42"/>
      <c r="P227" s="42"/>
      <c r="Q227" s="42"/>
    </row>
    <row r="228">
      <c r="A228" s="97"/>
      <c r="B228" s="34">
        <v>227.0</v>
      </c>
      <c r="C228" s="34" t="str">
        <f>'Teams &amp; Draft Order'!$C$8</f>
        <v>Icelanders</v>
      </c>
      <c r="D228" s="35"/>
      <c r="E228" s="89" t="str">
        <f>IFERROR(VLOOKUP($D228,PlayerDB!$F$2:$G365,2,FALSE),"")</f>
        <v/>
      </c>
      <c r="F228" s="36" t="str">
        <f>IFERROR(VLOOKUP($D228,PlayerDB!$F$2:$H365,3,FALSE),"")</f>
        <v/>
      </c>
      <c r="G228" s="89" t="str">
        <f>IFERROR(VLOOKUP($D228,PlayerDB!$F$2:$I365,4,FALSE),"")</f>
        <v/>
      </c>
      <c r="H228" s="38"/>
      <c r="I228" s="39" t="str">
        <f>IFERROR(__xludf.DUMMYFUNCTION("JOIN("" | "",'Team Stats'!C$4:H$4)"),"0 | 0 | 0 | 0 | 0 | 0")</f>
        <v>0 | 0 | 0 | 0 | 0 | 0</v>
      </c>
      <c r="J228" s="79" t="str">
        <f>IFERROR(__xludf.DUMMYFUNCTION("JOIN("" | "",'Team Stats'!I$8:K$8)"),"0 | 0 | 0")</f>
        <v>0 | 0 | 0</v>
      </c>
      <c r="L228" s="42"/>
      <c r="M228" s="42"/>
      <c r="N228" s="42"/>
      <c r="O228" s="42"/>
      <c r="P228" s="42"/>
      <c r="Q228" s="42"/>
    </row>
    <row r="229">
      <c r="A229" s="96"/>
      <c r="B229" s="46">
        <v>228.0</v>
      </c>
      <c r="C229" s="46" t="str">
        <f>'Teams &amp; Draft Order'!$C$9</f>
        <v>El Nino</v>
      </c>
      <c r="D229" s="47"/>
      <c r="E229" s="91" t="str">
        <f>IFERROR(VLOOKUP($D229,PlayerDB!$F$2:$G365,2,FALSE),"")</f>
        <v/>
      </c>
      <c r="F229" s="48" t="str">
        <f>IFERROR(VLOOKUP($D229,PlayerDB!$F$2:$H365,3,FALSE),"")</f>
        <v/>
      </c>
      <c r="G229" s="91" t="str">
        <f>IFERROR(VLOOKUP($D229,PlayerDB!$F$2:$I365,4,FALSE),"")</f>
        <v/>
      </c>
      <c r="H229" s="38"/>
      <c r="I229" s="50" t="str">
        <f>IFERROR(__xludf.DUMMYFUNCTION("JOIN("" | "",'Team Stats'!C$5:H$5)"),"0 | 0 | 0 | 0 | 0 | 0")</f>
        <v>0 | 0 | 0 | 0 | 0 | 0</v>
      </c>
      <c r="J229" s="78" t="str">
        <f>IFERROR(__xludf.DUMMYFUNCTION("JOIN("" | "",'Team Stats'!I$9:K$9)"),"0 | 0 | 0")</f>
        <v>0 | 0 | 0</v>
      </c>
      <c r="L229" s="42"/>
      <c r="M229" s="42"/>
      <c r="N229" s="42"/>
      <c r="O229" s="42"/>
      <c r="P229" s="42"/>
      <c r="Q229" s="42"/>
    </row>
    <row r="230">
      <c r="A230" s="97"/>
      <c r="B230" s="34">
        <v>229.0</v>
      </c>
      <c r="C230" s="34" t="str">
        <f>'Teams &amp; Draft Order'!$C$10</f>
        <v>Buttheads</v>
      </c>
      <c r="D230" s="35"/>
      <c r="E230" s="89" t="str">
        <f>IFERROR(VLOOKUP($D230,PlayerDB!$F$2:$G365,2,FALSE),"")</f>
        <v/>
      </c>
      <c r="F230" s="36" t="str">
        <f>IFERROR(VLOOKUP($D230,PlayerDB!$F$2:$H365,3,FALSE),"")</f>
        <v/>
      </c>
      <c r="G230" s="89" t="str">
        <f>IFERROR(VLOOKUP($D230,PlayerDB!$F$2:$I365,4,FALSE),"")</f>
        <v/>
      </c>
      <c r="H230" s="38"/>
      <c r="I230" s="39" t="str">
        <f>IFERROR(__xludf.DUMMYFUNCTION("JOIN("" | "",'Team Stats'!C$6:H$6)"),"0 | 0 | 0 | 0 | 0 | 0")</f>
        <v>0 | 0 | 0 | 0 | 0 | 0</v>
      </c>
      <c r="J230" s="79" t="str">
        <f>IFERROR(__xludf.DUMMYFUNCTION("JOIN("" | "",'Team Stats'!I$10:K$10)"),"0 | 0 | 0")</f>
        <v>0 | 0 | 0</v>
      </c>
      <c r="L230" s="42"/>
      <c r="M230" s="42"/>
      <c r="N230" s="42"/>
      <c r="O230" s="42"/>
      <c r="P230" s="42"/>
      <c r="Q230" s="42"/>
    </row>
    <row r="231">
      <c r="A231" s="96"/>
      <c r="B231" s="46">
        <v>230.0</v>
      </c>
      <c r="C231" s="46" t="str">
        <f>'Teams &amp; Draft Order'!$C$11</f>
        <v>Big Boys Big Work</v>
      </c>
      <c r="D231" s="47"/>
      <c r="E231" s="91" t="str">
        <f>IFERROR(VLOOKUP($D231,PlayerDB!$F$2:$G365,2,FALSE),"")</f>
        <v/>
      </c>
      <c r="F231" s="48" t="str">
        <f>IFERROR(VLOOKUP($D231,PlayerDB!$F$2:$H365,3,FALSE),"")</f>
        <v/>
      </c>
      <c r="G231" s="91" t="str">
        <f>IFERROR(VLOOKUP($D231,PlayerDB!$F$2:$I365,4,FALSE),"")</f>
        <v/>
      </c>
      <c r="H231" s="38"/>
      <c r="I231" s="50" t="str">
        <f>IFERROR(__xludf.DUMMYFUNCTION("JOIN("" | "",'Team Stats'!C$7:H$7)"),"0 | 0 | 0 | 0 | 0 | 0")</f>
        <v>0 | 0 | 0 | 0 | 0 | 0</v>
      </c>
      <c r="J231" s="78" t="str">
        <f>IFERROR(__xludf.DUMMYFUNCTION("JOIN("" | "",'Team Stats'!I$11:K$11)"),"0 | 0 | 0")</f>
        <v>0 | 0 | 0</v>
      </c>
      <c r="L231" s="42"/>
      <c r="M231" s="42"/>
      <c r="N231" s="42"/>
      <c r="O231" s="42"/>
      <c r="P231" s="42"/>
      <c r="Q231" s="42"/>
    </row>
    <row r="232">
      <c r="A232" s="97"/>
      <c r="B232" s="34">
        <v>231.0</v>
      </c>
      <c r="C232" s="34" t="str">
        <f>'Teams &amp; Draft Order'!$C$12</f>
        <v>Turbo-Ginz</v>
      </c>
      <c r="D232" s="35"/>
      <c r="E232" s="89" t="str">
        <f>IFERROR(VLOOKUP($D232,PlayerDB!$F$2:$G365,2,FALSE),"")</f>
        <v/>
      </c>
      <c r="F232" s="36" t="str">
        <f>IFERROR(VLOOKUP($D232,PlayerDB!$F$2:$H365,3,FALSE),"")</f>
        <v/>
      </c>
      <c r="G232" s="89" t="str">
        <f>IFERROR(VLOOKUP($D232,PlayerDB!$F$2:$I365,4,FALSE),"")</f>
        <v/>
      </c>
      <c r="H232" s="38"/>
      <c r="I232" s="39" t="str">
        <f>IFERROR(__xludf.DUMMYFUNCTION("JOIN("" | "",'Team Stats'!C$8:H$8)"),"0 | 0 | 0 | 0 | 0 | 0")</f>
        <v>0 | 0 | 0 | 0 | 0 | 0</v>
      </c>
      <c r="J232" s="79" t="str">
        <f>IFERROR(__xludf.DUMMYFUNCTION("JOIN("" | "",'Team Stats'!I$12:K$12)"),"0 | 0 | 0")</f>
        <v>0 | 0 | 0</v>
      </c>
      <c r="L232" s="42"/>
      <c r="M232" s="42"/>
      <c r="N232" s="42"/>
      <c r="O232" s="42"/>
      <c r="P232" s="42"/>
      <c r="Q232" s="42"/>
    </row>
    <row r="233">
      <c r="A233" s="96"/>
      <c r="B233" s="46">
        <v>232.0</v>
      </c>
      <c r="C233" s="46" t="str">
        <f>'Teams &amp; Draft Order'!$C$13</f>
        <v>Luddite</v>
      </c>
      <c r="D233" s="47"/>
      <c r="E233" s="91" t="str">
        <f>IFERROR(VLOOKUP($D233,PlayerDB!$F$2:$G365,2,FALSE),"")</f>
        <v/>
      </c>
      <c r="F233" s="48" t="str">
        <f>IFERROR(VLOOKUP($D233,PlayerDB!$F$2:$H365,3,FALSE),"")</f>
        <v/>
      </c>
      <c r="G233" s="91" t="str">
        <f>IFERROR(VLOOKUP($D233,PlayerDB!$F$2:$I365,4,FALSE),"")</f>
        <v/>
      </c>
      <c r="H233" s="38"/>
      <c r="I233" s="50" t="str">
        <f>IFERROR(__xludf.DUMMYFUNCTION("JOIN("" | "",'Team Stats'!C$9:H$9)"),"0 | 0 | 0 | 0 | 0 | 0")</f>
        <v>0 | 0 | 0 | 0 | 0 | 0</v>
      </c>
      <c r="J233" s="78" t="str">
        <f>IFERROR(__xludf.DUMMYFUNCTION("JOIN("" | "",'Team Stats'!I$13:K$13)"),"0 | 0 | 0")</f>
        <v>0 | 0 | 0</v>
      </c>
      <c r="L233" s="42"/>
      <c r="M233" s="42"/>
      <c r="N233" s="42"/>
      <c r="O233" s="42"/>
      <c r="P233" s="42"/>
      <c r="Q233" s="42"/>
    </row>
    <row r="234">
      <c r="A234" s="97"/>
      <c r="B234" s="34">
        <v>233.0</v>
      </c>
      <c r="C234" s="34" t="str">
        <f>'Teams &amp; Draft Order'!$C$14</f>
        <v>Achaians</v>
      </c>
      <c r="D234" s="35"/>
      <c r="E234" s="89" t="str">
        <f>IFERROR(VLOOKUP($D234,PlayerDB!$F$2:$G365,2,FALSE),"")</f>
        <v/>
      </c>
      <c r="F234" s="36" t="str">
        <f>IFERROR(VLOOKUP($D234,PlayerDB!$F$2:$H365,3,FALSE),"")</f>
        <v/>
      </c>
      <c r="G234" s="89" t="str">
        <f>IFERROR(VLOOKUP($D234,PlayerDB!$F$2:$I365,4,FALSE),"")</f>
        <v/>
      </c>
      <c r="H234" s="38"/>
      <c r="I234" s="39" t="str">
        <f>IFERROR(__xludf.DUMMYFUNCTION("JOIN("" | "",'Team Stats'!C$10:H$10)"),"0 | 0 | 0 | 0 | 0 | 0")</f>
        <v>0 | 0 | 0 | 0 | 0 | 0</v>
      </c>
      <c r="J234" s="77" t="str">
        <f>IFERROR(__xludf.DUMMYFUNCTION("JOIN("" | "",'Team Stats'!I$13:K$13)"),"0 | 0 | 0")</f>
        <v>0 | 0 | 0</v>
      </c>
      <c r="L234" s="42"/>
      <c r="M234" s="42"/>
      <c r="N234" s="42"/>
      <c r="O234" s="42"/>
      <c r="P234" s="42"/>
      <c r="Q234" s="42"/>
    </row>
    <row r="235">
      <c r="A235" s="96"/>
      <c r="B235" s="46">
        <v>234.0</v>
      </c>
      <c r="C235" s="46" t="str">
        <f>'Teams &amp; Draft Order'!$C$15</f>
        <v>Daddy's Dogs</v>
      </c>
      <c r="D235" s="47"/>
      <c r="E235" s="91" t="str">
        <f>IFERROR(VLOOKUP($D235,PlayerDB!$F$2:$G365,2,FALSE),"")</f>
        <v/>
      </c>
      <c r="F235" s="48" t="str">
        <f>IFERROR(VLOOKUP($D235,PlayerDB!$F$2:$H365,3,FALSE),"")</f>
        <v/>
      </c>
      <c r="G235" s="91" t="str">
        <f>IFERROR(VLOOKUP($D235,PlayerDB!$F$2:$I365,4,FALSE),"")</f>
        <v/>
      </c>
      <c r="H235" s="38"/>
      <c r="I235" s="50" t="str">
        <f>IFERROR(__xludf.DUMMYFUNCTION("JOIN("" | "",'Team Stats'!C$11:H$11)"),"0 | 0 | 0 | 0 | 0 | 0")</f>
        <v>0 | 0 | 0 | 0 | 0 | 0</v>
      </c>
      <c r="J235" s="78" t="str">
        <f>IFERROR(__xludf.DUMMYFUNCTION("JOIN("" | "",'Team Stats'!I$12:K$12)"),"0 | 0 | 0")</f>
        <v>0 | 0 | 0</v>
      </c>
      <c r="L235" s="42"/>
      <c r="M235" s="42"/>
      <c r="N235" s="42"/>
      <c r="O235" s="42"/>
      <c r="P235" s="42"/>
      <c r="Q235" s="42"/>
    </row>
    <row r="236">
      <c r="A236" s="97"/>
      <c r="B236" s="34">
        <v>235.0</v>
      </c>
      <c r="C236" s="34" t="str">
        <f>'Teams &amp; Draft Order'!$C$16</f>
        <v>TDs and Beers</v>
      </c>
      <c r="D236" s="35"/>
      <c r="E236" s="89" t="str">
        <f>IFERROR(VLOOKUP($D236,PlayerDB!$F$2:$G365,2,FALSE),"")</f>
        <v/>
      </c>
      <c r="F236" s="36" t="str">
        <f>IFERROR(VLOOKUP($D236,PlayerDB!$F$2:$H365,3,FALSE),"")</f>
        <v/>
      </c>
      <c r="G236" s="89" t="str">
        <f>IFERROR(VLOOKUP($D236,PlayerDB!$F$2:$I365,4,FALSE),"")</f>
        <v/>
      </c>
      <c r="H236" s="38"/>
      <c r="I236" s="39" t="str">
        <f>IFERROR(__xludf.DUMMYFUNCTION("JOIN("" | "",'Team Stats'!C$12:H$12)"),"0 | 0 | 0 | 0 | 0 | 0")</f>
        <v>0 | 0 | 0 | 0 | 0 | 0</v>
      </c>
      <c r="J236" s="79" t="str">
        <f>IFERROR(__xludf.DUMMYFUNCTION("JOIN("" | "",'Team Stats'!I$11:K$11)"),"0 | 0 | 0")</f>
        <v>0 | 0 | 0</v>
      </c>
      <c r="L236" s="42"/>
      <c r="M236" s="42"/>
      <c r="N236" s="42"/>
      <c r="O236" s="42"/>
      <c r="P236" s="42"/>
      <c r="Q236" s="42"/>
    </row>
    <row r="237">
      <c r="A237" s="96"/>
      <c r="B237" s="46">
        <v>236.0</v>
      </c>
      <c r="C237" s="46" t="str">
        <f>'Teams &amp; Draft Order'!$C$17</f>
        <v>DD Riders</v>
      </c>
      <c r="D237" s="47"/>
      <c r="E237" s="91" t="str">
        <f>IFERROR(VLOOKUP($D237,PlayerDB!$F$2:$G365,2,FALSE),"")</f>
        <v/>
      </c>
      <c r="F237" s="48" t="str">
        <f>IFERROR(VLOOKUP($D237,PlayerDB!$F$2:$H365,3,FALSE),"")</f>
        <v/>
      </c>
      <c r="G237" s="91" t="str">
        <f>IFERROR(VLOOKUP($D237,PlayerDB!$F$2:$I365,4,FALSE),"")</f>
        <v/>
      </c>
      <c r="H237" s="38"/>
      <c r="I237" s="50" t="str">
        <f>IFERROR(__xludf.DUMMYFUNCTION("JOIN("" | "",'Team Stats'!C$13:H$13)"),"0 | 0 | 0 | 0 | 0 | 0")</f>
        <v>0 | 0 | 0 | 0 | 0 | 0</v>
      </c>
      <c r="J237" s="78" t="str">
        <f>IFERROR(__xludf.DUMMYFUNCTION("JOIN("" | "",'Team Stats'!I$10:K$10)"),"0 | 0 | 0")</f>
        <v>0 | 0 | 0</v>
      </c>
      <c r="L237" s="42"/>
      <c r="M237" s="42"/>
      <c r="N237" s="42"/>
      <c r="O237" s="42"/>
      <c r="P237" s="42"/>
      <c r="Q237" s="42"/>
    </row>
    <row r="238">
      <c r="A238" s="97"/>
      <c r="B238" s="34">
        <v>237.0</v>
      </c>
      <c r="C238" s="34" t="str">
        <f>'Teams &amp; Draft Order'!$C$18</f>
        <v>Nasty</v>
      </c>
      <c r="D238" s="35"/>
      <c r="E238" s="89" t="str">
        <f>IFERROR(VLOOKUP($D238,PlayerDB!$F$2:$G365,2,FALSE),"")</f>
        <v/>
      </c>
      <c r="F238" s="36" t="str">
        <f>IFERROR(VLOOKUP($D238,PlayerDB!$F$2:$H365,3,FALSE),"")</f>
        <v/>
      </c>
      <c r="G238" s="89" t="str">
        <f>IFERROR(VLOOKUP($D238,PlayerDB!$F$2:$I365,4,FALSE),"")</f>
        <v/>
      </c>
      <c r="H238" s="38"/>
      <c r="I238" s="92" t="str">
        <f>IFERROR(__xludf.DUMMYFUNCTION("JOIN("" | "",'Team Stats'!C$14:H$14)"),"0 | 0 | 0 | 0 | 0 | 0")</f>
        <v>0 | 0 | 0 | 0 | 0 | 0</v>
      </c>
      <c r="J238" s="79" t="str">
        <f>IFERROR(__xludf.DUMMYFUNCTION("JOIN("" | "",'Team Stats'!I$9:K$9)"),"0 | 0 | 0")</f>
        <v>0 | 0 | 0</v>
      </c>
      <c r="L238" s="42"/>
      <c r="M238" s="42"/>
      <c r="N238" s="42"/>
      <c r="O238" s="42"/>
      <c r="P238" s="42"/>
      <c r="Q238" s="42"/>
    </row>
    <row r="239">
      <c r="A239" s="96"/>
      <c r="B239" s="46">
        <v>238.0</v>
      </c>
      <c r="C239" s="46" t="str">
        <f>'Teams &amp; Draft Order'!$C$19</f>
        <v>Red Hammer</v>
      </c>
      <c r="D239" s="47"/>
      <c r="E239" s="93" t="str">
        <f>IFERROR(VLOOKUP($D239,PlayerDB!$F$2:$G365,2,FALSE),"")</f>
        <v/>
      </c>
      <c r="F239" s="57" t="str">
        <f>IFERROR(VLOOKUP($D239,PlayerDB!$F$2:$H365,3,FALSE),"")</f>
        <v/>
      </c>
      <c r="G239" s="93" t="str">
        <f>IFERROR(VLOOKUP($D239,PlayerDB!$F$2:$I365,4,FALSE),"")</f>
        <v/>
      </c>
      <c r="H239" s="38"/>
      <c r="I239" s="94" t="str">
        <f>IFERROR(__xludf.DUMMYFUNCTION("JOIN("" | "",'Team Stats'!C$15:H$15)"),"0 | 0 | 0 | 0 | 0 | 0")</f>
        <v>0 | 0 | 0 | 0 | 0 | 0</v>
      </c>
      <c r="J239" s="78" t="str">
        <f>IFERROR(__xludf.DUMMYFUNCTION("JOIN("" | "",'Team Stats'!I$8:K$8)"),"0 | 0 | 0")</f>
        <v>0 | 0 | 0</v>
      </c>
      <c r="L239" s="42"/>
      <c r="M239" s="42"/>
      <c r="N239" s="42"/>
      <c r="O239" s="42"/>
      <c r="P239" s="42"/>
      <c r="Q239" s="42"/>
    </row>
    <row r="240">
      <c r="A240" s="88" t="s">
        <v>102</v>
      </c>
      <c r="B240" s="73">
        <v>239.0</v>
      </c>
      <c r="C240" s="73" t="str">
        <f>'Teams &amp; Draft Order'!$C$19</f>
        <v>Red Hammer</v>
      </c>
      <c r="D240" s="74"/>
      <c r="E240" s="89" t="str">
        <f>IFERROR(VLOOKUP($D240,PlayerDB!$F$2:$G365,2,FALSE),"")</f>
        <v/>
      </c>
      <c r="F240" s="36" t="str">
        <f>IFERROR(VLOOKUP($D240,PlayerDB!$F$2:$H365,3,FALSE),"")</f>
        <v/>
      </c>
      <c r="G240" s="89" t="str">
        <f>IFERROR(VLOOKUP($D240,PlayerDB!$F$2:$I365,4,FALSE),"")</f>
        <v/>
      </c>
      <c r="H240" s="75"/>
      <c r="I240" s="95" t="str">
        <f>IFERROR(__xludf.DUMMYFUNCTION("JOIN("" | "",'Team Stats'!C$15:H$15)"),"0 | 0 | 0 | 0 | 0 | 0")</f>
        <v>0 | 0 | 0 | 0 | 0 | 0</v>
      </c>
      <c r="J240" s="79" t="str">
        <f>IFERROR(__xludf.DUMMYFUNCTION("JOIN("" | "",'Team Stats'!I$7:K$7)"),"0 | 0 | 0")</f>
        <v>0 | 0 | 0</v>
      </c>
      <c r="L240" s="42"/>
      <c r="M240" s="42"/>
      <c r="N240" s="42"/>
      <c r="O240" s="42"/>
      <c r="P240" s="42"/>
      <c r="Q240" s="42"/>
    </row>
    <row r="241">
      <c r="A241" s="96"/>
      <c r="B241" s="46">
        <v>240.0</v>
      </c>
      <c r="C241" s="46" t="str">
        <f>'Teams &amp; Draft Order'!$C$18</f>
        <v>Nasty</v>
      </c>
      <c r="D241" s="47"/>
      <c r="E241" s="91" t="str">
        <f>IFERROR(VLOOKUP($D241,PlayerDB!$F$2:$G365,2,FALSE),"")</f>
        <v/>
      </c>
      <c r="F241" s="48" t="str">
        <f>IFERROR(VLOOKUP($D241,PlayerDB!$F$2:$H365,3,FALSE),"")</f>
        <v/>
      </c>
      <c r="G241" s="91" t="str">
        <f>IFERROR(VLOOKUP($D241,PlayerDB!$F$2:$I365,4,FALSE),"")</f>
        <v/>
      </c>
      <c r="H241" s="38"/>
      <c r="I241" s="94" t="str">
        <f>IFERROR(__xludf.DUMMYFUNCTION("JOIN("" | "",'Team Stats'!C$14:H$14)"),"0 | 0 | 0 | 0 | 0 | 0")</f>
        <v>0 | 0 | 0 | 0 | 0 | 0</v>
      </c>
      <c r="J241" s="78" t="str">
        <f>IFERROR(__xludf.DUMMYFUNCTION("JOIN("" | "",'Team Stats'!I$6:K$6)"),"0 | 0 | 0")</f>
        <v>0 | 0 | 0</v>
      </c>
      <c r="L241" s="42"/>
      <c r="M241" s="42"/>
      <c r="N241" s="42"/>
      <c r="O241" s="42"/>
      <c r="P241" s="42"/>
      <c r="Q241" s="42"/>
    </row>
    <row r="242">
      <c r="A242" s="97"/>
      <c r="B242" s="34">
        <v>241.0</v>
      </c>
      <c r="C242" s="34" t="str">
        <f>'Teams &amp; Draft Order'!$C$17</f>
        <v>DD Riders</v>
      </c>
      <c r="D242" s="35"/>
      <c r="E242" s="89" t="str">
        <f>IFERROR(VLOOKUP($D242,PlayerDB!$F$2:$G365,2,FALSE),"")</f>
        <v/>
      </c>
      <c r="F242" s="36" t="str">
        <f>IFERROR(VLOOKUP($D242,PlayerDB!$F$2:$H365,3,FALSE),"")</f>
        <v/>
      </c>
      <c r="G242" s="89" t="str">
        <f>IFERROR(VLOOKUP($D242,PlayerDB!$F$2:$I365,4,FALSE),"")</f>
        <v/>
      </c>
      <c r="H242" s="38"/>
      <c r="I242" s="39" t="str">
        <f>IFERROR(__xludf.DUMMYFUNCTION("JOIN("" | "",'Team Stats'!C$13:H$13)"),"0 | 0 | 0 | 0 | 0 | 0")</f>
        <v>0 | 0 | 0 | 0 | 0 | 0</v>
      </c>
      <c r="J242" s="79" t="str">
        <f>IFERROR(__xludf.DUMMYFUNCTION("JOIN("" | "",'Team Stats'!I$5:K$5)"),"0 | 0 | 0")</f>
        <v>0 | 0 | 0</v>
      </c>
      <c r="L242" s="42"/>
      <c r="M242" s="42"/>
      <c r="N242" s="42"/>
      <c r="O242" s="42"/>
      <c r="P242" s="42"/>
      <c r="Q242" s="42"/>
    </row>
    <row r="243">
      <c r="A243" s="96"/>
      <c r="B243" s="46">
        <v>242.0</v>
      </c>
      <c r="C243" s="46" t="str">
        <f>'Teams &amp; Draft Order'!$C$16</f>
        <v>TDs and Beers</v>
      </c>
      <c r="D243" s="47"/>
      <c r="E243" s="91" t="str">
        <f>IFERROR(VLOOKUP($D243,PlayerDB!$F$2:$G365,2,FALSE),"")</f>
        <v/>
      </c>
      <c r="F243" s="48" t="str">
        <f>IFERROR(VLOOKUP($D243,PlayerDB!$F$2:$H365,3,FALSE),"")</f>
        <v/>
      </c>
      <c r="G243" s="91" t="str">
        <f>IFERROR(VLOOKUP($D243,PlayerDB!$F$2:$I365,4,FALSE),"")</f>
        <v/>
      </c>
      <c r="H243" s="38"/>
      <c r="I243" s="50" t="str">
        <f>IFERROR(__xludf.DUMMYFUNCTION("JOIN("" | "",'Team Stats'!C$12:H$12)"),"0 | 0 | 0 | 0 | 0 | 0")</f>
        <v>0 | 0 | 0 | 0 | 0 | 0</v>
      </c>
      <c r="J243" s="78" t="str">
        <f>IFERROR(__xludf.DUMMYFUNCTION("JOIN("" | "",'Team Stats'!I$4:K$4)"),"0 | 0 | 0")</f>
        <v>0 | 0 | 0</v>
      </c>
      <c r="L243" s="42"/>
      <c r="M243" s="42"/>
      <c r="N243" s="42"/>
      <c r="O243" s="42"/>
      <c r="P243" s="42"/>
      <c r="Q243" s="42"/>
    </row>
    <row r="244">
      <c r="A244" s="97"/>
      <c r="B244" s="34">
        <v>243.0</v>
      </c>
      <c r="C244" s="34" t="str">
        <f>'Teams &amp; Draft Order'!$C$15</f>
        <v>Daddy's Dogs</v>
      </c>
      <c r="D244" s="35"/>
      <c r="E244" s="89" t="str">
        <f>IFERROR(VLOOKUP($D244,PlayerDB!$F$2:$G365,2,FALSE),"")</f>
        <v/>
      </c>
      <c r="F244" s="36" t="str">
        <f>IFERROR(VLOOKUP($D244,PlayerDB!$F$2:$H365,3,FALSE),"")</f>
        <v/>
      </c>
      <c r="G244" s="89" t="str">
        <f>IFERROR(VLOOKUP($D244,PlayerDB!$F$2:$I365,4,FALSE),"")</f>
        <v/>
      </c>
      <c r="H244" s="38"/>
      <c r="I244" s="39" t="str">
        <f>IFERROR(__xludf.DUMMYFUNCTION("JOIN("" | "",'Team Stats'!C$11:H$11)"),"0 | 0 | 0 | 0 | 0 | 0")</f>
        <v>0 | 0 | 0 | 0 | 0 | 0</v>
      </c>
      <c r="J244" s="79" t="str">
        <f>IFERROR(__xludf.DUMMYFUNCTION("JOIN("" | "",'Team Stats'!I$3:K$3)"),"0 | 0 | 0")</f>
        <v>0 | 0 | 0</v>
      </c>
      <c r="L244" s="42"/>
      <c r="M244" s="42"/>
      <c r="N244" s="42"/>
      <c r="O244" s="42"/>
      <c r="P244" s="42"/>
      <c r="Q244" s="42"/>
    </row>
    <row r="245">
      <c r="A245" s="96"/>
      <c r="B245" s="46">
        <v>244.0</v>
      </c>
      <c r="C245" s="46" t="str">
        <f>'Teams &amp; Draft Order'!$C$14</f>
        <v>Achaians</v>
      </c>
      <c r="D245" s="47"/>
      <c r="E245" s="91" t="str">
        <f>IFERROR(VLOOKUP($D245,PlayerDB!$F$2:$G365,2,FALSE),"")</f>
        <v/>
      </c>
      <c r="F245" s="48" t="str">
        <f>IFERROR(VLOOKUP($D245,PlayerDB!$F$2:$H365,3,FALSE),"")</f>
        <v/>
      </c>
      <c r="G245" s="91" t="str">
        <f>IFERROR(VLOOKUP($D245,PlayerDB!$F$2:$I365,4,FALSE),"")</f>
        <v/>
      </c>
      <c r="H245" s="38"/>
      <c r="I245" s="50" t="str">
        <f>IFERROR(__xludf.DUMMYFUNCTION("JOIN("" | "",'Team Stats'!C$10:H$10)"),"0 | 0 | 0 | 0 | 0 | 0")</f>
        <v>0 | 0 | 0 | 0 | 0 | 0</v>
      </c>
      <c r="J245" s="80" t="str">
        <f>IFERROR(__xludf.DUMMYFUNCTION("JOIN("" | "",'Team Stats'!I$2:K$2)"),"0 | 0 | 0")</f>
        <v>0 | 0 | 0</v>
      </c>
      <c r="L245" s="42"/>
      <c r="M245" s="42"/>
      <c r="N245" s="42"/>
      <c r="O245" s="42"/>
      <c r="P245" s="42"/>
      <c r="Q245" s="42"/>
    </row>
    <row r="246">
      <c r="A246" s="97"/>
      <c r="B246" s="34">
        <v>245.0</v>
      </c>
      <c r="C246" s="34" t="str">
        <f>'Teams &amp; Draft Order'!$C$13</f>
        <v>Luddite</v>
      </c>
      <c r="D246" s="35"/>
      <c r="E246" s="89" t="str">
        <f>IFERROR(VLOOKUP($D246,PlayerDB!$F$2:$G365,2,FALSE),"")</f>
        <v/>
      </c>
      <c r="F246" s="36" t="str">
        <f>IFERROR(VLOOKUP($D246,PlayerDB!$F$2:$H365,3,FALSE),"")</f>
        <v/>
      </c>
      <c r="G246" s="89" t="str">
        <f>IFERROR(VLOOKUP($D246,PlayerDB!$F$2:$I365,4,FALSE),"")</f>
        <v/>
      </c>
      <c r="H246" s="38"/>
      <c r="I246" s="39" t="str">
        <f>IFERROR(__xludf.DUMMYFUNCTION("JOIN("" | "",'Team Stats'!C$9:H$9)"),"0 | 0 | 0 | 0 | 0 | 0")</f>
        <v>0 | 0 | 0 | 0 | 0 | 0</v>
      </c>
      <c r="J246" s="77" t="str">
        <f>IFERROR(__xludf.DUMMYFUNCTION("JOIN("" | "",'Team Stats'!I$2:K$2)"),"0 | 0 | 0")</f>
        <v>0 | 0 | 0</v>
      </c>
      <c r="K246" s="32"/>
      <c r="L246" s="42"/>
      <c r="M246" s="42"/>
      <c r="N246" s="42"/>
      <c r="O246" s="42"/>
      <c r="P246" s="42"/>
      <c r="Q246" s="42"/>
      <c r="R246" s="44"/>
    </row>
    <row r="247">
      <c r="A247" s="96"/>
      <c r="B247" s="46">
        <v>246.0</v>
      </c>
      <c r="C247" s="46" t="str">
        <f>'Teams &amp; Draft Order'!$C$12</f>
        <v>Turbo-Ginz</v>
      </c>
      <c r="D247" s="47"/>
      <c r="E247" s="91" t="str">
        <f>IFERROR(VLOOKUP($D247,PlayerDB!$F$2:$G365,2,FALSE),"")</f>
        <v/>
      </c>
      <c r="F247" s="48" t="str">
        <f>IFERROR(VLOOKUP($D247,PlayerDB!$F$2:$H365,3,FALSE),"")</f>
        <v/>
      </c>
      <c r="G247" s="91" t="str">
        <f>IFERROR(VLOOKUP($D247,PlayerDB!$F$2:$I365,4,FALSE),"")</f>
        <v/>
      </c>
      <c r="H247" s="38"/>
      <c r="I247" s="50" t="str">
        <f>IFERROR(__xludf.DUMMYFUNCTION("JOIN("" | "",'Team Stats'!C$8:H$8)"),"0 | 0 | 0 | 0 | 0 | 0")</f>
        <v>0 | 0 | 0 | 0 | 0 | 0</v>
      </c>
      <c r="J247" s="78" t="str">
        <f>IFERROR(__xludf.DUMMYFUNCTION("JOIN("" | "",'Team Stats'!I$3:K$3)"),"0 | 0 | 0")</f>
        <v>0 | 0 | 0</v>
      </c>
      <c r="K247" s="32"/>
      <c r="L247" s="42"/>
      <c r="M247" s="42"/>
      <c r="N247" s="42"/>
      <c r="O247" s="42"/>
      <c r="P247" s="42"/>
      <c r="Q247" s="42"/>
      <c r="R247" s="44"/>
    </row>
    <row r="248">
      <c r="A248" s="97"/>
      <c r="B248" s="34">
        <v>247.0</v>
      </c>
      <c r="C248" s="34" t="str">
        <f>'Teams &amp; Draft Order'!$C$11</f>
        <v>Big Boys Big Work</v>
      </c>
      <c r="D248" s="35"/>
      <c r="E248" s="89" t="str">
        <f>IFERROR(VLOOKUP($D248,PlayerDB!$F$2:$G365,2,FALSE),"")</f>
        <v/>
      </c>
      <c r="F248" s="36" t="str">
        <f>IFERROR(VLOOKUP($D248,PlayerDB!$F$2:$H365,3,FALSE),"")</f>
        <v/>
      </c>
      <c r="G248" s="89" t="str">
        <f>IFERROR(VLOOKUP($D248,PlayerDB!$F$2:$I365,4,FALSE),"")</f>
        <v/>
      </c>
      <c r="H248" s="38"/>
      <c r="I248" s="39" t="str">
        <f>IFERROR(__xludf.DUMMYFUNCTION("JOIN("" | "",'Team Stats'!C$7:H$7)"),"0 | 0 | 0 | 0 | 0 | 0")</f>
        <v>0 | 0 | 0 | 0 | 0 | 0</v>
      </c>
      <c r="J248" s="79" t="str">
        <f>IFERROR(__xludf.DUMMYFUNCTION("JOIN("" | "",'Team Stats'!I$4:K$4)"),"0 | 0 | 0")</f>
        <v>0 | 0 | 0</v>
      </c>
      <c r="K248" s="32"/>
      <c r="L248" s="42"/>
      <c r="M248" s="42"/>
      <c r="N248" s="42"/>
      <c r="O248" s="42"/>
      <c r="P248" s="42"/>
      <c r="Q248" s="42"/>
      <c r="R248" s="44"/>
    </row>
    <row r="249">
      <c r="A249" s="96"/>
      <c r="B249" s="46">
        <v>248.0</v>
      </c>
      <c r="C249" s="46" t="str">
        <f>'Teams &amp; Draft Order'!$C$10</f>
        <v>Buttheads</v>
      </c>
      <c r="D249" s="47"/>
      <c r="E249" s="91" t="str">
        <f>IFERROR(VLOOKUP($D249,PlayerDB!$F$2:$G365,2,FALSE),"")</f>
        <v/>
      </c>
      <c r="F249" s="48" t="str">
        <f>IFERROR(VLOOKUP($D249,PlayerDB!$F$2:$H365,3,FALSE),"")</f>
        <v/>
      </c>
      <c r="G249" s="91" t="str">
        <f>IFERROR(VLOOKUP($D249,PlayerDB!$F$2:$I365,4,FALSE),"")</f>
        <v/>
      </c>
      <c r="H249" s="38"/>
      <c r="I249" s="50" t="str">
        <f>IFERROR(__xludf.DUMMYFUNCTION("JOIN("" | "",'Team Stats'!C$6:H$6)"),"0 | 0 | 0 | 0 | 0 | 0")</f>
        <v>0 | 0 | 0 | 0 | 0 | 0</v>
      </c>
      <c r="J249" s="78" t="str">
        <f>IFERROR(__xludf.DUMMYFUNCTION("JOIN("" | "",'Team Stats'!I$5:K$5)"),"0 | 0 | 0")</f>
        <v>0 | 0 | 0</v>
      </c>
      <c r="K249" s="32"/>
      <c r="L249" s="42"/>
      <c r="M249" s="42"/>
      <c r="N249" s="42"/>
      <c r="O249" s="42"/>
      <c r="P249" s="42"/>
      <c r="Q249" s="42"/>
      <c r="R249" s="44"/>
    </row>
    <row r="250">
      <c r="A250" s="97"/>
      <c r="B250" s="34">
        <v>249.0</v>
      </c>
      <c r="C250" s="34" t="str">
        <f>'Teams &amp; Draft Order'!$C$9</f>
        <v>El Nino</v>
      </c>
      <c r="D250" s="35"/>
      <c r="E250" s="89" t="str">
        <f>IFERROR(VLOOKUP($D250,PlayerDB!$F$2:$G365,2,FALSE),"")</f>
        <v/>
      </c>
      <c r="F250" s="36" t="str">
        <f>IFERROR(VLOOKUP($D250,PlayerDB!$F$2:$H365,3,FALSE),"")</f>
        <v/>
      </c>
      <c r="G250" s="89" t="str">
        <f>IFERROR(VLOOKUP($D250,PlayerDB!$F$2:$I365,4,FALSE),"")</f>
        <v/>
      </c>
      <c r="H250" s="38"/>
      <c r="I250" s="39" t="str">
        <f>IFERROR(__xludf.DUMMYFUNCTION("JOIN("" | "",'Team Stats'!C$5:H$5)"),"0 | 0 | 0 | 0 | 0 | 0")</f>
        <v>0 | 0 | 0 | 0 | 0 | 0</v>
      </c>
      <c r="J250" s="79" t="str">
        <f>IFERROR(__xludf.DUMMYFUNCTION("JOIN("" | "",'Team Stats'!I$6:K$6)"),"0 | 0 | 0")</f>
        <v>0 | 0 | 0</v>
      </c>
      <c r="K250" s="32"/>
      <c r="L250" s="42"/>
      <c r="M250" s="42"/>
      <c r="N250" s="42"/>
      <c r="O250" s="42"/>
      <c r="P250" s="42"/>
      <c r="Q250" s="42"/>
      <c r="R250" s="44"/>
    </row>
    <row r="251">
      <c r="A251" s="96"/>
      <c r="B251" s="46">
        <v>250.0</v>
      </c>
      <c r="C251" s="46" t="str">
        <f>'Teams &amp; Draft Order'!$C$8</f>
        <v>Icelanders</v>
      </c>
      <c r="D251" s="47"/>
      <c r="E251" s="91" t="str">
        <f>IFERROR(VLOOKUP($D251,PlayerDB!$F$2:$G365,2,FALSE),"")</f>
        <v/>
      </c>
      <c r="F251" s="48" t="str">
        <f>IFERROR(VLOOKUP($D251,PlayerDB!$F$2:$H365,3,FALSE),"")</f>
        <v/>
      </c>
      <c r="G251" s="91" t="str">
        <f>IFERROR(VLOOKUP($D251,PlayerDB!$F$2:$I365,4,FALSE),"")</f>
        <v/>
      </c>
      <c r="H251" s="38"/>
      <c r="I251" s="50" t="str">
        <f>IFERROR(__xludf.DUMMYFUNCTION("JOIN("" | "",'Team Stats'!C$4:H$4)"),"0 | 0 | 0 | 0 | 0 | 0")</f>
        <v>0 | 0 | 0 | 0 | 0 | 0</v>
      </c>
      <c r="J251" s="78" t="str">
        <f>IFERROR(__xludf.DUMMYFUNCTION("JOIN("" | "",'Team Stats'!I$7:K$7)"),"0 | 0 | 0")</f>
        <v>0 | 0 | 0</v>
      </c>
      <c r="K251" s="32"/>
      <c r="L251" s="42"/>
      <c r="M251" s="42"/>
      <c r="N251" s="42"/>
      <c r="O251" s="42"/>
      <c r="P251" s="42"/>
      <c r="Q251" s="42"/>
      <c r="R251" s="44"/>
    </row>
    <row r="252">
      <c r="A252" s="97"/>
      <c r="B252" s="34">
        <v>251.0</v>
      </c>
      <c r="C252" s="34" t="str">
        <f>'Teams &amp; Draft Order'!$C$7</f>
        <v>Phantasm</v>
      </c>
      <c r="D252" s="35"/>
      <c r="E252" s="89" t="str">
        <f>IFERROR(VLOOKUP($D252,PlayerDB!$F$2:$G365,2,FALSE),"")</f>
        <v/>
      </c>
      <c r="F252" s="36" t="str">
        <f>IFERROR(VLOOKUP($D252,PlayerDB!$F$2:$H365,3,FALSE),"")</f>
        <v/>
      </c>
      <c r="G252" s="89" t="str">
        <f>IFERROR(VLOOKUP($D252,PlayerDB!$F$2:$I365,4,FALSE),"")</f>
        <v/>
      </c>
      <c r="H252" s="38"/>
      <c r="I252" s="39" t="str">
        <f>IFERROR(__xludf.DUMMYFUNCTION("JOIN("" | "",'Team Stats'!C$3:H$3)"),"0 | 0 | 0 | 0 | 0 | 0")</f>
        <v>0 | 0 | 0 | 0 | 0 | 0</v>
      </c>
      <c r="J252" s="79" t="str">
        <f>IFERROR(__xludf.DUMMYFUNCTION("JOIN("" | "",'Team Stats'!I$8:K$8)"),"0 | 0 | 0")</f>
        <v>0 | 0 | 0</v>
      </c>
      <c r="K252" s="32"/>
      <c r="L252" s="42"/>
      <c r="M252" s="42"/>
      <c r="N252" s="42"/>
      <c r="O252" s="42"/>
      <c r="P252" s="42"/>
      <c r="Q252" s="42"/>
      <c r="R252" s="44"/>
    </row>
    <row r="253">
      <c r="A253" s="99"/>
      <c r="B253" s="55">
        <v>252.0</v>
      </c>
      <c r="C253" s="55" t="str">
        <f>'Teams &amp; Draft Order'!$C$6</f>
        <v>Sleeper Cell </v>
      </c>
      <c r="D253" s="56"/>
      <c r="E253" s="93" t="str">
        <f>IFERROR(VLOOKUP($D253,PlayerDB!$F$2:$G365,2,FALSE),"")</f>
        <v/>
      </c>
      <c r="F253" s="57" t="str">
        <f>IFERROR(VLOOKUP($D253,PlayerDB!$F$2:$H365,3,FALSE),"")</f>
        <v/>
      </c>
      <c r="G253" s="93" t="str">
        <f>IFERROR(VLOOKUP($D253,PlayerDB!$F$2:$I365,4,FALSE),"")</f>
        <v/>
      </c>
      <c r="H253" s="59"/>
      <c r="I253" s="60" t="str">
        <f>IFERROR(__xludf.DUMMYFUNCTION("JOIN("" | "",'Team Stats'!C$2:H$2)"),"1 | 0 | 0 | 0 | 0 | 0")</f>
        <v>1 | 0 | 0 | 0 | 0 | 0</v>
      </c>
      <c r="J253" s="78" t="str">
        <f>IFERROR(__xludf.DUMMYFUNCTION("JOIN("" | "",'Team Stats'!I$9:K$9)"),"0 | 0 | 0")</f>
        <v>0 | 0 | 0</v>
      </c>
      <c r="K253" s="32"/>
      <c r="L253" s="42"/>
      <c r="M253" s="42"/>
      <c r="N253" s="42"/>
      <c r="O253" s="42"/>
      <c r="P253" s="42"/>
      <c r="Q253" s="42"/>
      <c r="R253" s="44"/>
    </row>
    <row r="254">
      <c r="A254" s="88" t="s">
        <v>103</v>
      </c>
      <c r="B254" s="73">
        <v>253.0</v>
      </c>
      <c r="C254" s="73" t="str">
        <f>'Teams &amp; Draft Order'!$C$6</f>
        <v>Sleeper Cell </v>
      </c>
      <c r="D254" s="74"/>
      <c r="E254" s="89" t="str">
        <f>IFERROR(VLOOKUP($D254,PlayerDB!$F$2:$G365,2,FALSE),"")</f>
        <v/>
      </c>
      <c r="F254" s="36" t="str">
        <f>IFERROR(VLOOKUP($D254,PlayerDB!$F$2:$H365,3,FALSE),"")</f>
        <v/>
      </c>
      <c r="G254" s="89" t="str">
        <f>IFERROR(VLOOKUP($D254,PlayerDB!$F$2:$I365,4,FALSE),"")</f>
        <v/>
      </c>
      <c r="H254" s="75"/>
      <c r="I254" s="76" t="str">
        <f>IFERROR(__xludf.DUMMYFUNCTION("JOIN("" | "",'Team Stats'!C$2:H$2)"),"1 | 0 | 0 | 0 | 0 | 0")</f>
        <v>1 | 0 | 0 | 0 | 0 | 0</v>
      </c>
      <c r="J254" s="79" t="str">
        <f>IFERROR(__xludf.DUMMYFUNCTION("JOIN("" | "",'Team Stats'!I$10:K$10)"),"0 | 0 | 0")</f>
        <v>0 | 0 | 0</v>
      </c>
      <c r="K254" s="32"/>
      <c r="L254" s="42"/>
      <c r="M254" s="42"/>
      <c r="N254" s="42"/>
      <c r="O254" s="42"/>
      <c r="P254" s="42"/>
      <c r="Q254" s="42"/>
      <c r="R254" s="44"/>
    </row>
    <row r="255">
      <c r="A255" s="96"/>
      <c r="B255" s="46">
        <v>254.0</v>
      </c>
      <c r="C255" s="46" t="str">
        <f>'Teams &amp; Draft Order'!$C$7</f>
        <v>Phantasm</v>
      </c>
      <c r="D255" s="47"/>
      <c r="E255" s="91" t="str">
        <f>IFERROR(VLOOKUP($D255,PlayerDB!$F$2:$G365,2,FALSE),"")</f>
        <v/>
      </c>
      <c r="F255" s="48" t="str">
        <f>IFERROR(VLOOKUP($D255,PlayerDB!$F$2:$H365,3,FALSE),"")</f>
        <v/>
      </c>
      <c r="G255" s="91" t="str">
        <f>IFERROR(VLOOKUP($D255,PlayerDB!$F$2:$I365,4,FALSE),"")</f>
        <v/>
      </c>
      <c r="H255" s="38"/>
      <c r="I255" s="50" t="str">
        <f>IFERROR(__xludf.DUMMYFUNCTION("JOIN("" | "",'Team Stats'!C$3:H$3)"),"0 | 0 | 0 | 0 | 0 | 0")</f>
        <v>0 | 0 | 0 | 0 | 0 | 0</v>
      </c>
      <c r="J255" s="78" t="str">
        <f>IFERROR(__xludf.DUMMYFUNCTION("JOIN("" | "",'Team Stats'!I$11:K$11)"),"0 | 0 | 0")</f>
        <v>0 | 0 | 0</v>
      </c>
      <c r="K255" s="32"/>
      <c r="L255" s="42"/>
      <c r="M255" s="42"/>
      <c r="N255" s="42"/>
      <c r="O255" s="42"/>
      <c r="P255" s="42"/>
      <c r="Q255" s="42"/>
      <c r="R255" s="44"/>
    </row>
    <row r="256">
      <c r="A256" s="97"/>
      <c r="B256" s="34">
        <v>255.0</v>
      </c>
      <c r="C256" s="34" t="str">
        <f>'Teams &amp; Draft Order'!$C$8</f>
        <v>Icelanders</v>
      </c>
      <c r="D256" s="35"/>
      <c r="E256" s="89" t="str">
        <f>IFERROR(VLOOKUP($D256,PlayerDB!$F$2:$G365,2,FALSE),"")</f>
        <v/>
      </c>
      <c r="F256" s="36" t="str">
        <f>IFERROR(VLOOKUP($D256,PlayerDB!$F$2:$H365,3,FALSE),"")</f>
        <v/>
      </c>
      <c r="G256" s="89" t="str">
        <f>IFERROR(VLOOKUP($D256,PlayerDB!$F$2:$I365,4,FALSE),"")</f>
        <v/>
      </c>
      <c r="H256" s="38"/>
      <c r="I256" s="39" t="str">
        <f>IFERROR(__xludf.DUMMYFUNCTION("JOIN("" | "",'Team Stats'!C$4:H$4)"),"0 | 0 | 0 | 0 | 0 | 0")</f>
        <v>0 | 0 | 0 | 0 | 0 | 0</v>
      </c>
      <c r="J256" s="79" t="str">
        <f>IFERROR(__xludf.DUMMYFUNCTION("JOIN("" | "",'Team Stats'!I$12:K$12)"),"0 | 0 | 0")</f>
        <v>0 | 0 | 0</v>
      </c>
      <c r="K256" s="32"/>
      <c r="L256" s="42"/>
      <c r="M256" s="42"/>
      <c r="N256" s="42"/>
      <c r="O256" s="42"/>
      <c r="P256" s="42"/>
      <c r="Q256" s="42"/>
      <c r="R256" s="44"/>
    </row>
    <row r="257">
      <c r="A257" s="96"/>
      <c r="B257" s="46">
        <v>256.0</v>
      </c>
      <c r="C257" s="46" t="str">
        <f>'Teams &amp; Draft Order'!$C$9</f>
        <v>El Nino</v>
      </c>
      <c r="D257" s="47"/>
      <c r="E257" s="91" t="str">
        <f>IFERROR(VLOOKUP($D257,PlayerDB!$F$2:$G365,2,FALSE),"")</f>
        <v/>
      </c>
      <c r="F257" s="48" t="str">
        <f>IFERROR(VLOOKUP($D257,PlayerDB!$F$2:$H365,3,FALSE),"")</f>
        <v/>
      </c>
      <c r="G257" s="91" t="str">
        <f>IFERROR(VLOOKUP($D257,PlayerDB!$F$2:$I365,4,FALSE),"")</f>
        <v/>
      </c>
      <c r="H257" s="38"/>
      <c r="I257" s="50" t="str">
        <f>IFERROR(__xludf.DUMMYFUNCTION("JOIN("" | "",'Team Stats'!C$5:H$5)"),"0 | 0 | 0 | 0 | 0 | 0")</f>
        <v>0 | 0 | 0 | 0 | 0 | 0</v>
      </c>
      <c r="J257" s="78" t="str">
        <f>IFERROR(__xludf.DUMMYFUNCTION("JOIN("" | "",'Team Stats'!I$13:K$13)"),"0 | 0 | 0")</f>
        <v>0 | 0 | 0</v>
      </c>
      <c r="K257" s="32"/>
      <c r="L257" s="42"/>
      <c r="M257" s="42"/>
      <c r="N257" s="42"/>
      <c r="O257" s="42"/>
      <c r="P257" s="42"/>
      <c r="Q257" s="42"/>
      <c r="R257" s="44"/>
    </row>
    <row r="258">
      <c r="A258" s="97"/>
      <c r="B258" s="34">
        <v>257.0</v>
      </c>
      <c r="C258" s="34" t="str">
        <f>'Teams &amp; Draft Order'!$C$10</f>
        <v>Buttheads</v>
      </c>
      <c r="D258" s="35"/>
      <c r="E258" s="89" t="str">
        <f>IFERROR(VLOOKUP($D258,PlayerDB!$F$2:$G365,2,FALSE),"")</f>
        <v/>
      </c>
      <c r="F258" s="36" t="str">
        <f>IFERROR(VLOOKUP($D258,PlayerDB!$F$2:$H365,3,FALSE),"")</f>
        <v/>
      </c>
      <c r="G258" s="89" t="str">
        <f>IFERROR(VLOOKUP($D258,PlayerDB!$F$2:$I365,4,FALSE),"")</f>
        <v/>
      </c>
      <c r="H258" s="38"/>
      <c r="I258" s="39" t="str">
        <f>IFERROR(__xludf.DUMMYFUNCTION("JOIN("" | "",'Team Stats'!C$6:H$6)"),"0 | 0 | 0 | 0 | 0 | 0")</f>
        <v>0 | 0 | 0 | 0 | 0 | 0</v>
      </c>
      <c r="J258" s="77" t="str">
        <f>IFERROR(__xludf.DUMMYFUNCTION("JOIN("" | "",'Team Stats'!I$13:K$13)"),"0 | 0 | 0")</f>
        <v>0 | 0 | 0</v>
      </c>
      <c r="K258" s="32"/>
      <c r="L258" s="42"/>
      <c r="M258" s="42"/>
      <c r="N258" s="42"/>
      <c r="O258" s="42"/>
      <c r="P258" s="42"/>
      <c r="Q258" s="42"/>
      <c r="R258" s="44"/>
    </row>
    <row r="259">
      <c r="A259" s="96"/>
      <c r="B259" s="46">
        <v>258.0</v>
      </c>
      <c r="C259" s="46" t="str">
        <f>'Teams &amp; Draft Order'!$C$11</f>
        <v>Big Boys Big Work</v>
      </c>
      <c r="D259" s="47"/>
      <c r="E259" s="91" t="str">
        <f>IFERROR(VLOOKUP($D259,PlayerDB!$F$2:$G365,2,FALSE),"")</f>
        <v/>
      </c>
      <c r="F259" s="48" t="str">
        <f>IFERROR(VLOOKUP($D259,PlayerDB!$F$2:$H365,3,FALSE),"")</f>
        <v/>
      </c>
      <c r="G259" s="91" t="str">
        <f>IFERROR(VLOOKUP($D259,PlayerDB!$F$2:$I365,4,FALSE),"")</f>
        <v/>
      </c>
      <c r="H259" s="38"/>
      <c r="I259" s="50" t="str">
        <f>IFERROR(__xludf.DUMMYFUNCTION("JOIN("" | "",'Team Stats'!C$7:H$7)"),"0 | 0 | 0 | 0 | 0 | 0")</f>
        <v>0 | 0 | 0 | 0 | 0 | 0</v>
      </c>
      <c r="J259" s="78" t="str">
        <f>IFERROR(__xludf.DUMMYFUNCTION("JOIN("" | "",'Team Stats'!I$12:K$12)"),"0 | 0 | 0")</f>
        <v>0 | 0 | 0</v>
      </c>
      <c r="K259" s="32"/>
      <c r="L259" s="42"/>
      <c r="M259" s="42"/>
      <c r="N259" s="42"/>
      <c r="O259" s="42"/>
      <c r="P259" s="42"/>
      <c r="Q259" s="42"/>
      <c r="R259" s="44"/>
    </row>
    <row r="260">
      <c r="A260" s="97"/>
      <c r="B260" s="34">
        <v>259.0</v>
      </c>
      <c r="C260" s="34" t="str">
        <f>'Teams &amp; Draft Order'!$C$12</f>
        <v>Turbo-Ginz</v>
      </c>
      <c r="D260" s="35"/>
      <c r="E260" s="89" t="str">
        <f>IFERROR(VLOOKUP($D260,PlayerDB!$F$2:$G365,2,FALSE),"")</f>
        <v/>
      </c>
      <c r="F260" s="36" t="str">
        <f>IFERROR(VLOOKUP($D260,PlayerDB!$F$2:$H365,3,FALSE),"")</f>
        <v/>
      </c>
      <c r="G260" s="89" t="str">
        <f>IFERROR(VLOOKUP($D260,PlayerDB!$F$2:$I365,4,FALSE),"")</f>
        <v/>
      </c>
      <c r="H260" s="38"/>
      <c r="I260" s="39" t="str">
        <f>IFERROR(__xludf.DUMMYFUNCTION("JOIN("" | "",'Team Stats'!C$8:H$8)"),"0 | 0 | 0 | 0 | 0 | 0")</f>
        <v>0 | 0 | 0 | 0 | 0 | 0</v>
      </c>
      <c r="J260" s="79" t="str">
        <f>IFERROR(__xludf.DUMMYFUNCTION("JOIN("" | "",'Team Stats'!I$11:K$11)"),"0 | 0 | 0")</f>
        <v>0 | 0 | 0</v>
      </c>
      <c r="K260" s="32"/>
      <c r="L260" s="42"/>
      <c r="M260" s="42"/>
      <c r="N260" s="42"/>
      <c r="O260" s="42"/>
      <c r="P260" s="42"/>
      <c r="Q260" s="42"/>
      <c r="R260" s="44"/>
    </row>
    <row r="261">
      <c r="A261" s="96"/>
      <c r="B261" s="46">
        <v>260.0</v>
      </c>
      <c r="C261" s="46" t="str">
        <f>'Teams &amp; Draft Order'!$C$13</f>
        <v>Luddite</v>
      </c>
      <c r="D261" s="47"/>
      <c r="E261" s="91" t="str">
        <f>IFERROR(VLOOKUP($D261,PlayerDB!$F$2:$G365,2,FALSE),"")</f>
        <v/>
      </c>
      <c r="F261" s="48" t="str">
        <f>IFERROR(VLOOKUP($D261,PlayerDB!$F$2:$H365,3,FALSE),"")</f>
        <v/>
      </c>
      <c r="G261" s="91" t="str">
        <f>IFERROR(VLOOKUP($D261,PlayerDB!$F$2:$I365,4,FALSE),"")</f>
        <v/>
      </c>
      <c r="H261" s="38"/>
      <c r="I261" s="50" t="str">
        <f>IFERROR(__xludf.DUMMYFUNCTION("JOIN("" | "",'Team Stats'!C$9:H$9)"),"0 | 0 | 0 | 0 | 0 | 0")</f>
        <v>0 | 0 | 0 | 0 | 0 | 0</v>
      </c>
      <c r="J261" s="78" t="str">
        <f>IFERROR(__xludf.DUMMYFUNCTION("JOIN("" | "",'Team Stats'!I$10:K$10)"),"0 | 0 | 0")</f>
        <v>0 | 0 | 0</v>
      </c>
      <c r="K261" s="32"/>
      <c r="L261" s="42"/>
      <c r="M261" s="42"/>
      <c r="N261" s="42"/>
      <c r="O261" s="42"/>
      <c r="P261" s="42"/>
      <c r="Q261" s="42"/>
      <c r="R261" s="44"/>
    </row>
    <row r="262">
      <c r="A262" s="97"/>
      <c r="B262" s="34">
        <v>261.0</v>
      </c>
      <c r="C262" s="34" t="str">
        <f>'Teams &amp; Draft Order'!$C$14</f>
        <v>Achaians</v>
      </c>
      <c r="D262" s="35"/>
      <c r="E262" s="89" t="str">
        <f>IFERROR(VLOOKUP($D262,PlayerDB!$F$2:$G365,2,FALSE),"")</f>
        <v/>
      </c>
      <c r="F262" s="36" t="str">
        <f>IFERROR(VLOOKUP($D262,PlayerDB!$F$2:$H365,3,FALSE),"")</f>
        <v/>
      </c>
      <c r="G262" s="89" t="str">
        <f>IFERROR(VLOOKUP($D262,PlayerDB!$F$2:$I365,4,FALSE),"")</f>
        <v/>
      </c>
      <c r="H262" s="38"/>
      <c r="I262" s="39" t="str">
        <f>IFERROR(__xludf.DUMMYFUNCTION("JOIN("" | "",'Team Stats'!C$10:H$10)"),"0 | 0 | 0 | 0 | 0 | 0")</f>
        <v>0 | 0 | 0 | 0 | 0 | 0</v>
      </c>
      <c r="J262" s="79" t="str">
        <f>IFERROR(__xludf.DUMMYFUNCTION("JOIN("" | "",'Team Stats'!I$9:K$9)"),"0 | 0 | 0")</f>
        <v>0 | 0 | 0</v>
      </c>
      <c r="K262" s="32"/>
      <c r="L262" s="42"/>
      <c r="M262" s="42"/>
      <c r="N262" s="42"/>
      <c r="O262" s="42"/>
      <c r="P262" s="42"/>
      <c r="Q262" s="42"/>
      <c r="R262" s="44"/>
    </row>
    <row r="263">
      <c r="A263" s="96"/>
      <c r="B263" s="46">
        <v>262.0</v>
      </c>
      <c r="C263" s="46" t="str">
        <f>'Teams &amp; Draft Order'!$C$15</f>
        <v>Daddy's Dogs</v>
      </c>
      <c r="D263" s="47"/>
      <c r="E263" s="91" t="str">
        <f>IFERROR(VLOOKUP($D263,PlayerDB!$F$2:$G365,2,FALSE),"")</f>
        <v/>
      </c>
      <c r="F263" s="48" t="str">
        <f>IFERROR(VLOOKUP($D263,PlayerDB!$F$2:$H365,3,FALSE),"")</f>
        <v/>
      </c>
      <c r="G263" s="91" t="str">
        <f>IFERROR(VLOOKUP($D263,PlayerDB!$F$2:$I365,4,FALSE),"")</f>
        <v/>
      </c>
      <c r="H263" s="38"/>
      <c r="I263" s="50" t="str">
        <f>IFERROR(__xludf.DUMMYFUNCTION("JOIN("" | "",'Team Stats'!C$11:H$11)"),"0 | 0 | 0 | 0 | 0 | 0")</f>
        <v>0 | 0 | 0 | 0 | 0 | 0</v>
      </c>
      <c r="J263" s="78" t="str">
        <f>IFERROR(__xludf.DUMMYFUNCTION("JOIN("" | "",'Team Stats'!I$8:K$8)"),"0 | 0 | 0")</f>
        <v>0 | 0 | 0</v>
      </c>
      <c r="K263" s="32"/>
      <c r="L263" s="42"/>
      <c r="M263" s="42"/>
      <c r="N263" s="42"/>
      <c r="O263" s="42"/>
      <c r="P263" s="42"/>
      <c r="Q263" s="42"/>
      <c r="R263" s="44"/>
    </row>
    <row r="264">
      <c r="A264" s="97"/>
      <c r="B264" s="34">
        <v>263.0</v>
      </c>
      <c r="C264" s="34" t="str">
        <f>'Teams &amp; Draft Order'!$C$16</f>
        <v>TDs and Beers</v>
      </c>
      <c r="D264" s="35"/>
      <c r="E264" s="89" t="str">
        <f>IFERROR(VLOOKUP($D264,PlayerDB!$F$2:$G365,2,FALSE),"")</f>
        <v/>
      </c>
      <c r="F264" s="36" t="str">
        <f>IFERROR(VLOOKUP($D264,PlayerDB!$F$2:$H365,3,FALSE),"")</f>
        <v/>
      </c>
      <c r="G264" s="89" t="str">
        <f>IFERROR(VLOOKUP($D264,PlayerDB!$F$2:$I365,4,FALSE),"")</f>
        <v/>
      </c>
      <c r="H264" s="38"/>
      <c r="I264" s="39" t="str">
        <f>IFERROR(__xludf.DUMMYFUNCTION("JOIN("" | "",'Team Stats'!C$12:H$12)"),"0 | 0 | 0 | 0 | 0 | 0")</f>
        <v>0 | 0 | 0 | 0 | 0 | 0</v>
      </c>
      <c r="J264" s="79" t="str">
        <f>IFERROR(__xludf.DUMMYFUNCTION("JOIN("" | "",'Team Stats'!I$7:K$7)"),"0 | 0 | 0")</f>
        <v>0 | 0 | 0</v>
      </c>
      <c r="K264" s="32"/>
      <c r="L264" s="42"/>
      <c r="M264" s="42"/>
      <c r="N264" s="42"/>
      <c r="O264" s="42"/>
      <c r="P264" s="42"/>
      <c r="Q264" s="42"/>
      <c r="R264" s="44"/>
    </row>
    <row r="265">
      <c r="A265" s="96"/>
      <c r="B265" s="46">
        <v>264.0</v>
      </c>
      <c r="C265" s="46" t="str">
        <f>'Teams &amp; Draft Order'!$C$17</f>
        <v>DD Riders</v>
      </c>
      <c r="D265" s="47"/>
      <c r="E265" s="91" t="str">
        <f>IFERROR(VLOOKUP($D265,PlayerDB!$F$2:$G365,2,FALSE),"")</f>
        <v/>
      </c>
      <c r="F265" s="48" t="str">
        <f>IFERROR(VLOOKUP($D265,PlayerDB!$F$2:$H365,3,FALSE),"")</f>
        <v/>
      </c>
      <c r="G265" s="91" t="str">
        <f>IFERROR(VLOOKUP($D265,PlayerDB!$F$2:$I365,4,FALSE),"")</f>
        <v/>
      </c>
      <c r="H265" s="38"/>
      <c r="I265" s="50" t="str">
        <f>IFERROR(__xludf.DUMMYFUNCTION("JOIN("" | "",'Team Stats'!C$13:H$13)"),"0 | 0 | 0 | 0 | 0 | 0")</f>
        <v>0 | 0 | 0 | 0 | 0 | 0</v>
      </c>
      <c r="J265" s="78" t="str">
        <f>IFERROR(__xludf.DUMMYFUNCTION("JOIN("" | "",'Team Stats'!I$6:K$6)"),"0 | 0 | 0")</f>
        <v>0 | 0 | 0</v>
      </c>
      <c r="K265" s="32"/>
      <c r="L265" s="42"/>
      <c r="M265" s="42"/>
      <c r="N265" s="42"/>
      <c r="O265" s="42"/>
      <c r="P265" s="42"/>
      <c r="Q265" s="42"/>
      <c r="R265" s="44"/>
    </row>
    <row r="266">
      <c r="A266" s="97"/>
      <c r="B266" s="34">
        <v>265.0</v>
      </c>
      <c r="C266" s="34" t="str">
        <f>'Teams &amp; Draft Order'!$C$18</f>
        <v>Nasty</v>
      </c>
      <c r="D266" s="35"/>
      <c r="E266" s="89" t="str">
        <f>IFERROR(VLOOKUP($D266,PlayerDB!$F$2:$G365,2,FALSE),"")</f>
        <v/>
      </c>
      <c r="F266" s="36" t="str">
        <f>IFERROR(VLOOKUP($D266,PlayerDB!$F$2:$H365,3,FALSE),"")</f>
        <v/>
      </c>
      <c r="G266" s="89" t="str">
        <f>IFERROR(VLOOKUP($D266,PlayerDB!$F$2:$I365,4,FALSE),"")</f>
        <v/>
      </c>
      <c r="H266" s="38"/>
      <c r="I266" s="92" t="str">
        <f>IFERROR(__xludf.DUMMYFUNCTION("JOIN("" | "",'Team Stats'!C$14:H$14)"),"0 | 0 | 0 | 0 | 0 | 0")</f>
        <v>0 | 0 | 0 | 0 | 0 | 0</v>
      </c>
      <c r="J266" s="79" t="str">
        <f>IFERROR(__xludf.DUMMYFUNCTION("JOIN("" | "",'Team Stats'!I$5:K$5)"),"0 | 0 | 0")</f>
        <v>0 | 0 | 0</v>
      </c>
      <c r="K266" s="32"/>
      <c r="L266" s="42"/>
      <c r="M266" s="42"/>
      <c r="N266" s="42"/>
      <c r="O266" s="42"/>
      <c r="P266" s="42"/>
      <c r="Q266" s="42"/>
      <c r="R266" s="44"/>
    </row>
    <row r="267">
      <c r="A267" s="96"/>
      <c r="B267" s="46">
        <v>266.0</v>
      </c>
      <c r="C267" s="46" t="str">
        <f>'Teams &amp; Draft Order'!$C$19</f>
        <v>Red Hammer</v>
      </c>
      <c r="D267" s="47"/>
      <c r="E267" s="93" t="str">
        <f>IFERROR(VLOOKUP($D267,PlayerDB!$F$2:$G365,2,FALSE),"")</f>
        <v/>
      </c>
      <c r="F267" s="57" t="str">
        <f>IFERROR(VLOOKUP($D267,PlayerDB!$F$2:$H365,3,FALSE),"")</f>
        <v/>
      </c>
      <c r="G267" s="93" t="str">
        <f>IFERROR(VLOOKUP($D267,PlayerDB!$F$2:$I365,4,FALSE),"")</f>
        <v/>
      </c>
      <c r="H267" s="38"/>
      <c r="I267" s="94" t="str">
        <f>IFERROR(__xludf.DUMMYFUNCTION("JOIN("" | "",'Team Stats'!C$15:H$15)"),"0 | 0 | 0 | 0 | 0 | 0")</f>
        <v>0 | 0 | 0 | 0 | 0 | 0</v>
      </c>
      <c r="J267" s="78" t="str">
        <f>IFERROR(__xludf.DUMMYFUNCTION("JOIN("" | "",'Team Stats'!I$4:K$4)"),"0 | 0 | 0")</f>
        <v>0 | 0 | 0</v>
      </c>
      <c r="K267" s="32"/>
      <c r="L267" s="42"/>
      <c r="M267" s="42"/>
      <c r="N267" s="42"/>
      <c r="O267" s="42"/>
      <c r="P267" s="42"/>
      <c r="Q267" s="42"/>
      <c r="R267" s="44"/>
    </row>
    <row r="268">
      <c r="A268" s="88" t="s">
        <v>104</v>
      </c>
      <c r="B268" s="73">
        <v>267.0</v>
      </c>
      <c r="C268" s="73" t="str">
        <f>'Teams &amp; Draft Order'!$C$19</f>
        <v>Red Hammer</v>
      </c>
      <c r="D268" s="74"/>
      <c r="E268" s="89" t="str">
        <f>IFERROR(VLOOKUP($D268,PlayerDB!$F$2:$G365,2,FALSE),"")</f>
        <v/>
      </c>
      <c r="F268" s="36" t="str">
        <f>IFERROR(VLOOKUP($D268,PlayerDB!$F$2:$H365,3,FALSE),"")</f>
        <v/>
      </c>
      <c r="G268" s="89" t="str">
        <f>IFERROR(VLOOKUP($D268,PlayerDB!$F$2:$I365,4,FALSE),"")</f>
        <v/>
      </c>
      <c r="H268" s="75"/>
      <c r="I268" s="95" t="str">
        <f>IFERROR(__xludf.DUMMYFUNCTION("JOIN("" | "",'Team Stats'!C$15:H$15)"),"0 | 0 | 0 | 0 | 0 | 0")</f>
        <v>0 | 0 | 0 | 0 | 0 | 0</v>
      </c>
      <c r="J268" s="79" t="str">
        <f>IFERROR(__xludf.DUMMYFUNCTION("JOIN("" | "",'Team Stats'!I$3:K$3)"),"0 | 0 | 0")</f>
        <v>0 | 0 | 0</v>
      </c>
      <c r="K268" s="32"/>
      <c r="L268" s="42"/>
      <c r="M268" s="42"/>
      <c r="N268" s="42"/>
      <c r="O268" s="42"/>
      <c r="P268" s="42"/>
      <c r="Q268" s="42"/>
      <c r="R268" s="44"/>
    </row>
    <row r="269">
      <c r="A269" s="96"/>
      <c r="B269" s="46">
        <v>268.0</v>
      </c>
      <c r="C269" s="46" t="str">
        <f>'Teams &amp; Draft Order'!$C$18</f>
        <v>Nasty</v>
      </c>
      <c r="D269" s="47"/>
      <c r="E269" s="91" t="str">
        <f>IFERROR(VLOOKUP($D269,PlayerDB!$F$2:$G365,2,FALSE),"")</f>
        <v/>
      </c>
      <c r="F269" s="48" t="str">
        <f>IFERROR(VLOOKUP($D269,PlayerDB!$F$2:$H365,3,FALSE),"")</f>
        <v/>
      </c>
      <c r="G269" s="91" t="str">
        <f>IFERROR(VLOOKUP($D269,PlayerDB!$F$2:$I365,4,FALSE),"")</f>
        <v/>
      </c>
      <c r="H269" s="38"/>
      <c r="I269" s="94" t="str">
        <f>IFERROR(__xludf.DUMMYFUNCTION("JOIN("" | "",'Team Stats'!C$14:H$14)"),"0 | 0 | 0 | 0 | 0 | 0")</f>
        <v>0 | 0 | 0 | 0 | 0 | 0</v>
      </c>
      <c r="J269" s="80" t="str">
        <f>IFERROR(__xludf.DUMMYFUNCTION("JOIN("" | "",'Team Stats'!I$2:K$2)"),"0 | 0 | 0")</f>
        <v>0 | 0 | 0</v>
      </c>
      <c r="K269" s="32"/>
      <c r="L269" s="42"/>
      <c r="M269" s="42"/>
      <c r="N269" s="42"/>
      <c r="O269" s="42"/>
      <c r="P269" s="42"/>
      <c r="Q269" s="42"/>
      <c r="R269" s="44"/>
    </row>
    <row r="270">
      <c r="A270" s="97"/>
      <c r="B270" s="34">
        <v>269.0</v>
      </c>
      <c r="C270" s="34" t="str">
        <f>'Teams &amp; Draft Order'!$C$17</f>
        <v>DD Riders</v>
      </c>
      <c r="D270" s="35"/>
      <c r="E270" s="89" t="str">
        <f>IFERROR(VLOOKUP($D270,PlayerDB!$F$2:$G365,2,FALSE),"")</f>
        <v/>
      </c>
      <c r="F270" s="36" t="str">
        <f>IFERROR(VLOOKUP($D270,PlayerDB!$F$2:$H365,3,FALSE),"")</f>
        <v/>
      </c>
      <c r="G270" s="89" t="str">
        <f>IFERROR(VLOOKUP($D270,PlayerDB!$F$2:$I365,4,FALSE),"")</f>
        <v/>
      </c>
      <c r="H270" s="38"/>
      <c r="I270" s="39" t="str">
        <f>IFERROR(__xludf.DUMMYFUNCTION("JOIN("" | "",'Team Stats'!C$13:H$13)"),"0 | 0 | 0 | 0 | 0 | 0")</f>
        <v>0 | 0 | 0 | 0 | 0 | 0</v>
      </c>
      <c r="J270" s="77" t="str">
        <f>IFERROR(__xludf.DUMMYFUNCTION("JOIN("" | "",'Team Stats'!I$2:K$2)"),"0 | 0 | 0")</f>
        <v>0 | 0 | 0</v>
      </c>
      <c r="K270" s="32"/>
      <c r="L270" s="42"/>
      <c r="M270" s="42"/>
      <c r="N270" s="42"/>
      <c r="O270" s="42"/>
      <c r="P270" s="42"/>
      <c r="Q270" s="42"/>
      <c r="R270" s="44"/>
    </row>
    <row r="271">
      <c r="A271" s="96"/>
      <c r="B271" s="46">
        <v>270.0</v>
      </c>
      <c r="C271" s="46" t="str">
        <f>'Teams &amp; Draft Order'!$C$16</f>
        <v>TDs and Beers</v>
      </c>
      <c r="D271" s="47"/>
      <c r="E271" s="91" t="str">
        <f>IFERROR(VLOOKUP($D271,PlayerDB!$F$2:$G365,2,FALSE),"")</f>
        <v/>
      </c>
      <c r="F271" s="48" t="str">
        <f>IFERROR(VLOOKUP($D271,PlayerDB!$F$2:$H365,3,FALSE),"")</f>
        <v/>
      </c>
      <c r="G271" s="91" t="str">
        <f>IFERROR(VLOOKUP($D271,PlayerDB!$F$2:$I365,4,FALSE),"")</f>
        <v/>
      </c>
      <c r="H271" s="38"/>
      <c r="I271" s="50" t="str">
        <f>IFERROR(__xludf.DUMMYFUNCTION("JOIN("" | "",'Team Stats'!C$12:H$12)"),"0 | 0 | 0 | 0 | 0 | 0")</f>
        <v>0 | 0 | 0 | 0 | 0 | 0</v>
      </c>
      <c r="J271" s="78" t="str">
        <f>IFERROR(__xludf.DUMMYFUNCTION("JOIN("" | "",'Team Stats'!I$3:K$3)"),"0 | 0 | 0")</f>
        <v>0 | 0 | 0</v>
      </c>
      <c r="K271" s="32"/>
      <c r="L271" s="42"/>
      <c r="M271" s="42"/>
      <c r="N271" s="42"/>
      <c r="O271" s="42"/>
      <c r="P271" s="42"/>
      <c r="Q271" s="42"/>
      <c r="R271" s="44"/>
    </row>
    <row r="272">
      <c r="A272" s="97"/>
      <c r="B272" s="34">
        <v>271.0</v>
      </c>
      <c r="C272" s="34" t="str">
        <f>'Teams &amp; Draft Order'!$C$15</f>
        <v>Daddy's Dogs</v>
      </c>
      <c r="D272" s="35"/>
      <c r="E272" s="89" t="str">
        <f>IFERROR(VLOOKUP($D272,PlayerDB!$F$2:$G365,2,FALSE),"")</f>
        <v/>
      </c>
      <c r="F272" s="36" t="str">
        <f>IFERROR(VLOOKUP($D272,PlayerDB!$F$2:$H365,3,FALSE),"")</f>
        <v/>
      </c>
      <c r="G272" s="89" t="str">
        <f>IFERROR(VLOOKUP($D272,PlayerDB!$F$2:$I365,4,FALSE),"")</f>
        <v/>
      </c>
      <c r="H272" s="38"/>
      <c r="I272" s="39" t="str">
        <f>IFERROR(__xludf.DUMMYFUNCTION("JOIN("" | "",'Team Stats'!C$11:H$11)"),"0 | 0 | 0 | 0 | 0 | 0")</f>
        <v>0 | 0 | 0 | 0 | 0 | 0</v>
      </c>
      <c r="J272" s="79" t="str">
        <f>IFERROR(__xludf.DUMMYFUNCTION("JOIN("" | "",'Team Stats'!I$4:K$4)"),"0 | 0 | 0")</f>
        <v>0 | 0 | 0</v>
      </c>
      <c r="K272" s="32"/>
      <c r="L272" s="42"/>
      <c r="M272" s="42"/>
      <c r="N272" s="42"/>
      <c r="O272" s="42"/>
      <c r="P272" s="42"/>
      <c r="Q272" s="42"/>
      <c r="R272" s="44"/>
    </row>
    <row r="273">
      <c r="A273" s="96"/>
      <c r="B273" s="46">
        <v>272.0</v>
      </c>
      <c r="C273" s="46" t="str">
        <f>'Teams &amp; Draft Order'!$C$14</f>
        <v>Achaians</v>
      </c>
      <c r="D273" s="47"/>
      <c r="E273" s="91" t="str">
        <f>IFERROR(VLOOKUP($D273,PlayerDB!$F$2:$G365,2,FALSE),"")</f>
        <v/>
      </c>
      <c r="F273" s="48" t="str">
        <f>IFERROR(VLOOKUP($D273,PlayerDB!$F$2:$H365,3,FALSE),"")</f>
        <v/>
      </c>
      <c r="G273" s="91" t="str">
        <f>IFERROR(VLOOKUP($D273,PlayerDB!$F$2:$I365,4,FALSE),"")</f>
        <v/>
      </c>
      <c r="H273" s="38"/>
      <c r="I273" s="50" t="str">
        <f>IFERROR(__xludf.DUMMYFUNCTION("JOIN("" | "",'Team Stats'!C$10:H$10)"),"0 | 0 | 0 | 0 | 0 | 0")</f>
        <v>0 | 0 | 0 | 0 | 0 | 0</v>
      </c>
      <c r="J273" s="78" t="str">
        <f>IFERROR(__xludf.DUMMYFUNCTION("JOIN("" | "",'Team Stats'!I$5:K$5)"),"0 | 0 | 0")</f>
        <v>0 | 0 | 0</v>
      </c>
      <c r="K273" s="32"/>
      <c r="L273" s="42"/>
      <c r="M273" s="42"/>
      <c r="N273" s="42"/>
      <c r="O273" s="42"/>
      <c r="P273" s="42"/>
      <c r="Q273" s="42"/>
      <c r="R273" s="44"/>
    </row>
    <row r="274">
      <c r="A274" s="97"/>
      <c r="B274" s="34">
        <v>273.0</v>
      </c>
      <c r="C274" s="34" t="str">
        <f>'Teams &amp; Draft Order'!$C$13</f>
        <v>Luddite</v>
      </c>
      <c r="D274" s="35"/>
      <c r="E274" s="89" t="str">
        <f>IFERROR(VLOOKUP($D274,PlayerDB!$F$2:$G365,2,FALSE),"")</f>
        <v/>
      </c>
      <c r="F274" s="36" t="str">
        <f>IFERROR(VLOOKUP($D274,PlayerDB!$F$2:$H365,3,FALSE),"")</f>
        <v/>
      </c>
      <c r="G274" s="89" t="str">
        <f>IFERROR(VLOOKUP($D274,PlayerDB!$F$2:$I365,4,FALSE),"")</f>
        <v/>
      </c>
      <c r="H274" s="38"/>
      <c r="I274" s="39" t="str">
        <f>IFERROR(__xludf.DUMMYFUNCTION("JOIN("" | "",'Team Stats'!C$9:H$9)"),"0 | 0 | 0 | 0 | 0 | 0")</f>
        <v>0 | 0 | 0 | 0 | 0 | 0</v>
      </c>
      <c r="J274" s="79" t="str">
        <f>IFERROR(__xludf.DUMMYFUNCTION("JOIN("" | "",'Team Stats'!I$6:K$6)"),"0 | 0 | 0")</f>
        <v>0 | 0 | 0</v>
      </c>
      <c r="K274" s="32"/>
      <c r="L274" s="42"/>
      <c r="M274" s="42"/>
      <c r="N274" s="42"/>
      <c r="O274" s="42"/>
      <c r="P274" s="42"/>
      <c r="Q274" s="42"/>
      <c r="R274" s="44"/>
    </row>
    <row r="275">
      <c r="A275" s="96"/>
      <c r="B275" s="46">
        <v>274.0</v>
      </c>
      <c r="C275" s="46" t="str">
        <f>'Teams &amp; Draft Order'!$C$12</f>
        <v>Turbo-Ginz</v>
      </c>
      <c r="D275" s="47"/>
      <c r="E275" s="91" t="str">
        <f>IFERROR(VLOOKUP($D275,PlayerDB!$F$2:$G365,2,FALSE),"")</f>
        <v/>
      </c>
      <c r="F275" s="48" t="str">
        <f>IFERROR(VLOOKUP($D275,PlayerDB!$F$2:$H365,3,FALSE),"")</f>
        <v/>
      </c>
      <c r="G275" s="91" t="str">
        <f>IFERROR(VLOOKUP($D275,PlayerDB!$F$2:$I365,4,FALSE),"")</f>
        <v/>
      </c>
      <c r="H275" s="38"/>
      <c r="I275" s="50" t="str">
        <f>IFERROR(__xludf.DUMMYFUNCTION("JOIN("" | "",'Team Stats'!C$8:H$8)"),"0 | 0 | 0 | 0 | 0 | 0")</f>
        <v>0 | 0 | 0 | 0 | 0 | 0</v>
      </c>
      <c r="J275" s="78" t="str">
        <f>IFERROR(__xludf.DUMMYFUNCTION("JOIN("" | "",'Team Stats'!I$7:K$7)"),"0 | 0 | 0")</f>
        <v>0 | 0 | 0</v>
      </c>
      <c r="K275" s="32"/>
      <c r="L275" s="42"/>
      <c r="M275" s="42"/>
      <c r="N275" s="42"/>
      <c r="O275" s="42"/>
      <c r="P275" s="42"/>
      <c r="Q275" s="42"/>
      <c r="R275" s="44"/>
    </row>
    <row r="276">
      <c r="A276" s="97"/>
      <c r="B276" s="34">
        <v>275.0</v>
      </c>
      <c r="C276" s="34" t="str">
        <f>'Teams &amp; Draft Order'!$C$11</f>
        <v>Big Boys Big Work</v>
      </c>
      <c r="D276" s="35"/>
      <c r="E276" s="89" t="str">
        <f>IFERROR(VLOOKUP($D276,PlayerDB!$F$2:$G365,2,FALSE),"")</f>
        <v/>
      </c>
      <c r="F276" s="36" t="str">
        <f>IFERROR(VLOOKUP($D276,PlayerDB!$F$2:$H365,3,FALSE),"")</f>
        <v/>
      </c>
      <c r="G276" s="89" t="str">
        <f>IFERROR(VLOOKUP($D276,PlayerDB!$F$2:$I365,4,FALSE),"")</f>
        <v/>
      </c>
      <c r="H276" s="38"/>
      <c r="I276" s="39" t="str">
        <f>IFERROR(__xludf.DUMMYFUNCTION("JOIN("" | "",'Team Stats'!C$7:H$7)"),"0 | 0 | 0 | 0 | 0 | 0")</f>
        <v>0 | 0 | 0 | 0 | 0 | 0</v>
      </c>
      <c r="J276" s="79" t="str">
        <f>IFERROR(__xludf.DUMMYFUNCTION("JOIN("" | "",'Team Stats'!I$8:K$8)"),"0 | 0 | 0")</f>
        <v>0 | 0 | 0</v>
      </c>
      <c r="K276" s="32"/>
      <c r="L276" s="42"/>
      <c r="M276" s="42"/>
      <c r="N276" s="42"/>
      <c r="O276" s="42"/>
      <c r="P276" s="42"/>
      <c r="Q276" s="42"/>
      <c r="R276" s="44"/>
    </row>
    <row r="277">
      <c r="A277" s="96"/>
      <c r="B277" s="46">
        <v>276.0</v>
      </c>
      <c r="C277" s="46" t="str">
        <f>'Teams &amp; Draft Order'!$C$10</f>
        <v>Buttheads</v>
      </c>
      <c r="D277" s="47"/>
      <c r="E277" s="91" t="str">
        <f>IFERROR(VLOOKUP($D277,PlayerDB!$F$2:$G365,2,FALSE),"")</f>
        <v/>
      </c>
      <c r="F277" s="48" t="str">
        <f>IFERROR(VLOOKUP($D277,PlayerDB!$F$2:$H365,3,FALSE),"")</f>
        <v/>
      </c>
      <c r="G277" s="91" t="str">
        <f>IFERROR(VLOOKUP($D277,PlayerDB!$F$2:$I365,4,FALSE),"")</f>
        <v/>
      </c>
      <c r="H277" s="38"/>
      <c r="I277" s="50" t="str">
        <f>IFERROR(__xludf.DUMMYFUNCTION("JOIN("" | "",'Team Stats'!C$6:H$6)"),"0 | 0 | 0 | 0 | 0 | 0")</f>
        <v>0 | 0 | 0 | 0 | 0 | 0</v>
      </c>
      <c r="J277" s="78" t="str">
        <f>IFERROR(__xludf.DUMMYFUNCTION("JOIN("" | "",'Team Stats'!I$9:K$9)"),"0 | 0 | 0")</f>
        <v>0 | 0 | 0</v>
      </c>
      <c r="K277" s="32"/>
      <c r="L277" s="42"/>
      <c r="M277" s="42"/>
      <c r="N277" s="42"/>
      <c r="O277" s="42"/>
      <c r="P277" s="42"/>
      <c r="Q277" s="42"/>
      <c r="R277" s="44"/>
    </row>
    <row r="278">
      <c r="A278" s="97"/>
      <c r="B278" s="34">
        <v>277.0</v>
      </c>
      <c r="C278" s="34" t="str">
        <f>'Teams &amp; Draft Order'!$C$9</f>
        <v>El Nino</v>
      </c>
      <c r="D278" s="35"/>
      <c r="E278" s="89" t="str">
        <f>IFERROR(VLOOKUP($D278,PlayerDB!$F$2:$G365,2,FALSE),"")</f>
        <v/>
      </c>
      <c r="F278" s="36" t="str">
        <f>IFERROR(VLOOKUP($D278,PlayerDB!$F$2:$H365,3,FALSE),"")</f>
        <v/>
      </c>
      <c r="G278" s="89" t="str">
        <f>IFERROR(VLOOKUP($D278,PlayerDB!$F$2:$I365,4,FALSE),"")</f>
        <v/>
      </c>
      <c r="H278" s="38"/>
      <c r="I278" s="39" t="str">
        <f>IFERROR(__xludf.DUMMYFUNCTION("JOIN("" | "",'Team Stats'!C$5:H$5)"),"0 | 0 | 0 | 0 | 0 | 0")</f>
        <v>0 | 0 | 0 | 0 | 0 | 0</v>
      </c>
      <c r="J278" s="79" t="str">
        <f>IFERROR(__xludf.DUMMYFUNCTION("JOIN("" | "",'Team Stats'!I$10:K$10)"),"0 | 0 | 0")</f>
        <v>0 | 0 | 0</v>
      </c>
      <c r="K278" s="32"/>
      <c r="L278" s="42"/>
      <c r="M278" s="42"/>
      <c r="N278" s="42"/>
      <c r="O278" s="42"/>
      <c r="P278" s="42"/>
      <c r="Q278" s="42"/>
      <c r="R278" s="44"/>
    </row>
    <row r="279">
      <c r="A279" s="96"/>
      <c r="B279" s="46">
        <v>278.0</v>
      </c>
      <c r="C279" s="46" t="str">
        <f>'Teams &amp; Draft Order'!$C$8</f>
        <v>Icelanders</v>
      </c>
      <c r="D279" s="47"/>
      <c r="E279" s="91" t="str">
        <f>IFERROR(VLOOKUP($D279,PlayerDB!$F$2:$G365,2,FALSE),"")</f>
        <v/>
      </c>
      <c r="F279" s="48" t="str">
        <f>IFERROR(VLOOKUP($D279,PlayerDB!$F$2:$H365,3,FALSE),"")</f>
        <v/>
      </c>
      <c r="G279" s="91" t="str">
        <f>IFERROR(VLOOKUP($D279,PlayerDB!$F$2:$I365,4,FALSE),"")</f>
        <v/>
      </c>
      <c r="H279" s="38"/>
      <c r="I279" s="50" t="str">
        <f>IFERROR(__xludf.DUMMYFUNCTION("JOIN("" | "",'Team Stats'!C$4:H$4)"),"0 | 0 | 0 | 0 | 0 | 0")</f>
        <v>0 | 0 | 0 | 0 | 0 | 0</v>
      </c>
      <c r="J279" s="78" t="str">
        <f>IFERROR(__xludf.DUMMYFUNCTION("JOIN("" | "",'Team Stats'!I$11:K$11)"),"0 | 0 | 0")</f>
        <v>0 | 0 | 0</v>
      </c>
      <c r="K279" s="32"/>
      <c r="L279" s="42"/>
      <c r="M279" s="42"/>
      <c r="N279" s="42"/>
      <c r="O279" s="42"/>
      <c r="P279" s="42"/>
      <c r="Q279" s="42"/>
      <c r="R279" s="44"/>
    </row>
    <row r="280">
      <c r="A280" s="97"/>
      <c r="B280" s="34">
        <v>279.0</v>
      </c>
      <c r="C280" s="34" t="str">
        <f>'Teams &amp; Draft Order'!$C$7</f>
        <v>Phantasm</v>
      </c>
      <c r="D280" s="35"/>
      <c r="E280" s="89" t="str">
        <f>IFERROR(VLOOKUP($D280,PlayerDB!$F$2:$G365,2,FALSE),"")</f>
        <v/>
      </c>
      <c r="F280" s="36" t="str">
        <f>IFERROR(VLOOKUP($D280,PlayerDB!$F$2:$H365,3,FALSE),"")</f>
        <v/>
      </c>
      <c r="G280" s="89" t="str">
        <f>IFERROR(VLOOKUP($D280,PlayerDB!$F$2:$I365,4,FALSE),"")</f>
        <v/>
      </c>
      <c r="H280" s="38"/>
      <c r="I280" s="39" t="str">
        <f>IFERROR(__xludf.DUMMYFUNCTION("JOIN("" | "",'Team Stats'!C$3:H$3)"),"0 | 0 | 0 | 0 | 0 | 0")</f>
        <v>0 | 0 | 0 | 0 | 0 | 0</v>
      </c>
      <c r="J280" s="79" t="str">
        <f>IFERROR(__xludf.DUMMYFUNCTION("JOIN("" | "",'Team Stats'!I$12:K$12)"),"0 | 0 | 0")</f>
        <v>0 | 0 | 0</v>
      </c>
      <c r="K280" s="32"/>
      <c r="L280" s="42"/>
      <c r="M280" s="42"/>
      <c r="N280" s="42"/>
      <c r="O280" s="42"/>
      <c r="P280" s="42"/>
      <c r="Q280" s="42"/>
      <c r="R280" s="44"/>
    </row>
    <row r="281">
      <c r="A281" s="99"/>
      <c r="B281" s="55">
        <v>280.0</v>
      </c>
      <c r="C281" s="55" t="str">
        <f>'Teams &amp; Draft Order'!$C$6</f>
        <v>Sleeper Cell </v>
      </c>
      <c r="D281" s="56"/>
      <c r="E281" s="93" t="str">
        <f>IFERROR(VLOOKUP($D281,PlayerDB!$F$2:$G365,2,FALSE),"")</f>
        <v/>
      </c>
      <c r="F281" s="57" t="str">
        <f>IFERROR(VLOOKUP($D281,PlayerDB!$F$2:$H365,3,FALSE),"")</f>
        <v/>
      </c>
      <c r="G281" s="93" t="str">
        <f>IFERROR(VLOOKUP($D281,PlayerDB!$F$2:$I365,4,FALSE),"")</f>
        <v/>
      </c>
      <c r="H281" s="59"/>
      <c r="I281" s="60" t="str">
        <f>IFERROR(__xludf.DUMMYFUNCTION("JOIN("" | "",'Team Stats'!C$2:H$2)"),"1 | 0 | 0 | 0 | 0 | 0")</f>
        <v>1 | 0 | 0 | 0 | 0 | 0</v>
      </c>
      <c r="J281" s="78" t="str">
        <f>IFERROR(__xludf.DUMMYFUNCTION("JOIN("" | "",'Team Stats'!I$13:K$13)"),"0 | 0 | 0")</f>
        <v>0 | 0 | 0</v>
      </c>
      <c r="K281" s="32"/>
      <c r="L281" s="42"/>
      <c r="M281" s="42"/>
      <c r="N281" s="42"/>
      <c r="O281" s="42"/>
      <c r="P281" s="42"/>
      <c r="Q281" s="42"/>
      <c r="R281" s="44"/>
    </row>
    <row r="282">
      <c r="A282" s="88" t="s">
        <v>105</v>
      </c>
      <c r="B282" s="73">
        <v>281.0</v>
      </c>
      <c r="C282" s="73" t="str">
        <f>'Teams &amp; Draft Order'!$C$6</f>
        <v>Sleeper Cell </v>
      </c>
      <c r="D282" s="74"/>
      <c r="E282" s="89" t="str">
        <f>IFERROR(VLOOKUP($D282,PlayerDB!$F$2:$G365,2,FALSE),"")</f>
        <v/>
      </c>
      <c r="F282" s="36" t="str">
        <f>IFERROR(VLOOKUP($D282,PlayerDB!$F$2:$H365,3,FALSE),"")</f>
        <v/>
      </c>
      <c r="G282" s="89" t="str">
        <f>IFERROR(VLOOKUP($D282,PlayerDB!$F$2:$I365,4,FALSE),"")</f>
        <v/>
      </c>
      <c r="H282" s="75"/>
      <c r="I282" s="76" t="str">
        <f>IFERROR(__xludf.DUMMYFUNCTION("JOIN("" | "",'Team Stats'!C$2:H$2)"),"1 | 0 | 0 | 0 | 0 | 0")</f>
        <v>1 | 0 | 0 | 0 | 0 | 0</v>
      </c>
      <c r="J282" s="77" t="str">
        <f>IFERROR(__xludf.DUMMYFUNCTION("JOIN("" | "",'Team Stats'!I$13:K$13)"),"0 | 0 | 0")</f>
        <v>0 | 0 | 0</v>
      </c>
      <c r="K282" s="32"/>
      <c r="L282" s="42"/>
      <c r="M282" s="42"/>
      <c r="N282" s="42"/>
      <c r="O282" s="42"/>
      <c r="P282" s="42"/>
      <c r="Q282" s="42"/>
      <c r="R282" s="44"/>
    </row>
    <row r="283">
      <c r="A283" s="96"/>
      <c r="B283" s="46">
        <v>282.0</v>
      </c>
      <c r="C283" s="46" t="str">
        <f>'Teams &amp; Draft Order'!$C$7</f>
        <v>Phantasm</v>
      </c>
      <c r="D283" s="47"/>
      <c r="E283" s="91" t="str">
        <f>IFERROR(VLOOKUP($D283,PlayerDB!$F$2:$G365,2,FALSE),"")</f>
        <v/>
      </c>
      <c r="F283" s="48" t="str">
        <f>IFERROR(VLOOKUP($D283,PlayerDB!$F$2:$H365,3,FALSE),"")</f>
        <v/>
      </c>
      <c r="G283" s="91" t="str">
        <f>IFERROR(VLOOKUP($D283,PlayerDB!$F$2:$I365,4,FALSE),"")</f>
        <v/>
      </c>
      <c r="H283" s="38"/>
      <c r="I283" s="50" t="str">
        <f>IFERROR(__xludf.DUMMYFUNCTION("JOIN("" | "",'Team Stats'!C$3:H$3)"),"0 | 0 | 0 | 0 | 0 | 0")</f>
        <v>0 | 0 | 0 | 0 | 0 | 0</v>
      </c>
      <c r="J283" s="78" t="str">
        <f>IFERROR(__xludf.DUMMYFUNCTION("JOIN("" | "",'Team Stats'!I$12:K$12)"),"0 | 0 | 0")</f>
        <v>0 | 0 | 0</v>
      </c>
      <c r="K283" s="32"/>
      <c r="L283" s="42"/>
      <c r="M283" s="42"/>
      <c r="N283" s="42"/>
      <c r="O283" s="42"/>
      <c r="P283" s="42"/>
      <c r="Q283" s="42"/>
      <c r="R283" s="44"/>
    </row>
    <row r="284">
      <c r="A284" s="97"/>
      <c r="B284" s="34">
        <v>283.0</v>
      </c>
      <c r="C284" s="34" t="str">
        <f>'Teams &amp; Draft Order'!$C$8</f>
        <v>Icelanders</v>
      </c>
      <c r="D284" s="35"/>
      <c r="E284" s="89" t="str">
        <f>IFERROR(VLOOKUP($D284,PlayerDB!$F$2:$G365,2,FALSE),"")</f>
        <v/>
      </c>
      <c r="F284" s="36" t="str">
        <f>IFERROR(VLOOKUP($D284,PlayerDB!$F$2:$H365,3,FALSE),"")</f>
        <v/>
      </c>
      <c r="G284" s="89" t="str">
        <f>IFERROR(VLOOKUP($D284,PlayerDB!$F$2:$I365,4,FALSE),"")</f>
        <v/>
      </c>
      <c r="H284" s="38"/>
      <c r="I284" s="39" t="str">
        <f>IFERROR(__xludf.DUMMYFUNCTION("JOIN("" | "",'Team Stats'!C$4:H$4)"),"0 | 0 | 0 | 0 | 0 | 0")</f>
        <v>0 | 0 | 0 | 0 | 0 | 0</v>
      </c>
      <c r="J284" s="79" t="str">
        <f>IFERROR(__xludf.DUMMYFUNCTION("JOIN("" | "",'Team Stats'!I$11:K$11)"),"0 | 0 | 0")</f>
        <v>0 | 0 | 0</v>
      </c>
      <c r="K284" s="32"/>
      <c r="L284" s="42"/>
      <c r="M284" s="42"/>
      <c r="N284" s="42"/>
      <c r="O284" s="42"/>
      <c r="P284" s="42"/>
      <c r="Q284" s="42"/>
      <c r="R284" s="44"/>
    </row>
    <row r="285">
      <c r="A285" s="96"/>
      <c r="B285" s="46">
        <v>284.0</v>
      </c>
      <c r="C285" s="46" t="str">
        <f>'Teams &amp; Draft Order'!$C$9</f>
        <v>El Nino</v>
      </c>
      <c r="D285" s="47"/>
      <c r="E285" s="91" t="str">
        <f>IFERROR(VLOOKUP($D285,PlayerDB!$F$2:$G365,2,FALSE),"")</f>
        <v/>
      </c>
      <c r="F285" s="48" t="str">
        <f>IFERROR(VLOOKUP($D285,PlayerDB!$F$2:$H365,3,FALSE),"")</f>
        <v/>
      </c>
      <c r="G285" s="91" t="str">
        <f>IFERROR(VLOOKUP($D285,PlayerDB!$F$2:$I365,4,FALSE),"")</f>
        <v/>
      </c>
      <c r="H285" s="38"/>
      <c r="I285" s="50" t="str">
        <f>IFERROR(__xludf.DUMMYFUNCTION("JOIN("" | "",'Team Stats'!C$5:H$5)"),"0 | 0 | 0 | 0 | 0 | 0")</f>
        <v>0 | 0 | 0 | 0 | 0 | 0</v>
      </c>
      <c r="J285" s="78" t="str">
        <f>IFERROR(__xludf.DUMMYFUNCTION("JOIN("" | "",'Team Stats'!I$10:K$10)"),"0 | 0 | 0")</f>
        <v>0 | 0 | 0</v>
      </c>
      <c r="K285" s="32"/>
      <c r="L285" s="42"/>
      <c r="M285" s="42"/>
      <c r="N285" s="42"/>
      <c r="O285" s="42"/>
      <c r="P285" s="42"/>
      <c r="Q285" s="42"/>
      <c r="R285" s="44"/>
    </row>
    <row r="286">
      <c r="A286" s="97"/>
      <c r="B286" s="34">
        <v>285.0</v>
      </c>
      <c r="C286" s="34" t="str">
        <f>'Teams &amp; Draft Order'!$C$10</f>
        <v>Buttheads</v>
      </c>
      <c r="D286" s="35"/>
      <c r="E286" s="89" t="str">
        <f>IFERROR(VLOOKUP($D286,PlayerDB!$F$2:$G365,2,FALSE),"")</f>
        <v/>
      </c>
      <c r="F286" s="36" t="str">
        <f>IFERROR(VLOOKUP($D286,PlayerDB!$F$2:$H365,3,FALSE),"")</f>
        <v/>
      </c>
      <c r="G286" s="89" t="str">
        <f>IFERROR(VLOOKUP($D286,PlayerDB!$F$2:$I365,4,FALSE),"")</f>
        <v/>
      </c>
      <c r="H286" s="38"/>
      <c r="I286" s="39" t="str">
        <f>IFERROR(__xludf.DUMMYFUNCTION("JOIN("" | "",'Team Stats'!C$6:H$6)"),"0 | 0 | 0 | 0 | 0 | 0")</f>
        <v>0 | 0 | 0 | 0 | 0 | 0</v>
      </c>
      <c r="J286" s="79" t="str">
        <f>IFERROR(__xludf.DUMMYFUNCTION("JOIN("" | "",'Team Stats'!I$9:K$9)"),"0 | 0 | 0")</f>
        <v>0 | 0 | 0</v>
      </c>
      <c r="K286" s="32"/>
      <c r="L286" s="42"/>
      <c r="M286" s="42"/>
      <c r="N286" s="42"/>
      <c r="O286" s="42"/>
      <c r="P286" s="42"/>
      <c r="Q286" s="42"/>
      <c r="R286" s="44"/>
    </row>
    <row r="287">
      <c r="A287" s="96"/>
      <c r="B287" s="46">
        <v>286.0</v>
      </c>
      <c r="C287" s="46" t="str">
        <f>'Teams &amp; Draft Order'!$C$11</f>
        <v>Big Boys Big Work</v>
      </c>
      <c r="D287" s="47"/>
      <c r="E287" s="91" t="str">
        <f>IFERROR(VLOOKUP($D287,PlayerDB!$F$2:$G365,2,FALSE),"")</f>
        <v/>
      </c>
      <c r="F287" s="48" t="str">
        <f>IFERROR(VLOOKUP($D287,PlayerDB!$F$2:$H365,3,FALSE),"")</f>
        <v/>
      </c>
      <c r="G287" s="91" t="str">
        <f>IFERROR(VLOOKUP($D287,PlayerDB!$F$2:$I365,4,FALSE),"")</f>
        <v/>
      </c>
      <c r="H287" s="38"/>
      <c r="I287" s="50" t="str">
        <f>IFERROR(__xludf.DUMMYFUNCTION("JOIN("" | "",'Team Stats'!C$7:H$7)"),"0 | 0 | 0 | 0 | 0 | 0")</f>
        <v>0 | 0 | 0 | 0 | 0 | 0</v>
      </c>
      <c r="J287" s="78" t="str">
        <f>IFERROR(__xludf.DUMMYFUNCTION("JOIN("" | "",'Team Stats'!I$8:K$8)"),"0 | 0 | 0")</f>
        <v>0 | 0 | 0</v>
      </c>
      <c r="K287" s="32"/>
      <c r="L287" s="42"/>
      <c r="M287" s="42"/>
      <c r="N287" s="42"/>
      <c r="O287" s="42"/>
      <c r="P287" s="42"/>
      <c r="Q287" s="42"/>
      <c r="R287" s="44"/>
    </row>
    <row r="288">
      <c r="A288" s="97"/>
      <c r="B288" s="34">
        <v>287.0</v>
      </c>
      <c r="C288" s="34" t="str">
        <f>'Teams &amp; Draft Order'!$C$12</f>
        <v>Turbo-Ginz</v>
      </c>
      <c r="D288" s="35"/>
      <c r="E288" s="89" t="str">
        <f>IFERROR(VLOOKUP($D288,PlayerDB!$F$2:$G365,2,FALSE),"")</f>
        <v/>
      </c>
      <c r="F288" s="36" t="str">
        <f>IFERROR(VLOOKUP($D288,PlayerDB!$F$2:$H365,3,FALSE),"")</f>
        <v/>
      </c>
      <c r="G288" s="89" t="str">
        <f>IFERROR(VLOOKUP($D288,PlayerDB!$F$2:$I365,4,FALSE),"")</f>
        <v/>
      </c>
      <c r="H288" s="38"/>
      <c r="I288" s="39" t="str">
        <f>IFERROR(__xludf.DUMMYFUNCTION("JOIN("" | "",'Team Stats'!C$8:H$8)"),"0 | 0 | 0 | 0 | 0 | 0")</f>
        <v>0 | 0 | 0 | 0 | 0 | 0</v>
      </c>
      <c r="J288" s="79" t="str">
        <f>IFERROR(__xludf.DUMMYFUNCTION("JOIN("" | "",'Team Stats'!I$7:K$7)"),"0 | 0 | 0")</f>
        <v>0 | 0 | 0</v>
      </c>
      <c r="K288" s="32"/>
      <c r="L288" s="42"/>
      <c r="M288" s="42"/>
      <c r="N288" s="42"/>
      <c r="O288" s="42"/>
      <c r="P288" s="42"/>
      <c r="Q288" s="42"/>
      <c r="R288" s="44"/>
    </row>
    <row r="289">
      <c r="A289" s="96"/>
      <c r="B289" s="46">
        <v>288.0</v>
      </c>
      <c r="C289" s="46" t="str">
        <f>'Teams &amp; Draft Order'!$C$13</f>
        <v>Luddite</v>
      </c>
      <c r="D289" s="47"/>
      <c r="E289" s="91" t="str">
        <f>IFERROR(VLOOKUP($D289,PlayerDB!$F$2:$G365,2,FALSE),"")</f>
        <v/>
      </c>
      <c r="F289" s="48" t="str">
        <f>IFERROR(VLOOKUP($D289,PlayerDB!$F$2:$H365,3,FALSE),"")</f>
        <v/>
      </c>
      <c r="G289" s="91" t="str">
        <f>IFERROR(VLOOKUP($D289,PlayerDB!$F$2:$I365,4,FALSE),"")</f>
        <v/>
      </c>
      <c r="H289" s="38"/>
      <c r="I289" s="50" t="str">
        <f>IFERROR(__xludf.DUMMYFUNCTION("JOIN("" | "",'Team Stats'!C$9:H$9)"),"0 | 0 | 0 | 0 | 0 | 0")</f>
        <v>0 | 0 | 0 | 0 | 0 | 0</v>
      </c>
      <c r="J289" s="78" t="str">
        <f>IFERROR(__xludf.DUMMYFUNCTION("JOIN("" | "",'Team Stats'!I$6:K$6)"),"0 | 0 | 0")</f>
        <v>0 | 0 | 0</v>
      </c>
      <c r="K289" s="32"/>
      <c r="L289" s="42"/>
      <c r="M289" s="42"/>
      <c r="N289" s="42"/>
      <c r="O289" s="42"/>
      <c r="P289" s="42"/>
      <c r="Q289" s="42"/>
      <c r="R289" s="44"/>
    </row>
    <row r="290">
      <c r="A290" s="97"/>
      <c r="B290" s="34">
        <v>289.0</v>
      </c>
      <c r="C290" s="34" t="str">
        <f>'Teams &amp; Draft Order'!$C$14</f>
        <v>Achaians</v>
      </c>
      <c r="D290" s="35"/>
      <c r="E290" s="89" t="str">
        <f>IFERROR(VLOOKUP($D290,PlayerDB!$F$2:$G365,2,FALSE),"")</f>
        <v/>
      </c>
      <c r="F290" s="36" t="str">
        <f>IFERROR(VLOOKUP($D290,PlayerDB!$F$2:$H365,3,FALSE),"")</f>
        <v/>
      </c>
      <c r="G290" s="89" t="str">
        <f>IFERROR(VLOOKUP($D290,PlayerDB!$F$2:$I365,4,FALSE),"")</f>
        <v/>
      </c>
      <c r="H290" s="38"/>
      <c r="I290" s="39" t="str">
        <f>IFERROR(__xludf.DUMMYFUNCTION("JOIN("" | "",'Team Stats'!C$10:H$10)"),"0 | 0 | 0 | 0 | 0 | 0")</f>
        <v>0 | 0 | 0 | 0 | 0 | 0</v>
      </c>
      <c r="J290" s="79" t="str">
        <f>IFERROR(__xludf.DUMMYFUNCTION("JOIN("" | "",'Team Stats'!I$5:K$5)"),"0 | 0 | 0")</f>
        <v>0 | 0 | 0</v>
      </c>
      <c r="K290" s="32"/>
      <c r="L290" s="42"/>
      <c r="M290" s="42"/>
      <c r="N290" s="42"/>
      <c r="O290" s="42"/>
      <c r="P290" s="42"/>
      <c r="Q290" s="42"/>
      <c r="R290" s="44"/>
    </row>
    <row r="291">
      <c r="A291" s="96"/>
      <c r="B291" s="46">
        <v>290.0</v>
      </c>
      <c r="C291" s="46" t="str">
        <f>'Teams &amp; Draft Order'!$C$15</f>
        <v>Daddy's Dogs</v>
      </c>
      <c r="D291" s="47"/>
      <c r="E291" s="91" t="str">
        <f>IFERROR(VLOOKUP($D291,PlayerDB!$F$2:$G365,2,FALSE),"")</f>
        <v/>
      </c>
      <c r="F291" s="48" t="str">
        <f>IFERROR(VLOOKUP($D291,PlayerDB!$F$2:$H365,3,FALSE),"")</f>
        <v/>
      </c>
      <c r="G291" s="91" t="str">
        <f>IFERROR(VLOOKUP($D291,PlayerDB!$F$2:$I365,4,FALSE),"")</f>
        <v/>
      </c>
      <c r="H291" s="38"/>
      <c r="I291" s="50" t="str">
        <f>IFERROR(__xludf.DUMMYFUNCTION("JOIN("" | "",'Team Stats'!C$11:H$11)"),"0 | 0 | 0 | 0 | 0 | 0")</f>
        <v>0 | 0 | 0 | 0 | 0 | 0</v>
      </c>
      <c r="J291" s="78" t="str">
        <f>IFERROR(__xludf.DUMMYFUNCTION("JOIN("" | "",'Team Stats'!I$4:K$4)"),"0 | 0 | 0")</f>
        <v>0 | 0 | 0</v>
      </c>
      <c r="K291" s="32"/>
      <c r="L291" s="42"/>
      <c r="M291" s="42"/>
      <c r="N291" s="42"/>
      <c r="O291" s="42"/>
      <c r="P291" s="42"/>
      <c r="Q291" s="42"/>
      <c r="R291" s="44"/>
    </row>
    <row r="292">
      <c r="A292" s="97"/>
      <c r="B292" s="34">
        <v>291.0</v>
      </c>
      <c r="C292" s="34" t="str">
        <f>'Teams &amp; Draft Order'!$C$16</f>
        <v>TDs and Beers</v>
      </c>
      <c r="D292" s="35"/>
      <c r="E292" s="89" t="str">
        <f>IFERROR(VLOOKUP($D292,PlayerDB!$F$2:$G365,2,FALSE),"")</f>
        <v/>
      </c>
      <c r="F292" s="36" t="str">
        <f>IFERROR(VLOOKUP($D292,PlayerDB!$F$2:$H365,3,FALSE),"")</f>
        <v/>
      </c>
      <c r="G292" s="89" t="str">
        <f>IFERROR(VLOOKUP($D292,PlayerDB!$F$2:$I365,4,FALSE),"")</f>
        <v/>
      </c>
      <c r="H292" s="38"/>
      <c r="I292" s="39" t="str">
        <f>IFERROR(__xludf.DUMMYFUNCTION("JOIN("" | "",'Team Stats'!C$12:H$12)"),"0 | 0 | 0 | 0 | 0 | 0")</f>
        <v>0 | 0 | 0 | 0 | 0 | 0</v>
      </c>
      <c r="J292" s="79" t="str">
        <f>IFERROR(__xludf.DUMMYFUNCTION("JOIN("" | "",'Team Stats'!I$3:K$3)"),"0 | 0 | 0")</f>
        <v>0 | 0 | 0</v>
      </c>
      <c r="K292" s="32"/>
      <c r="L292" s="42"/>
      <c r="M292" s="42"/>
      <c r="N292" s="42"/>
      <c r="O292" s="42"/>
      <c r="P292" s="42"/>
      <c r="Q292" s="42"/>
      <c r="R292" s="44"/>
    </row>
    <row r="293">
      <c r="A293" s="96"/>
      <c r="B293" s="46">
        <v>292.0</v>
      </c>
      <c r="C293" s="46" t="str">
        <f>'Teams &amp; Draft Order'!$C$17</f>
        <v>DD Riders</v>
      </c>
      <c r="D293" s="47"/>
      <c r="E293" s="91" t="str">
        <f>IFERROR(VLOOKUP($D293,PlayerDB!$F$2:$G365,2,FALSE),"")</f>
        <v/>
      </c>
      <c r="F293" s="48" t="str">
        <f>IFERROR(VLOOKUP($D293,PlayerDB!$F$2:$H365,3,FALSE),"")</f>
        <v/>
      </c>
      <c r="G293" s="91" t="str">
        <f>IFERROR(VLOOKUP($D293,PlayerDB!$F$2:$I365,4,FALSE),"")</f>
        <v/>
      </c>
      <c r="H293" s="38"/>
      <c r="I293" s="50" t="str">
        <f>IFERROR(__xludf.DUMMYFUNCTION("JOIN("" | "",'Team Stats'!C$13:H$13)"),"0 | 0 | 0 | 0 | 0 | 0")</f>
        <v>0 | 0 | 0 | 0 | 0 | 0</v>
      </c>
      <c r="J293" s="80" t="str">
        <f>IFERROR(__xludf.DUMMYFUNCTION("JOIN("" | "",'Team Stats'!I$2:K$2)"),"0 | 0 | 0")</f>
        <v>0 | 0 | 0</v>
      </c>
      <c r="K293" s="32"/>
      <c r="L293" s="42"/>
      <c r="M293" s="42"/>
      <c r="N293" s="42"/>
      <c r="O293" s="42"/>
      <c r="P293" s="42"/>
      <c r="Q293" s="42"/>
      <c r="R293" s="44"/>
    </row>
    <row r="294">
      <c r="A294" s="97"/>
      <c r="B294" s="34">
        <v>293.0</v>
      </c>
      <c r="C294" s="34" t="str">
        <f>'Teams &amp; Draft Order'!$C$18</f>
        <v>Nasty</v>
      </c>
      <c r="D294" s="35"/>
      <c r="E294" s="89" t="str">
        <f>IFERROR(VLOOKUP($D294,PlayerDB!$F$2:$G365,2,FALSE),"")</f>
        <v/>
      </c>
      <c r="F294" s="36" t="str">
        <f>IFERROR(VLOOKUP($D294,PlayerDB!$F$2:$H365,3,FALSE),"")</f>
        <v/>
      </c>
      <c r="G294" s="89" t="str">
        <f>IFERROR(VLOOKUP($D294,PlayerDB!$F$2:$I365,4,FALSE),"")</f>
        <v/>
      </c>
      <c r="H294" s="38"/>
      <c r="I294" s="92" t="str">
        <f>IFERROR(__xludf.DUMMYFUNCTION("JOIN("" | "",'Team Stats'!C$14:H$14)"),"0 | 0 | 0 | 0 | 0 | 0")</f>
        <v>0 | 0 | 0 | 0 | 0 | 0</v>
      </c>
      <c r="J294" s="77" t="str">
        <f>IFERROR(__xludf.DUMMYFUNCTION("JOIN("" | "",'Team Stats'!I$2:K$2)"),"0 | 0 | 0")</f>
        <v>0 | 0 | 0</v>
      </c>
      <c r="K294" s="32"/>
      <c r="L294" s="42"/>
      <c r="M294" s="42"/>
      <c r="N294" s="42"/>
      <c r="O294" s="42"/>
      <c r="P294" s="42"/>
      <c r="Q294" s="42"/>
      <c r="R294" s="44"/>
    </row>
    <row r="295">
      <c r="A295" s="96"/>
      <c r="B295" s="46">
        <v>294.0</v>
      </c>
      <c r="C295" s="46" t="str">
        <f>'Teams &amp; Draft Order'!$C$19</f>
        <v>Red Hammer</v>
      </c>
      <c r="D295" s="47"/>
      <c r="E295" s="93" t="str">
        <f>IFERROR(VLOOKUP($D295,PlayerDB!$F$2:$G365,2,FALSE),"")</f>
        <v/>
      </c>
      <c r="F295" s="57" t="str">
        <f>IFERROR(VLOOKUP($D295,PlayerDB!$F$2:$H365,3,FALSE),"")</f>
        <v/>
      </c>
      <c r="G295" s="93" t="str">
        <f>IFERROR(VLOOKUP($D295,PlayerDB!$F$2:$I365,4,FALSE),"")</f>
        <v/>
      </c>
      <c r="H295" s="38"/>
      <c r="I295" s="94" t="str">
        <f>IFERROR(__xludf.DUMMYFUNCTION("JOIN("" | "",'Team Stats'!C$15:H$15)"),"0 | 0 | 0 | 0 | 0 | 0")</f>
        <v>0 | 0 | 0 | 0 | 0 | 0</v>
      </c>
      <c r="J295" s="78" t="str">
        <f>IFERROR(__xludf.DUMMYFUNCTION("JOIN("" | "",'Team Stats'!I$3:K$3)"),"0 | 0 | 0")</f>
        <v>0 | 0 | 0</v>
      </c>
      <c r="K295" s="32"/>
      <c r="L295" s="42"/>
      <c r="M295" s="42"/>
      <c r="N295" s="42"/>
      <c r="O295" s="42"/>
      <c r="P295" s="42"/>
      <c r="Q295" s="42"/>
      <c r="R295" s="44"/>
    </row>
    <row r="296">
      <c r="A296" s="88" t="s">
        <v>106</v>
      </c>
      <c r="B296" s="73">
        <v>295.0</v>
      </c>
      <c r="C296" s="73" t="str">
        <f>'Teams &amp; Draft Order'!$C$19</f>
        <v>Red Hammer</v>
      </c>
      <c r="D296" s="74"/>
      <c r="E296" s="89" t="str">
        <f>IFERROR(VLOOKUP($D296,PlayerDB!$F$2:$G365,2,FALSE),"")</f>
        <v/>
      </c>
      <c r="F296" s="36" t="str">
        <f>IFERROR(VLOOKUP($D296,PlayerDB!$F$2:$H365,3,FALSE),"")</f>
        <v/>
      </c>
      <c r="G296" s="89" t="str">
        <f>IFERROR(VLOOKUP($D296,PlayerDB!$F$2:$I365,4,FALSE),"")</f>
        <v/>
      </c>
      <c r="H296" s="75"/>
      <c r="I296" s="95" t="str">
        <f>IFERROR(__xludf.DUMMYFUNCTION("JOIN("" | "",'Team Stats'!C$15:H$15)"),"0 | 0 | 0 | 0 | 0 | 0")</f>
        <v>0 | 0 | 0 | 0 | 0 | 0</v>
      </c>
      <c r="J296" s="79" t="str">
        <f>IFERROR(__xludf.DUMMYFUNCTION("JOIN("" | "",'Team Stats'!I$4:K$4)"),"0 | 0 | 0")</f>
        <v>0 | 0 | 0</v>
      </c>
      <c r="K296" s="32"/>
      <c r="L296" s="42"/>
      <c r="M296" s="42"/>
      <c r="N296" s="42"/>
      <c r="O296" s="42"/>
      <c r="P296" s="42"/>
      <c r="Q296" s="42"/>
      <c r="R296" s="44"/>
    </row>
    <row r="297">
      <c r="A297" s="96"/>
      <c r="B297" s="46">
        <v>296.0</v>
      </c>
      <c r="C297" s="46" t="str">
        <f>'Teams &amp; Draft Order'!$C$18</f>
        <v>Nasty</v>
      </c>
      <c r="D297" s="47"/>
      <c r="E297" s="91" t="str">
        <f>IFERROR(VLOOKUP($D297,PlayerDB!$F$2:$G365,2,FALSE),"")</f>
        <v/>
      </c>
      <c r="F297" s="48" t="str">
        <f>IFERROR(VLOOKUP($D297,PlayerDB!$F$2:$H365,3,FALSE),"")</f>
        <v/>
      </c>
      <c r="G297" s="91" t="str">
        <f>IFERROR(VLOOKUP($D297,PlayerDB!$F$2:$I365,4,FALSE),"")</f>
        <v/>
      </c>
      <c r="H297" s="38"/>
      <c r="I297" s="94" t="str">
        <f>IFERROR(__xludf.DUMMYFUNCTION("JOIN("" | "",'Team Stats'!C$14:H$14)"),"0 | 0 | 0 | 0 | 0 | 0")</f>
        <v>0 | 0 | 0 | 0 | 0 | 0</v>
      </c>
      <c r="J297" s="78" t="str">
        <f>IFERROR(__xludf.DUMMYFUNCTION("JOIN("" | "",'Team Stats'!I$5:K$5)"),"0 | 0 | 0")</f>
        <v>0 | 0 | 0</v>
      </c>
      <c r="K297" s="32"/>
      <c r="L297" s="42"/>
      <c r="M297" s="42"/>
      <c r="N297" s="42"/>
      <c r="O297" s="42"/>
      <c r="P297" s="42"/>
      <c r="Q297" s="42"/>
      <c r="R297" s="44"/>
    </row>
    <row r="298">
      <c r="A298" s="97"/>
      <c r="B298" s="34">
        <v>297.0</v>
      </c>
      <c r="C298" s="34" t="str">
        <f>'Teams &amp; Draft Order'!$C$17</f>
        <v>DD Riders</v>
      </c>
      <c r="D298" s="35"/>
      <c r="E298" s="89" t="str">
        <f>IFERROR(VLOOKUP($D298,PlayerDB!$F$2:$G365,2,FALSE),"")</f>
        <v/>
      </c>
      <c r="F298" s="36" t="str">
        <f>IFERROR(VLOOKUP($D298,PlayerDB!$F$2:$H365,3,FALSE),"")</f>
        <v/>
      </c>
      <c r="G298" s="89" t="str">
        <f>IFERROR(VLOOKUP($D298,PlayerDB!$F$2:$I365,4,FALSE),"")</f>
        <v/>
      </c>
      <c r="H298" s="38"/>
      <c r="I298" s="39" t="str">
        <f>IFERROR(__xludf.DUMMYFUNCTION("JOIN("" | "",'Team Stats'!C$13:H$13)"),"0 | 0 | 0 | 0 | 0 | 0")</f>
        <v>0 | 0 | 0 | 0 | 0 | 0</v>
      </c>
      <c r="J298" s="79" t="str">
        <f>IFERROR(__xludf.DUMMYFUNCTION("JOIN("" | "",'Team Stats'!I$6:K$6)"),"0 | 0 | 0")</f>
        <v>0 | 0 | 0</v>
      </c>
      <c r="K298" s="32"/>
      <c r="L298" s="42"/>
      <c r="M298" s="42"/>
      <c r="N298" s="42"/>
      <c r="O298" s="42"/>
      <c r="P298" s="42"/>
      <c r="Q298" s="42"/>
      <c r="R298" s="44"/>
    </row>
    <row r="299">
      <c r="A299" s="96"/>
      <c r="B299" s="46">
        <v>298.0</v>
      </c>
      <c r="C299" s="46" t="str">
        <f>'Teams &amp; Draft Order'!$C$16</f>
        <v>TDs and Beers</v>
      </c>
      <c r="D299" s="47"/>
      <c r="E299" s="91" t="str">
        <f>IFERROR(VLOOKUP($D299,PlayerDB!$F$2:$G365,2,FALSE),"")</f>
        <v/>
      </c>
      <c r="F299" s="48" t="str">
        <f>IFERROR(VLOOKUP($D299,PlayerDB!$F$2:$H365,3,FALSE),"")</f>
        <v/>
      </c>
      <c r="G299" s="91" t="str">
        <f>IFERROR(VLOOKUP($D299,PlayerDB!$F$2:$I365,4,FALSE),"")</f>
        <v/>
      </c>
      <c r="H299" s="38"/>
      <c r="I299" s="50" t="str">
        <f>IFERROR(__xludf.DUMMYFUNCTION("JOIN("" | "",'Team Stats'!C$12:H$12)"),"0 | 0 | 0 | 0 | 0 | 0")</f>
        <v>0 | 0 | 0 | 0 | 0 | 0</v>
      </c>
      <c r="J299" s="78" t="str">
        <f>IFERROR(__xludf.DUMMYFUNCTION("JOIN("" | "",'Team Stats'!I$7:K$7)"),"0 | 0 | 0")</f>
        <v>0 | 0 | 0</v>
      </c>
      <c r="K299" s="32"/>
      <c r="L299" s="42"/>
      <c r="M299" s="42"/>
      <c r="N299" s="42"/>
      <c r="O299" s="42"/>
      <c r="P299" s="42"/>
      <c r="Q299" s="42"/>
      <c r="R299" s="44"/>
    </row>
    <row r="300">
      <c r="A300" s="97"/>
      <c r="B300" s="34">
        <v>299.0</v>
      </c>
      <c r="C300" s="34" t="str">
        <f>'Teams &amp; Draft Order'!$C$15</f>
        <v>Daddy's Dogs</v>
      </c>
      <c r="D300" s="35"/>
      <c r="E300" s="89" t="str">
        <f>IFERROR(VLOOKUP($D300,PlayerDB!$F$2:$G365,2,FALSE),"")</f>
        <v/>
      </c>
      <c r="F300" s="36" t="str">
        <f>IFERROR(VLOOKUP($D300,PlayerDB!$F$2:$H365,3,FALSE),"")</f>
        <v/>
      </c>
      <c r="G300" s="89" t="str">
        <f>IFERROR(VLOOKUP($D300,PlayerDB!$F$2:$I365,4,FALSE),"")</f>
        <v/>
      </c>
      <c r="H300" s="38"/>
      <c r="I300" s="39" t="str">
        <f>IFERROR(__xludf.DUMMYFUNCTION("JOIN("" | "",'Team Stats'!C$11:H$11)"),"0 | 0 | 0 | 0 | 0 | 0")</f>
        <v>0 | 0 | 0 | 0 | 0 | 0</v>
      </c>
      <c r="J300" s="79" t="str">
        <f>IFERROR(__xludf.DUMMYFUNCTION("JOIN("" | "",'Team Stats'!I$8:K$8)"),"0 | 0 | 0")</f>
        <v>0 | 0 | 0</v>
      </c>
      <c r="K300" s="32"/>
      <c r="L300" s="42"/>
      <c r="M300" s="42"/>
      <c r="N300" s="42"/>
      <c r="O300" s="42"/>
      <c r="P300" s="42"/>
      <c r="Q300" s="42"/>
      <c r="R300" s="44"/>
    </row>
    <row r="301">
      <c r="A301" s="96"/>
      <c r="B301" s="46">
        <v>300.0</v>
      </c>
      <c r="C301" s="46" t="str">
        <f>'Teams &amp; Draft Order'!$C$14</f>
        <v>Achaians</v>
      </c>
      <c r="D301" s="47"/>
      <c r="E301" s="91" t="str">
        <f>IFERROR(VLOOKUP($D301,PlayerDB!$F$2:$G365,2,FALSE),"")</f>
        <v/>
      </c>
      <c r="F301" s="48" t="str">
        <f>IFERROR(VLOOKUP($D301,PlayerDB!$F$2:$H365,3,FALSE),"")</f>
        <v/>
      </c>
      <c r="G301" s="91" t="str">
        <f>IFERROR(VLOOKUP($D301,PlayerDB!$F$2:$I365,4,FALSE),"")</f>
        <v/>
      </c>
      <c r="H301" s="38"/>
      <c r="I301" s="50" t="str">
        <f>IFERROR(__xludf.DUMMYFUNCTION("JOIN("" | "",'Team Stats'!C$10:H$10)"),"0 | 0 | 0 | 0 | 0 | 0")</f>
        <v>0 | 0 | 0 | 0 | 0 | 0</v>
      </c>
      <c r="J301" s="78" t="str">
        <f>IFERROR(__xludf.DUMMYFUNCTION("JOIN("" | "",'Team Stats'!I$9:K$9)"),"0 | 0 | 0")</f>
        <v>0 | 0 | 0</v>
      </c>
      <c r="K301" s="32"/>
      <c r="L301" s="42"/>
      <c r="M301" s="42"/>
      <c r="N301" s="42"/>
      <c r="O301" s="42"/>
      <c r="P301" s="42"/>
      <c r="Q301" s="42"/>
      <c r="R301" s="44"/>
    </row>
    <row r="302">
      <c r="A302" s="97"/>
      <c r="B302" s="34">
        <v>301.0</v>
      </c>
      <c r="C302" s="34" t="str">
        <f>'Teams &amp; Draft Order'!$C$13</f>
        <v>Luddite</v>
      </c>
      <c r="D302" s="35"/>
      <c r="E302" s="89" t="str">
        <f>IFERROR(VLOOKUP($D302,PlayerDB!$F$2:$G365,2,FALSE),"")</f>
        <v/>
      </c>
      <c r="F302" s="36" t="str">
        <f>IFERROR(VLOOKUP($D302,PlayerDB!$F$2:$H365,3,FALSE),"")</f>
        <v/>
      </c>
      <c r="G302" s="89" t="str">
        <f>IFERROR(VLOOKUP($D302,PlayerDB!$F$2:$I365,4,FALSE),"")</f>
        <v/>
      </c>
      <c r="H302" s="38"/>
      <c r="I302" s="39" t="str">
        <f>IFERROR(__xludf.DUMMYFUNCTION("JOIN("" | "",'Team Stats'!C$9:H$9)"),"0 | 0 | 0 | 0 | 0 | 0")</f>
        <v>0 | 0 | 0 | 0 | 0 | 0</v>
      </c>
      <c r="J302" s="79" t="str">
        <f>IFERROR(__xludf.DUMMYFUNCTION("JOIN("" | "",'Team Stats'!I$10:K$10)"),"0 | 0 | 0")</f>
        <v>0 | 0 | 0</v>
      </c>
      <c r="K302" s="32"/>
      <c r="L302" s="42"/>
      <c r="M302" s="42"/>
      <c r="N302" s="42"/>
      <c r="O302" s="42"/>
      <c r="P302" s="42"/>
      <c r="Q302" s="42"/>
      <c r="R302" s="44"/>
    </row>
    <row r="303">
      <c r="A303" s="96"/>
      <c r="B303" s="46">
        <v>302.0</v>
      </c>
      <c r="C303" s="46" t="str">
        <f>'Teams &amp; Draft Order'!$C$12</f>
        <v>Turbo-Ginz</v>
      </c>
      <c r="D303" s="47"/>
      <c r="E303" s="91" t="str">
        <f>IFERROR(VLOOKUP($D303,PlayerDB!$F$2:$G365,2,FALSE),"")</f>
        <v/>
      </c>
      <c r="F303" s="48" t="str">
        <f>IFERROR(VLOOKUP($D303,PlayerDB!$F$2:$H365,3,FALSE),"")</f>
        <v/>
      </c>
      <c r="G303" s="91" t="str">
        <f>IFERROR(VLOOKUP($D303,PlayerDB!$F$2:$I365,4,FALSE),"")</f>
        <v/>
      </c>
      <c r="H303" s="38"/>
      <c r="I303" s="50" t="str">
        <f>IFERROR(__xludf.DUMMYFUNCTION("JOIN("" | "",'Team Stats'!C$8:H$8)"),"0 | 0 | 0 | 0 | 0 | 0")</f>
        <v>0 | 0 | 0 | 0 | 0 | 0</v>
      </c>
      <c r="J303" s="78" t="str">
        <f>IFERROR(__xludf.DUMMYFUNCTION("JOIN("" | "",'Team Stats'!I$11:K$11)"),"0 | 0 | 0")</f>
        <v>0 | 0 | 0</v>
      </c>
      <c r="K303" s="32"/>
      <c r="L303" s="42"/>
      <c r="M303" s="42"/>
      <c r="N303" s="42"/>
      <c r="O303" s="42"/>
      <c r="P303" s="42"/>
      <c r="Q303" s="42"/>
      <c r="R303" s="44"/>
    </row>
    <row r="304">
      <c r="A304" s="97"/>
      <c r="B304" s="34">
        <v>303.0</v>
      </c>
      <c r="C304" s="34" t="str">
        <f>'Teams &amp; Draft Order'!$C$11</f>
        <v>Big Boys Big Work</v>
      </c>
      <c r="D304" s="35"/>
      <c r="E304" s="89" t="str">
        <f>IFERROR(VLOOKUP($D304,PlayerDB!$F$2:$G365,2,FALSE),"")</f>
        <v/>
      </c>
      <c r="F304" s="36" t="str">
        <f>IFERROR(VLOOKUP($D304,PlayerDB!$F$2:$H365,3,FALSE),"")</f>
        <v/>
      </c>
      <c r="G304" s="89" t="str">
        <f>IFERROR(VLOOKUP($D304,PlayerDB!$F$2:$I365,4,FALSE),"")</f>
        <v/>
      </c>
      <c r="H304" s="38"/>
      <c r="I304" s="39" t="str">
        <f>IFERROR(__xludf.DUMMYFUNCTION("JOIN("" | "",'Team Stats'!C$7:H$7)"),"0 | 0 | 0 | 0 | 0 | 0")</f>
        <v>0 | 0 | 0 | 0 | 0 | 0</v>
      </c>
      <c r="J304" s="79" t="str">
        <f>IFERROR(__xludf.DUMMYFUNCTION("JOIN("" | "",'Team Stats'!I$12:K$12)"),"0 | 0 | 0")</f>
        <v>0 | 0 | 0</v>
      </c>
      <c r="K304" s="32"/>
      <c r="L304" s="42"/>
      <c r="M304" s="42"/>
      <c r="N304" s="42"/>
      <c r="O304" s="42"/>
      <c r="P304" s="42"/>
      <c r="Q304" s="42"/>
      <c r="R304" s="44"/>
    </row>
    <row r="305">
      <c r="A305" s="96"/>
      <c r="B305" s="46">
        <v>304.0</v>
      </c>
      <c r="C305" s="46" t="str">
        <f>'Teams &amp; Draft Order'!$C$10</f>
        <v>Buttheads</v>
      </c>
      <c r="D305" s="47"/>
      <c r="E305" s="91" t="str">
        <f>IFERROR(VLOOKUP($D305,PlayerDB!$F$2:$G365,2,FALSE),"")</f>
        <v/>
      </c>
      <c r="F305" s="48" t="str">
        <f>IFERROR(VLOOKUP($D305,PlayerDB!$F$2:$H365,3,FALSE),"")</f>
        <v/>
      </c>
      <c r="G305" s="91" t="str">
        <f>IFERROR(VLOOKUP($D305,PlayerDB!$F$2:$I365,4,FALSE),"")</f>
        <v/>
      </c>
      <c r="H305" s="38"/>
      <c r="I305" s="50" t="str">
        <f>IFERROR(__xludf.DUMMYFUNCTION("JOIN("" | "",'Team Stats'!C$6:H$6)"),"0 | 0 | 0 | 0 | 0 | 0")</f>
        <v>0 | 0 | 0 | 0 | 0 | 0</v>
      </c>
      <c r="J305" s="78" t="str">
        <f>IFERROR(__xludf.DUMMYFUNCTION("JOIN("" | "",'Team Stats'!I$13:K$13)"),"0 | 0 | 0")</f>
        <v>0 | 0 | 0</v>
      </c>
      <c r="K305" s="32"/>
      <c r="L305" s="42"/>
      <c r="M305" s="42"/>
      <c r="N305" s="42"/>
      <c r="O305" s="42"/>
      <c r="P305" s="42"/>
      <c r="Q305" s="42"/>
      <c r="R305" s="44"/>
    </row>
    <row r="306">
      <c r="A306" s="97"/>
      <c r="B306" s="34">
        <v>305.0</v>
      </c>
      <c r="C306" s="34" t="str">
        <f>'Teams &amp; Draft Order'!$C$9</f>
        <v>El Nino</v>
      </c>
      <c r="D306" s="35"/>
      <c r="E306" s="89" t="str">
        <f>IFERROR(VLOOKUP($D306,PlayerDB!$F$2:$G365,2,FALSE),"")</f>
        <v/>
      </c>
      <c r="F306" s="36" t="str">
        <f>IFERROR(VLOOKUP($D306,PlayerDB!$F$2:$H365,3,FALSE),"")</f>
        <v/>
      </c>
      <c r="G306" s="89" t="str">
        <f>IFERROR(VLOOKUP($D306,PlayerDB!$F$2:$I365,4,FALSE),"")</f>
        <v/>
      </c>
      <c r="H306" s="38"/>
      <c r="I306" s="39" t="str">
        <f>IFERROR(__xludf.DUMMYFUNCTION("JOIN("" | "",'Team Stats'!C$5:H$5)"),"0 | 0 | 0 | 0 | 0 | 0")</f>
        <v>0 | 0 | 0 | 0 | 0 | 0</v>
      </c>
      <c r="J306" s="77" t="str">
        <f>IFERROR(__xludf.DUMMYFUNCTION("JOIN("" | "",'Team Stats'!I$13:K$13)"),"0 | 0 | 0")</f>
        <v>0 | 0 | 0</v>
      </c>
      <c r="K306" s="32"/>
      <c r="L306" s="42"/>
      <c r="M306" s="42"/>
      <c r="N306" s="42"/>
      <c r="O306" s="42"/>
      <c r="P306" s="42"/>
      <c r="Q306" s="42"/>
      <c r="R306" s="44"/>
    </row>
    <row r="307">
      <c r="A307" s="96"/>
      <c r="B307" s="46">
        <v>306.0</v>
      </c>
      <c r="C307" s="46" t="str">
        <f>'Teams &amp; Draft Order'!$C$8</f>
        <v>Icelanders</v>
      </c>
      <c r="D307" s="47"/>
      <c r="E307" s="91" t="str">
        <f>IFERROR(VLOOKUP($D307,PlayerDB!$F$2:$G365,2,FALSE),"")</f>
        <v/>
      </c>
      <c r="F307" s="48" t="str">
        <f>IFERROR(VLOOKUP($D307,PlayerDB!$F$2:$H365,3,FALSE),"")</f>
        <v/>
      </c>
      <c r="G307" s="91" t="str">
        <f>IFERROR(VLOOKUP($D307,PlayerDB!$F$2:$I365,4,FALSE),"")</f>
        <v/>
      </c>
      <c r="H307" s="38"/>
      <c r="I307" s="50" t="str">
        <f>IFERROR(__xludf.DUMMYFUNCTION("JOIN("" | "",'Team Stats'!C$4:H$4)"),"0 | 0 | 0 | 0 | 0 | 0")</f>
        <v>0 | 0 | 0 | 0 | 0 | 0</v>
      </c>
      <c r="J307" s="78" t="str">
        <f>IFERROR(__xludf.DUMMYFUNCTION("JOIN("" | "",'Team Stats'!I$12:K$12)"),"0 | 0 | 0")</f>
        <v>0 | 0 | 0</v>
      </c>
      <c r="K307" s="32"/>
      <c r="L307" s="42"/>
      <c r="M307" s="42"/>
      <c r="N307" s="42"/>
      <c r="O307" s="42"/>
      <c r="P307" s="42"/>
      <c r="Q307" s="42"/>
      <c r="R307" s="44"/>
    </row>
    <row r="308">
      <c r="A308" s="97"/>
      <c r="B308" s="34">
        <v>307.0</v>
      </c>
      <c r="C308" s="34" t="str">
        <f>'Teams &amp; Draft Order'!$C$7</f>
        <v>Phantasm</v>
      </c>
      <c r="D308" s="35"/>
      <c r="E308" s="89" t="str">
        <f>IFERROR(VLOOKUP($D308,PlayerDB!$F$2:$G365,2,FALSE),"")</f>
        <v/>
      </c>
      <c r="F308" s="36" t="str">
        <f>IFERROR(VLOOKUP($D308,PlayerDB!$F$2:$H365,3,FALSE),"")</f>
        <v/>
      </c>
      <c r="G308" s="89" t="str">
        <f>IFERROR(VLOOKUP($D308,PlayerDB!$F$2:$I365,4,FALSE),"")</f>
        <v/>
      </c>
      <c r="H308" s="38"/>
      <c r="I308" s="39" t="str">
        <f>IFERROR(__xludf.DUMMYFUNCTION("JOIN("" | "",'Team Stats'!C$3:H$3)"),"0 | 0 | 0 | 0 | 0 | 0")</f>
        <v>0 | 0 | 0 | 0 | 0 | 0</v>
      </c>
      <c r="J308" s="79" t="str">
        <f>IFERROR(__xludf.DUMMYFUNCTION("JOIN("" | "",'Team Stats'!I$11:K$11)"),"0 | 0 | 0")</f>
        <v>0 | 0 | 0</v>
      </c>
      <c r="K308" s="32"/>
      <c r="L308" s="42"/>
      <c r="M308" s="42"/>
      <c r="N308" s="42"/>
      <c r="O308" s="42"/>
      <c r="P308" s="42"/>
      <c r="Q308" s="42"/>
      <c r="R308" s="44"/>
    </row>
    <row r="309">
      <c r="A309" s="99"/>
      <c r="B309" s="55">
        <v>308.0</v>
      </c>
      <c r="C309" s="55" t="str">
        <f>'Teams &amp; Draft Order'!$C$6</f>
        <v>Sleeper Cell </v>
      </c>
      <c r="D309" s="56"/>
      <c r="E309" s="93" t="str">
        <f>IFERROR(VLOOKUP($D309,PlayerDB!$F$2:$G365,2,FALSE),"")</f>
        <v/>
      </c>
      <c r="F309" s="57" t="str">
        <f>IFERROR(VLOOKUP($D309,PlayerDB!$F$2:$H365,3,FALSE),"")</f>
        <v/>
      </c>
      <c r="G309" s="93" t="str">
        <f>IFERROR(VLOOKUP($D309,PlayerDB!$F$2:$I365,4,FALSE),"")</f>
        <v/>
      </c>
      <c r="H309" s="59"/>
      <c r="I309" s="60" t="str">
        <f>IFERROR(__xludf.DUMMYFUNCTION("JOIN("" | "",'Team Stats'!C$2:H$2)"),"1 | 0 | 0 | 0 | 0 | 0")</f>
        <v>1 | 0 | 0 | 0 | 0 | 0</v>
      </c>
      <c r="J309" s="78" t="str">
        <f>IFERROR(__xludf.DUMMYFUNCTION("JOIN("" | "",'Team Stats'!I$10:K$10)"),"0 | 0 | 0")</f>
        <v>0 | 0 | 0</v>
      </c>
      <c r="K309" s="32"/>
      <c r="L309" s="42"/>
      <c r="M309" s="42"/>
      <c r="N309" s="42"/>
      <c r="O309" s="42"/>
      <c r="P309" s="42"/>
      <c r="Q309" s="42"/>
      <c r="R309" s="44"/>
    </row>
    <row r="310">
      <c r="A310" s="88" t="s">
        <v>107</v>
      </c>
      <c r="B310" s="73">
        <v>309.0</v>
      </c>
      <c r="C310" s="73" t="str">
        <f>'Teams &amp; Draft Order'!$C$6</f>
        <v>Sleeper Cell </v>
      </c>
      <c r="D310" s="74"/>
      <c r="E310" s="89" t="str">
        <f>IFERROR(VLOOKUP($D310,PlayerDB!$F$2:$G365,2,FALSE),"")</f>
        <v/>
      </c>
      <c r="F310" s="36" t="str">
        <f>IFERROR(VLOOKUP($D310,PlayerDB!$F$2:$H365,3,FALSE),"")</f>
        <v/>
      </c>
      <c r="G310" s="89" t="str">
        <f>IFERROR(VLOOKUP($D310,PlayerDB!$F$2:$I365,4,FALSE),"")</f>
        <v/>
      </c>
      <c r="H310" s="75"/>
      <c r="I310" s="76" t="str">
        <f>IFERROR(__xludf.DUMMYFUNCTION("JOIN("" | "",'Team Stats'!C$2:H$2)"),"1 | 0 | 0 | 0 | 0 | 0")</f>
        <v>1 | 0 | 0 | 0 | 0 | 0</v>
      </c>
      <c r="J310" s="79" t="str">
        <f>IFERROR(__xludf.DUMMYFUNCTION("JOIN("" | "",'Team Stats'!I$9:K$9)"),"0 | 0 | 0")</f>
        <v>0 | 0 | 0</v>
      </c>
      <c r="K310" s="32"/>
      <c r="L310" s="42"/>
      <c r="M310" s="42"/>
      <c r="N310" s="42"/>
      <c r="O310" s="42"/>
      <c r="P310" s="42"/>
      <c r="Q310" s="42"/>
      <c r="R310" s="44"/>
    </row>
    <row r="311">
      <c r="A311" s="96"/>
      <c r="B311" s="46">
        <v>310.0</v>
      </c>
      <c r="C311" s="46" t="str">
        <f>'Teams &amp; Draft Order'!$C$7</f>
        <v>Phantasm</v>
      </c>
      <c r="D311" s="47"/>
      <c r="E311" s="91" t="str">
        <f>IFERROR(VLOOKUP($D311,PlayerDB!$F$2:$G365,2,FALSE),"")</f>
        <v/>
      </c>
      <c r="F311" s="48" t="str">
        <f>IFERROR(VLOOKUP($D311,PlayerDB!$F$2:$H365,3,FALSE),"")</f>
        <v/>
      </c>
      <c r="G311" s="91" t="str">
        <f>IFERROR(VLOOKUP($D311,PlayerDB!$F$2:$I365,4,FALSE),"")</f>
        <v/>
      </c>
      <c r="H311" s="38"/>
      <c r="I311" s="50" t="str">
        <f>IFERROR(__xludf.DUMMYFUNCTION("JOIN("" | "",'Team Stats'!C$3:H$3)"),"0 | 0 | 0 | 0 | 0 | 0")</f>
        <v>0 | 0 | 0 | 0 | 0 | 0</v>
      </c>
      <c r="J311" s="78" t="str">
        <f>IFERROR(__xludf.DUMMYFUNCTION("JOIN("" | "",'Team Stats'!I$8:K$8)"),"0 | 0 | 0")</f>
        <v>0 | 0 | 0</v>
      </c>
      <c r="K311" s="32"/>
      <c r="L311" s="42"/>
      <c r="M311" s="42"/>
      <c r="N311" s="42"/>
      <c r="O311" s="42"/>
      <c r="P311" s="42"/>
      <c r="Q311" s="42"/>
      <c r="R311" s="44"/>
    </row>
    <row r="312">
      <c r="A312" s="97"/>
      <c r="B312" s="34">
        <v>311.0</v>
      </c>
      <c r="C312" s="34" t="str">
        <f>'Teams &amp; Draft Order'!$C$8</f>
        <v>Icelanders</v>
      </c>
      <c r="D312" s="35"/>
      <c r="E312" s="89" t="str">
        <f>IFERROR(VLOOKUP($D312,PlayerDB!$F$2:$G365,2,FALSE),"")</f>
        <v/>
      </c>
      <c r="F312" s="36" t="str">
        <f>IFERROR(VLOOKUP($D312,PlayerDB!$F$2:$H365,3,FALSE),"")</f>
        <v/>
      </c>
      <c r="G312" s="89" t="str">
        <f>IFERROR(VLOOKUP($D312,PlayerDB!$F$2:$I365,4,FALSE),"")</f>
        <v/>
      </c>
      <c r="H312" s="38"/>
      <c r="I312" s="39" t="str">
        <f>IFERROR(__xludf.DUMMYFUNCTION("JOIN("" | "",'Team Stats'!C$4:H$4)"),"0 | 0 | 0 | 0 | 0 | 0")</f>
        <v>0 | 0 | 0 | 0 | 0 | 0</v>
      </c>
      <c r="J312" s="79" t="str">
        <f>IFERROR(__xludf.DUMMYFUNCTION("JOIN("" | "",'Team Stats'!I$7:K$7)"),"0 | 0 | 0")</f>
        <v>0 | 0 | 0</v>
      </c>
      <c r="K312" s="32"/>
      <c r="L312" s="42"/>
      <c r="M312" s="42"/>
      <c r="N312" s="42"/>
      <c r="O312" s="42"/>
      <c r="P312" s="42"/>
      <c r="Q312" s="42"/>
      <c r="R312" s="44"/>
    </row>
    <row r="313">
      <c r="A313" s="96"/>
      <c r="B313" s="46">
        <v>312.0</v>
      </c>
      <c r="C313" s="46" t="str">
        <f>'Teams &amp; Draft Order'!$C$9</f>
        <v>El Nino</v>
      </c>
      <c r="D313" s="47"/>
      <c r="E313" s="91" t="str">
        <f>IFERROR(VLOOKUP($D313,PlayerDB!$F$2:$G365,2,FALSE),"")</f>
        <v/>
      </c>
      <c r="F313" s="48" t="str">
        <f>IFERROR(VLOOKUP($D313,PlayerDB!$F$2:$H365,3,FALSE),"")</f>
        <v/>
      </c>
      <c r="G313" s="91" t="str">
        <f>IFERROR(VLOOKUP($D313,PlayerDB!$F$2:$I365,4,FALSE),"")</f>
        <v/>
      </c>
      <c r="H313" s="38"/>
      <c r="I313" s="50" t="str">
        <f>IFERROR(__xludf.DUMMYFUNCTION("JOIN("" | "",'Team Stats'!C$5:H$5)"),"0 | 0 | 0 | 0 | 0 | 0")</f>
        <v>0 | 0 | 0 | 0 | 0 | 0</v>
      </c>
      <c r="J313" s="78" t="str">
        <f>IFERROR(__xludf.DUMMYFUNCTION("JOIN("" | "",'Team Stats'!I$6:K$6)"),"0 | 0 | 0")</f>
        <v>0 | 0 | 0</v>
      </c>
      <c r="K313" s="32"/>
      <c r="L313" s="42"/>
      <c r="M313" s="42"/>
      <c r="N313" s="42"/>
      <c r="O313" s="42"/>
      <c r="P313" s="42"/>
      <c r="Q313" s="42"/>
      <c r="R313" s="44"/>
    </row>
    <row r="314">
      <c r="A314" s="97"/>
      <c r="B314" s="34">
        <v>313.0</v>
      </c>
      <c r="C314" s="34" t="str">
        <f>'Teams &amp; Draft Order'!$C$10</f>
        <v>Buttheads</v>
      </c>
      <c r="D314" s="35"/>
      <c r="E314" s="89" t="str">
        <f>IFERROR(VLOOKUP($D314,PlayerDB!$F$2:$G365,2,FALSE),"")</f>
        <v/>
      </c>
      <c r="F314" s="36" t="str">
        <f>IFERROR(VLOOKUP($D314,PlayerDB!$F$2:$H365,3,FALSE),"")</f>
        <v/>
      </c>
      <c r="G314" s="89" t="str">
        <f>IFERROR(VLOOKUP($D314,PlayerDB!$F$2:$I365,4,FALSE),"")</f>
        <v/>
      </c>
      <c r="H314" s="38"/>
      <c r="I314" s="39" t="str">
        <f>IFERROR(__xludf.DUMMYFUNCTION("JOIN("" | "",'Team Stats'!C$6:H$6)"),"0 | 0 | 0 | 0 | 0 | 0")</f>
        <v>0 | 0 | 0 | 0 | 0 | 0</v>
      </c>
      <c r="J314" s="79" t="str">
        <f>IFERROR(__xludf.DUMMYFUNCTION("JOIN("" | "",'Team Stats'!I$5:K$5)"),"0 | 0 | 0")</f>
        <v>0 | 0 | 0</v>
      </c>
      <c r="K314" s="32"/>
      <c r="L314" s="42"/>
      <c r="M314" s="42"/>
      <c r="N314" s="42"/>
      <c r="O314" s="42"/>
      <c r="P314" s="42"/>
      <c r="Q314" s="42"/>
      <c r="R314" s="44"/>
    </row>
    <row r="315">
      <c r="A315" s="96"/>
      <c r="B315" s="46">
        <v>314.0</v>
      </c>
      <c r="C315" s="46" t="str">
        <f>'Teams &amp; Draft Order'!$C$11</f>
        <v>Big Boys Big Work</v>
      </c>
      <c r="D315" s="47"/>
      <c r="E315" s="91" t="str">
        <f>IFERROR(VLOOKUP($D315,PlayerDB!$F$2:$G365,2,FALSE),"")</f>
        <v/>
      </c>
      <c r="F315" s="48" t="str">
        <f>IFERROR(VLOOKUP($D315,PlayerDB!$F$2:$H365,3,FALSE),"")</f>
        <v/>
      </c>
      <c r="G315" s="91" t="str">
        <f>IFERROR(VLOOKUP($D315,PlayerDB!$F$2:$I365,4,FALSE),"")</f>
        <v/>
      </c>
      <c r="H315" s="38"/>
      <c r="I315" s="50" t="str">
        <f>IFERROR(__xludf.DUMMYFUNCTION("JOIN("" | "",'Team Stats'!C$7:H$7)"),"0 | 0 | 0 | 0 | 0 | 0")</f>
        <v>0 | 0 | 0 | 0 | 0 | 0</v>
      </c>
      <c r="J315" s="78" t="str">
        <f>IFERROR(__xludf.DUMMYFUNCTION("JOIN("" | "",'Team Stats'!I$4:K$4)"),"0 | 0 | 0")</f>
        <v>0 | 0 | 0</v>
      </c>
      <c r="K315" s="32"/>
      <c r="L315" s="42"/>
      <c r="M315" s="42"/>
      <c r="N315" s="42"/>
      <c r="O315" s="42"/>
      <c r="P315" s="42"/>
      <c r="Q315" s="42"/>
      <c r="R315" s="44"/>
    </row>
    <row r="316">
      <c r="A316" s="97"/>
      <c r="B316" s="34">
        <v>315.0</v>
      </c>
      <c r="C316" s="34" t="str">
        <f>'Teams &amp; Draft Order'!$C$12</f>
        <v>Turbo-Ginz</v>
      </c>
      <c r="D316" s="35"/>
      <c r="E316" s="89" t="str">
        <f>IFERROR(VLOOKUP($D316,PlayerDB!$F$2:$G365,2,FALSE),"")</f>
        <v/>
      </c>
      <c r="F316" s="36" t="str">
        <f>IFERROR(VLOOKUP($D316,PlayerDB!$F$2:$H365,3,FALSE),"")</f>
        <v/>
      </c>
      <c r="G316" s="89" t="str">
        <f>IFERROR(VLOOKUP($D316,PlayerDB!$F$2:$I365,4,FALSE),"")</f>
        <v/>
      </c>
      <c r="H316" s="38"/>
      <c r="I316" s="39" t="str">
        <f>IFERROR(__xludf.DUMMYFUNCTION("JOIN("" | "",'Team Stats'!C$8:H$8)"),"0 | 0 | 0 | 0 | 0 | 0")</f>
        <v>0 | 0 | 0 | 0 | 0 | 0</v>
      </c>
      <c r="J316" s="79" t="str">
        <f>IFERROR(__xludf.DUMMYFUNCTION("JOIN("" | "",'Team Stats'!I$3:K$3)"),"0 | 0 | 0")</f>
        <v>0 | 0 | 0</v>
      </c>
      <c r="K316" s="32"/>
      <c r="L316" s="42"/>
      <c r="M316" s="42"/>
      <c r="N316" s="42"/>
      <c r="O316" s="42"/>
      <c r="P316" s="42"/>
      <c r="Q316" s="42"/>
      <c r="R316" s="44"/>
    </row>
    <row r="317">
      <c r="A317" s="96"/>
      <c r="B317" s="46">
        <v>316.0</v>
      </c>
      <c r="C317" s="46" t="str">
        <f>'Teams &amp; Draft Order'!$C$13</f>
        <v>Luddite</v>
      </c>
      <c r="D317" s="47"/>
      <c r="E317" s="91" t="str">
        <f>IFERROR(VLOOKUP($D317,PlayerDB!$F$2:$G365,2,FALSE),"")</f>
        <v/>
      </c>
      <c r="F317" s="48" t="str">
        <f>IFERROR(VLOOKUP($D317,PlayerDB!$F$2:$H365,3,FALSE),"")</f>
        <v/>
      </c>
      <c r="G317" s="91" t="str">
        <f>IFERROR(VLOOKUP($D317,PlayerDB!$F$2:$I365,4,FALSE),"")</f>
        <v/>
      </c>
      <c r="H317" s="38"/>
      <c r="I317" s="50" t="str">
        <f>IFERROR(__xludf.DUMMYFUNCTION("JOIN("" | "",'Team Stats'!C$9:H$9)"),"0 | 0 | 0 | 0 | 0 | 0")</f>
        <v>0 | 0 | 0 | 0 | 0 | 0</v>
      </c>
      <c r="J317" s="80" t="str">
        <f>IFERROR(__xludf.DUMMYFUNCTION("JOIN("" | "",'Team Stats'!I$2:K$2)"),"0 | 0 | 0")</f>
        <v>0 | 0 | 0</v>
      </c>
      <c r="K317" s="32"/>
      <c r="L317" s="42"/>
      <c r="M317" s="42"/>
      <c r="N317" s="42"/>
      <c r="O317" s="42"/>
      <c r="P317" s="42"/>
      <c r="Q317" s="42"/>
      <c r="R317" s="44"/>
    </row>
    <row r="318">
      <c r="A318" s="97"/>
      <c r="B318" s="34">
        <v>317.0</v>
      </c>
      <c r="C318" s="34" t="str">
        <f>'Teams &amp; Draft Order'!$C$14</f>
        <v>Achaians</v>
      </c>
      <c r="D318" s="35"/>
      <c r="E318" s="89" t="str">
        <f>IFERROR(VLOOKUP($D318,PlayerDB!$F$2:$G365,2,FALSE),"")</f>
        <v/>
      </c>
      <c r="F318" s="36" t="str">
        <f>IFERROR(VLOOKUP($D318,PlayerDB!$F$2:$H365,3,FALSE),"")</f>
        <v/>
      </c>
      <c r="G318" s="89" t="str">
        <f>IFERROR(VLOOKUP($D318,PlayerDB!$F$2:$I365,4,FALSE),"")</f>
        <v/>
      </c>
      <c r="H318" s="38"/>
      <c r="I318" s="39" t="str">
        <f>IFERROR(__xludf.DUMMYFUNCTION("JOIN("" | "",'Team Stats'!C$10:H$10)"),"0 | 0 | 0 | 0 | 0 | 0")</f>
        <v>0 | 0 | 0 | 0 | 0 | 0</v>
      </c>
      <c r="J318" s="101"/>
      <c r="K318" s="32"/>
      <c r="L318" s="42"/>
      <c r="M318" s="42"/>
      <c r="N318" s="42"/>
      <c r="O318" s="42"/>
      <c r="P318" s="42"/>
      <c r="Q318" s="42"/>
      <c r="R318" s="44"/>
    </row>
    <row r="319">
      <c r="A319" s="96"/>
      <c r="B319" s="46">
        <v>318.0</v>
      </c>
      <c r="C319" s="46" t="str">
        <f>'Teams &amp; Draft Order'!$C$15</f>
        <v>Daddy's Dogs</v>
      </c>
      <c r="D319" s="47"/>
      <c r="E319" s="91" t="str">
        <f>IFERROR(VLOOKUP($D319,PlayerDB!$F$2:$G365,2,FALSE),"")</f>
        <v/>
      </c>
      <c r="F319" s="48" t="str">
        <f>IFERROR(VLOOKUP($D319,PlayerDB!$F$2:$H365,3,FALSE),"")</f>
        <v/>
      </c>
      <c r="G319" s="91" t="str">
        <f>IFERROR(VLOOKUP($D319,PlayerDB!$F$2:$I365,4,FALSE),"")</f>
        <v/>
      </c>
      <c r="H319" s="38"/>
      <c r="I319" s="50" t="str">
        <f>IFERROR(__xludf.DUMMYFUNCTION("JOIN("" | "",'Team Stats'!C$11:H$11)"),"0 | 0 | 0 | 0 | 0 | 0")</f>
        <v>0 | 0 | 0 | 0 | 0 | 0</v>
      </c>
      <c r="J319" s="102"/>
      <c r="K319" s="32"/>
      <c r="L319" s="42"/>
      <c r="M319" s="42"/>
      <c r="N319" s="42"/>
      <c r="O319" s="42"/>
      <c r="P319" s="42"/>
      <c r="Q319" s="42"/>
      <c r="R319" s="44"/>
    </row>
    <row r="320">
      <c r="A320" s="97"/>
      <c r="B320" s="34">
        <v>319.0</v>
      </c>
      <c r="C320" s="34" t="str">
        <f>'Teams &amp; Draft Order'!$C$16</f>
        <v>TDs and Beers</v>
      </c>
      <c r="D320" s="35"/>
      <c r="E320" s="89" t="str">
        <f>IFERROR(VLOOKUP($D320,PlayerDB!$F$2:$G365,2,FALSE),"")</f>
        <v/>
      </c>
      <c r="F320" s="36" t="str">
        <f>IFERROR(VLOOKUP($D320,PlayerDB!$F$2:$H365,3,FALSE),"")</f>
        <v/>
      </c>
      <c r="G320" s="89" t="str">
        <f>IFERROR(VLOOKUP($D320,PlayerDB!$F$2:$I365,4,FALSE),"")</f>
        <v/>
      </c>
      <c r="H320" s="38"/>
      <c r="I320" s="39" t="str">
        <f>IFERROR(__xludf.DUMMYFUNCTION("JOIN("" | "",'Team Stats'!C$12:H$12)"),"0 | 0 | 0 | 0 | 0 | 0")</f>
        <v>0 | 0 | 0 | 0 | 0 | 0</v>
      </c>
      <c r="J320" s="101"/>
      <c r="K320" s="32"/>
      <c r="L320" s="42"/>
      <c r="M320" s="42"/>
      <c r="N320" s="42"/>
      <c r="O320" s="42"/>
      <c r="P320" s="42"/>
      <c r="Q320" s="42"/>
      <c r="R320" s="44"/>
    </row>
    <row r="321">
      <c r="A321" s="96"/>
      <c r="B321" s="46">
        <v>320.0</v>
      </c>
      <c r="C321" s="46" t="str">
        <f>'Teams &amp; Draft Order'!$C$17</f>
        <v>DD Riders</v>
      </c>
      <c r="D321" s="47"/>
      <c r="E321" s="91" t="str">
        <f>IFERROR(VLOOKUP($D321,PlayerDB!$F$2:$G365,2,FALSE),"")</f>
        <v/>
      </c>
      <c r="F321" s="48" t="str">
        <f>IFERROR(VLOOKUP($D321,PlayerDB!$F$2:$H365,3,FALSE),"")</f>
        <v/>
      </c>
      <c r="G321" s="91" t="str">
        <f>IFERROR(VLOOKUP($D321,PlayerDB!$F$2:$I365,4,FALSE),"")</f>
        <v/>
      </c>
      <c r="H321" s="38"/>
      <c r="I321" s="50" t="str">
        <f>IFERROR(__xludf.DUMMYFUNCTION("JOIN("" | "",'Team Stats'!C$13:H$13)"),"0 | 0 | 0 | 0 | 0 | 0")</f>
        <v>0 | 0 | 0 | 0 | 0 | 0</v>
      </c>
      <c r="J321" s="102"/>
      <c r="K321" s="32"/>
      <c r="L321" s="42"/>
      <c r="M321" s="42"/>
      <c r="N321" s="42"/>
      <c r="O321" s="42"/>
      <c r="P321" s="42"/>
      <c r="Q321" s="42"/>
      <c r="R321" s="44"/>
    </row>
    <row r="322">
      <c r="A322" s="97"/>
      <c r="B322" s="34">
        <v>321.0</v>
      </c>
      <c r="C322" s="34" t="str">
        <f>'Teams &amp; Draft Order'!$C$18</f>
        <v>Nasty</v>
      </c>
      <c r="D322" s="35"/>
      <c r="E322" s="89" t="str">
        <f>IFERROR(VLOOKUP($D322,PlayerDB!$F$2:$G365,2,FALSE),"")</f>
        <v/>
      </c>
      <c r="F322" s="36" t="str">
        <f>IFERROR(VLOOKUP($D322,PlayerDB!$F$2:$H365,3,FALSE),"")</f>
        <v/>
      </c>
      <c r="G322" s="89" t="str">
        <f>IFERROR(VLOOKUP($D322,PlayerDB!$F$2:$I365,4,FALSE),"")</f>
        <v/>
      </c>
      <c r="H322" s="38"/>
      <c r="I322" s="92" t="str">
        <f>IFERROR(__xludf.DUMMYFUNCTION("JOIN("" | "",'Team Stats'!C$14:H$14)"),"0 | 0 | 0 | 0 | 0 | 0")</f>
        <v>0 | 0 | 0 | 0 | 0 | 0</v>
      </c>
      <c r="J322" s="101"/>
      <c r="K322" s="32"/>
      <c r="L322" s="42"/>
      <c r="M322" s="42"/>
      <c r="N322" s="42"/>
      <c r="O322" s="42"/>
      <c r="P322" s="42"/>
      <c r="Q322" s="42"/>
      <c r="R322" s="44"/>
    </row>
    <row r="323">
      <c r="A323" s="96"/>
      <c r="B323" s="46">
        <v>322.0</v>
      </c>
      <c r="C323" s="46" t="str">
        <f>'Teams &amp; Draft Order'!$C$19</f>
        <v>Red Hammer</v>
      </c>
      <c r="D323" s="47"/>
      <c r="E323" s="93" t="str">
        <f>IFERROR(VLOOKUP($D323,PlayerDB!$F$2:$G365,2,FALSE),"")</f>
        <v/>
      </c>
      <c r="F323" s="57" t="str">
        <f>IFERROR(VLOOKUP($D323,PlayerDB!$F$2:$H365,3,FALSE),"")</f>
        <v/>
      </c>
      <c r="G323" s="93" t="str">
        <f>IFERROR(VLOOKUP($D323,PlayerDB!$F$2:$I365,4,FALSE),"")</f>
        <v/>
      </c>
      <c r="H323" s="38"/>
      <c r="I323" s="94" t="str">
        <f>IFERROR(__xludf.DUMMYFUNCTION("JOIN("" | "",'Team Stats'!C$15:H$15)"),"0 | 0 | 0 | 0 | 0 | 0")</f>
        <v>0 | 0 | 0 | 0 | 0 | 0</v>
      </c>
      <c r="J323" s="102"/>
      <c r="K323" s="32"/>
      <c r="L323" s="42"/>
      <c r="M323" s="42"/>
      <c r="N323" s="42"/>
      <c r="O323" s="42"/>
      <c r="P323" s="42"/>
      <c r="Q323" s="42"/>
      <c r="R323" s="44"/>
    </row>
    <row r="324">
      <c r="A324" s="88" t="s">
        <v>108</v>
      </c>
      <c r="B324" s="73">
        <v>323.0</v>
      </c>
      <c r="C324" s="73" t="str">
        <f>'Teams &amp; Draft Order'!$C$19</f>
        <v>Red Hammer</v>
      </c>
      <c r="D324" s="74"/>
      <c r="E324" s="89" t="str">
        <f>IFERROR(VLOOKUP($D324,PlayerDB!$F$2:$G365,2,FALSE),"")</f>
        <v/>
      </c>
      <c r="F324" s="36" t="str">
        <f>IFERROR(VLOOKUP($D324,PlayerDB!$F$2:$H365,3,FALSE),"")</f>
        <v/>
      </c>
      <c r="G324" s="89" t="str">
        <f>IFERROR(VLOOKUP($D324,PlayerDB!$F$2:$I365,4,FALSE),"")</f>
        <v/>
      </c>
      <c r="H324" s="75"/>
      <c r="I324" s="95" t="str">
        <f>IFERROR(__xludf.DUMMYFUNCTION("JOIN("" | "",'Team Stats'!C$15:H$15)"),"0 | 0 | 0 | 0 | 0 | 0")</f>
        <v>0 | 0 | 0 | 0 | 0 | 0</v>
      </c>
      <c r="J324" s="101"/>
      <c r="K324" s="32"/>
      <c r="L324" s="42"/>
      <c r="M324" s="42"/>
      <c r="N324" s="42"/>
      <c r="O324" s="42"/>
      <c r="P324" s="42"/>
      <c r="Q324" s="42"/>
      <c r="R324" s="44"/>
    </row>
    <row r="325">
      <c r="A325" s="96"/>
      <c r="B325" s="46">
        <v>324.0</v>
      </c>
      <c r="C325" s="46" t="str">
        <f>'Teams &amp; Draft Order'!$C$18</f>
        <v>Nasty</v>
      </c>
      <c r="D325" s="47"/>
      <c r="E325" s="91" t="str">
        <f>IFERROR(VLOOKUP($D325,PlayerDB!$F$2:$G365,2,FALSE),"")</f>
        <v/>
      </c>
      <c r="F325" s="48" t="str">
        <f>IFERROR(VLOOKUP($D325,PlayerDB!$F$2:$H365,3,FALSE),"")</f>
        <v/>
      </c>
      <c r="G325" s="91" t="str">
        <f>IFERROR(VLOOKUP($D325,PlayerDB!$F$2:$I365,4,FALSE),"")</f>
        <v/>
      </c>
      <c r="H325" s="38"/>
      <c r="I325" s="94" t="str">
        <f>IFERROR(__xludf.DUMMYFUNCTION("JOIN("" | "",'Team Stats'!C$14:H$14)"),"0 | 0 | 0 | 0 | 0 | 0")</f>
        <v>0 | 0 | 0 | 0 | 0 | 0</v>
      </c>
      <c r="J325" s="102"/>
      <c r="K325" s="32"/>
      <c r="L325" s="42"/>
      <c r="M325" s="42"/>
      <c r="N325" s="42"/>
      <c r="O325" s="42"/>
      <c r="P325" s="42"/>
      <c r="Q325" s="42"/>
      <c r="R325" s="44"/>
    </row>
    <row r="326">
      <c r="A326" s="97"/>
      <c r="B326" s="34">
        <v>325.0</v>
      </c>
      <c r="C326" s="34" t="str">
        <f>'Teams &amp; Draft Order'!$C$17</f>
        <v>DD Riders</v>
      </c>
      <c r="D326" s="35"/>
      <c r="E326" s="89" t="str">
        <f>IFERROR(VLOOKUP($D326,PlayerDB!$F$2:$G365,2,FALSE),"")</f>
        <v/>
      </c>
      <c r="F326" s="36" t="str">
        <f>IFERROR(VLOOKUP($D326,PlayerDB!$F$2:$H365,3,FALSE),"")</f>
        <v/>
      </c>
      <c r="G326" s="89" t="str">
        <f>IFERROR(VLOOKUP($D326,PlayerDB!$F$2:$I365,4,FALSE),"")</f>
        <v/>
      </c>
      <c r="H326" s="38"/>
      <c r="I326" s="39" t="str">
        <f>IFERROR(__xludf.DUMMYFUNCTION("JOIN("" | "",'Team Stats'!C$13:H$13)"),"0 | 0 | 0 | 0 | 0 | 0")</f>
        <v>0 | 0 | 0 | 0 | 0 | 0</v>
      </c>
      <c r="J326" s="101"/>
      <c r="K326" s="32"/>
      <c r="L326" s="42"/>
      <c r="M326" s="42"/>
      <c r="N326" s="42"/>
      <c r="O326" s="42"/>
      <c r="P326" s="42"/>
      <c r="Q326" s="42"/>
      <c r="R326" s="44"/>
    </row>
    <row r="327">
      <c r="A327" s="96"/>
      <c r="B327" s="46">
        <v>326.0</v>
      </c>
      <c r="C327" s="46" t="str">
        <f>'Teams &amp; Draft Order'!$C$16</f>
        <v>TDs and Beers</v>
      </c>
      <c r="D327" s="47"/>
      <c r="E327" s="91" t="str">
        <f>IFERROR(VLOOKUP($D327,PlayerDB!$F$2:$G365,2,FALSE),"")</f>
        <v/>
      </c>
      <c r="F327" s="48" t="str">
        <f>IFERROR(VLOOKUP($D327,PlayerDB!$F$2:$H365,3,FALSE),"")</f>
        <v/>
      </c>
      <c r="G327" s="91" t="str">
        <f>IFERROR(VLOOKUP($D327,PlayerDB!$F$2:$I365,4,FALSE),"")</f>
        <v/>
      </c>
      <c r="H327" s="38"/>
      <c r="I327" s="50" t="str">
        <f>IFERROR(__xludf.DUMMYFUNCTION("JOIN("" | "",'Team Stats'!C$12:H$12)"),"0 | 0 | 0 | 0 | 0 | 0")</f>
        <v>0 | 0 | 0 | 0 | 0 | 0</v>
      </c>
      <c r="J327" s="102"/>
      <c r="K327" s="32"/>
      <c r="L327" s="42"/>
      <c r="M327" s="42"/>
      <c r="N327" s="42"/>
      <c r="O327" s="42"/>
      <c r="P327" s="42"/>
      <c r="Q327" s="42"/>
      <c r="R327" s="44"/>
    </row>
    <row r="328">
      <c r="A328" s="97"/>
      <c r="B328" s="34">
        <v>327.0</v>
      </c>
      <c r="C328" s="34" t="str">
        <f>'Teams &amp; Draft Order'!$C$15</f>
        <v>Daddy's Dogs</v>
      </c>
      <c r="D328" s="35"/>
      <c r="E328" s="89" t="str">
        <f>IFERROR(VLOOKUP($D328,PlayerDB!$F$2:$G365,2,FALSE),"")</f>
        <v/>
      </c>
      <c r="F328" s="36" t="str">
        <f>IFERROR(VLOOKUP($D328,PlayerDB!$F$2:$H365,3,FALSE),"")</f>
        <v/>
      </c>
      <c r="G328" s="89" t="str">
        <f>IFERROR(VLOOKUP($D328,PlayerDB!$F$2:$I365,4,FALSE),"")</f>
        <v/>
      </c>
      <c r="H328" s="38"/>
      <c r="I328" s="39" t="str">
        <f>IFERROR(__xludf.DUMMYFUNCTION("JOIN("" | "",'Team Stats'!C$11:H$11)"),"0 | 0 | 0 | 0 | 0 | 0")</f>
        <v>0 | 0 | 0 | 0 | 0 | 0</v>
      </c>
      <c r="J328" s="101"/>
      <c r="K328" s="32"/>
      <c r="L328" s="42"/>
      <c r="M328" s="42"/>
      <c r="N328" s="42"/>
      <c r="O328" s="42"/>
      <c r="P328" s="42"/>
      <c r="Q328" s="42"/>
      <c r="R328" s="44"/>
    </row>
    <row r="329">
      <c r="A329" s="96"/>
      <c r="B329" s="46">
        <v>328.0</v>
      </c>
      <c r="C329" s="46" t="str">
        <f>'Teams &amp; Draft Order'!$C$14</f>
        <v>Achaians</v>
      </c>
      <c r="D329" s="47"/>
      <c r="E329" s="91" t="str">
        <f>IFERROR(VLOOKUP($D329,PlayerDB!$F$2:$G365,2,FALSE),"")</f>
        <v/>
      </c>
      <c r="F329" s="48" t="str">
        <f>IFERROR(VLOOKUP($D329,PlayerDB!$F$2:$H365,3,FALSE),"")</f>
        <v/>
      </c>
      <c r="G329" s="91" t="str">
        <f>IFERROR(VLOOKUP($D329,PlayerDB!$F$2:$I365,4,FALSE),"")</f>
        <v/>
      </c>
      <c r="H329" s="38"/>
      <c r="I329" s="50" t="str">
        <f>IFERROR(__xludf.DUMMYFUNCTION("JOIN("" | "",'Team Stats'!C$10:H$10)"),"0 | 0 | 0 | 0 | 0 | 0")</f>
        <v>0 | 0 | 0 | 0 | 0 | 0</v>
      </c>
      <c r="J329" s="102"/>
      <c r="K329" s="32"/>
      <c r="L329" s="42"/>
      <c r="M329" s="42"/>
      <c r="N329" s="42"/>
      <c r="O329" s="42"/>
      <c r="P329" s="42"/>
      <c r="Q329" s="42"/>
      <c r="R329" s="44"/>
    </row>
    <row r="330">
      <c r="A330" s="97"/>
      <c r="B330" s="34">
        <v>329.0</v>
      </c>
      <c r="C330" s="34" t="str">
        <f>'Teams &amp; Draft Order'!$C$13</f>
        <v>Luddite</v>
      </c>
      <c r="D330" s="35"/>
      <c r="E330" s="89" t="str">
        <f>IFERROR(VLOOKUP($D330,PlayerDB!$F$2:$G365,2,FALSE),"")</f>
        <v/>
      </c>
      <c r="F330" s="36" t="str">
        <f>IFERROR(VLOOKUP($D330,PlayerDB!$F$2:$H365,3,FALSE),"")</f>
        <v/>
      </c>
      <c r="G330" s="89" t="str">
        <f>IFERROR(VLOOKUP($D330,PlayerDB!$F$2:$I365,4,FALSE),"")</f>
        <v/>
      </c>
      <c r="H330" s="38"/>
      <c r="I330" s="39" t="str">
        <f>IFERROR(__xludf.DUMMYFUNCTION("JOIN("" | "",'Team Stats'!C$9:H$9)"),"0 | 0 | 0 | 0 | 0 | 0")</f>
        <v>0 | 0 | 0 | 0 | 0 | 0</v>
      </c>
      <c r="J330" s="101"/>
      <c r="K330" s="32"/>
      <c r="L330" s="42"/>
      <c r="M330" s="42"/>
      <c r="N330" s="42"/>
      <c r="O330" s="42"/>
      <c r="P330" s="42"/>
      <c r="Q330" s="42"/>
      <c r="R330" s="44"/>
    </row>
    <row r="331">
      <c r="A331" s="96"/>
      <c r="B331" s="46">
        <v>330.0</v>
      </c>
      <c r="C331" s="46" t="str">
        <f>'Teams &amp; Draft Order'!$C$12</f>
        <v>Turbo-Ginz</v>
      </c>
      <c r="D331" s="47"/>
      <c r="E331" s="91" t="str">
        <f>IFERROR(VLOOKUP($D331,PlayerDB!$F$2:$G365,2,FALSE),"")</f>
        <v/>
      </c>
      <c r="F331" s="48" t="str">
        <f>IFERROR(VLOOKUP($D331,PlayerDB!$F$2:$H365,3,FALSE),"")</f>
        <v/>
      </c>
      <c r="G331" s="91" t="str">
        <f>IFERROR(VLOOKUP($D331,PlayerDB!$F$2:$I365,4,FALSE),"")</f>
        <v/>
      </c>
      <c r="H331" s="38"/>
      <c r="I331" s="50" t="str">
        <f>IFERROR(__xludf.DUMMYFUNCTION("JOIN("" | "",'Team Stats'!C$8:H$8)"),"0 | 0 | 0 | 0 | 0 | 0")</f>
        <v>0 | 0 | 0 | 0 | 0 | 0</v>
      </c>
      <c r="J331" s="102"/>
      <c r="K331" s="32"/>
      <c r="L331" s="42"/>
      <c r="M331" s="42"/>
      <c r="N331" s="42"/>
      <c r="O331" s="42"/>
      <c r="P331" s="42"/>
      <c r="Q331" s="42"/>
      <c r="R331" s="44"/>
    </row>
    <row r="332">
      <c r="A332" s="97"/>
      <c r="B332" s="34">
        <v>331.0</v>
      </c>
      <c r="C332" s="34" t="str">
        <f>'Teams &amp; Draft Order'!$C$11</f>
        <v>Big Boys Big Work</v>
      </c>
      <c r="D332" s="35"/>
      <c r="E332" s="89" t="str">
        <f>IFERROR(VLOOKUP($D332,PlayerDB!$F$2:$G365,2,FALSE),"")</f>
        <v/>
      </c>
      <c r="F332" s="36" t="str">
        <f>IFERROR(VLOOKUP($D332,PlayerDB!$F$2:$H365,3,FALSE),"")</f>
        <v/>
      </c>
      <c r="G332" s="89" t="str">
        <f>IFERROR(VLOOKUP($D332,PlayerDB!$F$2:$I365,4,FALSE),"")</f>
        <v/>
      </c>
      <c r="H332" s="38"/>
      <c r="I332" s="39" t="str">
        <f>IFERROR(__xludf.DUMMYFUNCTION("JOIN("" | "",'Team Stats'!C$7:H$7)"),"0 | 0 | 0 | 0 | 0 | 0")</f>
        <v>0 | 0 | 0 | 0 | 0 | 0</v>
      </c>
      <c r="J332" s="101"/>
      <c r="K332" s="32"/>
      <c r="L332" s="42"/>
      <c r="M332" s="42"/>
      <c r="N332" s="42"/>
      <c r="O332" s="42"/>
      <c r="P332" s="42"/>
      <c r="Q332" s="42"/>
      <c r="R332" s="44"/>
    </row>
    <row r="333">
      <c r="A333" s="96"/>
      <c r="B333" s="46">
        <v>332.0</v>
      </c>
      <c r="C333" s="46" t="str">
        <f>'Teams &amp; Draft Order'!$C$10</f>
        <v>Buttheads</v>
      </c>
      <c r="D333" s="47"/>
      <c r="E333" s="91" t="str">
        <f>IFERROR(VLOOKUP($D333,PlayerDB!$F$2:$G365,2,FALSE),"")</f>
        <v/>
      </c>
      <c r="F333" s="48" t="str">
        <f>IFERROR(VLOOKUP($D333,PlayerDB!$F$2:$H365,3,FALSE),"")</f>
        <v/>
      </c>
      <c r="G333" s="91" t="str">
        <f>IFERROR(VLOOKUP($D333,PlayerDB!$F$2:$I365,4,FALSE),"")</f>
        <v/>
      </c>
      <c r="H333" s="38"/>
      <c r="I333" s="50" t="str">
        <f>IFERROR(__xludf.DUMMYFUNCTION("JOIN("" | "",'Team Stats'!C$6:H$6)"),"0 | 0 | 0 | 0 | 0 | 0")</f>
        <v>0 | 0 | 0 | 0 | 0 | 0</v>
      </c>
      <c r="J333" s="102"/>
      <c r="K333" s="32"/>
      <c r="L333" s="42"/>
      <c r="M333" s="42"/>
      <c r="N333" s="42"/>
      <c r="O333" s="42"/>
      <c r="P333" s="42"/>
      <c r="Q333" s="42"/>
      <c r="R333" s="44"/>
    </row>
    <row r="334">
      <c r="A334" s="97"/>
      <c r="B334" s="34">
        <v>333.0</v>
      </c>
      <c r="C334" s="34" t="str">
        <f>'Teams &amp; Draft Order'!$C$9</f>
        <v>El Nino</v>
      </c>
      <c r="D334" s="35"/>
      <c r="E334" s="89" t="str">
        <f>IFERROR(VLOOKUP($D334,PlayerDB!$F$2:$G365,2,FALSE),"")</f>
        <v/>
      </c>
      <c r="F334" s="36" t="str">
        <f>IFERROR(VLOOKUP($D334,PlayerDB!$F$2:$H365,3,FALSE),"")</f>
        <v/>
      </c>
      <c r="G334" s="89" t="str">
        <f>IFERROR(VLOOKUP($D334,PlayerDB!$F$2:$I365,4,FALSE),"")</f>
        <v/>
      </c>
      <c r="H334" s="38"/>
      <c r="I334" s="39" t="str">
        <f>IFERROR(__xludf.DUMMYFUNCTION("JOIN("" | "",'Team Stats'!C$5:H$5)"),"0 | 0 | 0 | 0 | 0 | 0")</f>
        <v>0 | 0 | 0 | 0 | 0 | 0</v>
      </c>
      <c r="J334" s="101"/>
      <c r="K334" s="32"/>
      <c r="L334" s="42"/>
      <c r="M334" s="42"/>
      <c r="N334" s="42"/>
      <c r="O334" s="42"/>
      <c r="P334" s="42"/>
      <c r="Q334" s="42"/>
      <c r="R334" s="44"/>
    </row>
    <row r="335">
      <c r="A335" s="96"/>
      <c r="B335" s="46">
        <v>334.0</v>
      </c>
      <c r="C335" s="46" t="str">
        <f>'Teams &amp; Draft Order'!$C$8</f>
        <v>Icelanders</v>
      </c>
      <c r="D335" s="47"/>
      <c r="E335" s="91" t="str">
        <f>IFERROR(VLOOKUP($D335,PlayerDB!$F$2:$G365,2,FALSE),"")</f>
        <v/>
      </c>
      <c r="F335" s="48" t="str">
        <f>IFERROR(VLOOKUP($D335,PlayerDB!$F$2:$H365,3,FALSE),"")</f>
        <v/>
      </c>
      <c r="G335" s="91" t="str">
        <f>IFERROR(VLOOKUP($D335,PlayerDB!$F$2:$I365,4,FALSE),"")</f>
        <v/>
      </c>
      <c r="H335" s="38"/>
      <c r="I335" s="50" t="str">
        <f>IFERROR(__xludf.DUMMYFUNCTION("JOIN("" | "",'Team Stats'!C$4:H$4)"),"0 | 0 | 0 | 0 | 0 | 0")</f>
        <v>0 | 0 | 0 | 0 | 0 | 0</v>
      </c>
      <c r="J335" s="102"/>
      <c r="K335" s="32"/>
      <c r="L335" s="42"/>
      <c r="M335" s="42"/>
      <c r="N335" s="42"/>
      <c r="O335" s="42"/>
      <c r="P335" s="42"/>
      <c r="Q335" s="42"/>
      <c r="R335" s="44"/>
    </row>
    <row r="336">
      <c r="A336" s="97"/>
      <c r="B336" s="34">
        <v>335.0</v>
      </c>
      <c r="C336" s="34" t="str">
        <f>'Teams &amp; Draft Order'!$C$7</f>
        <v>Phantasm</v>
      </c>
      <c r="D336" s="35"/>
      <c r="E336" s="89" t="str">
        <f>IFERROR(VLOOKUP($D336,PlayerDB!$F$2:$G365,2,FALSE),"")</f>
        <v/>
      </c>
      <c r="F336" s="36" t="str">
        <f>IFERROR(VLOOKUP($D336,PlayerDB!$F$2:$H365,3,FALSE),"")</f>
        <v/>
      </c>
      <c r="G336" s="89" t="str">
        <f>IFERROR(VLOOKUP($D336,PlayerDB!$F$2:$I365,4,FALSE),"")</f>
        <v/>
      </c>
      <c r="H336" s="38"/>
      <c r="I336" s="39" t="str">
        <f>IFERROR(__xludf.DUMMYFUNCTION("JOIN("" | "",'Team Stats'!C$3:H$3)"),"0 | 0 | 0 | 0 | 0 | 0")</f>
        <v>0 | 0 | 0 | 0 | 0 | 0</v>
      </c>
      <c r="J336" s="101"/>
      <c r="K336" s="32"/>
      <c r="L336" s="42"/>
      <c r="M336" s="42"/>
      <c r="N336" s="42"/>
      <c r="O336" s="42"/>
      <c r="P336" s="42"/>
      <c r="Q336" s="42"/>
      <c r="R336" s="44"/>
    </row>
    <row r="337">
      <c r="A337" s="99"/>
      <c r="B337" s="55">
        <v>336.0</v>
      </c>
      <c r="C337" s="55" t="str">
        <f>'Teams &amp; Draft Order'!$C$6</f>
        <v>Sleeper Cell </v>
      </c>
      <c r="D337" s="56"/>
      <c r="E337" s="93" t="str">
        <f>IFERROR(VLOOKUP($D337,PlayerDB!$F$2:$G365,2,FALSE),"")</f>
        <v/>
      </c>
      <c r="F337" s="57" t="str">
        <f>IFERROR(VLOOKUP($D337,PlayerDB!$F$2:$H365,3,FALSE),"")</f>
        <v/>
      </c>
      <c r="G337" s="93" t="str">
        <f>IFERROR(VLOOKUP($D337,PlayerDB!$F$2:$I365,4,FALSE),"")</f>
        <v/>
      </c>
      <c r="H337" s="59"/>
      <c r="I337" s="60" t="str">
        <f>IFERROR(__xludf.DUMMYFUNCTION("JOIN("" | "",'Team Stats'!C$2:H$2)"),"1 | 0 | 0 | 0 | 0 | 0")</f>
        <v>1 | 0 | 0 | 0 | 0 | 0</v>
      </c>
      <c r="J337" s="102"/>
      <c r="K337" s="32"/>
      <c r="L337" s="42"/>
      <c r="M337" s="42"/>
      <c r="N337" s="42"/>
      <c r="O337" s="42"/>
      <c r="P337" s="42"/>
      <c r="Q337" s="42"/>
      <c r="R337" s="44"/>
    </row>
    <row r="338">
      <c r="A338" s="103" t="s">
        <v>109</v>
      </c>
      <c r="B338" s="73">
        <v>337.0</v>
      </c>
      <c r="C338" s="73" t="str">
        <f>'Teams &amp; Draft Order'!$C$6</f>
        <v>Sleeper Cell </v>
      </c>
      <c r="D338" s="104"/>
      <c r="E338" s="89" t="str">
        <f>IFERROR(VLOOKUP($D338,PlayerDB!$F$2:$G365,2,FALSE),"")</f>
        <v/>
      </c>
      <c r="F338" s="36" t="str">
        <f>IFERROR(VLOOKUP($D338,PlayerDB!$F$2:$H365,3,FALSE),"")</f>
        <v/>
      </c>
      <c r="G338" s="89" t="str">
        <f>IFERROR(VLOOKUP($D338,PlayerDB!$F$2:$I365,4,FALSE),"")</f>
        <v/>
      </c>
      <c r="H338" s="105"/>
      <c r="I338" s="95" t="str">
        <f>IFERROR(__xludf.DUMMYFUNCTION("JOIN("" | "",'Team Stats'!C$2:H$2)"),"1 | 0 | 0 | 0 | 0 | 0")</f>
        <v>1 | 0 | 0 | 0 | 0 | 0</v>
      </c>
      <c r="J338" s="101"/>
      <c r="K338" s="32"/>
      <c r="L338" s="42"/>
      <c r="M338" s="42"/>
      <c r="N338" s="42"/>
      <c r="O338" s="42"/>
      <c r="P338" s="42"/>
      <c r="Q338" s="42"/>
      <c r="R338" s="44"/>
    </row>
    <row r="339">
      <c r="A339" s="106"/>
      <c r="B339" s="46">
        <v>338.0</v>
      </c>
      <c r="C339" s="46" t="str">
        <f>'Teams &amp; Draft Order'!$C$7</f>
        <v>Phantasm</v>
      </c>
      <c r="D339" s="107"/>
      <c r="E339" s="91" t="str">
        <f>IFERROR(VLOOKUP($D339,PlayerDB!$F$2:$G365,2,FALSE),"")</f>
        <v/>
      </c>
      <c r="F339" s="48" t="str">
        <f>IFERROR(VLOOKUP($D339,PlayerDB!$F$2:$H365,3,FALSE),"")</f>
        <v/>
      </c>
      <c r="G339" s="91" t="str">
        <f>IFERROR(VLOOKUP($D339,PlayerDB!$F$2:$I365,4,FALSE),"")</f>
        <v/>
      </c>
      <c r="H339" s="108"/>
      <c r="I339" s="94" t="str">
        <f>IFERROR(__xludf.DUMMYFUNCTION("JOIN("" | "",'Team Stats'!C$3:H$3)"),"0 | 0 | 0 | 0 | 0 | 0")</f>
        <v>0 | 0 | 0 | 0 | 0 | 0</v>
      </c>
      <c r="J339" s="102"/>
      <c r="K339" s="32"/>
      <c r="L339" s="42"/>
      <c r="M339" s="42"/>
      <c r="N339" s="42"/>
      <c r="O339" s="42"/>
      <c r="P339" s="42"/>
      <c r="Q339" s="42"/>
      <c r="R339" s="44"/>
    </row>
    <row r="340">
      <c r="A340" s="109"/>
      <c r="B340" s="34">
        <v>339.0</v>
      </c>
      <c r="C340" s="34" t="str">
        <f>'Teams &amp; Draft Order'!$C$8</f>
        <v>Icelanders</v>
      </c>
      <c r="D340" s="110"/>
      <c r="E340" s="89" t="str">
        <f>IFERROR(VLOOKUP($D340,PlayerDB!$F$2:$G365,2,FALSE),"")</f>
        <v/>
      </c>
      <c r="F340" s="36" t="str">
        <f>IFERROR(VLOOKUP($D340,PlayerDB!$F$2:$H365,3,FALSE),"")</f>
        <v/>
      </c>
      <c r="G340" s="89" t="str">
        <f>IFERROR(VLOOKUP($D340,PlayerDB!$F$2:$I365,4,FALSE),"")</f>
        <v/>
      </c>
      <c r="H340" s="108"/>
      <c r="I340" s="92" t="str">
        <f>IFERROR(__xludf.DUMMYFUNCTION("JOIN("" | "",'Team Stats'!C$4:H$4)"),"0 | 0 | 0 | 0 | 0 | 0")</f>
        <v>0 | 0 | 0 | 0 | 0 | 0</v>
      </c>
      <c r="J340" s="101"/>
      <c r="K340" s="32"/>
      <c r="L340" s="42"/>
      <c r="M340" s="42"/>
      <c r="N340" s="42"/>
      <c r="O340" s="42"/>
      <c r="P340" s="42"/>
      <c r="Q340" s="42"/>
      <c r="R340" s="44"/>
    </row>
    <row r="341">
      <c r="A341" s="106"/>
      <c r="B341" s="46">
        <v>340.0</v>
      </c>
      <c r="C341" s="46" t="str">
        <f>'Teams &amp; Draft Order'!$C$9</f>
        <v>El Nino</v>
      </c>
      <c r="D341" s="107"/>
      <c r="E341" s="91" t="str">
        <f>IFERROR(VLOOKUP($D341,PlayerDB!$F$2:$G365,2,FALSE),"")</f>
        <v/>
      </c>
      <c r="F341" s="48" t="str">
        <f>IFERROR(VLOOKUP($D341,PlayerDB!$F$2:$H365,3,FALSE),"")</f>
        <v/>
      </c>
      <c r="G341" s="91" t="str">
        <f>IFERROR(VLOOKUP($D341,PlayerDB!$F$2:$I365,4,FALSE),"")</f>
        <v/>
      </c>
      <c r="H341" s="108"/>
      <c r="I341" s="94" t="str">
        <f>IFERROR(__xludf.DUMMYFUNCTION("JOIN("" | "",'Team Stats'!C$5:H$5)"),"0 | 0 | 0 | 0 | 0 | 0")</f>
        <v>0 | 0 | 0 | 0 | 0 | 0</v>
      </c>
      <c r="J341" s="102"/>
      <c r="K341" s="32"/>
      <c r="L341" s="42"/>
      <c r="M341" s="42"/>
      <c r="N341" s="42"/>
      <c r="O341" s="42"/>
      <c r="P341" s="42"/>
      <c r="Q341" s="42"/>
      <c r="R341" s="44"/>
    </row>
    <row r="342">
      <c r="A342" s="109"/>
      <c r="B342" s="34">
        <v>341.0</v>
      </c>
      <c r="C342" s="34" t="str">
        <f>'Teams &amp; Draft Order'!$C$10</f>
        <v>Buttheads</v>
      </c>
      <c r="D342" s="110"/>
      <c r="E342" s="89" t="str">
        <f>IFERROR(VLOOKUP($D342,PlayerDB!$F$2:$G365,2,FALSE),"")</f>
        <v/>
      </c>
      <c r="F342" s="36" t="str">
        <f>IFERROR(VLOOKUP($D342,PlayerDB!$F$2:$H365,3,FALSE),"")</f>
        <v/>
      </c>
      <c r="G342" s="89" t="str">
        <f>IFERROR(VLOOKUP($D342,PlayerDB!$F$2:$I365,4,FALSE),"")</f>
        <v/>
      </c>
      <c r="H342" s="108"/>
      <c r="I342" s="92" t="str">
        <f>IFERROR(__xludf.DUMMYFUNCTION("JOIN("" | "",'Team Stats'!C$6:H$6)"),"0 | 0 | 0 | 0 | 0 | 0")</f>
        <v>0 | 0 | 0 | 0 | 0 | 0</v>
      </c>
      <c r="J342" s="101"/>
      <c r="K342" s="32"/>
      <c r="L342" s="42"/>
      <c r="M342" s="42"/>
      <c r="N342" s="42"/>
      <c r="O342" s="42"/>
      <c r="P342" s="42"/>
      <c r="Q342" s="42"/>
      <c r="R342" s="44"/>
    </row>
    <row r="343">
      <c r="A343" s="106"/>
      <c r="B343" s="46">
        <v>342.0</v>
      </c>
      <c r="C343" s="46" t="str">
        <f>'Teams &amp; Draft Order'!$C$11</f>
        <v>Big Boys Big Work</v>
      </c>
      <c r="D343" s="107"/>
      <c r="E343" s="91" t="str">
        <f>IFERROR(VLOOKUP($D343,PlayerDB!$F$2:$G365,2,FALSE),"")</f>
        <v/>
      </c>
      <c r="F343" s="48" t="str">
        <f>IFERROR(VLOOKUP($D343,PlayerDB!$F$2:$H365,3,FALSE),"")</f>
        <v/>
      </c>
      <c r="G343" s="91" t="str">
        <f>IFERROR(VLOOKUP($D343,PlayerDB!$F$2:$I365,4,FALSE),"")</f>
        <v/>
      </c>
      <c r="H343" s="108"/>
      <c r="I343" s="94" t="str">
        <f>IFERROR(__xludf.DUMMYFUNCTION("JOIN("" | "",'Team Stats'!C$7:H$7)"),"0 | 0 | 0 | 0 | 0 | 0")</f>
        <v>0 | 0 | 0 | 0 | 0 | 0</v>
      </c>
      <c r="J343" s="102"/>
      <c r="K343" s="32"/>
      <c r="L343" s="42"/>
      <c r="M343" s="42"/>
      <c r="N343" s="42"/>
      <c r="O343" s="42"/>
      <c r="P343" s="42"/>
      <c r="Q343" s="42"/>
      <c r="R343" s="44"/>
    </row>
    <row r="344">
      <c r="A344" s="109"/>
      <c r="B344" s="34">
        <v>343.0</v>
      </c>
      <c r="C344" s="34" t="str">
        <f>'Teams &amp; Draft Order'!$C$12</f>
        <v>Turbo-Ginz</v>
      </c>
      <c r="D344" s="110"/>
      <c r="E344" s="89" t="str">
        <f>IFERROR(VLOOKUP($D344,PlayerDB!$F$2:$G365,2,FALSE),"")</f>
        <v/>
      </c>
      <c r="F344" s="36" t="str">
        <f>IFERROR(VLOOKUP($D344,PlayerDB!$F$2:$H365,3,FALSE),"")</f>
        <v/>
      </c>
      <c r="G344" s="89" t="str">
        <f>IFERROR(VLOOKUP($D344,PlayerDB!$F$2:$I365,4,FALSE),"")</f>
        <v/>
      </c>
      <c r="H344" s="108"/>
      <c r="I344" s="92" t="str">
        <f>IFERROR(__xludf.DUMMYFUNCTION("JOIN("" | "",'Team Stats'!C$8:H$8)"),"0 | 0 | 0 | 0 | 0 | 0")</f>
        <v>0 | 0 | 0 | 0 | 0 | 0</v>
      </c>
      <c r="J344" s="101"/>
      <c r="K344" s="32"/>
      <c r="L344" s="42"/>
      <c r="M344" s="42"/>
      <c r="N344" s="42"/>
      <c r="O344" s="42"/>
      <c r="P344" s="42"/>
      <c r="Q344" s="42"/>
      <c r="R344" s="44"/>
    </row>
    <row r="345">
      <c r="A345" s="106"/>
      <c r="B345" s="46">
        <v>344.0</v>
      </c>
      <c r="C345" s="46" t="str">
        <f>'Teams &amp; Draft Order'!$C$13</f>
        <v>Luddite</v>
      </c>
      <c r="D345" s="107"/>
      <c r="E345" s="91" t="str">
        <f>IFERROR(VLOOKUP($D345,PlayerDB!$F$2:$G365,2,FALSE),"")</f>
        <v/>
      </c>
      <c r="F345" s="48" t="str">
        <f>IFERROR(VLOOKUP($D345,PlayerDB!$F$2:$H365,3,FALSE),"")</f>
        <v/>
      </c>
      <c r="G345" s="91" t="str">
        <f>IFERROR(VLOOKUP($D345,PlayerDB!$F$2:$I365,4,FALSE),"")</f>
        <v/>
      </c>
      <c r="H345" s="108"/>
      <c r="I345" s="94" t="str">
        <f>IFERROR(__xludf.DUMMYFUNCTION("JOIN("" | "",'Team Stats'!C$9:H$9)"),"0 | 0 | 0 | 0 | 0 | 0")</f>
        <v>0 | 0 | 0 | 0 | 0 | 0</v>
      </c>
      <c r="J345" s="102"/>
      <c r="K345" s="32"/>
      <c r="L345" s="42"/>
      <c r="M345" s="42"/>
      <c r="N345" s="42"/>
      <c r="O345" s="42"/>
      <c r="P345" s="42"/>
      <c r="Q345" s="42"/>
      <c r="R345" s="44"/>
    </row>
    <row r="346">
      <c r="A346" s="109"/>
      <c r="B346" s="34">
        <v>345.0</v>
      </c>
      <c r="C346" s="34" t="str">
        <f>'Teams &amp; Draft Order'!$C$14</f>
        <v>Achaians</v>
      </c>
      <c r="D346" s="110"/>
      <c r="E346" s="89" t="str">
        <f>IFERROR(VLOOKUP($D346,PlayerDB!$F$2:$G365,2,FALSE),"")</f>
        <v/>
      </c>
      <c r="F346" s="36" t="str">
        <f>IFERROR(VLOOKUP($D346,PlayerDB!$F$2:$H365,3,FALSE),"")</f>
        <v/>
      </c>
      <c r="G346" s="89" t="str">
        <f>IFERROR(VLOOKUP($D346,PlayerDB!$F$2:$I365,4,FALSE),"")</f>
        <v/>
      </c>
      <c r="H346" s="108"/>
      <c r="I346" s="92" t="str">
        <f>IFERROR(__xludf.DUMMYFUNCTION("JOIN("" | "",'Team Stats'!C$10:H$10)"),"0 | 0 | 0 | 0 | 0 | 0")</f>
        <v>0 | 0 | 0 | 0 | 0 | 0</v>
      </c>
      <c r="J346" s="101"/>
      <c r="K346" s="32"/>
      <c r="L346" s="42"/>
      <c r="M346" s="42"/>
      <c r="N346" s="42"/>
      <c r="O346" s="42"/>
      <c r="P346" s="42"/>
      <c r="Q346" s="42"/>
      <c r="R346" s="44"/>
    </row>
    <row r="347">
      <c r="A347" s="106"/>
      <c r="B347" s="46">
        <v>346.0</v>
      </c>
      <c r="C347" s="46" t="str">
        <f>'Teams &amp; Draft Order'!$C$15</f>
        <v>Daddy's Dogs</v>
      </c>
      <c r="D347" s="107"/>
      <c r="E347" s="91" t="str">
        <f>IFERROR(VLOOKUP($D347,PlayerDB!$F$2:$G365,2,FALSE),"")</f>
        <v/>
      </c>
      <c r="F347" s="48" t="str">
        <f>IFERROR(VLOOKUP($D347,PlayerDB!$F$2:$H365,3,FALSE),"")</f>
        <v/>
      </c>
      <c r="G347" s="91" t="str">
        <f>IFERROR(VLOOKUP($D347,PlayerDB!$F$2:$I365,4,FALSE),"")</f>
        <v/>
      </c>
      <c r="H347" s="108"/>
      <c r="I347" s="94" t="str">
        <f>IFERROR(__xludf.DUMMYFUNCTION("JOIN("" | "",'Team Stats'!C$11:H$11)"),"0 | 0 | 0 | 0 | 0 | 0")</f>
        <v>0 | 0 | 0 | 0 | 0 | 0</v>
      </c>
      <c r="J347" s="102"/>
      <c r="K347" s="32"/>
      <c r="L347" s="42"/>
      <c r="M347" s="42"/>
      <c r="N347" s="42"/>
      <c r="O347" s="42"/>
      <c r="P347" s="42"/>
      <c r="Q347" s="42"/>
      <c r="R347" s="44"/>
    </row>
    <row r="348">
      <c r="A348" s="109"/>
      <c r="B348" s="34">
        <v>347.0</v>
      </c>
      <c r="C348" s="34" t="str">
        <f>'Teams &amp; Draft Order'!$C$16</f>
        <v>TDs and Beers</v>
      </c>
      <c r="D348" s="110"/>
      <c r="E348" s="89" t="str">
        <f>IFERROR(VLOOKUP($D348,PlayerDB!$F$2:$G365,2,FALSE),"")</f>
        <v/>
      </c>
      <c r="F348" s="36" t="str">
        <f>IFERROR(VLOOKUP($D348,PlayerDB!$F$2:$H365,3,FALSE),"")</f>
        <v/>
      </c>
      <c r="G348" s="89" t="str">
        <f>IFERROR(VLOOKUP($D348,PlayerDB!$F$2:$I365,4,FALSE),"")</f>
        <v/>
      </c>
      <c r="H348" s="108"/>
      <c r="I348" s="92" t="str">
        <f>IFERROR(__xludf.DUMMYFUNCTION("JOIN("" | "",'Team Stats'!C$12:H$12)"),"0 | 0 | 0 | 0 | 0 | 0")</f>
        <v>0 | 0 | 0 | 0 | 0 | 0</v>
      </c>
      <c r="J348" s="101"/>
      <c r="K348" s="32"/>
      <c r="L348" s="42"/>
      <c r="M348" s="42"/>
      <c r="N348" s="42"/>
      <c r="O348" s="42"/>
      <c r="P348" s="42"/>
      <c r="Q348" s="42"/>
      <c r="R348" s="44"/>
    </row>
    <row r="349">
      <c r="A349" s="106"/>
      <c r="B349" s="46">
        <v>348.0</v>
      </c>
      <c r="C349" s="46" t="str">
        <f>'Teams &amp; Draft Order'!$C$17</f>
        <v>DD Riders</v>
      </c>
      <c r="D349" s="107"/>
      <c r="E349" s="91" t="str">
        <f>IFERROR(VLOOKUP($D349,PlayerDB!$F$2:$G365,2,FALSE),"")</f>
        <v/>
      </c>
      <c r="F349" s="48" t="str">
        <f>IFERROR(VLOOKUP($D349,PlayerDB!$F$2:$H365,3,FALSE),"")</f>
        <v/>
      </c>
      <c r="G349" s="91" t="str">
        <f>IFERROR(VLOOKUP($D349,PlayerDB!$F$2:$I365,4,FALSE),"")</f>
        <v/>
      </c>
      <c r="H349" s="108"/>
      <c r="I349" s="94" t="str">
        <f>IFERROR(__xludf.DUMMYFUNCTION("JOIN("" | "",'Team Stats'!C$13:H$13)"),"0 | 0 | 0 | 0 | 0 | 0")</f>
        <v>0 | 0 | 0 | 0 | 0 | 0</v>
      </c>
      <c r="J349" s="102"/>
      <c r="K349" s="32"/>
      <c r="L349" s="42"/>
      <c r="M349" s="42"/>
      <c r="N349" s="42"/>
      <c r="O349" s="42"/>
      <c r="P349" s="42"/>
      <c r="Q349" s="42"/>
      <c r="R349" s="44"/>
    </row>
    <row r="350">
      <c r="A350" s="109"/>
      <c r="B350" s="34">
        <v>349.0</v>
      </c>
      <c r="C350" s="34" t="str">
        <f>'Teams &amp; Draft Order'!$C$18</f>
        <v>Nasty</v>
      </c>
      <c r="D350" s="35"/>
      <c r="E350" s="89" t="str">
        <f>IFERROR(VLOOKUP($D350,PlayerDB!$F$2:$G365,2,FALSE),"")</f>
        <v/>
      </c>
      <c r="F350" s="36" t="str">
        <f>IFERROR(VLOOKUP($D350,PlayerDB!$F$2:$H365,3,FALSE),"")</f>
        <v/>
      </c>
      <c r="G350" s="89" t="str">
        <f>IFERROR(VLOOKUP($D350,PlayerDB!$F$2:$I365,4,FALSE),"")</f>
        <v/>
      </c>
      <c r="H350" s="38"/>
      <c r="I350" s="92" t="str">
        <f>IFERROR(__xludf.DUMMYFUNCTION("JOIN("" | "",'Team Stats'!C$14:H$14)"),"0 | 0 | 0 | 0 | 0 | 0")</f>
        <v>0 | 0 | 0 | 0 | 0 | 0</v>
      </c>
      <c r="J350" s="101"/>
      <c r="K350" s="32"/>
      <c r="L350" s="42"/>
      <c r="M350" s="42"/>
      <c r="N350" s="42"/>
      <c r="O350" s="42"/>
      <c r="P350" s="42"/>
      <c r="Q350" s="42"/>
      <c r="R350" s="44"/>
    </row>
    <row r="351">
      <c r="A351" s="111"/>
      <c r="B351" s="46">
        <v>350.0</v>
      </c>
      <c r="C351" s="46" t="str">
        <f>'Teams &amp; Draft Order'!$C$19</f>
        <v>Red Hammer</v>
      </c>
      <c r="D351" s="47"/>
      <c r="E351" s="93" t="str">
        <f>IFERROR(VLOOKUP($D351,PlayerDB!$F$2:$G365,2,FALSE),"")</f>
        <v/>
      </c>
      <c r="F351" s="57" t="str">
        <f>IFERROR(VLOOKUP($D351,PlayerDB!$F$2:$H365,3,FALSE),"")</f>
        <v/>
      </c>
      <c r="G351" s="93" t="str">
        <f>IFERROR(VLOOKUP($D351,PlayerDB!$F$2:$I365,4,FALSE),"")</f>
        <v/>
      </c>
      <c r="H351" s="38"/>
      <c r="I351" s="94" t="str">
        <f>IFERROR(__xludf.DUMMYFUNCTION("JOIN("" | "",'Team Stats'!C$15:H$15)"),"0 | 0 | 0 | 0 | 0 | 0")</f>
        <v>0 | 0 | 0 | 0 | 0 | 0</v>
      </c>
      <c r="J351" s="102"/>
      <c r="K351" s="32"/>
      <c r="L351" s="42"/>
      <c r="M351" s="42"/>
      <c r="N351" s="42"/>
      <c r="O351" s="42"/>
      <c r="P351" s="42"/>
      <c r="Q351" s="42"/>
      <c r="R351" s="44"/>
    </row>
    <row r="352">
      <c r="A352" s="112" t="s">
        <v>110</v>
      </c>
      <c r="B352" s="73">
        <v>351.0</v>
      </c>
      <c r="C352" s="73" t="str">
        <f>'Teams &amp; Draft Order'!$C$19</f>
        <v>Red Hammer</v>
      </c>
      <c r="D352" s="74"/>
      <c r="E352" s="89" t="str">
        <f>IFERROR(VLOOKUP($D352,PlayerDB!$F$2:$G365,2,FALSE),"")</f>
        <v/>
      </c>
      <c r="F352" s="36" t="str">
        <f>IFERROR(VLOOKUP($D352,PlayerDB!$F$2:$H365,3,FALSE),"")</f>
        <v/>
      </c>
      <c r="G352" s="89" t="str">
        <f>IFERROR(VLOOKUP($D352,PlayerDB!$F$2:$I365,4,FALSE),"")</f>
        <v/>
      </c>
      <c r="H352" s="75"/>
      <c r="I352" s="95" t="str">
        <f>IFERROR(__xludf.DUMMYFUNCTION("JOIN("" | "",'Team Stats'!C$15:H$15)"),"0 | 0 | 0 | 0 | 0 | 0")</f>
        <v>0 | 0 | 0 | 0 | 0 | 0</v>
      </c>
      <c r="J352" s="101"/>
      <c r="K352" s="32"/>
      <c r="L352" s="42"/>
      <c r="M352" s="42"/>
      <c r="N352" s="42"/>
      <c r="O352" s="42"/>
      <c r="P352" s="42"/>
      <c r="Q352" s="42"/>
      <c r="R352" s="44"/>
    </row>
    <row r="353">
      <c r="A353" s="106"/>
      <c r="B353" s="46">
        <v>352.0</v>
      </c>
      <c r="C353" s="46" t="str">
        <f>'Teams &amp; Draft Order'!$C$18</f>
        <v>Nasty</v>
      </c>
      <c r="D353" s="47"/>
      <c r="E353" s="91" t="str">
        <f>IFERROR(VLOOKUP($D353,PlayerDB!$F$2:$G365,2,FALSE),"")</f>
        <v/>
      </c>
      <c r="F353" s="48" t="str">
        <f>IFERROR(VLOOKUP($D353,PlayerDB!$F$2:$H365,3,FALSE),"")</f>
        <v/>
      </c>
      <c r="G353" s="91" t="str">
        <f>IFERROR(VLOOKUP($D353,PlayerDB!$F$2:$I365,4,FALSE),"")</f>
        <v/>
      </c>
      <c r="H353" s="38"/>
      <c r="I353" s="94" t="str">
        <f>IFERROR(__xludf.DUMMYFUNCTION("JOIN("" | "",'Team Stats'!C$14:H$14)"),"0 | 0 | 0 | 0 | 0 | 0")</f>
        <v>0 | 0 | 0 | 0 | 0 | 0</v>
      </c>
      <c r="J353" s="102"/>
      <c r="K353" s="32"/>
      <c r="L353" s="42"/>
      <c r="M353" s="42"/>
      <c r="N353" s="42"/>
      <c r="O353" s="42"/>
      <c r="P353" s="42"/>
      <c r="Q353" s="42"/>
      <c r="R353" s="44"/>
    </row>
    <row r="354">
      <c r="A354" s="109"/>
      <c r="B354" s="34">
        <v>353.0</v>
      </c>
      <c r="C354" s="34" t="str">
        <f>'Teams &amp; Draft Order'!$C$17</f>
        <v>DD Riders</v>
      </c>
      <c r="D354" s="110"/>
      <c r="E354" s="89" t="str">
        <f>IFERROR(VLOOKUP($D354,PlayerDB!$F$2:$G365,2,FALSE),"")</f>
        <v/>
      </c>
      <c r="F354" s="36" t="str">
        <f>IFERROR(VLOOKUP($D354,PlayerDB!$F$2:$H365,3,FALSE),"")</f>
        <v/>
      </c>
      <c r="G354" s="89" t="str">
        <f>IFERROR(VLOOKUP($D354,PlayerDB!$F$2:$I365,4,FALSE),"")</f>
        <v/>
      </c>
      <c r="H354" s="108"/>
      <c r="I354" s="92" t="str">
        <f>IFERROR(__xludf.DUMMYFUNCTION("JOIN("" | "",'Team Stats'!C$13:H$13)"),"0 | 0 | 0 | 0 | 0 | 0")</f>
        <v>0 | 0 | 0 | 0 | 0 | 0</v>
      </c>
      <c r="J354" s="101"/>
      <c r="K354" s="32"/>
      <c r="L354" s="42"/>
      <c r="M354" s="42"/>
      <c r="N354" s="42"/>
      <c r="O354" s="42"/>
      <c r="P354" s="42"/>
      <c r="Q354" s="42"/>
      <c r="R354" s="44"/>
    </row>
    <row r="355">
      <c r="A355" s="106"/>
      <c r="B355" s="46">
        <v>354.0</v>
      </c>
      <c r="C355" s="46" t="str">
        <f>'Teams &amp; Draft Order'!$C$16</f>
        <v>TDs and Beers</v>
      </c>
      <c r="D355" s="107"/>
      <c r="E355" s="91" t="str">
        <f>IFERROR(VLOOKUP($D355,PlayerDB!$F$2:$G365,2,FALSE),"")</f>
        <v/>
      </c>
      <c r="F355" s="48" t="str">
        <f>IFERROR(VLOOKUP($D355,PlayerDB!$F$2:$H365,3,FALSE),"")</f>
        <v/>
      </c>
      <c r="G355" s="91" t="str">
        <f>IFERROR(VLOOKUP($D355,PlayerDB!$F$2:$I365,4,FALSE),"")</f>
        <v/>
      </c>
      <c r="H355" s="108"/>
      <c r="I355" s="94" t="str">
        <f>IFERROR(__xludf.DUMMYFUNCTION("JOIN("" | "",'Team Stats'!C$12:H$12)"),"0 | 0 | 0 | 0 | 0 | 0")</f>
        <v>0 | 0 | 0 | 0 | 0 | 0</v>
      </c>
      <c r="J355" s="102"/>
      <c r="K355" s="32"/>
      <c r="L355" s="42"/>
      <c r="M355" s="42"/>
      <c r="N355" s="42"/>
      <c r="O355" s="42"/>
      <c r="P355" s="42"/>
      <c r="Q355" s="42"/>
      <c r="R355" s="44"/>
    </row>
    <row r="356">
      <c r="A356" s="109"/>
      <c r="B356" s="34">
        <v>355.0</v>
      </c>
      <c r="C356" s="34" t="str">
        <f>'Teams &amp; Draft Order'!$C$15</f>
        <v>Daddy's Dogs</v>
      </c>
      <c r="D356" s="110"/>
      <c r="E356" s="89" t="str">
        <f>IFERROR(VLOOKUP($D356,PlayerDB!$F$2:$G365,2,FALSE),"")</f>
        <v/>
      </c>
      <c r="F356" s="36" t="str">
        <f>IFERROR(VLOOKUP($D356,PlayerDB!$F$2:$H365,3,FALSE),"")</f>
        <v/>
      </c>
      <c r="G356" s="89" t="str">
        <f>IFERROR(VLOOKUP($D356,PlayerDB!$F$2:$I365,4,FALSE),"")</f>
        <v/>
      </c>
      <c r="H356" s="108"/>
      <c r="I356" s="92" t="str">
        <f>IFERROR(__xludf.DUMMYFUNCTION("JOIN("" | "",'Team Stats'!C$11:H$11)"),"0 | 0 | 0 | 0 | 0 | 0")</f>
        <v>0 | 0 | 0 | 0 | 0 | 0</v>
      </c>
      <c r="J356" s="101"/>
      <c r="K356" s="32"/>
      <c r="L356" s="42"/>
      <c r="M356" s="42"/>
      <c r="N356" s="42"/>
      <c r="O356" s="42"/>
      <c r="P356" s="42"/>
      <c r="Q356" s="42"/>
      <c r="R356" s="44"/>
    </row>
    <row r="357">
      <c r="A357" s="106"/>
      <c r="B357" s="46">
        <v>356.0</v>
      </c>
      <c r="C357" s="46" t="str">
        <f>'Teams &amp; Draft Order'!$C$14</f>
        <v>Achaians</v>
      </c>
      <c r="D357" s="107"/>
      <c r="E357" s="91" t="str">
        <f>IFERROR(VLOOKUP($D357,PlayerDB!$F$2:$G365,2,FALSE),"")</f>
        <v/>
      </c>
      <c r="F357" s="48" t="str">
        <f>IFERROR(VLOOKUP($D357,PlayerDB!$F$2:$H365,3,FALSE),"")</f>
        <v/>
      </c>
      <c r="G357" s="91" t="str">
        <f>IFERROR(VLOOKUP($D357,PlayerDB!$F$2:$I365,4,FALSE),"")</f>
        <v/>
      </c>
      <c r="H357" s="108"/>
      <c r="I357" s="94" t="str">
        <f>IFERROR(__xludf.DUMMYFUNCTION("JOIN("" | "",'Team Stats'!C$10:H$10)"),"0 | 0 | 0 | 0 | 0 | 0")</f>
        <v>0 | 0 | 0 | 0 | 0 | 0</v>
      </c>
      <c r="J357" s="102"/>
      <c r="K357" s="32"/>
      <c r="L357" s="42"/>
      <c r="M357" s="42"/>
      <c r="N357" s="42"/>
      <c r="O357" s="42"/>
      <c r="P357" s="42"/>
      <c r="Q357" s="42"/>
      <c r="R357" s="44"/>
    </row>
    <row r="358">
      <c r="A358" s="109"/>
      <c r="B358" s="34">
        <v>357.0</v>
      </c>
      <c r="C358" s="34" t="str">
        <f>'Teams &amp; Draft Order'!$C$13</f>
        <v>Luddite</v>
      </c>
      <c r="D358" s="110"/>
      <c r="E358" s="89" t="str">
        <f>IFERROR(VLOOKUP($D358,PlayerDB!$F$2:$G365,2,FALSE),"")</f>
        <v/>
      </c>
      <c r="F358" s="36" t="str">
        <f>IFERROR(VLOOKUP($D358,PlayerDB!$F$2:$H365,3,FALSE),"")</f>
        <v/>
      </c>
      <c r="G358" s="89" t="str">
        <f>IFERROR(VLOOKUP($D358,PlayerDB!$F$2:$I365,4,FALSE),"")</f>
        <v/>
      </c>
      <c r="H358" s="108"/>
      <c r="I358" s="92" t="str">
        <f>IFERROR(__xludf.DUMMYFUNCTION("JOIN("" | "",'Team Stats'!C$9:H$9)"),"0 | 0 | 0 | 0 | 0 | 0")</f>
        <v>0 | 0 | 0 | 0 | 0 | 0</v>
      </c>
      <c r="J358" s="101"/>
      <c r="K358" s="32"/>
      <c r="L358" s="42"/>
      <c r="M358" s="42"/>
      <c r="N358" s="42"/>
      <c r="O358" s="42"/>
      <c r="P358" s="42"/>
      <c r="Q358" s="42"/>
      <c r="R358" s="44"/>
    </row>
    <row r="359">
      <c r="A359" s="106"/>
      <c r="B359" s="46">
        <v>358.0</v>
      </c>
      <c r="C359" s="46" t="str">
        <f>'Teams &amp; Draft Order'!$C$12</f>
        <v>Turbo-Ginz</v>
      </c>
      <c r="D359" s="113"/>
      <c r="E359" s="91" t="str">
        <f>IFERROR(VLOOKUP($D359,PlayerDB!$F$2:$G365,2,FALSE),"")</f>
        <v/>
      </c>
      <c r="F359" s="48" t="str">
        <f>IFERROR(VLOOKUP($D359,PlayerDB!$F$2:$H365,3,FALSE),"")</f>
        <v/>
      </c>
      <c r="G359" s="91" t="str">
        <f>IFERROR(VLOOKUP($D359,PlayerDB!$F$2:$I365,4,FALSE),"")</f>
        <v/>
      </c>
      <c r="H359" s="108"/>
      <c r="I359" s="94" t="str">
        <f>IFERROR(__xludf.DUMMYFUNCTION("JOIN("" | "",'Team Stats'!C$8:H$8)"),"0 | 0 | 0 | 0 | 0 | 0")</f>
        <v>0 | 0 | 0 | 0 | 0 | 0</v>
      </c>
      <c r="J359" s="102"/>
      <c r="K359" s="32"/>
      <c r="L359" s="42"/>
      <c r="M359" s="42"/>
      <c r="N359" s="42"/>
      <c r="O359" s="42"/>
      <c r="P359" s="42"/>
      <c r="Q359" s="42"/>
      <c r="R359" s="44"/>
    </row>
    <row r="360">
      <c r="A360" s="109"/>
      <c r="B360" s="34">
        <v>359.0</v>
      </c>
      <c r="C360" s="34" t="str">
        <f>'Teams &amp; Draft Order'!$C$11</f>
        <v>Big Boys Big Work</v>
      </c>
      <c r="D360" s="110"/>
      <c r="E360" s="89" t="str">
        <f>IFERROR(VLOOKUP($D360,PlayerDB!$F$2:$G365,2,FALSE),"")</f>
        <v/>
      </c>
      <c r="F360" s="36" t="str">
        <f>IFERROR(VLOOKUP($D360,PlayerDB!$F$2:$H365,3,FALSE),"")</f>
        <v/>
      </c>
      <c r="G360" s="89" t="str">
        <f>IFERROR(VLOOKUP($D360,PlayerDB!$F$2:$I365,4,FALSE),"")</f>
        <v/>
      </c>
      <c r="H360" s="108"/>
      <c r="I360" s="92" t="str">
        <f>IFERROR(__xludf.DUMMYFUNCTION("JOIN("" | "",'Team Stats'!C$7:H$7)"),"0 | 0 | 0 | 0 | 0 | 0")</f>
        <v>0 | 0 | 0 | 0 | 0 | 0</v>
      </c>
      <c r="J360" s="101"/>
      <c r="K360" s="32"/>
      <c r="L360" s="42"/>
      <c r="M360" s="42"/>
      <c r="N360" s="42"/>
      <c r="O360" s="42"/>
      <c r="P360" s="42"/>
      <c r="Q360" s="42"/>
      <c r="R360" s="44"/>
    </row>
    <row r="361">
      <c r="A361" s="106"/>
      <c r="B361" s="46">
        <v>360.0</v>
      </c>
      <c r="C361" s="46" t="str">
        <f>'Teams &amp; Draft Order'!$C$10</f>
        <v>Buttheads</v>
      </c>
      <c r="D361" s="107"/>
      <c r="E361" s="91" t="str">
        <f>IFERROR(VLOOKUP($D361,PlayerDB!$F$2:$G365,2,FALSE),"")</f>
        <v/>
      </c>
      <c r="F361" s="48" t="str">
        <f>IFERROR(VLOOKUP($D361,PlayerDB!$F$2:$H365,3,FALSE),"")</f>
        <v/>
      </c>
      <c r="G361" s="91" t="str">
        <f>IFERROR(VLOOKUP($D361,PlayerDB!$F$2:$I365,4,FALSE),"")</f>
        <v/>
      </c>
      <c r="H361" s="108"/>
      <c r="I361" s="94" t="str">
        <f>IFERROR(__xludf.DUMMYFUNCTION("JOIN("" | "",'Team Stats'!C$6:H$6)"),"0 | 0 | 0 | 0 | 0 | 0")</f>
        <v>0 | 0 | 0 | 0 | 0 | 0</v>
      </c>
      <c r="J361" s="102"/>
      <c r="K361" s="32"/>
      <c r="L361" s="42"/>
      <c r="M361" s="42"/>
      <c r="N361" s="42"/>
      <c r="O361" s="42"/>
      <c r="P361" s="42"/>
      <c r="Q361" s="42"/>
      <c r="R361" s="44"/>
    </row>
    <row r="362">
      <c r="A362" s="109"/>
      <c r="B362" s="34">
        <v>361.0</v>
      </c>
      <c r="C362" s="34" t="str">
        <f>'Teams &amp; Draft Order'!$C$9</f>
        <v>El Nino</v>
      </c>
      <c r="D362" s="110"/>
      <c r="E362" s="89" t="str">
        <f>IFERROR(VLOOKUP($D362,PlayerDB!$F$2:$G365,2,FALSE),"")</f>
        <v/>
      </c>
      <c r="F362" s="36" t="str">
        <f>IFERROR(VLOOKUP($D362,PlayerDB!$F$2:$H365,3,FALSE),"")</f>
        <v/>
      </c>
      <c r="G362" s="89" t="str">
        <f>IFERROR(VLOOKUP($D362,PlayerDB!$F$2:$I365,4,FALSE),"")</f>
        <v/>
      </c>
      <c r="H362" s="108"/>
      <c r="I362" s="92" t="str">
        <f>IFERROR(__xludf.DUMMYFUNCTION("JOIN("" | "",'Team Stats'!C$5:H$5)"),"0 | 0 | 0 | 0 | 0 | 0")</f>
        <v>0 | 0 | 0 | 0 | 0 | 0</v>
      </c>
      <c r="J362" s="101"/>
      <c r="K362" s="32"/>
      <c r="L362" s="42"/>
      <c r="M362" s="42"/>
      <c r="N362" s="42"/>
      <c r="O362" s="42"/>
      <c r="P362" s="42"/>
      <c r="Q362" s="42"/>
      <c r="R362" s="44"/>
    </row>
    <row r="363">
      <c r="A363" s="106"/>
      <c r="B363" s="46">
        <v>362.0</v>
      </c>
      <c r="C363" s="46" t="str">
        <f>'Teams &amp; Draft Order'!$C$8</f>
        <v>Icelanders</v>
      </c>
      <c r="D363" s="107"/>
      <c r="E363" s="91" t="str">
        <f>IFERROR(VLOOKUP($D363,PlayerDB!$F$2:$G365,2,FALSE),"")</f>
        <v/>
      </c>
      <c r="F363" s="48" t="str">
        <f>IFERROR(VLOOKUP($D363,PlayerDB!$F$2:$H365,3,FALSE),"")</f>
        <v/>
      </c>
      <c r="G363" s="91" t="str">
        <f>IFERROR(VLOOKUP($D363,PlayerDB!$F$2:$I365,4,FALSE),"")</f>
        <v/>
      </c>
      <c r="H363" s="108"/>
      <c r="I363" s="94" t="str">
        <f>IFERROR(__xludf.DUMMYFUNCTION("JOIN("" | "",'Team Stats'!C$4:H$4)"),"0 | 0 | 0 | 0 | 0 | 0")</f>
        <v>0 | 0 | 0 | 0 | 0 | 0</v>
      </c>
      <c r="J363" s="102"/>
      <c r="K363" s="32"/>
      <c r="L363" s="42"/>
      <c r="M363" s="42"/>
      <c r="N363" s="42"/>
      <c r="O363" s="42"/>
      <c r="P363" s="42"/>
      <c r="Q363" s="42"/>
      <c r="R363" s="44"/>
    </row>
    <row r="364">
      <c r="A364" s="109"/>
      <c r="B364" s="34">
        <v>363.0</v>
      </c>
      <c r="C364" s="34" t="str">
        <f>'Teams &amp; Draft Order'!$C$7</f>
        <v>Phantasm</v>
      </c>
      <c r="D364" s="110"/>
      <c r="E364" s="89" t="str">
        <f>IFERROR(VLOOKUP($D364,PlayerDB!$F$2:$G365,2,FALSE),"")</f>
        <v/>
      </c>
      <c r="F364" s="36" t="str">
        <f>IFERROR(VLOOKUP($D364,PlayerDB!$F$2:$H365,3,FALSE),"")</f>
        <v/>
      </c>
      <c r="G364" s="89" t="str">
        <f>IFERROR(VLOOKUP($D364,PlayerDB!$F$2:$I365,4,FALSE),"")</f>
        <v/>
      </c>
      <c r="H364" s="108"/>
      <c r="I364" s="92" t="str">
        <f>IFERROR(__xludf.DUMMYFUNCTION("JOIN("" | "",'Team Stats'!C$3:H$3)"),"0 | 0 | 0 | 0 | 0 | 0")</f>
        <v>0 | 0 | 0 | 0 | 0 | 0</v>
      </c>
      <c r="J364" s="101"/>
      <c r="K364" s="32"/>
      <c r="L364" s="42"/>
      <c r="M364" s="42"/>
      <c r="N364" s="42"/>
      <c r="O364" s="42"/>
      <c r="P364" s="42"/>
      <c r="Q364" s="42"/>
      <c r="R364" s="44"/>
    </row>
    <row r="365">
      <c r="A365" s="111"/>
      <c r="B365" s="55">
        <v>364.0</v>
      </c>
      <c r="C365" s="55" t="str">
        <f>'Teams &amp; Draft Order'!$C$6</f>
        <v>Sleeper Cell </v>
      </c>
      <c r="D365" s="114"/>
      <c r="E365" s="93" t="str">
        <f>IFERROR(VLOOKUP($D365,PlayerDB!$F$2:$G365,2,FALSE),"")</f>
        <v/>
      </c>
      <c r="F365" s="57" t="str">
        <f>IFERROR(VLOOKUP($D365,PlayerDB!$F$2:$H365,3,FALSE),"")</f>
        <v/>
      </c>
      <c r="G365" s="93" t="str">
        <f>IFERROR(VLOOKUP($D365,PlayerDB!$F$2:$I365,4,FALSE),"")</f>
        <v/>
      </c>
      <c r="H365" s="115"/>
      <c r="I365" s="116" t="str">
        <f>IFERROR(__xludf.DUMMYFUNCTION("JOIN("" | "",'Team Stats'!C$2:H$2)"),"1 | 0 | 0 | 0 | 0 | 0")</f>
        <v>1 | 0 | 0 | 0 | 0 | 0</v>
      </c>
      <c r="J365" s="102"/>
      <c r="K365" s="32"/>
      <c r="L365" s="42"/>
      <c r="M365" s="42"/>
      <c r="N365" s="42"/>
      <c r="O365" s="42"/>
      <c r="P365" s="42"/>
      <c r="Q365" s="42"/>
      <c r="R365" s="44"/>
    </row>
  </sheetData>
  <autoFilter ref="$B$1:$G$365"/>
  <mergeCells count="4">
    <mergeCell ref="L1:Q1"/>
    <mergeCell ref="K2:K245"/>
    <mergeCell ref="L2:N2"/>
    <mergeCell ref="R2:R245"/>
  </mergeCells>
  <conditionalFormatting sqref="G2:G365">
    <cfRule type="notContainsBlanks" dxfId="6" priority="1">
      <formula>LEN(TRIM(G2))&gt;0</formula>
    </cfRule>
  </conditionalFormatting>
  <conditionalFormatting sqref="A1:R365">
    <cfRule type="cellIs" dxfId="7" priority="2" operator="equal">
      <formula>"FA"</formula>
    </cfRule>
  </conditionalFormatting>
  <conditionalFormatting sqref="A1:R365">
    <cfRule type="cellIs" dxfId="8" priority="3" operator="equal">
      <formula>"ARI"</formula>
    </cfRule>
  </conditionalFormatting>
  <conditionalFormatting sqref="A1:R365">
    <cfRule type="cellIs" dxfId="9" priority="4" operator="equal">
      <formula>"ATL"</formula>
    </cfRule>
  </conditionalFormatting>
  <conditionalFormatting sqref="A1:R365">
    <cfRule type="cellIs" dxfId="10" priority="5" operator="equal">
      <formula>"BAL"</formula>
    </cfRule>
  </conditionalFormatting>
  <conditionalFormatting sqref="A1:R365">
    <cfRule type="cellIs" dxfId="11" priority="6" operator="equal">
      <formula>"BUF"</formula>
    </cfRule>
  </conditionalFormatting>
  <conditionalFormatting sqref="A1:R365">
    <cfRule type="cellIs" dxfId="12" priority="7" operator="equal">
      <formula>"CAR"</formula>
    </cfRule>
  </conditionalFormatting>
  <conditionalFormatting sqref="A1:R365">
    <cfRule type="cellIs" dxfId="13" priority="8" operator="equal">
      <formula>"CHI"</formula>
    </cfRule>
  </conditionalFormatting>
  <conditionalFormatting sqref="A1:R365">
    <cfRule type="cellIs" dxfId="14" priority="9" operator="equal">
      <formula>"CIN"</formula>
    </cfRule>
  </conditionalFormatting>
  <conditionalFormatting sqref="A1:R365">
    <cfRule type="cellIs" dxfId="15" priority="10" operator="equal">
      <formula>"CLE"</formula>
    </cfRule>
  </conditionalFormatting>
  <conditionalFormatting sqref="A1:R365">
    <cfRule type="cellIs" dxfId="16" priority="11" operator="equal">
      <formula>"DAL"</formula>
    </cfRule>
  </conditionalFormatting>
  <conditionalFormatting sqref="A1:R365">
    <cfRule type="cellIs" dxfId="17" priority="12" operator="equal">
      <formula>"DEN"</formula>
    </cfRule>
  </conditionalFormatting>
  <conditionalFormatting sqref="A1:R365">
    <cfRule type="cellIs" dxfId="18" priority="13" operator="equal">
      <formula>"DET"</formula>
    </cfRule>
  </conditionalFormatting>
  <conditionalFormatting sqref="A1:R365">
    <cfRule type="cellIs" dxfId="19" priority="14" operator="equal">
      <formula>"GBP"</formula>
    </cfRule>
  </conditionalFormatting>
  <conditionalFormatting sqref="A1:R365">
    <cfRule type="cellIs" dxfId="20" priority="15" operator="equal">
      <formula>"HOU"</formula>
    </cfRule>
  </conditionalFormatting>
  <conditionalFormatting sqref="A1:R365">
    <cfRule type="cellIs" dxfId="21" priority="16" operator="equal">
      <formula>"IND"</formula>
    </cfRule>
  </conditionalFormatting>
  <conditionalFormatting sqref="A1:R365">
    <cfRule type="cellIs" dxfId="22" priority="17" operator="equal">
      <formula>"JAC"</formula>
    </cfRule>
  </conditionalFormatting>
  <conditionalFormatting sqref="A1:R365">
    <cfRule type="cellIs" dxfId="23" priority="18" operator="equal">
      <formula>"KCC"</formula>
    </cfRule>
  </conditionalFormatting>
  <conditionalFormatting sqref="A1:R365">
    <cfRule type="cellIs" dxfId="24" priority="19" operator="equal">
      <formula>"LAC"</formula>
    </cfRule>
  </conditionalFormatting>
  <conditionalFormatting sqref="A1:R365">
    <cfRule type="cellIs" dxfId="25" priority="20" operator="equal">
      <formula>"LAR"</formula>
    </cfRule>
  </conditionalFormatting>
  <conditionalFormatting sqref="A1:R365">
    <cfRule type="cellIs" dxfId="26" priority="21" operator="equal">
      <formula>"MIA"</formula>
    </cfRule>
  </conditionalFormatting>
  <conditionalFormatting sqref="A1:R365">
    <cfRule type="cellIs" dxfId="27" priority="22" operator="equal">
      <formula>"MIN"</formula>
    </cfRule>
  </conditionalFormatting>
  <conditionalFormatting sqref="A1:R365">
    <cfRule type="cellIs" dxfId="28" priority="23" operator="equal">
      <formula>"NEP"</formula>
    </cfRule>
  </conditionalFormatting>
  <conditionalFormatting sqref="A1:R365">
    <cfRule type="cellIs" dxfId="29" priority="24" operator="equal">
      <formula>"NOS"</formula>
    </cfRule>
  </conditionalFormatting>
  <conditionalFormatting sqref="A1:R365">
    <cfRule type="cellIs" dxfId="30" priority="25" operator="equal">
      <formula>"NYG"</formula>
    </cfRule>
  </conditionalFormatting>
  <conditionalFormatting sqref="A1:R365">
    <cfRule type="cellIs" dxfId="31" priority="26" operator="equal">
      <formula>"NYJ"</formula>
    </cfRule>
  </conditionalFormatting>
  <conditionalFormatting sqref="A1:R365">
    <cfRule type="cellIs" dxfId="32" priority="27" operator="equal">
      <formula>"LVR"</formula>
    </cfRule>
  </conditionalFormatting>
  <conditionalFormatting sqref="A1:R365">
    <cfRule type="cellIs" dxfId="33" priority="28" operator="equal">
      <formula>"PHI"</formula>
    </cfRule>
  </conditionalFormatting>
  <conditionalFormatting sqref="A1:R365">
    <cfRule type="cellIs" dxfId="34" priority="29" operator="equal">
      <formula>"PIT"</formula>
    </cfRule>
  </conditionalFormatting>
  <conditionalFormatting sqref="A1:R365">
    <cfRule type="cellIs" dxfId="35" priority="30" operator="equal">
      <formula>"SFO"</formula>
    </cfRule>
  </conditionalFormatting>
  <conditionalFormatting sqref="A1:R365">
    <cfRule type="cellIs" dxfId="36" priority="31" operator="equal">
      <formula>"SEA"</formula>
    </cfRule>
  </conditionalFormatting>
  <conditionalFormatting sqref="A1:R365">
    <cfRule type="cellIs" dxfId="37" priority="32" operator="equal">
      <formula>"TBB"</formula>
    </cfRule>
  </conditionalFormatting>
  <conditionalFormatting sqref="A1:R365">
    <cfRule type="cellIs" dxfId="38" priority="33" operator="equal">
      <formula>"TEN"</formula>
    </cfRule>
  </conditionalFormatting>
  <conditionalFormatting sqref="A1:R365">
    <cfRule type="cellIs" dxfId="39" priority="34" operator="equal">
      <formula>"WAS"</formula>
    </cfRule>
  </conditionalFormatting>
  <conditionalFormatting sqref="A1:R365">
    <cfRule type="cellIs" dxfId="40" priority="35" operator="equal">
      <formula>"QB"</formula>
    </cfRule>
  </conditionalFormatting>
  <conditionalFormatting sqref="A1:R365">
    <cfRule type="cellIs" dxfId="41" priority="36" operator="equal">
      <formula>"WR"</formula>
    </cfRule>
  </conditionalFormatting>
  <conditionalFormatting sqref="A1:R365">
    <cfRule type="cellIs" dxfId="1" priority="37" operator="equal">
      <formula>"RB"</formula>
    </cfRule>
  </conditionalFormatting>
  <conditionalFormatting sqref="A1:R365">
    <cfRule type="cellIs" dxfId="0" priority="38" operator="equal">
      <formula>"TE"</formula>
    </cfRule>
  </conditionalFormatting>
  <conditionalFormatting sqref="E1:E365 F2:G365 N3:N22">
    <cfRule type="cellIs" dxfId="42" priority="39" operator="equal">
      <formula>"Draft"</formula>
    </cfRule>
  </conditionalFormatting>
  <conditionalFormatting sqref="A1:R365">
    <cfRule type="cellIs" dxfId="43" priority="40" operator="equal">
      <formula>"DL"</formula>
    </cfRule>
  </conditionalFormatting>
  <conditionalFormatting sqref="A1:R365">
    <cfRule type="cellIs" dxfId="44" priority="41" operator="equal">
      <formula>"LB"</formula>
    </cfRule>
  </conditionalFormatting>
  <conditionalFormatting sqref="A1:R365">
    <cfRule type="cellIs" dxfId="45" priority="42" operator="equal">
      <formula>"DB"</formula>
    </cfRule>
  </conditionalFormatting>
  <conditionalFormatting sqref="A1:R365">
    <cfRule type="cellIs" dxfId="46" priority="43" operator="equal">
      <formula>"K"</formula>
    </cfRule>
  </conditionalFormatting>
  <conditionalFormatting sqref="C1">
    <cfRule type="cellIs" dxfId="47" priority="44" operator="equal">
      <formula>"ENTER TEAMS FIRST"</formula>
    </cfRule>
  </conditionalFormatting>
  <conditionalFormatting sqref="D1">
    <cfRule type="cellIs" dxfId="3" priority="45" operator="equal">
      <formula>"SEE DRAFT ORDER TAB"</formula>
    </cfRule>
  </conditionalFormatting>
  <conditionalFormatting sqref="A1:R365">
    <cfRule type="cellIs" dxfId="48" priority="46" operator="equal">
      <formula>"D/ST"</formula>
    </cfRule>
  </conditionalFormatting>
  <dataValidations>
    <dataValidation type="list" allowBlank="1" sqref="D2:D365">
      <formula1>HELP_PlayersLeft!$A$2:$A365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5.0"/>
    <col customWidth="1" min="3" max="3" width="6.0"/>
    <col customWidth="1" min="4" max="4" width="9.0"/>
    <col customWidth="1" min="5" max="5" width="6.0"/>
    <col customWidth="1" min="6" max="6" width="19.88"/>
    <col customWidth="1" min="7" max="7" width="6.75"/>
    <col customWidth="1" min="8" max="8" width="5.75"/>
    <col customWidth="1" min="9" max="9" width="5.63"/>
  </cols>
  <sheetData>
    <row r="1">
      <c r="A1" s="117" t="s">
        <v>30</v>
      </c>
      <c r="B1" s="117" t="s">
        <v>130</v>
      </c>
      <c r="C1" s="117" t="s">
        <v>131</v>
      </c>
      <c r="D1" s="117" t="s">
        <v>33</v>
      </c>
      <c r="E1" s="117" t="s">
        <v>132</v>
      </c>
      <c r="F1" s="118" t="s">
        <v>133</v>
      </c>
      <c r="G1" s="118" t="s">
        <v>81</v>
      </c>
      <c r="H1" s="118" t="s">
        <v>82</v>
      </c>
      <c r="I1" s="117" t="s">
        <v>83</v>
      </c>
    </row>
    <row r="2">
      <c r="A2" s="119">
        <v>1.0</v>
      </c>
      <c r="B2" s="119">
        <v>1.0</v>
      </c>
      <c r="C2" s="119">
        <v>1.0</v>
      </c>
      <c r="D2" s="119">
        <v>1.0</v>
      </c>
      <c r="E2" s="119">
        <v>1.0</v>
      </c>
      <c r="F2" s="120" t="s">
        <v>114</v>
      </c>
      <c r="G2" s="121">
        <v>264.0</v>
      </c>
      <c r="H2" s="120" t="s">
        <v>31</v>
      </c>
      <c r="I2" s="119">
        <v>5.0</v>
      </c>
    </row>
    <row r="3">
      <c r="A3" s="119">
        <v>2.0</v>
      </c>
      <c r="B3" s="119">
        <v>2.0</v>
      </c>
      <c r="C3" s="119">
        <v>2.0</v>
      </c>
      <c r="D3" s="119">
        <v>2.0</v>
      </c>
      <c r="E3" s="119">
        <v>2.0</v>
      </c>
      <c r="F3" s="120" t="s">
        <v>134</v>
      </c>
      <c r="G3" s="121">
        <v>254.0</v>
      </c>
      <c r="H3" s="120" t="s">
        <v>31</v>
      </c>
      <c r="I3" s="119">
        <v>14.0</v>
      </c>
    </row>
    <row r="4">
      <c r="A4" s="119">
        <v>3.0</v>
      </c>
      <c r="B4" s="119">
        <v>3.0</v>
      </c>
      <c r="C4" s="119">
        <v>3.0</v>
      </c>
      <c r="D4" s="119">
        <v>3.0</v>
      </c>
      <c r="E4" s="119">
        <v>3.0</v>
      </c>
      <c r="F4" s="120" t="s">
        <v>135</v>
      </c>
      <c r="G4" s="121">
        <v>253.0</v>
      </c>
      <c r="H4" s="120" t="s">
        <v>31</v>
      </c>
      <c r="I4" s="119">
        <v>7.0</v>
      </c>
    </row>
    <row r="5">
      <c r="A5" s="119">
        <v>4.0</v>
      </c>
      <c r="B5" s="119">
        <v>4.0</v>
      </c>
      <c r="C5" s="119">
        <v>4.0</v>
      </c>
      <c r="D5" s="119">
        <v>4.0</v>
      </c>
      <c r="E5" s="119">
        <v>4.0</v>
      </c>
      <c r="F5" s="120" t="s">
        <v>136</v>
      </c>
      <c r="G5" s="121">
        <v>231.0</v>
      </c>
      <c r="H5" s="120" t="s">
        <v>31</v>
      </c>
      <c r="I5" s="119">
        <v>9.0</v>
      </c>
    </row>
    <row r="6">
      <c r="A6" s="119">
        <v>5.0</v>
      </c>
      <c r="B6" s="119">
        <v>5.0</v>
      </c>
      <c r="C6" s="119">
        <v>5.0</v>
      </c>
      <c r="D6" s="119">
        <v>5.0</v>
      </c>
      <c r="E6" s="119">
        <v>5.0</v>
      </c>
      <c r="F6" s="120" t="s">
        <v>137</v>
      </c>
      <c r="G6" s="121">
        <v>244.0</v>
      </c>
      <c r="H6" s="120" t="s">
        <v>31</v>
      </c>
      <c r="I6" s="119">
        <v>8.0</v>
      </c>
    </row>
    <row r="7">
      <c r="A7" s="119">
        <v>6.0</v>
      </c>
      <c r="B7" s="119">
        <v>6.0</v>
      </c>
      <c r="C7" s="119">
        <v>6.0</v>
      </c>
      <c r="D7" s="119">
        <v>6.0</v>
      </c>
      <c r="E7" s="119">
        <v>6.0</v>
      </c>
      <c r="F7" s="120" t="s">
        <v>138</v>
      </c>
      <c r="G7" s="121">
        <v>224.0</v>
      </c>
      <c r="H7" s="120" t="s">
        <v>31</v>
      </c>
      <c r="I7" s="119">
        <v>11.0</v>
      </c>
    </row>
    <row r="8">
      <c r="A8" s="119">
        <v>7.0</v>
      </c>
      <c r="B8" s="119">
        <v>7.0</v>
      </c>
      <c r="C8" s="119">
        <v>7.0</v>
      </c>
      <c r="D8" s="119">
        <v>7.0</v>
      </c>
      <c r="E8" s="119">
        <v>7.0</v>
      </c>
      <c r="F8" s="120" t="s">
        <v>139</v>
      </c>
      <c r="G8" s="121">
        <v>224.0</v>
      </c>
      <c r="H8" s="120" t="s">
        <v>31</v>
      </c>
      <c r="I8" s="119">
        <v>5.0</v>
      </c>
    </row>
    <row r="9">
      <c r="A9" s="119">
        <v>8.0</v>
      </c>
      <c r="B9" s="119">
        <v>8.0</v>
      </c>
      <c r="C9" s="119">
        <v>8.0</v>
      </c>
      <c r="D9" s="119">
        <v>8.0</v>
      </c>
      <c r="E9" s="119">
        <v>8.0</v>
      </c>
      <c r="F9" s="120" t="s">
        <v>140</v>
      </c>
      <c r="G9" s="121">
        <v>222.0</v>
      </c>
      <c r="H9" s="120" t="s">
        <v>31</v>
      </c>
      <c r="I9" s="119">
        <v>8.0</v>
      </c>
    </row>
    <row r="10">
      <c r="A10" s="119">
        <v>9.0</v>
      </c>
      <c r="B10" s="119">
        <v>9.0</v>
      </c>
      <c r="C10" s="119">
        <v>9.0</v>
      </c>
      <c r="D10" s="119">
        <v>9.0</v>
      </c>
      <c r="E10" s="119">
        <v>9.0</v>
      </c>
      <c r="F10" s="120" t="s">
        <v>141</v>
      </c>
      <c r="G10" s="121">
        <v>215.0</v>
      </c>
      <c r="H10" s="120" t="s">
        <v>31</v>
      </c>
      <c r="I10" s="119">
        <v>8.0</v>
      </c>
    </row>
    <row r="11">
      <c r="A11" s="119">
        <v>10.0</v>
      </c>
      <c r="B11" s="119">
        <v>10.0</v>
      </c>
      <c r="C11" s="119">
        <v>10.0</v>
      </c>
      <c r="D11" s="119">
        <v>10.0</v>
      </c>
      <c r="E11" s="119">
        <v>10.0</v>
      </c>
      <c r="F11" s="120" t="s">
        <v>142</v>
      </c>
      <c r="G11" s="121">
        <v>212.0</v>
      </c>
      <c r="H11" s="120" t="s">
        <v>31</v>
      </c>
      <c r="I11" s="119">
        <v>12.0</v>
      </c>
    </row>
    <row r="12">
      <c r="A12" s="119">
        <v>11.0</v>
      </c>
      <c r="B12" s="119">
        <v>11.0</v>
      </c>
      <c r="C12" s="119">
        <v>11.0</v>
      </c>
      <c r="D12" s="119">
        <v>11.0</v>
      </c>
      <c r="E12" s="119">
        <v>11.0</v>
      </c>
      <c r="F12" s="120" t="s">
        <v>143</v>
      </c>
      <c r="G12" s="121">
        <v>210.0</v>
      </c>
      <c r="H12" s="120" t="s">
        <v>31</v>
      </c>
      <c r="I12" s="119">
        <v>9.0</v>
      </c>
    </row>
    <row r="13">
      <c r="A13" s="119">
        <v>12.0</v>
      </c>
      <c r="B13" s="119">
        <v>12.0</v>
      </c>
      <c r="C13" s="119">
        <v>12.0</v>
      </c>
      <c r="D13" s="119">
        <v>12.0</v>
      </c>
      <c r="E13" s="119">
        <v>12.0</v>
      </c>
      <c r="F13" s="120" t="s">
        <v>144</v>
      </c>
      <c r="G13" s="121">
        <v>195.0</v>
      </c>
      <c r="H13" s="120" t="s">
        <v>31</v>
      </c>
      <c r="I13" s="119">
        <v>7.0</v>
      </c>
    </row>
    <row r="14">
      <c r="A14" s="119">
        <v>13.0</v>
      </c>
      <c r="B14" s="119">
        <v>13.0</v>
      </c>
      <c r="C14" s="119">
        <v>13.0</v>
      </c>
      <c r="D14" s="119">
        <v>13.0</v>
      </c>
      <c r="E14" s="119">
        <v>13.0</v>
      </c>
      <c r="F14" s="120" t="s">
        <v>145</v>
      </c>
      <c r="G14" s="121">
        <v>186.0</v>
      </c>
      <c r="H14" s="120" t="s">
        <v>31</v>
      </c>
      <c r="I14" s="119">
        <v>10.0</v>
      </c>
    </row>
    <row r="15">
      <c r="A15" s="119">
        <v>14.0</v>
      </c>
      <c r="B15" s="119">
        <v>14.0</v>
      </c>
      <c r="C15" s="119">
        <v>14.0</v>
      </c>
      <c r="D15" s="119">
        <v>14.0</v>
      </c>
      <c r="E15" s="119">
        <v>14.0</v>
      </c>
      <c r="F15" s="120" t="s">
        <v>146</v>
      </c>
      <c r="G15" s="121">
        <v>177.0</v>
      </c>
      <c r="H15" s="120" t="s">
        <v>31</v>
      </c>
      <c r="I15" s="119">
        <v>12.0</v>
      </c>
    </row>
    <row r="16">
      <c r="A16" s="119">
        <v>15.0</v>
      </c>
      <c r="B16" s="119">
        <v>15.0</v>
      </c>
      <c r="C16" s="119">
        <v>15.0</v>
      </c>
      <c r="D16" s="119">
        <v>15.0</v>
      </c>
      <c r="E16" s="119">
        <v>15.0</v>
      </c>
      <c r="F16" s="120" t="s">
        <v>147</v>
      </c>
      <c r="G16" s="121">
        <v>180.0</v>
      </c>
      <c r="H16" s="120" t="s">
        <v>31</v>
      </c>
      <c r="I16" s="119">
        <v>8.0</v>
      </c>
    </row>
    <row r="17">
      <c r="A17" s="119">
        <v>16.0</v>
      </c>
      <c r="B17" s="119">
        <v>16.0</v>
      </c>
      <c r="C17" s="119">
        <v>16.0</v>
      </c>
      <c r="D17" s="119">
        <v>16.0</v>
      </c>
      <c r="E17" s="119">
        <v>16.0</v>
      </c>
      <c r="F17" s="120" t="s">
        <v>148</v>
      </c>
      <c r="G17" s="121">
        <v>183.0</v>
      </c>
      <c r="H17" s="120" t="s">
        <v>31</v>
      </c>
      <c r="I17" s="119">
        <v>9.0</v>
      </c>
    </row>
    <row r="18">
      <c r="A18" s="119">
        <v>17.0</v>
      </c>
      <c r="B18" s="119">
        <v>17.0</v>
      </c>
      <c r="C18" s="119">
        <v>17.0</v>
      </c>
      <c r="D18" s="119">
        <v>17.0</v>
      </c>
      <c r="E18" s="119">
        <v>17.0</v>
      </c>
      <c r="F18" s="120" t="s">
        <v>149</v>
      </c>
      <c r="G18" s="121">
        <v>176.0</v>
      </c>
      <c r="H18" s="120" t="s">
        <v>31</v>
      </c>
      <c r="I18" s="119">
        <v>14.0</v>
      </c>
    </row>
    <row r="19">
      <c r="A19" s="119">
        <v>18.0</v>
      </c>
      <c r="B19" s="119">
        <v>18.0</v>
      </c>
      <c r="C19" s="119">
        <v>18.0</v>
      </c>
      <c r="D19" s="119">
        <v>18.0</v>
      </c>
      <c r="E19" s="119">
        <v>18.0</v>
      </c>
      <c r="F19" s="120" t="s">
        <v>150</v>
      </c>
      <c r="G19" s="121">
        <v>177.0</v>
      </c>
      <c r="H19" s="120" t="s">
        <v>31</v>
      </c>
      <c r="I19" s="119">
        <v>8.0</v>
      </c>
    </row>
    <row r="20">
      <c r="A20" s="119">
        <v>19.0</v>
      </c>
      <c r="B20" s="119">
        <v>19.0</v>
      </c>
      <c r="C20" s="119">
        <v>19.0</v>
      </c>
      <c r="D20" s="119">
        <v>19.0</v>
      </c>
      <c r="E20" s="119">
        <v>19.0</v>
      </c>
      <c r="F20" s="120" t="s">
        <v>151</v>
      </c>
      <c r="G20" s="121">
        <v>174.0</v>
      </c>
      <c r="H20" s="120" t="s">
        <v>31</v>
      </c>
      <c r="I20" s="119">
        <v>11.0</v>
      </c>
    </row>
    <row r="21">
      <c r="A21" s="119">
        <v>20.0</v>
      </c>
      <c r="B21" s="119">
        <v>20.0</v>
      </c>
      <c r="C21" s="119">
        <v>20.0</v>
      </c>
      <c r="D21" s="119">
        <v>20.0</v>
      </c>
      <c r="E21" s="119">
        <v>20.0</v>
      </c>
      <c r="F21" s="120" t="s">
        <v>152</v>
      </c>
      <c r="G21" s="121">
        <v>159.0</v>
      </c>
      <c r="H21" s="120" t="s">
        <v>31</v>
      </c>
      <c r="I21" s="119">
        <v>8.0</v>
      </c>
    </row>
    <row r="22">
      <c r="A22" s="119">
        <v>21.0</v>
      </c>
      <c r="B22" s="119">
        <v>21.0</v>
      </c>
      <c r="C22" s="119">
        <v>21.0</v>
      </c>
      <c r="D22" s="119">
        <v>21.0</v>
      </c>
      <c r="E22" s="119">
        <v>21.0</v>
      </c>
      <c r="F22" s="120" t="s">
        <v>153</v>
      </c>
      <c r="G22" s="121">
        <v>146.0</v>
      </c>
      <c r="H22" s="120" t="s">
        <v>31</v>
      </c>
      <c r="I22" s="119">
        <v>10.0</v>
      </c>
    </row>
    <row r="23">
      <c r="A23" s="119">
        <v>22.0</v>
      </c>
      <c r="B23" s="119">
        <v>22.0</v>
      </c>
      <c r="C23" s="119">
        <v>22.0</v>
      </c>
      <c r="D23" s="119">
        <v>22.0</v>
      </c>
      <c r="E23" s="119">
        <v>22.0</v>
      </c>
      <c r="F23" s="120" t="s">
        <v>154</v>
      </c>
      <c r="G23" s="121">
        <v>148.0</v>
      </c>
      <c r="H23" s="120" t="s">
        <v>31</v>
      </c>
      <c r="I23" s="119">
        <v>6.0</v>
      </c>
    </row>
    <row r="24">
      <c r="A24" s="119">
        <v>23.0</v>
      </c>
      <c r="B24" s="119">
        <v>23.0</v>
      </c>
      <c r="C24" s="119">
        <v>23.0</v>
      </c>
      <c r="D24" s="119">
        <v>23.0</v>
      </c>
      <c r="E24" s="119">
        <v>23.0</v>
      </c>
      <c r="F24" s="120" t="s">
        <v>155</v>
      </c>
      <c r="G24" s="121">
        <v>154.0</v>
      </c>
      <c r="H24" s="120" t="s">
        <v>31</v>
      </c>
      <c r="I24" s="119">
        <v>10.0</v>
      </c>
    </row>
    <row r="25">
      <c r="A25" s="119">
        <v>24.0</v>
      </c>
      <c r="B25" s="119">
        <v>24.0</v>
      </c>
      <c r="C25" s="119">
        <v>24.0</v>
      </c>
      <c r="D25" s="119">
        <v>24.0</v>
      </c>
      <c r="E25" s="119">
        <v>24.0</v>
      </c>
      <c r="F25" s="120" t="s">
        <v>156</v>
      </c>
      <c r="G25" s="121">
        <v>146.0</v>
      </c>
      <c r="H25" s="120" t="s">
        <v>31</v>
      </c>
      <c r="I25" s="119">
        <v>5.0</v>
      </c>
    </row>
    <row r="26">
      <c r="A26" s="119">
        <v>25.0</v>
      </c>
      <c r="B26" s="119">
        <v>25.0</v>
      </c>
      <c r="C26" s="119">
        <v>25.0</v>
      </c>
      <c r="D26" s="119">
        <v>25.0</v>
      </c>
      <c r="E26" s="119">
        <v>25.0</v>
      </c>
      <c r="F26" s="120" t="s">
        <v>157</v>
      </c>
      <c r="G26" s="121">
        <v>146.0</v>
      </c>
      <c r="H26" s="120" t="s">
        <v>31</v>
      </c>
      <c r="I26" s="119">
        <v>12.0</v>
      </c>
    </row>
    <row r="27">
      <c r="A27" s="119">
        <v>26.0</v>
      </c>
      <c r="B27" s="119">
        <v>26.0</v>
      </c>
      <c r="C27" s="119">
        <v>26.0</v>
      </c>
      <c r="D27" s="119">
        <v>26.0</v>
      </c>
      <c r="E27" s="119">
        <v>26.0</v>
      </c>
      <c r="F27" s="120" t="s">
        <v>158</v>
      </c>
      <c r="G27" s="121">
        <v>144.0</v>
      </c>
      <c r="H27" s="120" t="s">
        <v>31</v>
      </c>
      <c r="I27" s="119">
        <v>12.0</v>
      </c>
    </row>
    <row r="28">
      <c r="A28" s="119">
        <v>27.0</v>
      </c>
      <c r="B28" s="119">
        <v>27.0</v>
      </c>
      <c r="C28" s="119">
        <v>27.0</v>
      </c>
      <c r="D28" s="119">
        <v>27.0</v>
      </c>
      <c r="E28" s="119">
        <v>27.0</v>
      </c>
      <c r="F28" s="120" t="s">
        <v>159</v>
      </c>
      <c r="G28" s="121">
        <v>143.0</v>
      </c>
      <c r="H28" s="120" t="s">
        <v>31</v>
      </c>
      <c r="I28" s="119">
        <v>14.0</v>
      </c>
    </row>
    <row r="29">
      <c r="A29" s="119">
        <v>28.0</v>
      </c>
      <c r="B29" s="119">
        <v>28.0</v>
      </c>
      <c r="C29" s="119">
        <v>28.0</v>
      </c>
      <c r="D29" s="119">
        <v>28.0</v>
      </c>
      <c r="E29" s="119">
        <v>28.0</v>
      </c>
      <c r="F29" s="120" t="s">
        <v>160</v>
      </c>
      <c r="G29" s="121">
        <v>142.0</v>
      </c>
      <c r="H29" s="120" t="s">
        <v>31</v>
      </c>
      <c r="I29" s="119">
        <v>5.0</v>
      </c>
    </row>
    <row r="30">
      <c r="A30" s="119">
        <v>29.0</v>
      </c>
      <c r="B30" s="119">
        <v>29.0</v>
      </c>
      <c r="C30" s="119">
        <v>29.0</v>
      </c>
      <c r="D30" s="119">
        <v>29.0</v>
      </c>
      <c r="E30" s="119">
        <v>29.0</v>
      </c>
      <c r="F30" s="120" t="s">
        <v>161</v>
      </c>
      <c r="G30" s="121">
        <v>141.0</v>
      </c>
      <c r="H30" s="120" t="s">
        <v>31</v>
      </c>
      <c r="I30" s="119">
        <v>12.0</v>
      </c>
    </row>
    <row r="31">
      <c r="A31" s="119">
        <v>30.0</v>
      </c>
      <c r="B31" s="119">
        <v>30.0</v>
      </c>
      <c r="C31" s="119">
        <v>30.0</v>
      </c>
      <c r="D31" s="119">
        <v>30.0</v>
      </c>
      <c r="E31" s="119">
        <v>30.0</v>
      </c>
      <c r="F31" s="120" t="s">
        <v>162</v>
      </c>
      <c r="G31" s="121">
        <v>140.0</v>
      </c>
      <c r="H31" s="120" t="s">
        <v>31</v>
      </c>
      <c r="I31" s="119">
        <v>14.0</v>
      </c>
    </row>
    <row r="32">
      <c r="A32" s="119">
        <v>31.0</v>
      </c>
      <c r="B32" s="119">
        <v>31.0</v>
      </c>
      <c r="C32" s="119">
        <v>31.0</v>
      </c>
      <c r="D32" s="119">
        <v>31.0</v>
      </c>
      <c r="E32" s="119">
        <v>31.0</v>
      </c>
      <c r="F32" s="120" t="s">
        <v>163</v>
      </c>
      <c r="G32" s="121">
        <v>139.0</v>
      </c>
      <c r="H32" s="120" t="s">
        <v>31</v>
      </c>
      <c r="I32" s="119">
        <v>14.0</v>
      </c>
    </row>
    <row r="33">
      <c r="A33" s="119">
        <v>32.0</v>
      </c>
      <c r="B33" s="119">
        <v>32.0</v>
      </c>
      <c r="C33" s="119">
        <v>32.0</v>
      </c>
      <c r="D33" s="119">
        <v>32.0</v>
      </c>
      <c r="E33" s="119">
        <v>32.0</v>
      </c>
      <c r="F33" s="120" t="s">
        <v>164</v>
      </c>
      <c r="G33" s="121">
        <v>138.0</v>
      </c>
      <c r="H33" s="120" t="s">
        <v>31</v>
      </c>
      <c r="I33" s="119">
        <v>8.0</v>
      </c>
    </row>
    <row r="34">
      <c r="A34" s="119">
        <v>33.0</v>
      </c>
      <c r="B34" s="119">
        <v>33.0</v>
      </c>
      <c r="C34" s="119">
        <v>33.0</v>
      </c>
      <c r="D34" s="119">
        <v>33.0</v>
      </c>
      <c r="E34" s="119">
        <v>33.0</v>
      </c>
      <c r="F34" s="120" t="s">
        <v>165</v>
      </c>
      <c r="G34" s="121">
        <v>137.0</v>
      </c>
      <c r="H34" s="120" t="s">
        <v>31</v>
      </c>
      <c r="I34" s="119">
        <v>10.0</v>
      </c>
    </row>
    <row r="35">
      <c r="A35" s="119">
        <v>34.0</v>
      </c>
      <c r="B35" s="119">
        <v>34.0</v>
      </c>
      <c r="C35" s="119">
        <v>34.0</v>
      </c>
      <c r="D35" s="119">
        <v>34.0</v>
      </c>
      <c r="E35" s="119">
        <v>34.0</v>
      </c>
      <c r="F35" s="120" t="s">
        <v>166</v>
      </c>
      <c r="G35" s="121">
        <v>136.0</v>
      </c>
      <c r="H35" s="120" t="s">
        <v>31</v>
      </c>
      <c r="I35" s="119">
        <v>8.0</v>
      </c>
    </row>
    <row r="36">
      <c r="A36" s="119">
        <v>35.0</v>
      </c>
      <c r="B36" s="119">
        <v>35.0</v>
      </c>
      <c r="C36" s="119">
        <v>35.0</v>
      </c>
      <c r="D36" s="119">
        <v>35.0</v>
      </c>
      <c r="E36" s="119">
        <v>35.0</v>
      </c>
      <c r="F36" s="120" t="s">
        <v>167</v>
      </c>
      <c r="G36" s="121">
        <v>135.0</v>
      </c>
      <c r="H36" s="120" t="s">
        <v>31</v>
      </c>
      <c r="I36" s="119">
        <v>8.0</v>
      </c>
    </row>
    <row r="37">
      <c r="A37" s="119">
        <v>36.0</v>
      </c>
      <c r="B37" s="119">
        <v>36.0</v>
      </c>
      <c r="C37" s="119">
        <v>36.0</v>
      </c>
      <c r="D37" s="119">
        <v>36.0</v>
      </c>
      <c r="E37" s="119">
        <v>36.0</v>
      </c>
      <c r="F37" s="120" t="s">
        <v>168</v>
      </c>
      <c r="G37" s="121">
        <v>134.0</v>
      </c>
      <c r="H37" s="120" t="s">
        <v>31</v>
      </c>
      <c r="I37" s="119">
        <v>9.0</v>
      </c>
    </row>
    <row r="38">
      <c r="A38" s="119">
        <v>37.0</v>
      </c>
      <c r="B38" s="119">
        <v>37.0</v>
      </c>
      <c r="C38" s="119">
        <v>37.0</v>
      </c>
      <c r="D38" s="119">
        <v>37.0</v>
      </c>
      <c r="E38" s="119">
        <v>37.0</v>
      </c>
      <c r="F38" s="120" t="s">
        <v>169</v>
      </c>
      <c r="G38" s="121">
        <v>133.0</v>
      </c>
      <c r="H38" s="120" t="s">
        <v>31</v>
      </c>
      <c r="I38" s="119">
        <v>10.0</v>
      </c>
    </row>
    <row r="39">
      <c r="A39" s="119">
        <v>38.0</v>
      </c>
      <c r="B39" s="119">
        <v>38.0</v>
      </c>
      <c r="C39" s="119">
        <v>38.0</v>
      </c>
      <c r="D39" s="119">
        <v>38.0</v>
      </c>
      <c r="E39" s="119">
        <v>38.0</v>
      </c>
      <c r="F39" s="120" t="s">
        <v>170</v>
      </c>
      <c r="G39" s="121">
        <v>132.0</v>
      </c>
      <c r="H39" s="120" t="s">
        <v>31</v>
      </c>
      <c r="I39" s="119">
        <v>12.0</v>
      </c>
    </row>
    <row r="40">
      <c r="A40" s="119">
        <v>39.0</v>
      </c>
      <c r="B40" s="119">
        <v>39.0</v>
      </c>
      <c r="C40" s="119">
        <v>39.0</v>
      </c>
      <c r="D40" s="119">
        <v>39.0</v>
      </c>
      <c r="E40" s="119">
        <v>39.0</v>
      </c>
      <c r="F40" s="120" t="s">
        <v>171</v>
      </c>
      <c r="G40" s="121">
        <v>131.0</v>
      </c>
      <c r="H40" s="120" t="s">
        <v>31</v>
      </c>
      <c r="I40" s="119">
        <v>12.0</v>
      </c>
    </row>
    <row r="41">
      <c r="A41" s="119">
        <v>40.0</v>
      </c>
      <c r="B41" s="119">
        <v>40.0</v>
      </c>
      <c r="C41" s="119">
        <v>40.0</v>
      </c>
      <c r="D41" s="119">
        <v>40.0</v>
      </c>
      <c r="E41" s="119">
        <v>40.0</v>
      </c>
      <c r="F41" s="120" t="s">
        <v>172</v>
      </c>
      <c r="G41" s="121">
        <v>130.0</v>
      </c>
      <c r="H41" s="120" t="s">
        <v>31</v>
      </c>
      <c r="I41" s="119">
        <v>8.0</v>
      </c>
    </row>
    <row r="42">
      <c r="A42" s="119">
        <v>41.0</v>
      </c>
      <c r="B42" s="119">
        <v>41.0</v>
      </c>
      <c r="C42" s="119">
        <v>41.0</v>
      </c>
      <c r="D42" s="119">
        <v>41.0</v>
      </c>
      <c r="E42" s="119">
        <v>41.0</v>
      </c>
      <c r="F42" s="120" t="s">
        <v>173</v>
      </c>
      <c r="G42" s="121">
        <v>129.0</v>
      </c>
      <c r="H42" s="120" t="s">
        <v>31</v>
      </c>
      <c r="I42" s="119">
        <v>9.0</v>
      </c>
    </row>
    <row r="43">
      <c r="A43" s="119">
        <v>42.0</v>
      </c>
      <c r="B43" s="119">
        <v>42.0</v>
      </c>
      <c r="C43" s="119">
        <v>42.0</v>
      </c>
      <c r="D43" s="119">
        <v>42.0</v>
      </c>
      <c r="E43" s="119">
        <v>42.0</v>
      </c>
      <c r="F43" s="120" t="s">
        <v>174</v>
      </c>
      <c r="G43" s="121">
        <v>128.0</v>
      </c>
      <c r="H43" s="120" t="s">
        <v>31</v>
      </c>
      <c r="I43" s="119">
        <v>7.0</v>
      </c>
    </row>
    <row r="44">
      <c r="A44" s="119">
        <v>43.0</v>
      </c>
      <c r="B44" s="119">
        <v>43.0</v>
      </c>
      <c r="C44" s="119">
        <v>43.0</v>
      </c>
      <c r="D44" s="119">
        <v>43.0</v>
      </c>
      <c r="E44" s="119">
        <v>43.0</v>
      </c>
      <c r="F44" s="120" t="s">
        <v>175</v>
      </c>
      <c r="G44" s="121">
        <v>127.0</v>
      </c>
      <c r="H44" s="120" t="s">
        <v>31</v>
      </c>
      <c r="I44" s="119">
        <v>5.0</v>
      </c>
    </row>
    <row r="45">
      <c r="A45" s="119">
        <v>44.0</v>
      </c>
      <c r="B45" s="119">
        <v>44.0</v>
      </c>
      <c r="C45" s="119">
        <v>44.0</v>
      </c>
      <c r="D45" s="119">
        <v>44.0</v>
      </c>
      <c r="E45" s="119">
        <v>44.0</v>
      </c>
      <c r="F45" s="120" t="s">
        <v>176</v>
      </c>
      <c r="G45" s="121">
        <v>126.0</v>
      </c>
      <c r="H45" s="120" t="s">
        <v>31</v>
      </c>
      <c r="I45" s="119">
        <v>9.0</v>
      </c>
    </row>
    <row r="46">
      <c r="A46" s="119">
        <v>45.0</v>
      </c>
      <c r="B46" s="119">
        <v>45.0</v>
      </c>
      <c r="C46" s="119">
        <v>45.0</v>
      </c>
      <c r="D46" s="119">
        <v>45.0</v>
      </c>
      <c r="E46" s="119">
        <v>45.0</v>
      </c>
      <c r="F46" s="120" t="s">
        <v>177</v>
      </c>
      <c r="G46" s="121">
        <v>125.0</v>
      </c>
      <c r="H46" s="120" t="s">
        <v>31</v>
      </c>
      <c r="I46" s="119">
        <v>14.0</v>
      </c>
    </row>
    <row r="47">
      <c r="A47" s="119">
        <v>46.0</v>
      </c>
      <c r="B47" s="119">
        <v>46.0</v>
      </c>
      <c r="C47" s="119">
        <v>46.0</v>
      </c>
      <c r="D47" s="119">
        <v>46.0</v>
      </c>
      <c r="E47" s="119">
        <v>46.0</v>
      </c>
      <c r="F47" s="120" t="s">
        <v>178</v>
      </c>
      <c r="G47" s="121">
        <v>124.0</v>
      </c>
      <c r="H47" s="120" t="s">
        <v>31</v>
      </c>
      <c r="I47" s="119">
        <v>6.0</v>
      </c>
    </row>
    <row r="48">
      <c r="A48" s="119">
        <v>47.0</v>
      </c>
      <c r="B48" s="119">
        <v>47.0</v>
      </c>
      <c r="C48" s="119">
        <v>47.0</v>
      </c>
      <c r="D48" s="119">
        <v>47.0</v>
      </c>
      <c r="E48" s="119">
        <v>47.0</v>
      </c>
      <c r="F48" s="120" t="s">
        <v>179</v>
      </c>
      <c r="G48" s="121">
        <v>123.0</v>
      </c>
      <c r="H48" s="120" t="s">
        <v>31</v>
      </c>
      <c r="I48" s="119">
        <v>10.0</v>
      </c>
    </row>
    <row r="49">
      <c r="A49" s="119">
        <v>48.0</v>
      </c>
      <c r="B49" s="119">
        <v>48.0</v>
      </c>
      <c r="C49" s="119">
        <v>48.0</v>
      </c>
      <c r="D49" s="119">
        <v>48.0</v>
      </c>
      <c r="E49" s="119">
        <v>48.0</v>
      </c>
      <c r="F49" s="120" t="s">
        <v>180</v>
      </c>
      <c r="G49" s="121">
        <v>122.0</v>
      </c>
      <c r="H49" s="120" t="s">
        <v>31</v>
      </c>
      <c r="I49" s="119">
        <v>9.0</v>
      </c>
    </row>
    <row r="50">
      <c r="A50" s="119">
        <v>49.0</v>
      </c>
      <c r="B50" s="119">
        <v>49.0</v>
      </c>
      <c r="C50" s="119">
        <v>49.0</v>
      </c>
      <c r="D50" s="119">
        <v>49.0</v>
      </c>
      <c r="E50" s="119">
        <v>49.0</v>
      </c>
      <c r="F50" s="120" t="s">
        <v>181</v>
      </c>
      <c r="G50" s="121">
        <v>121.0</v>
      </c>
      <c r="H50" s="120" t="s">
        <v>31</v>
      </c>
      <c r="I50" s="119">
        <v>5.0</v>
      </c>
    </row>
    <row r="51">
      <c r="A51" s="119">
        <v>50.0</v>
      </c>
      <c r="B51" s="119">
        <v>50.0</v>
      </c>
      <c r="C51" s="119">
        <v>50.0</v>
      </c>
      <c r="D51" s="119">
        <v>50.0</v>
      </c>
      <c r="E51" s="119">
        <v>50.0</v>
      </c>
      <c r="F51" s="120" t="s">
        <v>182</v>
      </c>
      <c r="G51" s="121">
        <v>120.0</v>
      </c>
      <c r="H51" s="120" t="s">
        <v>31</v>
      </c>
      <c r="I51" s="119">
        <v>12.0</v>
      </c>
    </row>
    <row r="52">
      <c r="A52" s="119">
        <v>51.0</v>
      </c>
      <c r="B52" s="119">
        <v>51.0</v>
      </c>
      <c r="C52" s="119">
        <v>51.0</v>
      </c>
      <c r="D52" s="119">
        <v>51.0</v>
      </c>
      <c r="E52" s="119">
        <v>51.0</v>
      </c>
      <c r="F52" s="120" t="s">
        <v>179</v>
      </c>
      <c r="G52" s="121">
        <v>123.0</v>
      </c>
      <c r="H52" s="120" t="s">
        <v>31</v>
      </c>
      <c r="I52" s="119">
        <v>10.0</v>
      </c>
    </row>
    <row r="53">
      <c r="A53" s="119">
        <v>52.0</v>
      </c>
      <c r="B53" s="119">
        <v>52.0</v>
      </c>
      <c r="C53" s="119">
        <v>52.0</v>
      </c>
      <c r="D53" s="119">
        <v>52.0</v>
      </c>
      <c r="E53" s="119">
        <v>52.0</v>
      </c>
      <c r="F53" s="120" t="s">
        <v>180</v>
      </c>
      <c r="G53" s="121">
        <v>122.0</v>
      </c>
      <c r="H53" s="120" t="s">
        <v>31</v>
      </c>
      <c r="I53" s="119">
        <v>9.0</v>
      </c>
    </row>
    <row r="54">
      <c r="A54" s="119">
        <v>53.0</v>
      </c>
      <c r="B54" s="119">
        <v>53.0</v>
      </c>
      <c r="C54" s="119">
        <v>53.0</v>
      </c>
      <c r="D54" s="119">
        <v>53.0</v>
      </c>
      <c r="E54" s="119">
        <v>53.0</v>
      </c>
      <c r="F54" s="120" t="s">
        <v>181</v>
      </c>
      <c r="G54" s="121">
        <v>121.0</v>
      </c>
      <c r="H54" s="120" t="s">
        <v>31</v>
      </c>
      <c r="I54" s="119">
        <v>5.0</v>
      </c>
    </row>
    <row r="55">
      <c r="A55" s="119">
        <v>54.0</v>
      </c>
      <c r="B55" s="119">
        <v>54.0</v>
      </c>
      <c r="C55" s="119">
        <v>54.0</v>
      </c>
      <c r="D55" s="119">
        <v>54.0</v>
      </c>
      <c r="E55" s="119">
        <v>54.0</v>
      </c>
      <c r="F55" s="120" t="s">
        <v>182</v>
      </c>
      <c r="G55" s="121">
        <v>120.0</v>
      </c>
      <c r="H55" s="120" t="s">
        <v>31</v>
      </c>
      <c r="I55" s="119">
        <v>12.0</v>
      </c>
    </row>
    <row r="56">
      <c r="A56" s="119">
        <v>55.0</v>
      </c>
      <c r="B56" s="119">
        <v>55.0</v>
      </c>
      <c r="C56" s="119">
        <v>55.0</v>
      </c>
      <c r="D56" s="119">
        <v>55.0</v>
      </c>
      <c r="E56" s="119">
        <v>55.0</v>
      </c>
      <c r="F56" s="120" t="s">
        <v>183</v>
      </c>
      <c r="G56" s="121">
        <v>119.0</v>
      </c>
      <c r="H56" s="120" t="s">
        <v>31</v>
      </c>
      <c r="I56" s="119">
        <v>9.0</v>
      </c>
    </row>
    <row r="57">
      <c r="A57" s="119">
        <v>56.0</v>
      </c>
      <c r="B57" s="119">
        <v>56.0</v>
      </c>
      <c r="C57" s="119">
        <v>56.0</v>
      </c>
      <c r="D57" s="119">
        <v>56.0</v>
      </c>
      <c r="E57" s="119">
        <v>56.0</v>
      </c>
      <c r="F57" s="120" t="s">
        <v>184</v>
      </c>
      <c r="G57" s="121">
        <v>118.0</v>
      </c>
      <c r="H57" s="120" t="s">
        <v>31</v>
      </c>
      <c r="I57" s="119">
        <v>14.0</v>
      </c>
    </row>
    <row r="58">
      <c r="A58" s="119">
        <v>57.0</v>
      </c>
      <c r="B58" s="119">
        <v>57.0</v>
      </c>
      <c r="C58" s="119">
        <v>57.0</v>
      </c>
      <c r="D58" s="119">
        <v>57.0</v>
      </c>
      <c r="E58" s="119">
        <v>57.0</v>
      </c>
      <c r="F58" s="120" t="s">
        <v>185</v>
      </c>
      <c r="G58" s="121">
        <v>117.0</v>
      </c>
      <c r="H58" s="120" t="s">
        <v>31</v>
      </c>
      <c r="I58" s="119">
        <v>8.0</v>
      </c>
    </row>
    <row r="59">
      <c r="A59" s="119">
        <v>58.0</v>
      </c>
      <c r="B59" s="119">
        <v>58.0</v>
      </c>
      <c r="C59" s="119">
        <v>58.0</v>
      </c>
      <c r="D59" s="119">
        <v>58.0</v>
      </c>
      <c r="E59" s="119">
        <v>58.0</v>
      </c>
      <c r="F59" s="120" t="s">
        <v>186</v>
      </c>
      <c r="G59" s="121">
        <v>116.0</v>
      </c>
      <c r="H59" s="120" t="s">
        <v>31</v>
      </c>
      <c r="I59" s="119">
        <v>11.0</v>
      </c>
    </row>
    <row r="60">
      <c r="A60" s="119">
        <v>59.0</v>
      </c>
      <c r="B60" s="119">
        <v>59.0</v>
      </c>
      <c r="C60" s="119">
        <v>59.0</v>
      </c>
      <c r="D60" s="119">
        <v>59.0</v>
      </c>
      <c r="E60" s="119">
        <v>59.0</v>
      </c>
      <c r="F60" s="120" t="s">
        <v>187</v>
      </c>
      <c r="G60" s="121">
        <v>115.0</v>
      </c>
      <c r="H60" s="120" t="s">
        <v>31</v>
      </c>
      <c r="I60" s="119">
        <v>10.0</v>
      </c>
    </row>
    <row r="61">
      <c r="A61" s="119">
        <v>60.0</v>
      </c>
      <c r="B61" s="119">
        <v>60.0</v>
      </c>
      <c r="C61" s="119">
        <v>60.0</v>
      </c>
      <c r="D61" s="119">
        <v>60.0</v>
      </c>
      <c r="E61" s="119">
        <v>60.0</v>
      </c>
      <c r="F61" s="120" t="s">
        <v>188</v>
      </c>
      <c r="G61" s="121">
        <v>114.0</v>
      </c>
      <c r="H61" s="120" t="s">
        <v>31</v>
      </c>
      <c r="I61" s="119">
        <v>7.0</v>
      </c>
    </row>
    <row r="62">
      <c r="A62" s="119">
        <v>61.0</v>
      </c>
      <c r="B62" s="119">
        <v>61.0</v>
      </c>
      <c r="C62" s="119">
        <v>61.0</v>
      </c>
      <c r="D62" s="119">
        <v>61.0</v>
      </c>
      <c r="E62" s="119">
        <v>61.0</v>
      </c>
      <c r="F62" s="120" t="s">
        <v>189</v>
      </c>
      <c r="G62" s="121">
        <v>113.0</v>
      </c>
      <c r="H62" s="120" t="s">
        <v>31</v>
      </c>
      <c r="I62" s="119">
        <v>10.0</v>
      </c>
    </row>
    <row r="63">
      <c r="A63" s="119">
        <v>62.0</v>
      </c>
      <c r="B63" s="119">
        <v>62.0</v>
      </c>
      <c r="C63" s="119">
        <v>62.0</v>
      </c>
      <c r="D63" s="119">
        <v>62.0</v>
      </c>
      <c r="E63" s="119">
        <v>62.0</v>
      </c>
      <c r="F63" s="120" t="s">
        <v>190</v>
      </c>
      <c r="G63" s="121">
        <v>112.0</v>
      </c>
      <c r="H63" s="120" t="s">
        <v>31</v>
      </c>
      <c r="I63" s="119">
        <v>5.0</v>
      </c>
    </row>
    <row r="64">
      <c r="A64" s="119">
        <v>63.0</v>
      </c>
      <c r="B64" s="119">
        <v>63.0</v>
      </c>
      <c r="C64" s="119">
        <v>63.0</v>
      </c>
      <c r="D64" s="119">
        <v>63.0</v>
      </c>
      <c r="E64" s="119">
        <v>63.0</v>
      </c>
      <c r="F64" s="120" t="s">
        <v>191</v>
      </c>
      <c r="G64" s="121">
        <v>111.0</v>
      </c>
      <c r="H64" s="120" t="s">
        <v>31</v>
      </c>
      <c r="I64" s="119">
        <v>7.0</v>
      </c>
    </row>
    <row r="65">
      <c r="A65" s="119">
        <v>64.0</v>
      </c>
      <c r="B65" s="119">
        <v>64.0</v>
      </c>
      <c r="C65" s="119">
        <v>64.0</v>
      </c>
      <c r="D65" s="119">
        <v>64.0</v>
      </c>
      <c r="E65" s="119">
        <v>64.0</v>
      </c>
      <c r="F65" s="120" t="s">
        <v>192</v>
      </c>
      <c r="G65" s="121">
        <v>110.0</v>
      </c>
      <c r="H65" s="120" t="s">
        <v>31</v>
      </c>
      <c r="I65" s="119">
        <v>8.0</v>
      </c>
    </row>
    <row r="66">
      <c r="A66" s="119">
        <v>65.0</v>
      </c>
      <c r="B66" s="119">
        <v>65.0</v>
      </c>
      <c r="C66" s="119">
        <v>65.0</v>
      </c>
      <c r="D66" s="119">
        <v>65.0</v>
      </c>
      <c r="E66" s="119">
        <v>65.0</v>
      </c>
      <c r="F66" s="120" t="s">
        <v>193</v>
      </c>
      <c r="G66" s="121">
        <v>109.0</v>
      </c>
      <c r="H66" s="120" t="s">
        <v>31</v>
      </c>
      <c r="I66" s="119">
        <v>10.0</v>
      </c>
    </row>
    <row r="67">
      <c r="A67" s="119">
        <v>66.0</v>
      </c>
      <c r="B67" s="119">
        <v>66.0</v>
      </c>
      <c r="C67" s="119">
        <v>66.0</v>
      </c>
      <c r="D67" s="119">
        <v>66.0</v>
      </c>
      <c r="E67" s="119">
        <v>66.0</v>
      </c>
      <c r="F67" s="120" t="s">
        <v>194</v>
      </c>
      <c r="G67" s="121">
        <v>108.0</v>
      </c>
      <c r="H67" s="120" t="s">
        <v>31</v>
      </c>
      <c r="I67" s="119">
        <v>7.0</v>
      </c>
    </row>
    <row r="68">
      <c r="A68" s="119">
        <v>67.0</v>
      </c>
      <c r="B68" s="119">
        <v>67.0</v>
      </c>
      <c r="C68" s="119">
        <v>67.0</v>
      </c>
      <c r="D68" s="119">
        <v>67.0</v>
      </c>
      <c r="E68" s="119">
        <v>67.0</v>
      </c>
      <c r="F68" s="120" t="s">
        <v>195</v>
      </c>
      <c r="G68" s="121">
        <v>107.0</v>
      </c>
      <c r="H68" s="120" t="s">
        <v>31</v>
      </c>
      <c r="I68" s="119">
        <v>8.0</v>
      </c>
    </row>
    <row r="69">
      <c r="A69" s="119">
        <v>68.0</v>
      </c>
      <c r="B69" s="119">
        <v>68.0</v>
      </c>
      <c r="C69" s="119">
        <v>68.0</v>
      </c>
      <c r="D69" s="119">
        <v>68.0</v>
      </c>
      <c r="E69" s="119">
        <v>68.0</v>
      </c>
      <c r="F69" s="120" t="s">
        <v>196</v>
      </c>
      <c r="G69" s="121">
        <v>106.0</v>
      </c>
      <c r="H69" s="120" t="s">
        <v>31</v>
      </c>
      <c r="I69" s="119">
        <v>12.0</v>
      </c>
    </row>
    <row r="70">
      <c r="A70" s="119">
        <v>69.0</v>
      </c>
      <c r="B70" s="119">
        <v>69.0</v>
      </c>
      <c r="C70" s="119">
        <v>69.0</v>
      </c>
      <c r="D70" s="119">
        <v>69.0</v>
      </c>
      <c r="E70" s="119">
        <v>69.0</v>
      </c>
      <c r="F70" s="120" t="s">
        <v>197</v>
      </c>
      <c r="G70" s="121">
        <v>105.0</v>
      </c>
      <c r="H70" s="120" t="s">
        <v>31</v>
      </c>
      <c r="I70" s="119">
        <v>6.0</v>
      </c>
    </row>
    <row r="71">
      <c r="A71" s="119">
        <v>70.0</v>
      </c>
      <c r="B71" s="119">
        <v>70.0</v>
      </c>
      <c r="C71" s="119">
        <v>70.0</v>
      </c>
      <c r="D71" s="119">
        <v>70.0</v>
      </c>
      <c r="E71" s="119">
        <v>70.0</v>
      </c>
      <c r="F71" s="120" t="s">
        <v>198</v>
      </c>
      <c r="G71" s="121">
        <v>104.0</v>
      </c>
      <c r="H71" s="120" t="s">
        <v>31</v>
      </c>
      <c r="I71" s="119">
        <v>5.0</v>
      </c>
    </row>
    <row r="72">
      <c r="A72" s="119">
        <v>71.0</v>
      </c>
      <c r="B72" s="119">
        <v>71.0</v>
      </c>
      <c r="C72" s="119">
        <v>71.0</v>
      </c>
      <c r="D72" s="119">
        <v>71.0</v>
      </c>
      <c r="E72" s="119">
        <v>71.0</v>
      </c>
      <c r="F72" s="120" t="s">
        <v>199</v>
      </c>
      <c r="G72" s="121">
        <v>103.0</v>
      </c>
      <c r="H72" s="120" t="s">
        <v>31</v>
      </c>
      <c r="I72" s="119">
        <v>10.0</v>
      </c>
    </row>
    <row r="73">
      <c r="A73" s="119">
        <v>72.0</v>
      </c>
      <c r="B73" s="119">
        <v>72.0</v>
      </c>
      <c r="C73" s="119">
        <v>72.0</v>
      </c>
      <c r="D73" s="119">
        <v>72.0</v>
      </c>
      <c r="E73" s="119">
        <v>72.0</v>
      </c>
      <c r="F73" s="120" t="s">
        <v>200</v>
      </c>
      <c r="G73" s="121">
        <v>102.0</v>
      </c>
      <c r="H73" s="120" t="s">
        <v>31</v>
      </c>
      <c r="I73" s="119">
        <v>10.0</v>
      </c>
    </row>
    <row r="74">
      <c r="A74" s="119">
        <v>73.0</v>
      </c>
      <c r="B74" s="119">
        <v>73.0</v>
      </c>
      <c r="C74" s="119">
        <v>73.0</v>
      </c>
      <c r="D74" s="119">
        <v>73.0</v>
      </c>
      <c r="E74" s="119">
        <v>73.0</v>
      </c>
      <c r="F74" s="120" t="s">
        <v>201</v>
      </c>
      <c r="G74" s="121">
        <v>101.0</v>
      </c>
      <c r="H74" s="120" t="s">
        <v>31</v>
      </c>
      <c r="I74" s="119">
        <v>8.0</v>
      </c>
    </row>
    <row r="75">
      <c r="A75" s="119">
        <v>74.0</v>
      </c>
      <c r="B75" s="119">
        <v>74.0</v>
      </c>
      <c r="C75" s="119">
        <v>74.0</v>
      </c>
      <c r="D75" s="119">
        <v>74.0</v>
      </c>
      <c r="E75" s="119">
        <v>74.0</v>
      </c>
      <c r="F75" s="120" t="s">
        <v>202</v>
      </c>
      <c r="G75" s="121">
        <v>100.0</v>
      </c>
      <c r="H75" s="120" t="s">
        <v>31</v>
      </c>
      <c r="I75" s="119">
        <v>11.0</v>
      </c>
    </row>
    <row r="76">
      <c r="A76" s="119">
        <v>75.0</v>
      </c>
      <c r="B76" s="119">
        <v>75.0</v>
      </c>
      <c r="C76" s="119">
        <v>75.0</v>
      </c>
      <c r="D76" s="119">
        <v>75.0</v>
      </c>
      <c r="E76" s="119">
        <v>75.0</v>
      </c>
      <c r="F76" s="120" t="s">
        <v>203</v>
      </c>
      <c r="G76" s="121">
        <v>99.0</v>
      </c>
      <c r="H76" s="120" t="s">
        <v>31</v>
      </c>
      <c r="I76" s="119">
        <v>9.0</v>
      </c>
    </row>
    <row r="77">
      <c r="A77" s="119">
        <v>76.0</v>
      </c>
      <c r="B77" s="119">
        <v>76.0</v>
      </c>
      <c r="C77" s="119">
        <v>76.0</v>
      </c>
      <c r="D77" s="119">
        <v>76.0</v>
      </c>
      <c r="E77" s="119">
        <v>76.0</v>
      </c>
      <c r="F77" s="120" t="s">
        <v>204</v>
      </c>
      <c r="G77" s="121">
        <v>98.0</v>
      </c>
      <c r="H77" s="120" t="s">
        <v>31</v>
      </c>
      <c r="I77" s="119">
        <v>9.0</v>
      </c>
    </row>
    <row r="78">
      <c r="A78" s="119">
        <v>77.0</v>
      </c>
      <c r="B78" s="119">
        <v>77.0</v>
      </c>
      <c r="C78" s="119">
        <v>77.0</v>
      </c>
      <c r="D78" s="119">
        <v>77.0</v>
      </c>
      <c r="E78" s="119">
        <v>77.0</v>
      </c>
      <c r="F78" s="120" t="s">
        <v>205</v>
      </c>
      <c r="G78" s="121">
        <v>97.0</v>
      </c>
      <c r="H78" s="120" t="s">
        <v>31</v>
      </c>
      <c r="I78" s="119">
        <v>9.0</v>
      </c>
    </row>
    <row r="79">
      <c r="A79" s="119">
        <v>78.0</v>
      </c>
      <c r="B79" s="119">
        <v>78.0</v>
      </c>
      <c r="C79" s="119">
        <v>78.0</v>
      </c>
      <c r="D79" s="119">
        <v>78.0</v>
      </c>
      <c r="E79" s="119">
        <v>78.0</v>
      </c>
      <c r="F79" s="120" t="s">
        <v>206</v>
      </c>
      <c r="G79" s="121">
        <v>96.0</v>
      </c>
      <c r="H79" s="120" t="s">
        <v>31</v>
      </c>
      <c r="I79" s="119">
        <v>5.0</v>
      </c>
    </row>
    <row r="80">
      <c r="A80" s="119">
        <v>79.0</v>
      </c>
      <c r="B80" s="119">
        <v>79.0</v>
      </c>
      <c r="C80" s="119">
        <v>79.0</v>
      </c>
      <c r="D80" s="119">
        <v>79.0</v>
      </c>
      <c r="E80" s="119">
        <v>79.0</v>
      </c>
      <c r="F80" s="120" t="s">
        <v>207</v>
      </c>
      <c r="G80" s="121">
        <v>95.0</v>
      </c>
      <c r="H80" s="120" t="s">
        <v>31</v>
      </c>
      <c r="I80" s="119">
        <v>5.0</v>
      </c>
    </row>
    <row r="81">
      <c r="A81" s="119">
        <v>80.0</v>
      </c>
      <c r="B81" s="119">
        <v>80.0</v>
      </c>
      <c r="C81" s="119">
        <v>80.0</v>
      </c>
      <c r="D81" s="119">
        <v>80.0</v>
      </c>
      <c r="E81" s="119">
        <v>80.0</v>
      </c>
      <c r="F81" s="120" t="s">
        <v>208</v>
      </c>
      <c r="G81" s="121">
        <v>94.0</v>
      </c>
      <c r="H81" s="120" t="s">
        <v>31</v>
      </c>
      <c r="I81" s="119">
        <v>14.0</v>
      </c>
    </row>
    <row r="82">
      <c r="A82" s="119">
        <v>81.0</v>
      </c>
      <c r="B82" s="119">
        <v>81.0</v>
      </c>
      <c r="C82" s="119">
        <v>81.0</v>
      </c>
      <c r="D82" s="119">
        <v>81.0</v>
      </c>
      <c r="E82" s="119">
        <v>81.0</v>
      </c>
      <c r="F82" s="120" t="s">
        <v>209</v>
      </c>
      <c r="G82" s="121">
        <v>93.0</v>
      </c>
      <c r="H82" s="120" t="s">
        <v>31</v>
      </c>
      <c r="I82" s="119">
        <v>14.0</v>
      </c>
    </row>
    <row r="83">
      <c r="A83" s="119">
        <v>82.0</v>
      </c>
      <c r="B83" s="119">
        <v>82.0</v>
      </c>
      <c r="C83" s="119">
        <v>82.0</v>
      </c>
      <c r="D83" s="119">
        <v>82.0</v>
      </c>
      <c r="E83" s="119">
        <v>82.0</v>
      </c>
      <c r="F83" s="120" t="s">
        <v>210</v>
      </c>
      <c r="G83" s="121">
        <v>92.0</v>
      </c>
      <c r="H83" s="120" t="s">
        <v>31</v>
      </c>
      <c r="I83" s="119">
        <v>8.0</v>
      </c>
    </row>
    <row r="84">
      <c r="A84" s="119">
        <v>83.0</v>
      </c>
      <c r="B84" s="119">
        <v>83.0</v>
      </c>
      <c r="C84" s="119">
        <v>83.0</v>
      </c>
      <c r="D84" s="119">
        <v>83.0</v>
      </c>
      <c r="E84" s="119">
        <v>83.0</v>
      </c>
      <c r="F84" s="120" t="s">
        <v>211</v>
      </c>
      <c r="G84" s="121">
        <v>91.0</v>
      </c>
      <c r="H84" s="120" t="s">
        <v>31</v>
      </c>
      <c r="I84" s="119">
        <v>14.0</v>
      </c>
    </row>
    <row r="85">
      <c r="A85" s="119">
        <v>84.0</v>
      </c>
      <c r="B85" s="119">
        <v>84.0</v>
      </c>
      <c r="C85" s="119">
        <v>84.0</v>
      </c>
      <c r="D85" s="119">
        <v>84.0</v>
      </c>
      <c r="E85" s="119">
        <v>84.0</v>
      </c>
      <c r="F85" s="120" t="s">
        <v>212</v>
      </c>
      <c r="G85" s="121">
        <v>90.0</v>
      </c>
      <c r="H85" s="120" t="s">
        <v>31</v>
      </c>
      <c r="I85" s="119">
        <v>11.0</v>
      </c>
    </row>
    <row r="86">
      <c r="A86" s="119">
        <v>85.0</v>
      </c>
      <c r="B86" s="119">
        <v>85.0</v>
      </c>
      <c r="C86" s="119">
        <v>85.0</v>
      </c>
      <c r="D86" s="119">
        <v>85.0</v>
      </c>
      <c r="E86" s="119">
        <v>85.0</v>
      </c>
      <c r="F86" s="120" t="s">
        <v>213</v>
      </c>
      <c r="G86" s="121">
        <v>89.0</v>
      </c>
      <c r="H86" s="120" t="s">
        <v>31</v>
      </c>
      <c r="I86" s="119">
        <v>6.0</v>
      </c>
    </row>
    <row r="87">
      <c r="A87" s="119">
        <v>86.0</v>
      </c>
      <c r="B87" s="119">
        <v>86.0</v>
      </c>
      <c r="C87" s="119">
        <v>86.0</v>
      </c>
      <c r="D87" s="119">
        <v>86.0</v>
      </c>
      <c r="E87" s="119">
        <v>86.0</v>
      </c>
      <c r="F87" s="120" t="s">
        <v>214</v>
      </c>
      <c r="G87" s="121">
        <v>88.0</v>
      </c>
      <c r="H87" s="120" t="s">
        <v>31</v>
      </c>
      <c r="I87" s="119">
        <v>12.0</v>
      </c>
    </row>
    <row r="88">
      <c r="A88" s="119">
        <v>87.0</v>
      </c>
      <c r="B88" s="119">
        <v>87.0</v>
      </c>
      <c r="C88" s="119">
        <v>87.0</v>
      </c>
      <c r="D88" s="119">
        <v>87.0</v>
      </c>
      <c r="E88" s="119">
        <v>87.0</v>
      </c>
      <c r="F88" s="120" t="s">
        <v>215</v>
      </c>
      <c r="G88" s="121">
        <v>87.0</v>
      </c>
      <c r="H88" s="120" t="s">
        <v>31</v>
      </c>
      <c r="I88" s="119">
        <v>14.0</v>
      </c>
    </row>
    <row r="89">
      <c r="A89" s="119">
        <v>88.0</v>
      </c>
      <c r="B89" s="119">
        <v>88.0</v>
      </c>
      <c r="C89" s="119">
        <v>88.0</v>
      </c>
      <c r="D89" s="119">
        <v>88.0</v>
      </c>
      <c r="E89" s="119">
        <v>88.0</v>
      </c>
      <c r="F89" s="120" t="s">
        <v>216</v>
      </c>
      <c r="G89" s="121">
        <v>86.0</v>
      </c>
      <c r="H89" s="120" t="s">
        <v>31</v>
      </c>
      <c r="I89" s="119">
        <v>14.0</v>
      </c>
    </row>
    <row r="90">
      <c r="A90" s="119">
        <v>89.0</v>
      </c>
      <c r="B90" s="119">
        <v>89.0</v>
      </c>
      <c r="C90" s="119">
        <v>89.0</v>
      </c>
      <c r="D90" s="119">
        <v>89.0</v>
      </c>
      <c r="E90" s="119">
        <v>89.0</v>
      </c>
      <c r="F90" s="120" t="s">
        <v>217</v>
      </c>
      <c r="G90" s="121">
        <v>85.0</v>
      </c>
      <c r="H90" s="120" t="s">
        <v>31</v>
      </c>
      <c r="I90" s="119">
        <v>11.0</v>
      </c>
    </row>
    <row r="91">
      <c r="A91" s="119">
        <v>90.0</v>
      </c>
      <c r="B91" s="119">
        <v>90.0</v>
      </c>
      <c r="C91" s="119">
        <v>90.0</v>
      </c>
      <c r="D91" s="119">
        <v>90.0</v>
      </c>
      <c r="E91" s="119">
        <v>90.0</v>
      </c>
      <c r="F91" s="120" t="s">
        <v>218</v>
      </c>
      <c r="G91" s="121">
        <v>84.0</v>
      </c>
      <c r="H91" s="120" t="s">
        <v>31</v>
      </c>
      <c r="I91" s="119">
        <v>12.0</v>
      </c>
    </row>
    <row r="92">
      <c r="A92" s="119">
        <v>91.0</v>
      </c>
      <c r="B92" s="119">
        <v>91.0</v>
      </c>
      <c r="C92" s="119">
        <v>91.0</v>
      </c>
      <c r="D92" s="119">
        <v>91.0</v>
      </c>
      <c r="E92" s="119">
        <v>91.0</v>
      </c>
      <c r="F92" s="120" t="s">
        <v>219</v>
      </c>
      <c r="G92" s="121">
        <v>83.0</v>
      </c>
      <c r="H92" s="120" t="s">
        <v>31</v>
      </c>
      <c r="I92" s="119">
        <v>14.0</v>
      </c>
    </row>
    <row r="93">
      <c r="A93" s="119">
        <v>92.0</v>
      </c>
      <c r="B93" s="119">
        <v>92.0</v>
      </c>
      <c r="C93" s="119">
        <v>92.0</v>
      </c>
      <c r="D93" s="119">
        <v>92.0</v>
      </c>
      <c r="E93" s="119">
        <v>92.0</v>
      </c>
      <c r="F93" s="120" t="s">
        <v>220</v>
      </c>
      <c r="G93" s="121">
        <v>82.0</v>
      </c>
      <c r="H93" s="120" t="s">
        <v>31</v>
      </c>
      <c r="I93" s="119">
        <v>8.0</v>
      </c>
    </row>
    <row r="94">
      <c r="A94" s="119">
        <v>93.0</v>
      </c>
      <c r="B94" s="119">
        <v>93.0</v>
      </c>
      <c r="C94" s="119">
        <v>93.0</v>
      </c>
      <c r="D94" s="119">
        <v>93.0</v>
      </c>
      <c r="E94" s="119">
        <v>93.0</v>
      </c>
      <c r="F94" s="120" t="s">
        <v>221</v>
      </c>
      <c r="G94" s="121">
        <v>81.0</v>
      </c>
      <c r="H94" s="120" t="s">
        <v>31</v>
      </c>
      <c r="I94" s="119">
        <v>5.0</v>
      </c>
    </row>
    <row r="95">
      <c r="A95" s="119">
        <v>94.0</v>
      </c>
      <c r="B95" s="119">
        <v>94.0</v>
      </c>
      <c r="C95" s="119">
        <v>94.0</v>
      </c>
      <c r="D95" s="119">
        <v>94.0</v>
      </c>
      <c r="E95" s="119">
        <v>94.0</v>
      </c>
      <c r="F95" s="120" t="s">
        <v>222</v>
      </c>
      <c r="G95" s="121">
        <v>80.0</v>
      </c>
      <c r="H95" s="120" t="s">
        <v>31</v>
      </c>
      <c r="I95" s="119">
        <v>10.0</v>
      </c>
    </row>
    <row r="96">
      <c r="A96" s="119">
        <v>95.0</v>
      </c>
      <c r="B96" s="119">
        <v>95.0</v>
      </c>
      <c r="C96" s="119">
        <v>95.0</v>
      </c>
      <c r="D96" s="119">
        <v>95.0</v>
      </c>
      <c r="E96" s="119">
        <v>95.0</v>
      </c>
      <c r="F96" s="120" t="s">
        <v>223</v>
      </c>
      <c r="G96" s="121">
        <v>79.0</v>
      </c>
      <c r="H96" s="120" t="s">
        <v>31</v>
      </c>
      <c r="I96" s="119">
        <v>9.0</v>
      </c>
    </row>
    <row r="97">
      <c r="A97" s="119">
        <v>96.0</v>
      </c>
      <c r="B97" s="119">
        <v>96.0</v>
      </c>
      <c r="C97" s="119">
        <v>96.0</v>
      </c>
      <c r="D97" s="119">
        <v>96.0</v>
      </c>
      <c r="E97" s="119">
        <v>96.0</v>
      </c>
      <c r="F97" s="120" t="s">
        <v>224</v>
      </c>
      <c r="G97" s="121">
        <v>78.0</v>
      </c>
      <c r="H97" s="120" t="s">
        <v>31</v>
      </c>
      <c r="I97" s="119">
        <v>12.0</v>
      </c>
    </row>
    <row r="98">
      <c r="A98" s="119">
        <v>97.0</v>
      </c>
      <c r="B98" s="119">
        <v>97.0</v>
      </c>
      <c r="C98" s="119">
        <v>97.0</v>
      </c>
      <c r="D98" s="119">
        <v>97.0</v>
      </c>
      <c r="E98" s="119">
        <v>97.0</v>
      </c>
      <c r="F98" s="120" t="s">
        <v>225</v>
      </c>
      <c r="G98" s="121">
        <v>77.0</v>
      </c>
      <c r="H98" s="120" t="s">
        <v>31</v>
      </c>
      <c r="I98" s="119">
        <v>12.0</v>
      </c>
    </row>
    <row r="99">
      <c r="A99" s="119">
        <v>98.0</v>
      </c>
      <c r="B99" s="119">
        <v>98.0</v>
      </c>
      <c r="C99" s="119">
        <v>98.0</v>
      </c>
      <c r="D99" s="119">
        <v>98.0</v>
      </c>
      <c r="E99" s="119">
        <v>98.0</v>
      </c>
      <c r="F99" s="120" t="s">
        <v>226</v>
      </c>
      <c r="G99" s="121">
        <v>76.0</v>
      </c>
      <c r="H99" s="120" t="s">
        <v>31</v>
      </c>
      <c r="I99" s="119">
        <v>8.0</v>
      </c>
    </row>
    <row r="100">
      <c r="A100" s="119">
        <v>99.0</v>
      </c>
      <c r="B100" s="119">
        <v>99.0</v>
      </c>
      <c r="C100" s="119">
        <v>99.0</v>
      </c>
      <c r="D100" s="119">
        <v>99.0</v>
      </c>
      <c r="E100" s="119">
        <v>99.0</v>
      </c>
      <c r="F100" s="120" t="s">
        <v>227</v>
      </c>
      <c r="G100" s="121">
        <v>75.0</v>
      </c>
      <c r="H100" s="120" t="s">
        <v>31</v>
      </c>
      <c r="I100" s="119">
        <v>5.0</v>
      </c>
    </row>
    <row r="101">
      <c r="A101" s="119">
        <v>100.0</v>
      </c>
      <c r="B101" s="119">
        <v>100.0</v>
      </c>
      <c r="C101" s="119">
        <v>100.0</v>
      </c>
      <c r="D101" s="119">
        <v>100.0</v>
      </c>
      <c r="E101" s="119">
        <v>100.0</v>
      </c>
      <c r="F101" s="120" t="s">
        <v>228</v>
      </c>
      <c r="G101" s="121">
        <v>74.0</v>
      </c>
      <c r="H101" s="120" t="s">
        <v>31</v>
      </c>
      <c r="I101" s="119">
        <v>12.0</v>
      </c>
    </row>
    <row r="102">
      <c r="A102" s="119">
        <v>1.0</v>
      </c>
      <c r="B102" s="119">
        <v>1.0</v>
      </c>
      <c r="C102" s="119">
        <v>1.0</v>
      </c>
      <c r="D102" s="119">
        <v>1.0</v>
      </c>
      <c r="E102" s="119">
        <v>1.0</v>
      </c>
      <c r="F102" s="120" t="s">
        <v>229</v>
      </c>
      <c r="G102" s="121">
        <v>231.2</v>
      </c>
      <c r="H102" s="120" t="s">
        <v>35</v>
      </c>
      <c r="I102" s="119">
        <v>10.0</v>
      </c>
    </row>
    <row r="103">
      <c r="A103" s="119">
        <v>2.0</v>
      </c>
      <c r="B103" s="119">
        <v>2.0</v>
      </c>
      <c r="C103" s="119">
        <v>2.0</v>
      </c>
      <c r="D103" s="119">
        <v>2.0</v>
      </c>
      <c r="E103" s="119">
        <v>2.0</v>
      </c>
      <c r="F103" s="120" t="s">
        <v>230</v>
      </c>
      <c r="G103" s="121">
        <v>205.2</v>
      </c>
      <c r="H103" s="120" t="s">
        <v>35</v>
      </c>
      <c r="I103" s="119">
        <v>6.0</v>
      </c>
    </row>
    <row r="104">
      <c r="A104" s="119">
        <v>3.0</v>
      </c>
      <c r="B104" s="119">
        <v>3.0</v>
      </c>
      <c r="C104" s="119">
        <v>3.0</v>
      </c>
      <c r="D104" s="119">
        <v>3.0</v>
      </c>
      <c r="E104" s="119">
        <v>3.0</v>
      </c>
      <c r="F104" s="120" t="s">
        <v>231</v>
      </c>
      <c r="G104" s="121">
        <v>193.0</v>
      </c>
      <c r="H104" s="120" t="s">
        <v>35</v>
      </c>
      <c r="I104" s="119">
        <v>10.0</v>
      </c>
    </row>
    <row r="105">
      <c r="A105" s="119">
        <v>4.0</v>
      </c>
      <c r="B105" s="119">
        <v>4.0</v>
      </c>
      <c r="C105" s="119">
        <v>4.0</v>
      </c>
      <c r="D105" s="119">
        <v>4.0</v>
      </c>
      <c r="E105" s="119">
        <v>4.0</v>
      </c>
      <c r="F105" s="120" t="s">
        <v>232</v>
      </c>
      <c r="G105" s="121">
        <v>187.7</v>
      </c>
      <c r="H105" s="120" t="s">
        <v>35</v>
      </c>
      <c r="I105" s="119">
        <v>8.0</v>
      </c>
    </row>
    <row r="106">
      <c r="A106" s="119">
        <v>5.0</v>
      </c>
      <c r="B106" s="119">
        <v>5.0</v>
      </c>
      <c r="C106" s="119">
        <v>5.0</v>
      </c>
      <c r="D106" s="119">
        <v>5.0</v>
      </c>
      <c r="E106" s="119">
        <v>5.0</v>
      </c>
      <c r="F106" s="120" t="s">
        <v>233</v>
      </c>
      <c r="G106" s="121">
        <v>183.6</v>
      </c>
      <c r="H106" s="120" t="s">
        <v>35</v>
      </c>
      <c r="I106" s="119">
        <v>6.0</v>
      </c>
    </row>
    <row r="107">
      <c r="A107" s="119">
        <v>6.0</v>
      </c>
      <c r="B107" s="119">
        <v>6.0</v>
      </c>
      <c r="C107" s="119">
        <v>6.0</v>
      </c>
      <c r="D107" s="119">
        <v>6.0</v>
      </c>
      <c r="E107" s="119">
        <v>6.0</v>
      </c>
      <c r="F107" s="120" t="s">
        <v>234</v>
      </c>
      <c r="G107" s="121">
        <v>183.3</v>
      </c>
      <c r="H107" s="120" t="s">
        <v>35</v>
      </c>
      <c r="I107" s="119">
        <v>14.0</v>
      </c>
    </row>
    <row r="108">
      <c r="A108" s="119">
        <v>7.0</v>
      </c>
      <c r="B108" s="119">
        <v>7.0</v>
      </c>
      <c r="C108" s="119">
        <v>7.0</v>
      </c>
      <c r="D108" s="119">
        <v>7.0</v>
      </c>
      <c r="E108" s="119">
        <v>7.0</v>
      </c>
      <c r="F108" s="120" t="s">
        <v>235</v>
      </c>
      <c r="G108" s="121">
        <v>181.4</v>
      </c>
      <c r="H108" s="120" t="s">
        <v>35</v>
      </c>
      <c r="I108" s="119">
        <v>8.0</v>
      </c>
    </row>
    <row r="109">
      <c r="A109" s="119">
        <v>8.0</v>
      </c>
      <c r="B109" s="119">
        <v>8.0</v>
      </c>
      <c r="C109" s="119">
        <v>8.0</v>
      </c>
      <c r="D109" s="119">
        <v>8.0</v>
      </c>
      <c r="E109" s="119">
        <v>8.0</v>
      </c>
      <c r="F109" s="120" t="s">
        <v>236</v>
      </c>
      <c r="G109" s="121">
        <v>180.8</v>
      </c>
      <c r="H109" s="120" t="s">
        <v>35</v>
      </c>
      <c r="I109" s="119">
        <v>8.0</v>
      </c>
    </row>
    <row r="110">
      <c r="A110" s="119">
        <v>9.0</v>
      </c>
      <c r="B110" s="119">
        <v>9.0</v>
      </c>
      <c r="C110" s="119">
        <v>9.0</v>
      </c>
      <c r="D110" s="119">
        <v>9.0</v>
      </c>
      <c r="E110" s="119">
        <v>9.0</v>
      </c>
      <c r="F110" s="120" t="s">
        <v>237</v>
      </c>
      <c r="G110" s="121">
        <v>172.8</v>
      </c>
      <c r="H110" s="120" t="s">
        <v>35</v>
      </c>
      <c r="I110" s="119">
        <v>9.0</v>
      </c>
    </row>
    <row r="111">
      <c r="A111" s="119">
        <v>10.0</v>
      </c>
      <c r="B111" s="119">
        <v>10.0</v>
      </c>
      <c r="C111" s="119">
        <v>10.0</v>
      </c>
      <c r="D111" s="119">
        <v>10.0</v>
      </c>
      <c r="E111" s="119">
        <v>10.0</v>
      </c>
      <c r="F111" s="120" t="s">
        <v>238</v>
      </c>
      <c r="G111" s="121">
        <v>168.5</v>
      </c>
      <c r="H111" s="120" t="s">
        <v>35</v>
      </c>
      <c r="I111" s="119">
        <v>12.0</v>
      </c>
    </row>
    <row r="112">
      <c r="A112" s="119">
        <v>11.0</v>
      </c>
      <c r="B112" s="119">
        <v>11.0</v>
      </c>
      <c r="C112" s="119">
        <v>11.0</v>
      </c>
      <c r="D112" s="119">
        <v>11.0</v>
      </c>
      <c r="E112" s="119">
        <v>11.0</v>
      </c>
      <c r="F112" s="120" t="s">
        <v>239</v>
      </c>
      <c r="G112" s="121">
        <v>167.1</v>
      </c>
      <c r="H112" s="120" t="s">
        <v>35</v>
      </c>
      <c r="I112" s="119">
        <v>5.0</v>
      </c>
    </row>
    <row r="113">
      <c r="A113" s="119">
        <v>12.0</v>
      </c>
      <c r="B113" s="119">
        <v>12.0</v>
      </c>
      <c r="C113" s="119">
        <v>12.0</v>
      </c>
      <c r="D113" s="119">
        <v>12.0</v>
      </c>
      <c r="E113" s="119">
        <v>12.0</v>
      </c>
      <c r="F113" s="120" t="s">
        <v>240</v>
      </c>
      <c r="G113" s="121">
        <v>165.4</v>
      </c>
      <c r="H113" s="120" t="s">
        <v>35</v>
      </c>
      <c r="I113" s="119">
        <v>12.0</v>
      </c>
    </row>
    <row r="114">
      <c r="A114" s="119">
        <v>13.0</v>
      </c>
      <c r="B114" s="119">
        <v>13.0</v>
      </c>
      <c r="C114" s="119">
        <v>13.0</v>
      </c>
      <c r="D114" s="119">
        <v>13.0</v>
      </c>
      <c r="E114" s="119">
        <v>13.0</v>
      </c>
      <c r="F114" s="120" t="s">
        <v>241</v>
      </c>
      <c r="G114" s="121">
        <v>164.5</v>
      </c>
      <c r="H114" s="120" t="s">
        <v>35</v>
      </c>
      <c r="I114" s="119">
        <v>9.0</v>
      </c>
    </row>
    <row r="115">
      <c r="A115" s="119">
        <v>14.0</v>
      </c>
      <c r="B115" s="119">
        <v>14.0</v>
      </c>
      <c r="C115" s="119">
        <v>14.0</v>
      </c>
      <c r="D115" s="119">
        <v>14.0</v>
      </c>
      <c r="E115" s="119">
        <v>14.0</v>
      </c>
      <c r="F115" s="120" t="s">
        <v>242</v>
      </c>
      <c r="G115" s="121">
        <v>161.1</v>
      </c>
      <c r="H115" s="120" t="s">
        <v>35</v>
      </c>
      <c r="I115" s="119">
        <v>10.0</v>
      </c>
    </row>
    <row r="116">
      <c r="A116" s="119">
        <v>15.0</v>
      </c>
      <c r="B116" s="119">
        <v>15.0</v>
      </c>
      <c r="C116" s="119">
        <v>15.0</v>
      </c>
      <c r="D116" s="119">
        <v>15.0</v>
      </c>
      <c r="E116" s="119">
        <v>15.0</v>
      </c>
      <c r="F116" s="120" t="s">
        <v>243</v>
      </c>
      <c r="G116" s="121">
        <v>160.9</v>
      </c>
      <c r="H116" s="120" t="s">
        <v>35</v>
      </c>
      <c r="I116" s="119">
        <v>12.0</v>
      </c>
    </row>
    <row r="117">
      <c r="A117" s="119">
        <v>16.0</v>
      </c>
      <c r="B117" s="119">
        <v>16.0</v>
      </c>
      <c r="C117" s="119">
        <v>16.0</v>
      </c>
      <c r="D117" s="119">
        <v>16.0</v>
      </c>
      <c r="E117" s="119">
        <v>16.0</v>
      </c>
      <c r="F117" s="120" t="s">
        <v>244</v>
      </c>
      <c r="G117" s="121">
        <v>159.2</v>
      </c>
      <c r="H117" s="120" t="s">
        <v>35</v>
      </c>
      <c r="I117" s="119">
        <v>8.0</v>
      </c>
    </row>
    <row r="118">
      <c r="A118" s="119">
        <v>17.0</v>
      </c>
      <c r="B118" s="119">
        <v>17.0</v>
      </c>
      <c r="C118" s="119">
        <v>17.0</v>
      </c>
      <c r="D118" s="119">
        <v>17.0</v>
      </c>
      <c r="E118" s="119">
        <v>17.0</v>
      </c>
      <c r="F118" s="120" t="s">
        <v>245</v>
      </c>
      <c r="G118" s="121">
        <v>154.5</v>
      </c>
      <c r="H118" s="120" t="s">
        <v>35</v>
      </c>
      <c r="I118" s="119">
        <v>8.0</v>
      </c>
    </row>
    <row r="119">
      <c r="A119" s="119">
        <v>18.0</v>
      </c>
      <c r="B119" s="119">
        <v>18.0</v>
      </c>
      <c r="C119" s="119">
        <v>18.0</v>
      </c>
      <c r="D119" s="119">
        <v>18.0</v>
      </c>
      <c r="E119" s="119">
        <v>18.0</v>
      </c>
      <c r="F119" s="120" t="s">
        <v>246</v>
      </c>
      <c r="G119" s="121">
        <v>151.9</v>
      </c>
      <c r="H119" s="120" t="s">
        <v>35</v>
      </c>
      <c r="I119" s="119">
        <v>5.0</v>
      </c>
    </row>
    <row r="120">
      <c r="A120" s="119">
        <v>19.0</v>
      </c>
      <c r="B120" s="119">
        <v>19.0</v>
      </c>
      <c r="C120" s="119">
        <v>19.0</v>
      </c>
      <c r="D120" s="119">
        <v>19.0</v>
      </c>
      <c r="E120" s="119">
        <v>19.0</v>
      </c>
      <c r="F120" s="120" t="s">
        <v>247</v>
      </c>
      <c r="G120" s="121">
        <v>151.5</v>
      </c>
      <c r="H120" s="120" t="s">
        <v>35</v>
      </c>
      <c r="I120" s="119">
        <v>8.0</v>
      </c>
    </row>
    <row r="121">
      <c r="A121" s="119">
        <v>20.0</v>
      </c>
      <c r="B121" s="119">
        <v>20.0</v>
      </c>
      <c r="C121" s="119">
        <v>20.0</v>
      </c>
      <c r="D121" s="119">
        <v>20.0</v>
      </c>
      <c r="E121" s="119">
        <v>20.0</v>
      </c>
      <c r="F121" s="120" t="s">
        <v>248</v>
      </c>
      <c r="G121" s="121">
        <v>145.2</v>
      </c>
      <c r="H121" s="120" t="s">
        <v>35</v>
      </c>
      <c r="I121" s="119">
        <v>7.0</v>
      </c>
    </row>
    <row r="122">
      <c r="A122" s="119">
        <v>21.0</v>
      </c>
      <c r="B122" s="119">
        <v>21.0</v>
      </c>
      <c r="C122" s="119">
        <v>21.0</v>
      </c>
      <c r="D122" s="119">
        <v>21.0</v>
      </c>
      <c r="E122" s="119">
        <v>21.0</v>
      </c>
      <c r="F122" s="120" t="s">
        <v>249</v>
      </c>
      <c r="G122" s="121">
        <v>145.2</v>
      </c>
      <c r="H122" s="120" t="s">
        <v>35</v>
      </c>
      <c r="I122" s="119">
        <v>10.0</v>
      </c>
    </row>
    <row r="123">
      <c r="A123" s="119">
        <v>22.0</v>
      </c>
      <c r="B123" s="119">
        <v>22.0</v>
      </c>
      <c r="C123" s="119">
        <v>22.0</v>
      </c>
      <c r="D123" s="119">
        <v>22.0</v>
      </c>
      <c r="E123" s="119">
        <v>22.0</v>
      </c>
      <c r="F123" s="120" t="s">
        <v>250</v>
      </c>
      <c r="G123" s="121">
        <v>144.5</v>
      </c>
      <c r="H123" s="120" t="s">
        <v>35</v>
      </c>
      <c r="I123" s="119">
        <v>9.0</v>
      </c>
    </row>
    <row r="124">
      <c r="A124" s="119">
        <v>23.0</v>
      </c>
      <c r="B124" s="119">
        <v>23.0</v>
      </c>
      <c r="C124" s="119">
        <v>23.0</v>
      </c>
      <c r="D124" s="119">
        <v>23.0</v>
      </c>
      <c r="E124" s="119">
        <v>23.0</v>
      </c>
      <c r="F124" s="120" t="s">
        <v>251</v>
      </c>
      <c r="G124" s="121">
        <v>144.3</v>
      </c>
      <c r="H124" s="120" t="s">
        <v>35</v>
      </c>
      <c r="I124" s="119">
        <v>12.0</v>
      </c>
    </row>
    <row r="125">
      <c r="A125" s="119">
        <v>24.0</v>
      </c>
      <c r="B125" s="119">
        <v>24.0</v>
      </c>
      <c r="C125" s="119">
        <v>24.0</v>
      </c>
      <c r="D125" s="119">
        <v>24.0</v>
      </c>
      <c r="E125" s="119">
        <v>24.0</v>
      </c>
      <c r="F125" s="120" t="s">
        <v>252</v>
      </c>
      <c r="G125" s="121">
        <v>142.7</v>
      </c>
      <c r="H125" s="120" t="s">
        <v>35</v>
      </c>
      <c r="I125" s="119">
        <v>5.0</v>
      </c>
    </row>
    <row r="126">
      <c r="A126" s="119">
        <v>25.0</v>
      </c>
      <c r="B126" s="119">
        <v>25.0</v>
      </c>
      <c r="C126" s="119">
        <v>25.0</v>
      </c>
      <c r="D126" s="119">
        <v>25.0</v>
      </c>
      <c r="E126" s="119">
        <v>25.0</v>
      </c>
      <c r="F126" s="120" t="s">
        <v>253</v>
      </c>
      <c r="G126" s="121">
        <v>141.6</v>
      </c>
      <c r="H126" s="120" t="s">
        <v>35</v>
      </c>
      <c r="I126" s="119">
        <v>8.0</v>
      </c>
    </row>
    <row r="127">
      <c r="A127" s="119">
        <v>26.0</v>
      </c>
      <c r="B127" s="119">
        <v>26.0</v>
      </c>
      <c r="C127" s="119">
        <v>26.0</v>
      </c>
      <c r="D127" s="119">
        <v>26.0</v>
      </c>
      <c r="E127" s="119">
        <v>26.0</v>
      </c>
      <c r="F127" s="120" t="s">
        <v>254</v>
      </c>
      <c r="G127" s="121">
        <v>140.6</v>
      </c>
      <c r="H127" s="120" t="s">
        <v>35</v>
      </c>
      <c r="I127" s="119">
        <v>10.0</v>
      </c>
    </row>
    <row r="128">
      <c r="A128" s="119">
        <v>27.0</v>
      </c>
      <c r="B128" s="119">
        <v>27.0</v>
      </c>
      <c r="C128" s="119">
        <v>27.0</v>
      </c>
      <c r="D128" s="119">
        <v>27.0</v>
      </c>
      <c r="E128" s="119">
        <v>27.0</v>
      </c>
      <c r="F128" s="120" t="s">
        <v>255</v>
      </c>
      <c r="G128" s="121">
        <v>137.7</v>
      </c>
      <c r="H128" s="120" t="s">
        <v>35</v>
      </c>
      <c r="I128" s="119">
        <v>9.0</v>
      </c>
    </row>
    <row r="129">
      <c r="A129" s="119">
        <v>28.0</v>
      </c>
      <c r="B129" s="119">
        <v>28.0</v>
      </c>
      <c r="C129" s="119">
        <v>28.0</v>
      </c>
      <c r="D129" s="119">
        <v>28.0</v>
      </c>
      <c r="E129" s="119">
        <v>28.0</v>
      </c>
      <c r="F129" s="120" t="s">
        <v>256</v>
      </c>
      <c r="G129" s="121">
        <v>137.1</v>
      </c>
      <c r="H129" s="120" t="s">
        <v>35</v>
      </c>
      <c r="I129" s="119">
        <v>10.0</v>
      </c>
    </row>
    <row r="130">
      <c r="A130" s="119">
        <v>29.0</v>
      </c>
      <c r="B130" s="119">
        <v>29.0</v>
      </c>
      <c r="C130" s="119">
        <v>29.0</v>
      </c>
      <c r="D130" s="119">
        <v>29.0</v>
      </c>
      <c r="E130" s="119">
        <v>29.0</v>
      </c>
      <c r="F130" s="120" t="s">
        <v>257</v>
      </c>
      <c r="G130" s="121">
        <v>132.7</v>
      </c>
      <c r="H130" s="120" t="s">
        <v>35</v>
      </c>
      <c r="I130" s="119">
        <v>9.0</v>
      </c>
    </row>
    <row r="131">
      <c r="A131" s="119">
        <v>30.0</v>
      </c>
      <c r="B131" s="119">
        <v>30.0</v>
      </c>
      <c r="C131" s="119">
        <v>30.0</v>
      </c>
      <c r="D131" s="119">
        <v>30.0</v>
      </c>
      <c r="E131" s="119">
        <v>30.0</v>
      </c>
      <c r="F131" s="120" t="s">
        <v>258</v>
      </c>
      <c r="G131" s="121">
        <v>130.8</v>
      </c>
      <c r="H131" s="120" t="s">
        <v>35</v>
      </c>
      <c r="I131" s="119">
        <v>12.0</v>
      </c>
    </row>
    <row r="132">
      <c r="A132" s="119">
        <v>31.0</v>
      </c>
      <c r="B132" s="119">
        <v>31.0</v>
      </c>
      <c r="C132" s="119">
        <v>31.0</v>
      </c>
      <c r="D132" s="119">
        <v>31.0</v>
      </c>
      <c r="E132" s="119">
        <v>31.0</v>
      </c>
      <c r="F132" s="120" t="s">
        <v>259</v>
      </c>
      <c r="G132" s="121">
        <v>118.3</v>
      </c>
      <c r="H132" s="120" t="s">
        <v>35</v>
      </c>
      <c r="I132" s="119">
        <v>14.0</v>
      </c>
    </row>
    <row r="133">
      <c r="A133" s="119">
        <v>32.0</v>
      </c>
      <c r="B133" s="119">
        <v>32.0</v>
      </c>
      <c r="C133" s="119">
        <v>32.0</v>
      </c>
      <c r="D133" s="119">
        <v>32.0</v>
      </c>
      <c r="E133" s="119">
        <v>32.0</v>
      </c>
      <c r="F133" s="120" t="s">
        <v>260</v>
      </c>
      <c r="G133" s="121">
        <v>126.6</v>
      </c>
      <c r="H133" s="120" t="s">
        <v>35</v>
      </c>
      <c r="I133" s="119">
        <v>12.0</v>
      </c>
    </row>
    <row r="134">
      <c r="A134" s="119">
        <v>33.0</v>
      </c>
      <c r="B134" s="119">
        <v>33.0</v>
      </c>
      <c r="C134" s="119">
        <v>33.0</v>
      </c>
      <c r="D134" s="119">
        <v>33.0</v>
      </c>
      <c r="E134" s="119">
        <v>33.0</v>
      </c>
      <c r="F134" s="120" t="s">
        <v>261</v>
      </c>
      <c r="G134" s="121">
        <v>128.1</v>
      </c>
      <c r="H134" s="120" t="s">
        <v>35</v>
      </c>
      <c r="I134" s="119">
        <v>14.0</v>
      </c>
    </row>
    <row r="135">
      <c r="A135" s="119">
        <v>34.0</v>
      </c>
      <c r="B135" s="119">
        <v>34.0</v>
      </c>
      <c r="C135" s="119">
        <v>34.0</v>
      </c>
      <c r="D135" s="119">
        <v>34.0</v>
      </c>
      <c r="E135" s="119">
        <v>34.0</v>
      </c>
      <c r="F135" s="120" t="s">
        <v>262</v>
      </c>
      <c r="G135" s="121">
        <v>120.7</v>
      </c>
      <c r="H135" s="120" t="s">
        <v>35</v>
      </c>
      <c r="I135" s="119">
        <v>8.0</v>
      </c>
    </row>
    <row r="136">
      <c r="A136" s="119">
        <v>35.0</v>
      </c>
      <c r="B136" s="119">
        <v>35.0</v>
      </c>
      <c r="C136" s="119">
        <v>35.0</v>
      </c>
      <c r="D136" s="119">
        <v>35.0</v>
      </c>
      <c r="E136" s="119">
        <v>35.0</v>
      </c>
      <c r="F136" s="120" t="s">
        <v>263</v>
      </c>
      <c r="G136" s="121">
        <v>126.2</v>
      </c>
      <c r="H136" s="120" t="s">
        <v>35</v>
      </c>
      <c r="I136" s="119">
        <v>5.0</v>
      </c>
    </row>
    <row r="137">
      <c r="A137" s="119">
        <v>36.0</v>
      </c>
      <c r="B137" s="119">
        <v>36.0</v>
      </c>
      <c r="C137" s="119">
        <v>36.0</v>
      </c>
      <c r="D137" s="119">
        <v>36.0</v>
      </c>
      <c r="E137" s="119">
        <v>36.0</v>
      </c>
      <c r="F137" s="120" t="s">
        <v>264</v>
      </c>
      <c r="G137" s="121">
        <v>128.5</v>
      </c>
      <c r="H137" s="120" t="s">
        <v>35</v>
      </c>
      <c r="I137" s="119">
        <v>8.0</v>
      </c>
    </row>
    <row r="138">
      <c r="A138" s="119">
        <v>37.0</v>
      </c>
      <c r="B138" s="119">
        <v>37.0</v>
      </c>
      <c r="C138" s="119">
        <v>37.0</v>
      </c>
      <c r="D138" s="119">
        <v>37.0</v>
      </c>
      <c r="E138" s="119">
        <v>37.0</v>
      </c>
      <c r="F138" s="120" t="s">
        <v>265</v>
      </c>
      <c r="G138" s="121">
        <v>122.3</v>
      </c>
      <c r="H138" s="120" t="s">
        <v>35</v>
      </c>
      <c r="I138" s="119">
        <v>5.0</v>
      </c>
    </row>
    <row r="139">
      <c r="A139" s="119">
        <v>38.0</v>
      </c>
      <c r="B139" s="119">
        <v>38.0</v>
      </c>
      <c r="C139" s="119">
        <v>38.0</v>
      </c>
      <c r="D139" s="119">
        <v>38.0</v>
      </c>
      <c r="E139" s="119">
        <v>38.0</v>
      </c>
      <c r="F139" s="120" t="s">
        <v>266</v>
      </c>
      <c r="G139" s="121">
        <v>119.2</v>
      </c>
      <c r="H139" s="120" t="s">
        <v>35</v>
      </c>
      <c r="I139" s="119">
        <v>5.0</v>
      </c>
    </row>
    <row r="140">
      <c r="A140" s="119">
        <v>39.0</v>
      </c>
      <c r="B140" s="119">
        <v>39.0</v>
      </c>
      <c r="C140" s="119">
        <v>39.0</v>
      </c>
      <c r="D140" s="119">
        <v>39.0</v>
      </c>
      <c r="E140" s="119">
        <v>39.0</v>
      </c>
      <c r="F140" s="120" t="s">
        <v>267</v>
      </c>
      <c r="G140" s="121">
        <v>117.6</v>
      </c>
      <c r="H140" s="120" t="s">
        <v>35</v>
      </c>
      <c r="I140" s="119">
        <v>11.0</v>
      </c>
    </row>
    <row r="141">
      <c r="A141" s="119">
        <v>40.0</v>
      </c>
      <c r="B141" s="119">
        <v>40.0</v>
      </c>
      <c r="C141" s="119">
        <v>40.0</v>
      </c>
      <c r="D141" s="119">
        <v>40.0</v>
      </c>
      <c r="E141" s="119">
        <v>40.0</v>
      </c>
      <c r="F141" s="120" t="s">
        <v>268</v>
      </c>
      <c r="G141" s="121">
        <v>118.6</v>
      </c>
      <c r="H141" s="120" t="s">
        <v>35</v>
      </c>
      <c r="I141" s="119">
        <v>10.0</v>
      </c>
    </row>
    <row r="142">
      <c r="A142" s="119">
        <v>41.0</v>
      </c>
      <c r="B142" s="119">
        <v>41.0</v>
      </c>
      <c r="C142" s="119">
        <v>41.0</v>
      </c>
      <c r="D142" s="119">
        <v>41.0</v>
      </c>
      <c r="E142" s="119">
        <v>41.0</v>
      </c>
      <c r="F142" s="120" t="s">
        <v>269</v>
      </c>
      <c r="G142" s="121">
        <v>122.4</v>
      </c>
      <c r="H142" s="120" t="s">
        <v>35</v>
      </c>
      <c r="I142" s="119">
        <v>9.0</v>
      </c>
    </row>
    <row r="143">
      <c r="A143" s="119">
        <v>42.0</v>
      </c>
      <c r="B143" s="119">
        <v>42.0</v>
      </c>
      <c r="C143" s="119">
        <v>42.0</v>
      </c>
      <c r="D143" s="119">
        <v>42.0</v>
      </c>
      <c r="E143" s="119">
        <v>42.0</v>
      </c>
      <c r="F143" s="120" t="s">
        <v>270</v>
      </c>
      <c r="G143" s="121">
        <v>118.3</v>
      </c>
      <c r="H143" s="120" t="s">
        <v>35</v>
      </c>
      <c r="I143" s="119">
        <v>7.0</v>
      </c>
    </row>
    <row r="144">
      <c r="A144" s="119">
        <v>43.0</v>
      </c>
      <c r="B144" s="119">
        <v>43.0</v>
      </c>
      <c r="C144" s="119">
        <v>43.0</v>
      </c>
      <c r="D144" s="119">
        <v>43.0</v>
      </c>
      <c r="E144" s="119">
        <v>43.0</v>
      </c>
      <c r="F144" s="120" t="s">
        <v>271</v>
      </c>
      <c r="G144" s="121">
        <v>113.8</v>
      </c>
      <c r="H144" s="120" t="s">
        <v>35</v>
      </c>
      <c r="I144" s="119">
        <v>11.0</v>
      </c>
    </row>
    <row r="145">
      <c r="A145" s="119">
        <v>44.0</v>
      </c>
      <c r="B145" s="119">
        <v>44.0</v>
      </c>
      <c r="C145" s="119">
        <v>44.0</v>
      </c>
      <c r="D145" s="119">
        <v>44.0</v>
      </c>
      <c r="E145" s="119">
        <v>44.0</v>
      </c>
      <c r="F145" s="120" t="s">
        <v>272</v>
      </c>
      <c r="G145" s="121">
        <v>112.5</v>
      </c>
      <c r="H145" s="120" t="s">
        <v>35</v>
      </c>
      <c r="I145" s="119">
        <v>5.0</v>
      </c>
    </row>
    <row r="146">
      <c r="A146" s="119">
        <v>45.0</v>
      </c>
      <c r="B146" s="119">
        <v>45.0</v>
      </c>
      <c r="C146" s="119">
        <v>45.0</v>
      </c>
      <c r="D146" s="119">
        <v>45.0</v>
      </c>
      <c r="E146" s="119">
        <v>45.0</v>
      </c>
      <c r="F146" s="120" t="s">
        <v>273</v>
      </c>
      <c r="G146" s="121">
        <v>116.8</v>
      </c>
      <c r="H146" s="120" t="s">
        <v>35</v>
      </c>
      <c r="I146" s="119">
        <v>14.0</v>
      </c>
    </row>
    <row r="147">
      <c r="A147" s="119">
        <v>46.0</v>
      </c>
      <c r="B147" s="119">
        <v>46.0</v>
      </c>
      <c r="C147" s="119">
        <v>46.0</v>
      </c>
      <c r="D147" s="119">
        <v>46.0</v>
      </c>
      <c r="E147" s="119">
        <v>46.0</v>
      </c>
      <c r="F147" s="120" t="s">
        <v>274</v>
      </c>
      <c r="G147" s="121">
        <v>112.4</v>
      </c>
      <c r="H147" s="120" t="s">
        <v>35</v>
      </c>
      <c r="I147" s="119">
        <v>6.0</v>
      </c>
    </row>
    <row r="148">
      <c r="A148" s="119">
        <v>47.0</v>
      </c>
      <c r="B148" s="119">
        <v>47.0</v>
      </c>
      <c r="C148" s="119">
        <v>47.0</v>
      </c>
      <c r="D148" s="119">
        <v>47.0</v>
      </c>
      <c r="E148" s="119">
        <v>47.0</v>
      </c>
      <c r="F148" s="120" t="s">
        <v>275</v>
      </c>
      <c r="G148" s="121">
        <v>114.6</v>
      </c>
      <c r="H148" s="120" t="s">
        <v>35</v>
      </c>
      <c r="I148" s="119">
        <v>14.0</v>
      </c>
    </row>
    <row r="149">
      <c r="A149" s="119">
        <v>48.0</v>
      </c>
      <c r="B149" s="119">
        <v>48.0</v>
      </c>
      <c r="C149" s="119">
        <v>48.0</v>
      </c>
      <c r="D149" s="119">
        <v>48.0</v>
      </c>
      <c r="E149" s="119">
        <v>48.0</v>
      </c>
      <c r="F149" s="120" t="s">
        <v>276</v>
      </c>
      <c r="G149" s="121">
        <v>109.9</v>
      </c>
      <c r="H149" s="120" t="s">
        <v>35</v>
      </c>
      <c r="I149" s="119">
        <v>7.0</v>
      </c>
    </row>
    <row r="150">
      <c r="A150" s="119">
        <v>49.0</v>
      </c>
      <c r="B150" s="119">
        <v>49.0</v>
      </c>
      <c r="C150" s="119">
        <v>49.0</v>
      </c>
      <c r="D150" s="119">
        <v>49.0</v>
      </c>
      <c r="E150" s="119">
        <v>49.0</v>
      </c>
      <c r="F150" s="120" t="s">
        <v>277</v>
      </c>
      <c r="G150" s="121">
        <v>113.3</v>
      </c>
      <c r="H150" s="120" t="s">
        <v>35</v>
      </c>
      <c r="I150" s="119">
        <v>8.0</v>
      </c>
    </row>
    <row r="151">
      <c r="A151" s="119">
        <v>50.0</v>
      </c>
      <c r="B151" s="119">
        <v>50.0</v>
      </c>
      <c r="C151" s="119">
        <v>50.0</v>
      </c>
      <c r="D151" s="119">
        <v>50.0</v>
      </c>
      <c r="E151" s="119">
        <v>50.0</v>
      </c>
      <c r="F151" s="120" t="s">
        <v>278</v>
      </c>
      <c r="G151" s="121">
        <v>107.4</v>
      </c>
      <c r="H151" s="120" t="s">
        <v>35</v>
      </c>
      <c r="I151" s="119">
        <v>11.0</v>
      </c>
    </row>
    <row r="152">
      <c r="A152" s="119">
        <v>51.0</v>
      </c>
      <c r="B152" s="119">
        <v>51.0</v>
      </c>
      <c r="C152" s="119">
        <v>51.0</v>
      </c>
      <c r="D152" s="119">
        <v>51.0</v>
      </c>
      <c r="E152" s="119">
        <v>51.0</v>
      </c>
      <c r="F152" s="120" t="s">
        <v>279</v>
      </c>
      <c r="G152" s="121">
        <v>99.0</v>
      </c>
      <c r="H152" s="120" t="s">
        <v>35</v>
      </c>
      <c r="I152" s="119">
        <v>11.0</v>
      </c>
    </row>
    <row r="153">
      <c r="A153" s="119">
        <v>52.0</v>
      </c>
      <c r="B153" s="119">
        <v>52.0</v>
      </c>
      <c r="C153" s="119">
        <v>52.0</v>
      </c>
      <c r="D153" s="119">
        <v>52.0</v>
      </c>
      <c r="E153" s="119">
        <v>52.0</v>
      </c>
      <c r="F153" s="120" t="s">
        <v>280</v>
      </c>
      <c r="G153" s="121">
        <v>106.5</v>
      </c>
      <c r="H153" s="120" t="s">
        <v>35</v>
      </c>
      <c r="I153" s="119">
        <v>12.0</v>
      </c>
    </row>
    <row r="154">
      <c r="A154" s="119">
        <v>53.0</v>
      </c>
      <c r="B154" s="119">
        <v>53.0</v>
      </c>
      <c r="C154" s="119">
        <v>53.0</v>
      </c>
      <c r="D154" s="119">
        <v>53.0</v>
      </c>
      <c r="E154" s="119">
        <v>53.0</v>
      </c>
      <c r="F154" s="120" t="s">
        <v>281</v>
      </c>
      <c r="G154" s="121">
        <v>102.3</v>
      </c>
      <c r="H154" s="120" t="s">
        <v>35</v>
      </c>
      <c r="I154" s="119">
        <v>7.0</v>
      </c>
    </row>
    <row r="155">
      <c r="A155" s="119">
        <v>54.0</v>
      </c>
      <c r="B155" s="119">
        <v>54.0</v>
      </c>
      <c r="C155" s="119">
        <v>54.0</v>
      </c>
      <c r="D155" s="119">
        <v>54.0</v>
      </c>
      <c r="E155" s="119">
        <v>54.0</v>
      </c>
      <c r="F155" s="120" t="s">
        <v>282</v>
      </c>
      <c r="G155" s="121">
        <v>101.3</v>
      </c>
      <c r="H155" s="120" t="s">
        <v>35</v>
      </c>
      <c r="I155" s="119">
        <v>14.0</v>
      </c>
    </row>
    <row r="156">
      <c r="A156" s="119">
        <v>55.0</v>
      </c>
      <c r="B156" s="119">
        <v>55.0</v>
      </c>
      <c r="C156" s="119">
        <v>55.0</v>
      </c>
      <c r="D156" s="119">
        <v>55.0</v>
      </c>
      <c r="E156" s="119">
        <v>55.0</v>
      </c>
      <c r="F156" s="120" t="s">
        <v>283</v>
      </c>
      <c r="G156" s="121">
        <v>98.5</v>
      </c>
      <c r="H156" s="120" t="s">
        <v>35</v>
      </c>
      <c r="I156" s="119">
        <v>12.0</v>
      </c>
    </row>
    <row r="157">
      <c r="A157" s="119">
        <v>56.0</v>
      </c>
      <c r="B157" s="119">
        <v>56.0</v>
      </c>
      <c r="C157" s="119">
        <v>56.0</v>
      </c>
      <c r="D157" s="119">
        <v>56.0</v>
      </c>
      <c r="E157" s="119">
        <v>56.0</v>
      </c>
      <c r="F157" s="120" t="s">
        <v>284</v>
      </c>
      <c r="G157" s="121">
        <v>91.2</v>
      </c>
      <c r="H157" s="120" t="s">
        <v>35</v>
      </c>
      <c r="I157" s="119">
        <v>9.0</v>
      </c>
    </row>
    <row r="158">
      <c r="A158" s="119">
        <v>57.0</v>
      </c>
      <c r="B158" s="119">
        <v>57.0</v>
      </c>
      <c r="C158" s="119">
        <v>57.0</v>
      </c>
      <c r="D158" s="119">
        <v>57.0</v>
      </c>
      <c r="E158" s="119">
        <v>57.0</v>
      </c>
      <c r="F158" s="120" t="s">
        <v>285</v>
      </c>
      <c r="G158" s="121">
        <v>89.3</v>
      </c>
      <c r="H158" s="120" t="s">
        <v>35</v>
      </c>
      <c r="I158" s="119">
        <v>9.0</v>
      </c>
    </row>
    <row r="159">
      <c r="A159" s="119">
        <v>58.0</v>
      </c>
      <c r="B159" s="119">
        <v>58.0</v>
      </c>
      <c r="C159" s="119">
        <v>58.0</v>
      </c>
      <c r="D159" s="119">
        <v>58.0</v>
      </c>
      <c r="E159" s="119">
        <v>58.0</v>
      </c>
      <c r="F159" s="120" t="s">
        <v>286</v>
      </c>
      <c r="G159" s="121">
        <v>86.2</v>
      </c>
      <c r="H159" s="120" t="s">
        <v>35</v>
      </c>
      <c r="I159" s="119">
        <v>6.0</v>
      </c>
    </row>
    <row r="160">
      <c r="A160" s="119">
        <v>59.0</v>
      </c>
      <c r="B160" s="119">
        <v>59.0</v>
      </c>
      <c r="C160" s="119">
        <v>59.0</v>
      </c>
      <c r="D160" s="119">
        <v>59.0</v>
      </c>
      <c r="E160" s="119">
        <v>59.0</v>
      </c>
      <c r="F160" s="120" t="s">
        <v>287</v>
      </c>
      <c r="G160" s="121">
        <v>79.9</v>
      </c>
      <c r="H160" s="120" t="s">
        <v>35</v>
      </c>
      <c r="I160" s="119">
        <v>5.0</v>
      </c>
    </row>
    <row r="161">
      <c r="A161" s="119">
        <v>60.0</v>
      </c>
      <c r="B161" s="119">
        <v>60.0</v>
      </c>
      <c r="C161" s="119">
        <v>60.0</v>
      </c>
      <c r="D161" s="119">
        <v>60.0</v>
      </c>
      <c r="E161" s="119">
        <v>60.0</v>
      </c>
      <c r="F161" s="120" t="s">
        <v>288</v>
      </c>
      <c r="G161" s="121">
        <v>86.0</v>
      </c>
      <c r="H161" s="120" t="s">
        <v>35</v>
      </c>
      <c r="I161" s="119">
        <v>14.0</v>
      </c>
    </row>
    <row r="162">
      <c r="A162" s="119">
        <v>61.0</v>
      </c>
      <c r="B162" s="119">
        <v>61.0</v>
      </c>
      <c r="C162" s="119">
        <v>61.0</v>
      </c>
      <c r="D162" s="119">
        <v>61.0</v>
      </c>
      <c r="E162" s="119">
        <v>61.0</v>
      </c>
      <c r="F162" s="120" t="s">
        <v>289</v>
      </c>
      <c r="G162" s="121">
        <v>84.7</v>
      </c>
      <c r="H162" s="120" t="s">
        <v>35</v>
      </c>
      <c r="I162" s="119">
        <v>6.0</v>
      </c>
    </row>
    <row r="163">
      <c r="A163" s="119">
        <v>62.0</v>
      </c>
      <c r="B163" s="119">
        <v>62.0</v>
      </c>
      <c r="C163" s="119">
        <v>62.0</v>
      </c>
      <c r="D163" s="119">
        <v>62.0</v>
      </c>
      <c r="E163" s="119">
        <v>62.0</v>
      </c>
      <c r="F163" s="120" t="s">
        <v>290</v>
      </c>
      <c r="G163" s="121">
        <v>89.0</v>
      </c>
      <c r="H163" s="120" t="s">
        <v>35</v>
      </c>
      <c r="I163" s="119">
        <v>14.0</v>
      </c>
    </row>
    <row r="164">
      <c r="A164" s="119">
        <v>63.0</v>
      </c>
      <c r="B164" s="119">
        <v>63.0</v>
      </c>
      <c r="C164" s="119">
        <v>63.0</v>
      </c>
      <c r="D164" s="119">
        <v>63.0</v>
      </c>
      <c r="E164" s="119">
        <v>63.0</v>
      </c>
      <c r="F164" s="120" t="s">
        <v>291</v>
      </c>
      <c r="G164" s="121">
        <v>74.1</v>
      </c>
      <c r="H164" s="120" t="s">
        <v>35</v>
      </c>
      <c r="I164" s="119">
        <v>8.0</v>
      </c>
    </row>
    <row r="165">
      <c r="A165" s="119">
        <v>64.0</v>
      </c>
      <c r="B165" s="119">
        <v>64.0</v>
      </c>
      <c r="C165" s="119">
        <v>64.0</v>
      </c>
      <c r="D165" s="119">
        <v>64.0</v>
      </c>
      <c r="E165" s="119">
        <v>64.0</v>
      </c>
      <c r="F165" s="120" t="s">
        <v>292</v>
      </c>
      <c r="G165" s="121">
        <v>75.0</v>
      </c>
      <c r="H165" s="120" t="s">
        <v>35</v>
      </c>
      <c r="I165" s="119">
        <v>9.0</v>
      </c>
    </row>
    <row r="166">
      <c r="A166" s="119">
        <v>65.0</v>
      </c>
      <c r="B166" s="119">
        <v>65.0</v>
      </c>
      <c r="C166" s="119">
        <v>65.0</v>
      </c>
      <c r="D166" s="119">
        <v>65.0</v>
      </c>
      <c r="E166" s="119">
        <v>65.0</v>
      </c>
      <c r="F166" s="120" t="s">
        <v>293</v>
      </c>
      <c r="G166" s="121">
        <v>79.9</v>
      </c>
      <c r="H166" s="120" t="s">
        <v>35</v>
      </c>
      <c r="I166" s="119">
        <v>12.0</v>
      </c>
    </row>
    <row r="167">
      <c r="A167" s="119">
        <v>66.0</v>
      </c>
      <c r="B167" s="119">
        <v>66.0</v>
      </c>
      <c r="C167" s="119">
        <v>66.0</v>
      </c>
      <c r="D167" s="119">
        <v>66.0</v>
      </c>
      <c r="E167" s="119">
        <v>66.0</v>
      </c>
      <c r="F167" s="120" t="s">
        <v>294</v>
      </c>
      <c r="G167" s="121">
        <v>77.6</v>
      </c>
      <c r="H167" s="120" t="s">
        <v>35</v>
      </c>
      <c r="I167" s="119">
        <v>10.0</v>
      </c>
    </row>
    <row r="168">
      <c r="A168" s="119">
        <v>67.0</v>
      </c>
      <c r="B168" s="119">
        <v>67.0</v>
      </c>
      <c r="C168" s="119">
        <v>67.0</v>
      </c>
      <c r="D168" s="119">
        <v>67.0</v>
      </c>
      <c r="E168" s="119">
        <v>67.0</v>
      </c>
      <c r="F168" s="120" t="s">
        <v>295</v>
      </c>
      <c r="G168" s="121">
        <v>76.4</v>
      </c>
      <c r="H168" s="120" t="s">
        <v>35</v>
      </c>
      <c r="I168" s="119">
        <v>8.0</v>
      </c>
    </row>
    <row r="169">
      <c r="A169" s="119">
        <v>68.0</v>
      </c>
      <c r="B169" s="119">
        <v>68.0</v>
      </c>
      <c r="C169" s="119">
        <v>68.0</v>
      </c>
      <c r="D169" s="119">
        <v>68.0</v>
      </c>
      <c r="E169" s="119">
        <v>68.0</v>
      </c>
      <c r="F169" s="120" t="s">
        <v>296</v>
      </c>
      <c r="G169" s="121">
        <v>76.2</v>
      </c>
      <c r="H169" s="120" t="s">
        <v>35</v>
      </c>
      <c r="I169" s="119">
        <v>5.0</v>
      </c>
    </row>
    <row r="170">
      <c r="A170" s="119">
        <v>69.0</v>
      </c>
      <c r="B170" s="119">
        <v>69.0</v>
      </c>
      <c r="C170" s="119">
        <v>69.0</v>
      </c>
      <c r="D170" s="119">
        <v>69.0</v>
      </c>
      <c r="E170" s="119">
        <v>69.0</v>
      </c>
      <c r="F170" s="120" t="s">
        <v>297</v>
      </c>
      <c r="G170" s="121">
        <v>75.7</v>
      </c>
      <c r="H170" s="120" t="s">
        <v>35</v>
      </c>
      <c r="I170" s="119">
        <v>14.0</v>
      </c>
    </row>
    <row r="171">
      <c r="A171" s="119">
        <v>70.0</v>
      </c>
      <c r="B171" s="119">
        <v>70.0</v>
      </c>
      <c r="C171" s="119">
        <v>70.0</v>
      </c>
      <c r="D171" s="119">
        <v>70.0</v>
      </c>
      <c r="E171" s="119">
        <v>70.0</v>
      </c>
      <c r="F171" s="120" t="s">
        <v>298</v>
      </c>
      <c r="G171" s="121">
        <v>72.6</v>
      </c>
      <c r="H171" s="120" t="s">
        <v>35</v>
      </c>
      <c r="I171" s="119">
        <v>11.0</v>
      </c>
    </row>
    <row r="172">
      <c r="A172" s="119">
        <v>71.0</v>
      </c>
      <c r="B172" s="119">
        <v>71.0</v>
      </c>
      <c r="C172" s="119">
        <v>71.0</v>
      </c>
      <c r="D172" s="119">
        <v>71.0</v>
      </c>
      <c r="E172" s="119">
        <v>71.0</v>
      </c>
      <c r="F172" s="120" t="s">
        <v>299</v>
      </c>
      <c r="G172" s="121">
        <v>68.8</v>
      </c>
      <c r="H172" s="120" t="s">
        <v>35</v>
      </c>
      <c r="I172" s="119">
        <v>9.0</v>
      </c>
    </row>
    <row r="173">
      <c r="A173" s="119">
        <v>72.0</v>
      </c>
      <c r="B173" s="119">
        <v>72.0</v>
      </c>
      <c r="C173" s="119">
        <v>72.0</v>
      </c>
      <c r="D173" s="119">
        <v>72.0</v>
      </c>
      <c r="E173" s="119">
        <v>72.0</v>
      </c>
      <c r="F173" s="120" t="s">
        <v>300</v>
      </c>
      <c r="G173" s="121">
        <v>67.3</v>
      </c>
      <c r="H173" s="120" t="s">
        <v>35</v>
      </c>
      <c r="I173" s="119">
        <v>14.0</v>
      </c>
    </row>
    <row r="174">
      <c r="A174" s="119">
        <v>73.0</v>
      </c>
      <c r="B174" s="119">
        <v>73.0</v>
      </c>
      <c r="C174" s="119">
        <v>73.0</v>
      </c>
      <c r="D174" s="119">
        <v>73.0</v>
      </c>
      <c r="E174" s="119">
        <v>73.0</v>
      </c>
      <c r="F174" s="120" t="s">
        <v>301</v>
      </c>
      <c r="G174" s="121">
        <v>66.5</v>
      </c>
      <c r="H174" s="120" t="s">
        <v>35</v>
      </c>
      <c r="I174" s="119">
        <v>8.0</v>
      </c>
    </row>
    <row r="175">
      <c r="A175" s="119">
        <v>74.0</v>
      </c>
      <c r="B175" s="119">
        <v>74.0</v>
      </c>
      <c r="C175" s="119">
        <v>74.0</v>
      </c>
      <c r="D175" s="119">
        <v>74.0</v>
      </c>
      <c r="E175" s="119">
        <v>74.0</v>
      </c>
      <c r="F175" s="120" t="s">
        <v>302</v>
      </c>
      <c r="G175" s="121">
        <v>65.3</v>
      </c>
      <c r="H175" s="120" t="s">
        <v>35</v>
      </c>
      <c r="I175" s="119">
        <v>8.0</v>
      </c>
    </row>
    <row r="176">
      <c r="A176" s="119">
        <v>75.0</v>
      </c>
      <c r="B176" s="119">
        <v>75.0</v>
      </c>
      <c r="C176" s="119">
        <v>75.0</v>
      </c>
      <c r="D176" s="119">
        <v>75.0</v>
      </c>
      <c r="E176" s="119">
        <v>75.0</v>
      </c>
      <c r="F176" s="120" t="s">
        <v>303</v>
      </c>
      <c r="G176" s="121">
        <v>65.2</v>
      </c>
      <c r="H176" s="120" t="s">
        <v>35</v>
      </c>
      <c r="I176" s="119">
        <v>14.0</v>
      </c>
    </row>
    <row r="177">
      <c r="A177" s="119">
        <v>76.0</v>
      </c>
      <c r="B177" s="119">
        <v>76.0</v>
      </c>
      <c r="C177" s="119">
        <v>76.0</v>
      </c>
      <c r="D177" s="119">
        <v>76.0</v>
      </c>
      <c r="E177" s="119">
        <v>76.0</v>
      </c>
      <c r="F177" s="120" t="s">
        <v>304</v>
      </c>
      <c r="G177" s="121">
        <v>64.9</v>
      </c>
      <c r="H177" s="120" t="s">
        <v>35</v>
      </c>
      <c r="I177" s="119">
        <v>7.0</v>
      </c>
    </row>
    <row r="178">
      <c r="A178" s="119">
        <v>77.0</v>
      </c>
      <c r="B178" s="119">
        <v>77.0</v>
      </c>
      <c r="C178" s="119">
        <v>77.0</v>
      </c>
      <c r="D178" s="119">
        <v>77.0</v>
      </c>
      <c r="E178" s="119">
        <v>77.0</v>
      </c>
      <c r="F178" s="120" t="s">
        <v>305</v>
      </c>
      <c r="G178" s="121">
        <v>111.4</v>
      </c>
      <c r="H178" s="120" t="s">
        <v>35</v>
      </c>
      <c r="I178" s="119">
        <v>10.0</v>
      </c>
    </row>
    <row r="179">
      <c r="A179" s="119">
        <v>78.0</v>
      </c>
      <c r="B179" s="119">
        <v>78.0</v>
      </c>
      <c r="C179" s="119">
        <v>78.0</v>
      </c>
      <c r="D179" s="119">
        <v>78.0</v>
      </c>
      <c r="E179" s="119">
        <v>78.0</v>
      </c>
      <c r="F179" s="120" t="s">
        <v>292</v>
      </c>
      <c r="G179" s="121">
        <v>107.6</v>
      </c>
      <c r="H179" s="120" t="s">
        <v>35</v>
      </c>
      <c r="I179" s="119">
        <v>9.0</v>
      </c>
    </row>
    <row r="180">
      <c r="A180" s="119">
        <v>79.0</v>
      </c>
      <c r="B180" s="119">
        <v>79.0</v>
      </c>
      <c r="C180" s="119">
        <v>79.0</v>
      </c>
      <c r="D180" s="119">
        <v>79.0</v>
      </c>
      <c r="E180" s="119">
        <v>79.0</v>
      </c>
      <c r="F180" s="120" t="s">
        <v>306</v>
      </c>
      <c r="G180" s="121">
        <v>106.2</v>
      </c>
      <c r="H180" s="120" t="s">
        <v>35</v>
      </c>
      <c r="I180" s="119">
        <v>8.0</v>
      </c>
    </row>
    <row r="181">
      <c r="A181" s="119">
        <v>80.0</v>
      </c>
      <c r="B181" s="119">
        <v>80.0</v>
      </c>
      <c r="C181" s="119">
        <v>80.0</v>
      </c>
      <c r="D181" s="119">
        <v>80.0</v>
      </c>
      <c r="E181" s="119">
        <v>80.0</v>
      </c>
      <c r="F181" s="120" t="s">
        <v>307</v>
      </c>
      <c r="G181" s="121">
        <v>105.7</v>
      </c>
      <c r="H181" s="120" t="s">
        <v>35</v>
      </c>
      <c r="I181" s="119">
        <v>12.0</v>
      </c>
    </row>
    <row r="182">
      <c r="A182" s="119">
        <v>81.0</v>
      </c>
      <c r="B182" s="119">
        <v>81.0</v>
      </c>
      <c r="C182" s="119">
        <v>81.0</v>
      </c>
      <c r="D182" s="119">
        <v>81.0</v>
      </c>
      <c r="E182" s="119">
        <v>81.0</v>
      </c>
      <c r="F182" s="120" t="s">
        <v>308</v>
      </c>
      <c r="G182" s="121">
        <v>104.9</v>
      </c>
      <c r="H182" s="120" t="s">
        <v>35</v>
      </c>
      <c r="I182" s="122" t="s">
        <v>309</v>
      </c>
    </row>
    <row r="183">
      <c r="A183" s="119">
        <v>82.0</v>
      </c>
      <c r="B183" s="119">
        <v>82.0</v>
      </c>
      <c r="C183" s="119">
        <v>82.0</v>
      </c>
      <c r="D183" s="119">
        <v>82.0</v>
      </c>
      <c r="E183" s="119">
        <v>82.0</v>
      </c>
      <c r="F183" s="120" t="s">
        <v>310</v>
      </c>
      <c r="G183" s="121">
        <v>104.2</v>
      </c>
      <c r="H183" s="120" t="s">
        <v>35</v>
      </c>
      <c r="I183" s="119">
        <v>8.0</v>
      </c>
    </row>
    <row r="184">
      <c r="A184" s="119">
        <v>83.0</v>
      </c>
      <c r="B184" s="119">
        <v>83.0</v>
      </c>
      <c r="C184" s="119">
        <v>83.0</v>
      </c>
      <c r="D184" s="119">
        <v>83.0</v>
      </c>
      <c r="E184" s="119">
        <v>83.0</v>
      </c>
      <c r="F184" s="120" t="s">
        <v>311</v>
      </c>
      <c r="G184" s="121">
        <v>103.6</v>
      </c>
      <c r="H184" s="120" t="s">
        <v>35</v>
      </c>
      <c r="I184" s="122" t="s">
        <v>309</v>
      </c>
    </row>
    <row r="185">
      <c r="A185" s="119">
        <v>84.0</v>
      </c>
      <c r="B185" s="119">
        <v>84.0</v>
      </c>
      <c r="C185" s="119">
        <v>84.0</v>
      </c>
      <c r="D185" s="119">
        <v>84.0</v>
      </c>
      <c r="E185" s="119">
        <v>84.0</v>
      </c>
      <c r="F185" s="120" t="s">
        <v>312</v>
      </c>
      <c r="G185" s="121">
        <v>102.8</v>
      </c>
      <c r="H185" s="120" t="s">
        <v>35</v>
      </c>
      <c r="I185" s="122" t="s">
        <v>309</v>
      </c>
    </row>
    <row r="186">
      <c r="A186" s="119">
        <v>85.0</v>
      </c>
      <c r="B186" s="119">
        <v>85.0</v>
      </c>
      <c r="C186" s="119">
        <v>85.0</v>
      </c>
      <c r="D186" s="119">
        <v>85.0</v>
      </c>
      <c r="E186" s="119">
        <v>85.0</v>
      </c>
      <c r="F186" s="120" t="s">
        <v>313</v>
      </c>
      <c r="G186" s="121">
        <v>101.9</v>
      </c>
      <c r="H186" s="120" t="s">
        <v>35</v>
      </c>
      <c r="I186" s="122" t="s">
        <v>309</v>
      </c>
    </row>
    <row r="187">
      <c r="A187" s="119">
        <v>86.0</v>
      </c>
      <c r="B187" s="119">
        <v>86.0</v>
      </c>
      <c r="C187" s="119">
        <v>86.0</v>
      </c>
      <c r="D187" s="119">
        <v>86.0</v>
      </c>
      <c r="E187" s="119">
        <v>86.0</v>
      </c>
      <c r="F187" s="120" t="s">
        <v>314</v>
      </c>
      <c r="G187" s="121">
        <v>101.2</v>
      </c>
      <c r="H187" s="120" t="s">
        <v>35</v>
      </c>
      <c r="I187" s="122" t="s">
        <v>309</v>
      </c>
    </row>
    <row r="188">
      <c r="A188" s="119">
        <v>87.0</v>
      </c>
      <c r="B188" s="119">
        <v>87.0</v>
      </c>
      <c r="C188" s="119">
        <v>87.0</v>
      </c>
      <c r="D188" s="119">
        <v>87.0</v>
      </c>
      <c r="E188" s="119">
        <v>87.0</v>
      </c>
      <c r="F188" s="120" t="s">
        <v>315</v>
      </c>
      <c r="G188" s="121">
        <v>100.6</v>
      </c>
      <c r="H188" s="120" t="s">
        <v>35</v>
      </c>
      <c r="I188" s="122" t="s">
        <v>309</v>
      </c>
    </row>
    <row r="189">
      <c r="A189" s="119">
        <v>88.0</v>
      </c>
      <c r="B189" s="119">
        <v>88.0</v>
      </c>
      <c r="C189" s="119">
        <v>88.0</v>
      </c>
      <c r="D189" s="119">
        <v>88.0</v>
      </c>
      <c r="E189" s="119">
        <v>88.0</v>
      </c>
      <c r="F189" s="120" t="s">
        <v>169</v>
      </c>
      <c r="G189" s="121">
        <v>100.0</v>
      </c>
      <c r="H189" s="120" t="s">
        <v>35</v>
      </c>
      <c r="I189" s="119">
        <v>10.0</v>
      </c>
    </row>
    <row r="190">
      <c r="A190" s="119">
        <v>89.0</v>
      </c>
      <c r="B190" s="119">
        <v>89.0</v>
      </c>
      <c r="C190" s="119">
        <v>89.0</v>
      </c>
      <c r="D190" s="119">
        <v>89.0</v>
      </c>
      <c r="E190" s="119">
        <v>89.0</v>
      </c>
      <c r="F190" s="120" t="s">
        <v>316</v>
      </c>
      <c r="G190" s="121">
        <v>99.4</v>
      </c>
      <c r="H190" s="120" t="s">
        <v>35</v>
      </c>
      <c r="I190" s="119">
        <v>10.0</v>
      </c>
    </row>
    <row r="191">
      <c r="A191" s="119">
        <v>90.0</v>
      </c>
      <c r="B191" s="119">
        <v>90.0</v>
      </c>
      <c r="C191" s="119">
        <v>90.0</v>
      </c>
      <c r="D191" s="119">
        <v>90.0</v>
      </c>
      <c r="E191" s="119">
        <v>90.0</v>
      </c>
      <c r="F191" s="120" t="s">
        <v>317</v>
      </c>
      <c r="G191" s="121">
        <v>98.7</v>
      </c>
      <c r="H191" s="120" t="s">
        <v>35</v>
      </c>
      <c r="I191" s="119">
        <v>10.0</v>
      </c>
    </row>
    <row r="192">
      <c r="A192" s="119">
        <v>91.0</v>
      </c>
      <c r="B192" s="119">
        <v>91.0</v>
      </c>
      <c r="C192" s="119">
        <v>91.0</v>
      </c>
      <c r="D192" s="119">
        <v>91.0</v>
      </c>
      <c r="E192" s="119">
        <v>91.0</v>
      </c>
      <c r="F192" s="120" t="s">
        <v>318</v>
      </c>
      <c r="G192" s="121">
        <v>98.1</v>
      </c>
      <c r="H192" s="120" t="s">
        <v>35</v>
      </c>
      <c r="I192" s="119">
        <v>12.0</v>
      </c>
    </row>
    <row r="193">
      <c r="A193" s="119">
        <v>92.0</v>
      </c>
      <c r="B193" s="119">
        <v>92.0</v>
      </c>
      <c r="C193" s="119">
        <v>92.0</v>
      </c>
      <c r="D193" s="119">
        <v>92.0</v>
      </c>
      <c r="E193" s="119">
        <v>92.0</v>
      </c>
      <c r="F193" s="120" t="s">
        <v>319</v>
      </c>
      <c r="G193" s="121">
        <v>97.5</v>
      </c>
      <c r="H193" s="120" t="s">
        <v>35</v>
      </c>
      <c r="I193" s="119">
        <v>10.0</v>
      </c>
    </row>
    <row r="194">
      <c r="A194" s="119">
        <v>93.0</v>
      </c>
      <c r="B194" s="119">
        <v>93.0</v>
      </c>
      <c r="C194" s="119">
        <v>93.0</v>
      </c>
      <c r="D194" s="119">
        <v>93.0</v>
      </c>
      <c r="E194" s="119">
        <v>93.0</v>
      </c>
      <c r="F194" s="120" t="s">
        <v>320</v>
      </c>
      <c r="G194" s="121">
        <v>96.8</v>
      </c>
      <c r="H194" s="120" t="s">
        <v>35</v>
      </c>
      <c r="I194" s="119">
        <v>6.0</v>
      </c>
    </row>
    <row r="195">
      <c r="A195" s="119">
        <v>94.0</v>
      </c>
      <c r="B195" s="119">
        <v>94.0</v>
      </c>
      <c r="C195" s="119">
        <v>94.0</v>
      </c>
      <c r="D195" s="119">
        <v>94.0</v>
      </c>
      <c r="E195" s="119">
        <v>94.0</v>
      </c>
      <c r="F195" s="120" t="s">
        <v>321</v>
      </c>
      <c r="G195" s="121">
        <v>96.0</v>
      </c>
      <c r="H195" s="120" t="s">
        <v>35</v>
      </c>
      <c r="I195" s="119">
        <v>7.0</v>
      </c>
    </row>
    <row r="196">
      <c r="A196" s="119">
        <v>95.0</v>
      </c>
      <c r="B196" s="119">
        <v>95.0</v>
      </c>
      <c r="C196" s="119">
        <v>95.0</v>
      </c>
      <c r="D196" s="119">
        <v>95.0</v>
      </c>
      <c r="E196" s="119">
        <v>95.0</v>
      </c>
      <c r="F196" s="120" t="s">
        <v>322</v>
      </c>
      <c r="G196" s="121">
        <v>95.3</v>
      </c>
      <c r="H196" s="120" t="s">
        <v>35</v>
      </c>
      <c r="I196" s="119">
        <v>7.0</v>
      </c>
    </row>
    <row r="197">
      <c r="A197" s="119">
        <v>96.0</v>
      </c>
      <c r="B197" s="119">
        <v>96.0</v>
      </c>
      <c r="C197" s="119">
        <v>96.0</v>
      </c>
      <c r="D197" s="119">
        <v>96.0</v>
      </c>
      <c r="E197" s="119">
        <v>96.0</v>
      </c>
      <c r="F197" s="120" t="s">
        <v>323</v>
      </c>
      <c r="G197" s="121">
        <v>94.7</v>
      </c>
      <c r="H197" s="120" t="s">
        <v>35</v>
      </c>
      <c r="I197" s="119">
        <v>7.0</v>
      </c>
    </row>
    <row r="198">
      <c r="A198" s="119">
        <v>97.0</v>
      </c>
      <c r="B198" s="119">
        <v>97.0</v>
      </c>
      <c r="C198" s="119">
        <v>97.0</v>
      </c>
      <c r="D198" s="119">
        <v>97.0</v>
      </c>
      <c r="E198" s="119">
        <v>97.0</v>
      </c>
      <c r="F198" s="120" t="s">
        <v>324</v>
      </c>
      <c r="G198" s="121">
        <v>94.0</v>
      </c>
      <c r="H198" s="120" t="s">
        <v>35</v>
      </c>
      <c r="I198" s="119">
        <v>8.0</v>
      </c>
    </row>
    <row r="199">
      <c r="A199" s="119">
        <v>98.0</v>
      </c>
      <c r="B199" s="119">
        <v>98.0</v>
      </c>
      <c r="C199" s="119">
        <v>98.0</v>
      </c>
      <c r="D199" s="119">
        <v>98.0</v>
      </c>
      <c r="E199" s="119">
        <v>98.0</v>
      </c>
      <c r="F199" s="120" t="s">
        <v>325</v>
      </c>
      <c r="G199" s="121">
        <v>93.2</v>
      </c>
      <c r="H199" s="120" t="s">
        <v>35</v>
      </c>
      <c r="I199" s="119">
        <v>5.0</v>
      </c>
    </row>
    <row r="200">
      <c r="A200" s="119">
        <v>99.0</v>
      </c>
      <c r="B200" s="119">
        <v>99.0</v>
      </c>
      <c r="C200" s="119">
        <v>99.0</v>
      </c>
      <c r="D200" s="119">
        <v>99.0</v>
      </c>
      <c r="E200" s="119">
        <v>99.0</v>
      </c>
      <c r="F200" s="120" t="s">
        <v>326</v>
      </c>
      <c r="G200" s="121">
        <v>92.5</v>
      </c>
      <c r="H200" s="120" t="s">
        <v>35</v>
      </c>
      <c r="I200" s="119">
        <v>8.0</v>
      </c>
    </row>
    <row r="201">
      <c r="A201" s="119">
        <v>100.0</v>
      </c>
      <c r="B201" s="119">
        <v>100.0</v>
      </c>
      <c r="C201" s="119">
        <v>100.0</v>
      </c>
      <c r="D201" s="119">
        <v>100.0</v>
      </c>
      <c r="E201" s="119">
        <v>100.0</v>
      </c>
      <c r="F201" s="120" t="s">
        <v>327</v>
      </c>
      <c r="G201" s="121">
        <v>91.8</v>
      </c>
      <c r="H201" s="120" t="s">
        <v>35</v>
      </c>
      <c r="I201" s="119">
        <v>14.0</v>
      </c>
    </row>
    <row r="202">
      <c r="A202" s="119">
        <v>1.0</v>
      </c>
      <c r="B202" s="119">
        <v>1.0</v>
      </c>
      <c r="C202" s="119">
        <v>1.0</v>
      </c>
      <c r="D202" s="119">
        <v>1.0</v>
      </c>
      <c r="E202" s="119">
        <v>1.0</v>
      </c>
      <c r="F202" s="120" t="s">
        <v>328</v>
      </c>
      <c r="G202" s="121">
        <v>378.8</v>
      </c>
      <c r="H202" s="120" t="s">
        <v>28</v>
      </c>
      <c r="I202" s="119">
        <v>7.0</v>
      </c>
    </row>
    <row r="203">
      <c r="A203" s="119">
        <v>2.0</v>
      </c>
      <c r="B203" s="119">
        <v>2.0</v>
      </c>
      <c r="C203" s="119">
        <v>2.0</v>
      </c>
      <c r="D203" s="119">
        <v>2.0</v>
      </c>
      <c r="E203" s="119">
        <v>2.0</v>
      </c>
      <c r="F203" s="120" t="s">
        <v>329</v>
      </c>
      <c r="G203" s="121">
        <v>376.7</v>
      </c>
      <c r="H203" s="120" t="s">
        <v>28</v>
      </c>
      <c r="I203" s="119">
        <v>7.0</v>
      </c>
    </row>
    <row r="204">
      <c r="A204" s="119">
        <v>3.0</v>
      </c>
      <c r="B204" s="119">
        <v>3.0</v>
      </c>
      <c r="C204" s="119">
        <v>3.0</v>
      </c>
      <c r="D204" s="119">
        <v>3.0</v>
      </c>
      <c r="E204" s="119">
        <v>3.0</v>
      </c>
      <c r="F204" s="120" t="s">
        <v>330</v>
      </c>
      <c r="G204" s="121">
        <v>356.6</v>
      </c>
      <c r="H204" s="120" t="s">
        <v>28</v>
      </c>
      <c r="I204" s="119">
        <v>9.0</v>
      </c>
    </row>
    <row r="205">
      <c r="A205" s="119">
        <v>4.0</v>
      </c>
      <c r="B205" s="119">
        <v>4.0</v>
      </c>
      <c r="C205" s="119">
        <v>4.0</v>
      </c>
      <c r="D205" s="119">
        <v>4.0</v>
      </c>
      <c r="E205" s="119">
        <v>4.0</v>
      </c>
      <c r="F205" s="120" t="s">
        <v>331</v>
      </c>
      <c r="G205" s="121">
        <v>355.8</v>
      </c>
      <c r="H205" s="120" t="s">
        <v>28</v>
      </c>
      <c r="I205" s="119">
        <v>12.0</v>
      </c>
    </row>
    <row r="206">
      <c r="A206" s="119">
        <v>5.0</v>
      </c>
      <c r="B206" s="119">
        <v>5.0</v>
      </c>
      <c r="C206" s="119">
        <v>5.0</v>
      </c>
      <c r="D206" s="119">
        <v>5.0</v>
      </c>
      <c r="E206" s="119">
        <v>5.0</v>
      </c>
      <c r="F206" s="120" t="s">
        <v>332</v>
      </c>
      <c r="G206" s="121">
        <v>341.6</v>
      </c>
      <c r="H206" s="120" t="s">
        <v>28</v>
      </c>
      <c r="I206" s="119">
        <v>10.0</v>
      </c>
    </row>
    <row r="207">
      <c r="A207" s="119">
        <v>6.0</v>
      </c>
      <c r="B207" s="119">
        <v>6.0</v>
      </c>
      <c r="C207" s="119">
        <v>6.0</v>
      </c>
      <c r="D207" s="119">
        <v>6.0</v>
      </c>
      <c r="E207" s="119">
        <v>6.0</v>
      </c>
      <c r="F207" s="120" t="s">
        <v>333</v>
      </c>
      <c r="G207" s="121">
        <v>327.1</v>
      </c>
      <c r="H207" s="120" t="s">
        <v>28</v>
      </c>
      <c r="I207" s="119">
        <v>10.0</v>
      </c>
    </row>
    <row r="208">
      <c r="A208" s="119">
        <v>7.0</v>
      </c>
      <c r="B208" s="119">
        <v>7.0</v>
      </c>
      <c r="C208" s="119">
        <v>7.0</v>
      </c>
      <c r="D208" s="119">
        <v>7.0</v>
      </c>
      <c r="E208" s="119">
        <v>7.0</v>
      </c>
      <c r="F208" s="120" t="s">
        <v>334</v>
      </c>
      <c r="G208" s="121">
        <v>321.6</v>
      </c>
      <c r="H208" s="120" t="s">
        <v>28</v>
      </c>
      <c r="I208" s="119">
        <v>9.0</v>
      </c>
    </row>
    <row r="209">
      <c r="A209" s="119">
        <v>8.0</v>
      </c>
      <c r="B209" s="119">
        <v>8.0</v>
      </c>
      <c r="C209" s="119">
        <v>8.0</v>
      </c>
      <c r="D209" s="119">
        <v>8.0</v>
      </c>
      <c r="E209" s="119">
        <v>8.0</v>
      </c>
      <c r="F209" s="120" t="s">
        <v>335</v>
      </c>
      <c r="G209" s="121">
        <v>319.0</v>
      </c>
      <c r="H209" s="120" t="s">
        <v>28</v>
      </c>
      <c r="I209" s="119">
        <v>8.0</v>
      </c>
    </row>
    <row r="210">
      <c r="A210" s="119">
        <v>9.0</v>
      </c>
      <c r="B210" s="119">
        <v>9.0</v>
      </c>
      <c r="C210" s="119">
        <v>9.0</v>
      </c>
      <c r="D210" s="119">
        <v>9.0</v>
      </c>
      <c r="E210" s="119">
        <v>9.0</v>
      </c>
      <c r="F210" s="120" t="s">
        <v>336</v>
      </c>
      <c r="G210" s="121">
        <v>309.6</v>
      </c>
      <c r="H210" s="120" t="s">
        <v>28</v>
      </c>
      <c r="I210" s="119">
        <v>14.0</v>
      </c>
    </row>
    <row r="211">
      <c r="A211" s="119">
        <v>10.0</v>
      </c>
      <c r="B211" s="119">
        <v>10.0</v>
      </c>
      <c r="C211" s="119">
        <v>10.0</v>
      </c>
      <c r="D211" s="119">
        <v>10.0</v>
      </c>
      <c r="E211" s="119">
        <v>10.0</v>
      </c>
      <c r="F211" s="120" t="s">
        <v>337</v>
      </c>
      <c r="G211" s="121">
        <v>308.8</v>
      </c>
      <c r="H211" s="120" t="s">
        <v>28</v>
      </c>
      <c r="I211" s="119">
        <v>12.0</v>
      </c>
    </row>
    <row r="212">
      <c r="A212" s="119">
        <v>11.0</v>
      </c>
      <c r="B212" s="119">
        <v>11.0</v>
      </c>
      <c r="C212" s="119">
        <v>11.0</v>
      </c>
      <c r="D212" s="119">
        <v>11.0</v>
      </c>
      <c r="E212" s="119">
        <v>11.0</v>
      </c>
      <c r="F212" s="120" t="s">
        <v>338</v>
      </c>
      <c r="G212" s="121">
        <v>300.9</v>
      </c>
      <c r="H212" s="120" t="s">
        <v>28</v>
      </c>
      <c r="I212" s="119">
        <v>9.0</v>
      </c>
    </row>
    <row r="213">
      <c r="A213" s="119">
        <v>12.0</v>
      </c>
      <c r="B213" s="119">
        <v>12.0</v>
      </c>
      <c r="C213" s="119">
        <v>12.0</v>
      </c>
      <c r="D213" s="119">
        <v>12.0</v>
      </c>
      <c r="E213" s="119">
        <v>12.0</v>
      </c>
      <c r="F213" s="120" t="s">
        <v>339</v>
      </c>
      <c r="G213" s="121">
        <v>293.8</v>
      </c>
      <c r="H213" s="120" t="s">
        <v>28</v>
      </c>
      <c r="I213" s="119">
        <v>12.0</v>
      </c>
    </row>
    <row r="214">
      <c r="A214" s="119">
        <v>13.0</v>
      </c>
      <c r="B214" s="119">
        <v>13.0</v>
      </c>
      <c r="C214" s="119">
        <v>13.0</v>
      </c>
      <c r="D214" s="119">
        <v>13.0</v>
      </c>
      <c r="E214" s="119">
        <v>13.0</v>
      </c>
      <c r="F214" s="120" t="s">
        <v>340</v>
      </c>
      <c r="G214" s="121">
        <v>290.0</v>
      </c>
      <c r="H214" s="120" t="s">
        <v>28</v>
      </c>
      <c r="I214" s="119">
        <v>8.0</v>
      </c>
    </row>
    <row r="215">
      <c r="A215" s="119">
        <v>14.0</v>
      </c>
      <c r="B215" s="119">
        <v>14.0</v>
      </c>
      <c r="C215" s="119">
        <v>14.0</v>
      </c>
      <c r="D215" s="119">
        <v>14.0</v>
      </c>
      <c r="E215" s="119">
        <v>14.0</v>
      </c>
      <c r="F215" s="120" t="s">
        <v>341</v>
      </c>
      <c r="G215" s="121">
        <v>290.0</v>
      </c>
      <c r="H215" s="120" t="s">
        <v>28</v>
      </c>
      <c r="I215" s="119">
        <v>10.0</v>
      </c>
    </row>
    <row r="216">
      <c r="A216" s="119">
        <v>15.0</v>
      </c>
      <c r="B216" s="119">
        <v>15.0</v>
      </c>
      <c r="C216" s="119">
        <v>15.0</v>
      </c>
      <c r="D216" s="119">
        <v>15.0</v>
      </c>
      <c r="E216" s="119">
        <v>15.0</v>
      </c>
      <c r="F216" s="123" t="s">
        <v>342</v>
      </c>
      <c r="G216" s="121">
        <v>289.2</v>
      </c>
      <c r="H216" s="120" t="s">
        <v>28</v>
      </c>
      <c r="I216" s="119">
        <v>6.0</v>
      </c>
    </row>
    <row r="217">
      <c r="A217" s="119">
        <v>16.0</v>
      </c>
      <c r="B217" s="119">
        <v>16.0</v>
      </c>
      <c r="C217" s="119">
        <v>16.0</v>
      </c>
      <c r="D217" s="119">
        <v>16.0</v>
      </c>
      <c r="E217" s="119">
        <v>16.0</v>
      </c>
      <c r="F217" s="123" t="s">
        <v>343</v>
      </c>
      <c r="G217" s="121">
        <v>287.5</v>
      </c>
      <c r="H217" s="120" t="s">
        <v>28</v>
      </c>
      <c r="I217" s="119">
        <v>5.0</v>
      </c>
    </row>
    <row r="218">
      <c r="A218" s="119">
        <v>17.0</v>
      </c>
      <c r="B218" s="119">
        <v>17.0</v>
      </c>
      <c r="C218" s="119">
        <v>17.0</v>
      </c>
      <c r="D218" s="119">
        <v>17.0</v>
      </c>
      <c r="E218" s="119">
        <v>17.0</v>
      </c>
      <c r="F218" s="120" t="s">
        <v>344</v>
      </c>
      <c r="G218" s="121">
        <v>279.8</v>
      </c>
      <c r="H218" s="120" t="s">
        <v>28</v>
      </c>
      <c r="I218" s="119">
        <v>6.0</v>
      </c>
    </row>
    <row r="219">
      <c r="A219" s="119">
        <v>18.0</v>
      </c>
      <c r="B219" s="119">
        <v>18.0</v>
      </c>
      <c r="C219" s="119">
        <v>18.0</v>
      </c>
      <c r="D219" s="119">
        <v>18.0</v>
      </c>
      <c r="E219" s="119">
        <v>18.0</v>
      </c>
      <c r="F219" s="120" t="s">
        <v>345</v>
      </c>
      <c r="G219" s="121">
        <v>278.7</v>
      </c>
      <c r="H219" s="120" t="s">
        <v>28</v>
      </c>
      <c r="I219" s="119">
        <v>5.0</v>
      </c>
    </row>
    <row r="220">
      <c r="A220" s="119">
        <v>19.0</v>
      </c>
      <c r="B220" s="119">
        <v>19.0</v>
      </c>
      <c r="C220" s="119">
        <v>19.0</v>
      </c>
      <c r="D220" s="119">
        <v>19.0</v>
      </c>
      <c r="E220" s="119">
        <v>19.0</v>
      </c>
      <c r="F220" s="120" t="s">
        <v>346</v>
      </c>
      <c r="G220" s="121">
        <v>273.8</v>
      </c>
      <c r="H220" s="120" t="s">
        <v>28</v>
      </c>
      <c r="I220" s="119">
        <v>8.0</v>
      </c>
    </row>
    <row r="221">
      <c r="A221" s="119">
        <v>20.0</v>
      </c>
      <c r="B221" s="119">
        <v>20.0</v>
      </c>
      <c r="C221" s="119">
        <v>20.0</v>
      </c>
      <c r="D221" s="119">
        <v>20.0</v>
      </c>
      <c r="E221" s="119">
        <v>20.0</v>
      </c>
      <c r="F221" s="120" t="s">
        <v>347</v>
      </c>
      <c r="G221" s="121">
        <v>270.8</v>
      </c>
      <c r="H221" s="120" t="s">
        <v>28</v>
      </c>
      <c r="I221" s="119">
        <v>14.0</v>
      </c>
    </row>
    <row r="222">
      <c r="A222" s="119">
        <v>21.0</v>
      </c>
      <c r="B222" s="119">
        <v>21.0</v>
      </c>
      <c r="C222" s="119">
        <v>21.0</v>
      </c>
      <c r="D222" s="119">
        <v>21.0</v>
      </c>
      <c r="E222" s="119">
        <v>21.0</v>
      </c>
      <c r="F222" s="120" t="s">
        <v>348</v>
      </c>
      <c r="G222" s="121">
        <v>266.6</v>
      </c>
      <c r="H222" s="120" t="s">
        <v>28</v>
      </c>
      <c r="I222" s="119">
        <v>8.0</v>
      </c>
    </row>
    <row r="223">
      <c r="A223" s="119">
        <v>22.0</v>
      </c>
      <c r="B223" s="119">
        <v>22.0</v>
      </c>
      <c r="C223" s="119">
        <v>22.0</v>
      </c>
      <c r="D223" s="119">
        <v>22.0</v>
      </c>
      <c r="E223" s="119">
        <v>22.0</v>
      </c>
      <c r="F223" s="120" t="s">
        <v>349</v>
      </c>
      <c r="G223" s="121">
        <v>263.6</v>
      </c>
      <c r="H223" s="120" t="s">
        <v>28</v>
      </c>
      <c r="I223" s="119">
        <v>5.0</v>
      </c>
    </row>
    <row r="224">
      <c r="A224" s="119">
        <v>23.0</v>
      </c>
      <c r="B224" s="119">
        <v>23.0</v>
      </c>
      <c r="C224" s="119">
        <v>23.0</v>
      </c>
      <c r="D224" s="119">
        <v>23.0</v>
      </c>
      <c r="E224" s="119">
        <v>23.0</v>
      </c>
      <c r="F224" s="120" t="s">
        <v>350</v>
      </c>
      <c r="G224" s="121">
        <v>263.0</v>
      </c>
      <c r="H224" s="120" t="s">
        <v>28</v>
      </c>
      <c r="I224" s="119">
        <v>12.0</v>
      </c>
    </row>
    <row r="225">
      <c r="A225" s="119">
        <v>24.0</v>
      </c>
      <c r="B225" s="119">
        <v>24.0</v>
      </c>
      <c r="C225" s="119">
        <v>24.0</v>
      </c>
      <c r="D225" s="119">
        <v>24.0</v>
      </c>
      <c r="E225" s="119">
        <v>24.0</v>
      </c>
      <c r="F225" s="120" t="s">
        <v>351</v>
      </c>
      <c r="G225" s="121">
        <v>261.8</v>
      </c>
      <c r="H225" s="120" t="s">
        <v>28</v>
      </c>
      <c r="I225" s="119">
        <v>8.0</v>
      </c>
    </row>
    <row r="226">
      <c r="A226" s="119">
        <v>25.0</v>
      </c>
      <c r="B226" s="119">
        <v>25.0</v>
      </c>
      <c r="C226" s="119">
        <v>25.0</v>
      </c>
      <c r="D226" s="119">
        <v>25.0</v>
      </c>
      <c r="E226" s="119">
        <v>25.0</v>
      </c>
      <c r="F226" s="120" t="s">
        <v>352</v>
      </c>
      <c r="G226" s="121">
        <v>260.3</v>
      </c>
      <c r="H226" s="120" t="s">
        <v>28</v>
      </c>
      <c r="I226" s="119">
        <v>8.0</v>
      </c>
    </row>
    <row r="227">
      <c r="A227" s="119">
        <v>26.0</v>
      </c>
      <c r="B227" s="119">
        <v>26.0</v>
      </c>
      <c r="C227" s="119">
        <v>26.0</v>
      </c>
      <c r="D227" s="119">
        <v>26.0</v>
      </c>
      <c r="E227" s="119">
        <v>26.0</v>
      </c>
      <c r="F227" s="120" t="s">
        <v>353</v>
      </c>
      <c r="G227" s="121">
        <v>257.1</v>
      </c>
      <c r="H227" s="120" t="s">
        <v>28</v>
      </c>
      <c r="I227" s="119">
        <v>14.0</v>
      </c>
    </row>
    <row r="228">
      <c r="A228" s="119">
        <v>27.0</v>
      </c>
      <c r="B228" s="119">
        <v>27.0</v>
      </c>
      <c r="C228" s="119">
        <v>27.0</v>
      </c>
      <c r="D228" s="119">
        <v>27.0</v>
      </c>
      <c r="E228" s="119">
        <v>27.0</v>
      </c>
      <c r="F228" s="120" t="s">
        <v>354</v>
      </c>
      <c r="G228" s="121">
        <v>255.0</v>
      </c>
      <c r="H228" s="120" t="s">
        <v>28</v>
      </c>
      <c r="I228" s="119">
        <v>10.0</v>
      </c>
    </row>
    <row r="229">
      <c r="A229" s="119">
        <v>28.0</v>
      </c>
      <c r="B229" s="119">
        <v>28.0</v>
      </c>
      <c r="C229" s="119">
        <v>28.0</v>
      </c>
      <c r="D229" s="119">
        <v>28.0</v>
      </c>
      <c r="E229" s="119">
        <v>28.0</v>
      </c>
      <c r="F229" s="120" t="s">
        <v>112</v>
      </c>
      <c r="G229" s="121">
        <v>237.1</v>
      </c>
      <c r="H229" s="120" t="s">
        <v>28</v>
      </c>
      <c r="I229" s="119">
        <v>5.0</v>
      </c>
    </row>
    <row r="230">
      <c r="A230" s="119">
        <v>29.0</v>
      </c>
      <c r="B230" s="119">
        <v>29.0</v>
      </c>
      <c r="C230" s="119">
        <v>29.0</v>
      </c>
      <c r="D230" s="119">
        <v>29.0</v>
      </c>
      <c r="E230" s="119">
        <v>29.0</v>
      </c>
      <c r="F230" s="120" t="s">
        <v>355</v>
      </c>
      <c r="G230" s="121">
        <v>208.1</v>
      </c>
      <c r="H230" s="120" t="s">
        <v>28</v>
      </c>
      <c r="I230" s="119">
        <v>11.0</v>
      </c>
    </row>
    <row r="231">
      <c r="A231" s="119">
        <v>30.0</v>
      </c>
      <c r="B231" s="119">
        <v>30.0</v>
      </c>
      <c r="C231" s="119">
        <v>30.0</v>
      </c>
      <c r="D231" s="119">
        <v>30.0</v>
      </c>
      <c r="E231" s="119">
        <v>30.0</v>
      </c>
      <c r="F231" s="120" t="s">
        <v>356</v>
      </c>
      <c r="G231" s="121">
        <v>196.6</v>
      </c>
      <c r="H231" s="120" t="s">
        <v>28</v>
      </c>
      <c r="I231" s="119">
        <v>14.0</v>
      </c>
    </row>
    <row r="232">
      <c r="A232" s="119">
        <v>31.0</v>
      </c>
      <c r="B232" s="119">
        <v>31.0</v>
      </c>
      <c r="C232" s="119">
        <v>31.0</v>
      </c>
      <c r="D232" s="119">
        <v>31.0</v>
      </c>
      <c r="E232" s="119">
        <v>31.0</v>
      </c>
      <c r="F232" s="120" t="s">
        <v>357</v>
      </c>
      <c r="G232" s="121">
        <v>188.0</v>
      </c>
      <c r="H232" s="120" t="s">
        <v>28</v>
      </c>
      <c r="I232" s="119">
        <v>11.0</v>
      </c>
    </row>
    <row r="233">
      <c r="A233" s="119">
        <v>32.0</v>
      </c>
      <c r="B233" s="119">
        <v>32.0</v>
      </c>
      <c r="C233" s="119">
        <v>32.0</v>
      </c>
      <c r="D233" s="119">
        <v>32.0</v>
      </c>
      <c r="E233" s="119">
        <v>32.0</v>
      </c>
      <c r="F233" s="120" t="s">
        <v>358</v>
      </c>
      <c r="G233" s="121">
        <v>109.7</v>
      </c>
      <c r="H233" s="120" t="s">
        <v>28</v>
      </c>
      <c r="I233" s="119">
        <v>11.0</v>
      </c>
    </row>
    <row r="234">
      <c r="A234" s="119">
        <v>33.0</v>
      </c>
      <c r="B234" s="119">
        <v>33.0</v>
      </c>
      <c r="C234" s="119">
        <v>33.0</v>
      </c>
      <c r="D234" s="119">
        <v>33.0</v>
      </c>
      <c r="E234" s="119">
        <v>33.0</v>
      </c>
      <c r="F234" s="120" t="s">
        <v>359</v>
      </c>
      <c r="G234" s="121">
        <v>68.8</v>
      </c>
      <c r="H234" s="120" t="s">
        <v>28</v>
      </c>
      <c r="I234" s="119">
        <v>9.0</v>
      </c>
    </row>
    <row r="235">
      <c r="A235" s="119">
        <v>34.0</v>
      </c>
      <c r="B235" s="119">
        <v>34.0</v>
      </c>
      <c r="C235" s="119">
        <v>34.0</v>
      </c>
      <c r="D235" s="119">
        <v>34.0</v>
      </c>
      <c r="E235" s="119">
        <v>34.0</v>
      </c>
      <c r="F235" s="120" t="s">
        <v>360</v>
      </c>
      <c r="G235" s="121">
        <v>47.6</v>
      </c>
      <c r="H235" s="120" t="s">
        <v>28</v>
      </c>
      <c r="I235" s="119">
        <v>9.0</v>
      </c>
    </row>
    <row r="236">
      <c r="A236" s="119">
        <v>35.0</v>
      </c>
      <c r="B236" s="119">
        <v>35.0</v>
      </c>
      <c r="C236" s="119">
        <v>35.0</v>
      </c>
      <c r="D236" s="119">
        <v>35.0</v>
      </c>
      <c r="E236" s="119">
        <v>35.0</v>
      </c>
      <c r="F236" s="120" t="s">
        <v>361</v>
      </c>
      <c r="G236" s="121">
        <v>35.6</v>
      </c>
      <c r="H236" s="120" t="s">
        <v>28</v>
      </c>
      <c r="I236" s="119">
        <v>9.0</v>
      </c>
    </row>
    <row r="237">
      <c r="A237" s="119">
        <v>1.0</v>
      </c>
      <c r="B237" s="119">
        <v>1.0</v>
      </c>
      <c r="C237" s="119">
        <v>1.0</v>
      </c>
      <c r="D237" s="119">
        <v>1.0</v>
      </c>
      <c r="E237" s="119">
        <v>1.0</v>
      </c>
      <c r="F237" s="120" t="s">
        <v>362</v>
      </c>
      <c r="G237" s="121">
        <v>149.7</v>
      </c>
      <c r="H237" s="120" t="s">
        <v>39</v>
      </c>
      <c r="I237" s="119">
        <v>8.0</v>
      </c>
    </row>
    <row r="238">
      <c r="A238" s="119">
        <v>2.0</v>
      </c>
      <c r="B238" s="119">
        <v>2.0</v>
      </c>
      <c r="C238" s="119">
        <v>2.0</v>
      </c>
      <c r="D238" s="119">
        <v>2.0</v>
      </c>
      <c r="E238" s="119">
        <v>2.0</v>
      </c>
      <c r="F238" s="120" t="s">
        <v>363</v>
      </c>
      <c r="G238" s="121">
        <v>147.6</v>
      </c>
      <c r="H238" s="120" t="s">
        <v>39</v>
      </c>
      <c r="I238" s="119">
        <v>14.0</v>
      </c>
    </row>
    <row r="239">
      <c r="A239" s="119">
        <v>3.0</v>
      </c>
      <c r="B239" s="119">
        <v>3.0</v>
      </c>
      <c r="C239" s="119">
        <v>3.0</v>
      </c>
      <c r="D239" s="119">
        <v>3.0</v>
      </c>
      <c r="E239" s="119">
        <v>3.0</v>
      </c>
      <c r="F239" s="120" t="s">
        <v>364</v>
      </c>
      <c r="G239" s="121">
        <v>139.4</v>
      </c>
      <c r="H239" s="120" t="s">
        <v>39</v>
      </c>
      <c r="I239" s="119">
        <v>8.0</v>
      </c>
    </row>
    <row r="240">
      <c r="A240" s="119">
        <v>4.0</v>
      </c>
      <c r="B240" s="119">
        <v>4.0</v>
      </c>
      <c r="C240" s="119">
        <v>4.0</v>
      </c>
      <c r="D240" s="119">
        <v>4.0</v>
      </c>
      <c r="E240" s="119">
        <v>4.0</v>
      </c>
      <c r="F240" s="120" t="s">
        <v>365</v>
      </c>
      <c r="G240" s="121">
        <v>117.3</v>
      </c>
      <c r="H240" s="120" t="s">
        <v>39</v>
      </c>
      <c r="I240" s="119">
        <v>7.0</v>
      </c>
    </row>
    <row r="241">
      <c r="A241" s="119">
        <v>5.0</v>
      </c>
      <c r="B241" s="119">
        <v>5.0</v>
      </c>
      <c r="C241" s="119">
        <v>5.0</v>
      </c>
      <c r="D241" s="119">
        <v>5.0</v>
      </c>
      <c r="E241" s="119">
        <v>5.0</v>
      </c>
      <c r="F241" s="120" t="s">
        <v>366</v>
      </c>
      <c r="G241" s="121">
        <v>115.6</v>
      </c>
      <c r="H241" s="120" t="s">
        <v>39</v>
      </c>
      <c r="I241" s="119">
        <v>8.0</v>
      </c>
    </row>
    <row r="242">
      <c r="A242" s="119">
        <v>6.0</v>
      </c>
      <c r="B242" s="119">
        <v>6.0</v>
      </c>
      <c r="C242" s="119">
        <v>6.0</v>
      </c>
      <c r="D242" s="119">
        <v>6.0</v>
      </c>
      <c r="E242" s="119">
        <v>6.0</v>
      </c>
      <c r="F242" s="120" t="s">
        <v>367</v>
      </c>
      <c r="G242" s="121">
        <v>106.5</v>
      </c>
      <c r="H242" s="120" t="s">
        <v>39</v>
      </c>
      <c r="I242" s="119">
        <v>6.0</v>
      </c>
    </row>
    <row r="243">
      <c r="A243" s="119">
        <v>7.0</v>
      </c>
      <c r="B243" s="119">
        <v>7.0</v>
      </c>
      <c r="C243" s="119">
        <v>7.0</v>
      </c>
      <c r="D243" s="119">
        <v>7.0</v>
      </c>
      <c r="E243" s="119">
        <v>7.0</v>
      </c>
      <c r="F243" s="120" t="s">
        <v>368</v>
      </c>
      <c r="G243" s="121">
        <v>105.9</v>
      </c>
      <c r="H243" s="120" t="s">
        <v>39</v>
      </c>
      <c r="I243" s="119">
        <v>10.0</v>
      </c>
    </row>
    <row r="244">
      <c r="A244" s="119">
        <v>8.0</v>
      </c>
      <c r="B244" s="119">
        <v>8.0</v>
      </c>
      <c r="C244" s="119">
        <v>8.0</v>
      </c>
      <c r="D244" s="119">
        <v>8.0</v>
      </c>
      <c r="E244" s="119">
        <v>8.0</v>
      </c>
      <c r="F244" s="120" t="s">
        <v>369</v>
      </c>
      <c r="G244" s="121">
        <v>101.1</v>
      </c>
      <c r="H244" s="120" t="s">
        <v>39</v>
      </c>
      <c r="I244" s="119">
        <v>9.0</v>
      </c>
    </row>
    <row r="245">
      <c r="A245" s="119">
        <v>9.0</v>
      </c>
      <c r="B245" s="119">
        <v>9.0</v>
      </c>
      <c r="C245" s="119">
        <v>9.0</v>
      </c>
      <c r="D245" s="119">
        <v>9.0</v>
      </c>
      <c r="E245" s="119">
        <v>9.0</v>
      </c>
      <c r="F245" s="120" t="s">
        <v>370</v>
      </c>
      <c r="G245" s="121">
        <v>92.6</v>
      </c>
      <c r="H245" s="120" t="s">
        <v>39</v>
      </c>
      <c r="I245" s="119">
        <v>5.0</v>
      </c>
    </row>
    <row r="246">
      <c r="A246" s="119">
        <v>10.0</v>
      </c>
      <c r="B246" s="119">
        <v>10.0</v>
      </c>
      <c r="C246" s="119">
        <v>10.0</v>
      </c>
      <c r="D246" s="119">
        <v>10.0</v>
      </c>
      <c r="E246" s="119">
        <v>10.0</v>
      </c>
      <c r="F246" s="120" t="s">
        <v>371</v>
      </c>
      <c r="G246" s="121">
        <v>88.7</v>
      </c>
      <c r="H246" s="120" t="s">
        <v>39</v>
      </c>
      <c r="I246" s="119">
        <v>11.0</v>
      </c>
    </row>
    <row r="247">
      <c r="A247" s="119">
        <v>11.0</v>
      </c>
      <c r="B247" s="119">
        <v>11.0</v>
      </c>
      <c r="C247" s="119">
        <v>11.0</v>
      </c>
      <c r="D247" s="119">
        <v>11.0</v>
      </c>
      <c r="E247" s="119">
        <v>11.0</v>
      </c>
      <c r="F247" s="120" t="s">
        <v>372</v>
      </c>
      <c r="G247" s="121">
        <v>85.8</v>
      </c>
      <c r="H247" s="120" t="s">
        <v>39</v>
      </c>
      <c r="I247" s="119">
        <v>9.0</v>
      </c>
    </row>
    <row r="248">
      <c r="A248" s="119">
        <v>12.0</v>
      </c>
      <c r="B248" s="119">
        <v>12.0</v>
      </c>
      <c r="C248" s="119">
        <v>12.0</v>
      </c>
      <c r="D248" s="119">
        <v>12.0</v>
      </c>
      <c r="E248" s="119">
        <v>12.0</v>
      </c>
      <c r="F248" s="120" t="s">
        <v>373</v>
      </c>
      <c r="G248" s="121">
        <v>84.2</v>
      </c>
      <c r="H248" s="120" t="s">
        <v>39</v>
      </c>
      <c r="I248" s="119">
        <v>12.0</v>
      </c>
    </row>
    <row r="249">
      <c r="A249" s="119">
        <v>13.0</v>
      </c>
      <c r="B249" s="119">
        <v>13.0</v>
      </c>
      <c r="C249" s="119">
        <v>13.0</v>
      </c>
      <c r="D249" s="119">
        <v>13.0</v>
      </c>
      <c r="E249" s="119">
        <v>13.0</v>
      </c>
      <c r="F249" s="120" t="s">
        <v>374</v>
      </c>
      <c r="G249" s="121">
        <v>83.6</v>
      </c>
      <c r="H249" s="120" t="s">
        <v>39</v>
      </c>
      <c r="I249" s="119">
        <v>7.0</v>
      </c>
    </row>
    <row r="250">
      <c r="A250" s="119">
        <v>14.0</v>
      </c>
      <c r="B250" s="119">
        <v>14.0</v>
      </c>
      <c r="C250" s="119">
        <v>14.0</v>
      </c>
      <c r="D250" s="119">
        <v>14.0</v>
      </c>
      <c r="E250" s="119">
        <v>14.0</v>
      </c>
      <c r="F250" s="120" t="s">
        <v>375</v>
      </c>
      <c r="G250" s="121">
        <v>83.4</v>
      </c>
      <c r="H250" s="120" t="s">
        <v>39</v>
      </c>
      <c r="I250" s="119">
        <v>12.0</v>
      </c>
    </row>
    <row r="251">
      <c r="A251" s="119">
        <v>15.0</v>
      </c>
      <c r="B251" s="119">
        <v>15.0</v>
      </c>
      <c r="C251" s="119">
        <v>15.0</v>
      </c>
      <c r="D251" s="119">
        <v>15.0</v>
      </c>
      <c r="E251" s="119">
        <v>15.0</v>
      </c>
      <c r="F251" s="120" t="s">
        <v>376</v>
      </c>
      <c r="G251" s="121">
        <v>83.2</v>
      </c>
      <c r="H251" s="120" t="s">
        <v>39</v>
      </c>
      <c r="I251" s="119">
        <v>5.0</v>
      </c>
    </row>
    <row r="252">
      <c r="A252" s="119">
        <v>16.0</v>
      </c>
      <c r="B252" s="119">
        <v>16.0</v>
      </c>
      <c r="C252" s="119">
        <v>16.0</v>
      </c>
      <c r="D252" s="119">
        <v>16.0</v>
      </c>
      <c r="E252" s="119">
        <v>16.0</v>
      </c>
      <c r="F252" s="120" t="s">
        <v>377</v>
      </c>
      <c r="G252" s="121">
        <v>82.5</v>
      </c>
      <c r="H252" s="120" t="s">
        <v>39</v>
      </c>
      <c r="I252" s="119">
        <v>10.0</v>
      </c>
    </row>
    <row r="253">
      <c r="A253" s="119">
        <v>17.0</v>
      </c>
      <c r="B253" s="119">
        <v>17.0</v>
      </c>
      <c r="C253" s="119">
        <v>17.0</v>
      </c>
      <c r="D253" s="119">
        <v>17.0</v>
      </c>
      <c r="E253" s="119">
        <v>17.0</v>
      </c>
      <c r="F253" s="120" t="s">
        <v>378</v>
      </c>
      <c r="G253" s="121">
        <v>78.5</v>
      </c>
      <c r="H253" s="120" t="s">
        <v>39</v>
      </c>
      <c r="I253" s="119">
        <v>14.0</v>
      </c>
    </row>
    <row r="254">
      <c r="A254" s="119">
        <v>18.0</v>
      </c>
      <c r="B254" s="119">
        <v>18.0</v>
      </c>
      <c r="C254" s="119">
        <v>18.0</v>
      </c>
      <c r="D254" s="119">
        <v>18.0</v>
      </c>
      <c r="E254" s="119">
        <v>18.0</v>
      </c>
      <c r="F254" s="120" t="s">
        <v>379</v>
      </c>
      <c r="G254" s="121">
        <v>77.9</v>
      </c>
      <c r="H254" s="120" t="s">
        <v>39</v>
      </c>
      <c r="I254" s="119">
        <v>12.0</v>
      </c>
    </row>
    <row r="255">
      <c r="A255" s="119">
        <v>19.0</v>
      </c>
      <c r="B255" s="119">
        <v>19.0</v>
      </c>
      <c r="C255" s="119">
        <v>19.0</v>
      </c>
      <c r="D255" s="119">
        <v>19.0</v>
      </c>
      <c r="E255" s="119">
        <v>19.0</v>
      </c>
      <c r="F255" s="120" t="s">
        <v>380</v>
      </c>
      <c r="G255" s="121">
        <v>77.0</v>
      </c>
      <c r="H255" s="120" t="s">
        <v>39</v>
      </c>
      <c r="I255" s="119">
        <v>7.0</v>
      </c>
    </row>
    <row r="256">
      <c r="A256" s="119">
        <v>20.0</v>
      </c>
      <c r="B256" s="119">
        <v>20.0</v>
      </c>
      <c r="C256" s="119">
        <v>20.0</v>
      </c>
      <c r="D256" s="119">
        <v>20.0</v>
      </c>
      <c r="E256" s="119">
        <v>20.0</v>
      </c>
      <c r="F256" s="120" t="s">
        <v>381</v>
      </c>
      <c r="G256" s="121">
        <v>76.5</v>
      </c>
      <c r="H256" s="120" t="s">
        <v>39</v>
      </c>
      <c r="I256" s="119">
        <v>5.0</v>
      </c>
    </row>
    <row r="257">
      <c r="A257" s="119">
        <v>21.0</v>
      </c>
      <c r="B257" s="119">
        <v>21.0</v>
      </c>
      <c r="C257" s="119">
        <v>21.0</v>
      </c>
      <c r="D257" s="119">
        <v>21.0</v>
      </c>
      <c r="E257" s="119">
        <v>21.0</v>
      </c>
      <c r="F257" s="120" t="s">
        <v>382</v>
      </c>
      <c r="G257" s="121">
        <v>76.0</v>
      </c>
      <c r="H257" s="120" t="s">
        <v>39</v>
      </c>
      <c r="I257" s="119">
        <v>9.0</v>
      </c>
    </row>
    <row r="258">
      <c r="A258" s="119">
        <v>22.0</v>
      </c>
      <c r="B258" s="119">
        <v>22.0</v>
      </c>
      <c r="C258" s="119">
        <v>22.0</v>
      </c>
      <c r="D258" s="119">
        <v>22.0</v>
      </c>
      <c r="E258" s="119">
        <v>22.0</v>
      </c>
      <c r="F258" s="120" t="s">
        <v>383</v>
      </c>
      <c r="G258" s="121">
        <v>74.7</v>
      </c>
      <c r="H258" s="120" t="s">
        <v>39</v>
      </c>
      <c r="I258" s="119">
        <v>5.0</v>
      </c>
    </row>
    <row r="259">
      <c r="A259" s="119">
        <v>23.0</v>
      </c>
      <c r="B259" s="119">
        <v>23.0</v>
      </c>
      <c r="C259" s="119">
        <v>23.0</v>
      </c>
      <c r="D259" s="119">
        <v>23.0</v>
      </c>
      <c r="E259" s="119">
        <v>23.0</v>
      </c>
      <c r="F259" s="120" t="s">
        <v>384</v>
      </c>
      <c r="G259" s="121">
        <v>73.3</v>
      </c>
      <c r="H259" s="120" t="s">
        <v>39</v>
      </c>
      <c r="I259" s="119">
        <v>8.0</v>
      </c>
    </row>
    <row r="260">
      <c r="A260" s="119">
        <v>24.0</v>
      </c>
      <c r="B260" s="119">
        <v>24.0</v>
      </c>
      <c r="C260" s="119">
        <v>24.0</v>
      </c>
      <c r="D260" s="119">
        <v>24.0</v>
      </c>
      <c r="E260" s="119">
        <v>24.0</v>
      </c>
      <c r="F260" s="120" t="s">
        <v>385</v>
      </c>
      <c r="G260" s="121">
        <v>72.7</v>
      </c>
      <c r="H260" s="120" t="s">
        <v>39</v>
      </c>
      <c r="I260" s="119">
        <v>10.0</v>
      </c>
    </row>
    <row r="261">
      <c r="A261" s="119">
        <v>25.0</v>
      </c>
      <c r="B261" s="119">
        <v>25.0</v>
      </c>
      <c r="C261" s="119">
        <v>25.0</v>
      </c>
      <c r="D261" s="119">
        <v>25.0</v>
      </c>
      <c r="E261" s="119">
        <v>25.0</v>
      </c>
      <c r="F261" s="120" t="s">
        <v>386</v>
      </c>
      <c r="G261" s="121">
        <v>69.6</v>
      </c>
      <c r="H261" s="120" t="s">
        <v>39</v>
      </c>
      <c r="I261" s="119">
        <v>6.0</v>
      </c>
    </row>
    <row r="262">
      <c r="A262" s="119">
        <v>26.0</v>
      </c>
      <c r="B262" s="119">
        <v>26.0</v>
      </c>
      <c r="C262" s="119">
        <v>26.0</v>
      </c>
      <c r="D262" s="119">
        <v>26.0</v>
      </c>
      <c r="E262" s="119">
        <v>26.0</v>
      </c>
      <c r="F262" s="120" t="s">
        <v>387</v>
      </c>
      <c r="G262" s="121">
        <v>69.5</v>
      </c>
      <c r="H262" s="120" t="s">
        <v>39</v>
      </c>
      <c r="I262" s="119">
        <v>11.0</v>
      </c>
    </row>
    <row r="263">
      <c r="A263" s="119">
        <v>27.0</v>
      </c>
      <c r="B263" s="119">
        <v>27.0</v>
      </c>
      <c r="C263" s="119">
        <v>27.0</v>
      </c>
      <c r="D263" s="119">
        <v>27.0</v>
      </c>
      <c r="E263" s="119">
        <v>27.0</v>
      </c>
      <c r="F263" s="120" t="s">
        <v>388</v>
      </c>
      <c r="G263" s="121">
        <v>66.0</v>
      </c>
      <c r="H263" s="120" t="s">
        <v>39</v>
      </c>
      <c r="I263" s="119">
        <v>5.0</v>
      </c>
    </row>
    <row r="264">
      <c r="A264" s="119">
        <v>28.0</v>
      </c>
      <c r="B264" s="119">
        <v>28.0</v>
      </c>
      <c r="C264" s="119">
        <v>28.0</v>
      </c>
      <c r="D264" s="119">
        <v>28.0</v>
      </c>
      <c r="E264" s="119">
        <v>28.0</v>
      </c>
      <c r="F264" s="120" t="s">
        <v>389</v>
      </c>
      <c r="G264" s="121">
        <v>65.9</v>
      </c>
      <c r="H264" s="120" t="s">
        <v>39</v>
      </c>
      <c r="I264" s="119">
        <v>10.0</v>
      </c>
    </row>
    <row r="265">
      <c r="A265" s="119">
        <v>29.0</v>
      </c>
      <c r="B265" s="119">
        <v>29.0</v>
      </c>
      <c r="C265" s="119">
        <v>29.0</v>
      </c>
      <c r="D265" s="119">
        <v>29.0</v>
      </c>
      <c r="E265" s="119">
        <v>29.0</v>
      </c>
      <c r="F265" s="120" t="s">
        <v>390</v>
      </c>
      <c r="G265" s="121">
        <v>64.4</v>
      </c>
      <c r="H265" s="120" t="s">
        <v>39</v>
      </c>
      <c r="I265" s="119">
        <v>8.0</v>
      </c>
    </row>
    <row r="266">
      <c r="A266" s="119">
        <v>30.0</v>
      </c>
      <c r="B266" s="119">
        <v>30.0</v>
      </c>
      <c r="C266" s="119">
        <v>30.0</v>
      </c>
      <c r="D266" s="119">
        <v>30.0</v>
      </c>
      <c r="E266" s="119">
        <v>30.0</v>
      </c>
      <c r="F266" s="120" t="s">
        <v>210</v>
      </c>
      <c r="G266" s="121">
        <v>63.9</v>
      </c>
      <c r="H266" s="120" t="s">
        <v>39</v>
      </c>
      <c r="I266" s="119">
        <v>8.0</v>
      </c>
    </row>
    <row r="267">
      <c r="A267" s="119">
        <v>31.0</v>
      </c>
      <c r="B267" s="119">
        <v>31.0</v>
      </c>
      <c r="C267" s="119">
        <v>31.0</v>
      </c>
      <c r="D267" s="119">
        <v>31.0</v>
      </c>
      <c r="E267" s="119">
        <v>31.0</v>
      </c>
      <c r="F267" s="120" t="s">
        <v>391</v>
      </c>
      <c r="G267" s="121">
        <v>63.0</v>
      </c>
      <c r="H267" s="120" t="s">
        <v>39</v>
      </c>
      <c r="I267" s="119">
        <v>14.0</v>
      </c>
    </row>
    <row r="268">
      <c r="A268" s="119">
        <v>32.0</v>
      </c>
      <c r="B268" s="119">
        <v>32.0</v>
      </c>
      <c r="C268" s="119">
        <v>32.0</v>
      </c>
      <c r="D268" s="119">
        <v>32.0</v>
      </c>
      <c r="E268" s="119">
        <v>32.0</v>
      </c>
      <c r="F268" s="120" t="s">
        <v>392</v>
      </c>
      <c r="G268" s="121">
        <v>59.6</v>
      </c>
      <c r="H268" s="120" t="s">
        <v>39</v>
      </c>
      <c r="I268" s="119">
        <v>8.0</v>
      </c>
    </row>
    <row r="269">
      <c r="A269" s="119">
        <v>1.0</v>
      </c>
      <c r="B269" s="119">
        <v>1.0</v>
      </c>
      <c r="C269" s="119">
        <v>1.0</v>
      </c>
      <c r="D269" s="119">
        <v>1.0</v>
      </c>
      <c r="E269" s="119">
        <v>1.0</v>
      </c>
      <c r="F269" s="120" t="s">
        <v>393</v>
      </c>
      <c r="G269" s="121">
        <v>140.0</v>
      </c>
      <c r="H269" s="120" t="s">
        <v>40</v>
      </c>
      <c r="I269" s="119">
        <v>10.0</v>
      </c>
    </row>
    <row r="270">
      <c r="A270" s="119">
        <v>2.0</v>
      </c>
      <c r="B270" s="119">
        <v>2.0</v>
      </c>
      <c r="C270" s="119">
        <v>2.0</v>
      </c>
      <c r="D270" s="119">
        <v>2.0</v>
      </c>
      <c r="E270" s="119">
        <v>2.0</v>
      </c>
      <c r="F270" s="120" t="s">
        <v>394</v>
      </c>
      <c r="G270" s="121">
        <v>136.0</v>
      </c>
      <c r="H270" s="120" t="s">
        <v>40</v>
      </c>
      <c r="I270" s="119">
        <v>9.0</v>
      </c>
    </row>
    <row r="271">
      <c r="A271" s="119">
        <v>3.0</v>
      </c>
      <c r="B271" s="119">
        <v>3.0</v>
      </c>
      <c r="C271" s="119">
        <v>3.0</v>
      </c>
      <c r="D271" s="119">
        <v>3.0</v>
      </c>
      <c r="E271" s="119">
        <v>3.0</v>
      </c>
      <c r="F271" s="120" t="s">
        <v>395</v>
      </c>
      <c r="G271" s="121">
        <v>135.0</v>
      </c>
      <c r="H271" s="120" t="s">
        <v>40</v>
      </c>
      <c r="I271" s="119">
        <v>12.0</v>
      </c>
    </row>
    <row r="272">
      <c r="A272" s="119">
        <v>4.0</v>
      </c>
      <c r="B272" s="119">
        <v>4.0</v>
      </c>
      <c r="C272" s="119">
        <v>4.0</v>
      </c>
      <c r="D272" s="119">
        <v>4.0</v>
      </c>
      <c r="E272" s="119">
        <v>4.0</v>
      </c>
      <c r="F272" s="120" t="s">
        <v>396</v>
      </c>
      <c r="G272" s="121">
        <v>134.0</v>
      </c>
      <c r="H272" s="120" t="s">
        <v>40</v>
      </c>
      <c r="I272" s="119">
        <v>9.0</v>
      </c>
    </row>
    <row r="273">
      <c r="A273" s="119">
        <v>5.0</v>
      </c>
      <c r="B273" s="119">
        <v>5.0</v>
      </c>
      <c r="C273" s="119">
        <v>5.0</v>
      </c>
      <c r="D273" s="119">
        <v>5.0</v>
      </c>
      <c r="E273" s="119">
        <v>5.0</v>
      </c>
      <c r="F273" s="120" t="s">
        <v>397</v>
      </c>
      <c r="G273" s="121">
        <v>134.0</v>
      </c>
      <c r="H273" s="120" t="s">
        <v>40</v>
      </c>
      <c r="I273" s="119">
        <v>12.0</v>
      </c>
    </row>
    <row r="274">
      <c r="A274" s="119">
        <v>6.0</v>
      </c>
      <c r="B274" s="119">
        <v>6.0</v>
      </c>
      <c r="C274" s="119">
        <v>6.0</v>
      </c>
      <c r="D274" s="119">
        <v>6.0</v>
      </c>
      <c r="E274" s="119">
        <v>6.0</v>
      </c>
      <c r="F274" s="120" t="s">
        <v>398</v>
      </c>
      <c r="G274" s="121">
        <v>132.0</v>
      </c>
      <c r="H274" s="120" t="s">
        <v>40</v>
      </c>
      <c r="I274" s="119">
        <v>8.0</v>
      </c>
    </row>
    <row r="275">
      <c r="A275" s="119">
        <v>7.0</v>
      </c>
      <c r="B275" s="119">
        <v>7.0</v>
      </c>
      <c r="C275" s="119">
        <v>7.0</v>
      </c>
      <c r="D275" s="119">
        <v>7.0</v>
      </c>
      <c r="E275" s="119">
        <v>7.0</v>
      </c>
      <c r="F275" s="120" t="s">
        <v>399</v>
      </c>
      <c r="G275" s="121">
        <v>132.0</v>
      </c>
      <c r="H275" s="120" t="s">
        <v>40</v>
      </c>
      <c r="I275" s="119">
        <v>5.0</v>
      </c>
    </row>
    <row r="276">
      <c r="A276" s="119">
        <v>8.0</v>
      </c>
      <c r="B276" s="119">
        <v>8.0</v>
      </c>
      <c r="C276" s="119">
        <v>8.0</v>
      </c>
      <c r="D276" s="119">
        <v>8.0</v>
      </c>
      <c r="E276" s="119">
        <v>8.0</v>
      </c>
      <c r="F276" s="120" t="s">
        <v>400</v>
      </c>
      <c r="G276" s="121">
        <v>130.0</v>
      </c>
      <c r="H276" s="120" t="s">
        <v>40</v>
      </c>
      <c r="I276" s="119">
        <v>7.0</v>
      </c>
    </row>
    <row r="277">
      <c r="A277" s="119">
        <v>9.0</v>
      </c>
      <c r="B277" s="119">
        <v>9.0</v>
      </c>
      <c r="C277" s="119">
        <v>9.0</v>
      </c>
      <c r="D277" s="119">
        <v>9.0</v>
      </c>
      <c r="E277" s="119">
        <v>9.0</v>
      </c>
      <c r="F277" s="120" t="s">
        <v>401</v>
      </c>
      <c r="G277" s="121">
        <v>129.0</v>
      </c>
      <c r="H277" s="120" t="s">
        <v>40</v>
      </c>
      <c r="I277" s="119">
        <v>8.0</v>
      </c>
    </row>
    <row r="278">
      <c r="A278" s="119">
        <v>10.0</v>
      </c>
      <c r="B278" s="119">
        <v>10.0</v>
      </c>
      <c r="C278" s="119">
        <v>10.0</v>
      </c>
      <c r="D278" s="119">
        <v>10.0</v>
      </c>
      <c r="E278" s="119">
        <v>10.0</v>
      </c>
      <c r="F278" s="120" t="s">
        <v>402</v>
      </c>
      <c r="G278" s="121">
        <v>128.0</v>
      </c>
      <c r="H278" s="120" t="s">
        <v>40</v>
      </c>
      <c r="I278" s="119">
        <v>6.0</v>
      </c>
    </row>
    <row r="279">
      <c r="A279" s="119">
        <v>11.0</v>
      </c>
      <c r="B279" s="119">
        <v>11.0</v>
      </c>
      <c r="C279" s="119">
        <v>11.0</v>
      </c>
      <c r="D279" s="119">
        <v>11.0</v>
      </c>
      <c r="E279" s="119">
        <v>11.0</v>
      </c>
      <c r="F279" s="120" t="s">
        <v>403</v>
      </c>
      <c r="G279" s="121">
        <v>127.0</v>
      </c>
      <c r="H279" s="120" t="s">
        <v>40</v>
      </c>
      <c r="I279" s="119">
        <v>10.0</v>
      </c>
    </row>
    <row r="280">
      <c r="A280" s="119">
        <v>12.0</v>
      </c>
      <c r="B280" s="119">
        <v>12.0</v>
      </c>
      <c r="C280" s="119">
        <v>12.0</v>
      </c>
      <c r="D280" s="119">
        <v>12.0</v>
      </c>
      <c r="E280" s="119">
        <v>12.0</v>
      </c>
      <c r="F280" s="120" t="s">
        <v>404</v>
      </c>
      <c r="G280" s="121">
        <v>126.0</v>
      </c>
      <c r="H280" s="120" t="s">
        <v>40</v>
      </c>
      <c r="I280" s="119">
        <v>7.0</v>
      </c>
    </row>
    <row r="281">
      <c r="A281" s="119">
        <v>13.0</v>
      </c>
      <c r="B281" s="119">
        <v>13.0</v>
      </c>
      <c r="C281" s="119">
        <v>13.0</v>
      </c>
      <c r="D281" s="119">
        <v>13.0</v>
      </c>
      <c r="E281" s="119">
        <v>13.0</v>
      </c>
      <c r="F281" s="120" t="s">
        <v>405</v>
      </c>
      <c r="G281" s="121">
        <v>126.0</v>
      </c>
      <c r="H281" s="120" t="s">
        <v>40</v>
      </c>
      <c r="I281" s="119">
        <v>12.0</v>
      </c>
    </row>
    <row r="282">
      <c r="A282" s="119">
        <v>14.0</v>
      </c>
      <c r="B282" s="119">
        <v>14.0</v>
      </c>
      <c r="C282" s="119">
        <v>14.0</v>
      </c>
      <c r="D282" s="119">
        <v>14.0</v>
      </c>
      <c r="E282" s="119">
        <v>14.0</v>
      </c>
      <c r="F282" s="120" t="s">
        <v>406</v>
      </c>
      <c r="G282" s="121">
        <v>125.0</v>
      </c>
      <c r="H282" s="120" t="s">
        <v>40</v>
      </c>
      <c r="I282" s="119">
        <v>12.0</v>
      </c>
    </row>
    <row r="283">
      <c r="A283" s="119">
        <v>15.0</v>
      </c>
      <c r="B283" s="119">
        <v>15.0</v>
      </c>
      <c r="C283" s="119">
        <v>15.0</v>
      </c>
      <c r="D283" s="119">
        <v>15.0</v>
      </c>
      <c r="E283" s="119">
        <v>15.0</v>
      </c>
      <c r="F283" s="120" t="s">
        <v>407</v>
      </c>
      <c r="G283" s="121">
        <v>125.0</v>
      </c>
      <c r="H283" s="120" t="s">
        <v>40</v>
      </c>
      <c r="I283" s="119">
        <v>14.0</v>
      </c>
    </row>
    <row r="284">
      <c r="A284" s="119">
        <v>16.0</v>
      </c>
      <c r="B284" s="119">
        <v>16.0</v>
      </c>
      <c r="C284" s="119">
        <v>16.0</v>
      </c>
      <c r="D284" s="119">
        <v>16.0</v>
      </c>
      <c r="E284" s="119">
        <v>16.0</v>
      </c>
      <c r="F284" s="120" t="s">
        <v>408</v>
      </c>
      <c r="G284" s="121">
        <v>123.0</v>
      </c>
      <c r="H284" s="120" t="s">
        <v>40</v>
      </c>
      <c r="I284" s="119">
        <v>5.0</v>
      </c>
    </row>
    <row r="285">
      <c r="A285" s="119">
        <v>17.0</v>
      </c>
      <c r="B285" s="119">
        <v>17.0</v>
      </c>
      <c r="C285" s="119">
        <v>17.0</v>
      </c>
      <c r="D285" s="119">
        <v>17.0</v>
      </c>
      <c r="E285" s="119">
        <v>17.0</v>
      </c>
      <c r="F285" s="120" t="s">
        <v>409</v>
      </c>
      <c r="G285" s="121">
        <v>122.0</v>
      </c>
      <c r="H285" s="120" t="s">
        <v>40</v>
      </c>
      <c r="I285" s="119">
        <v>5.0</v>
      </c>
    </row>
    <row r="286">
      <c r="A286" s="119">
        <v>18.0</v>
      </c>
      <c r="B286" s="119">
        <v>18.0</v>
      </c>
      <c r="C286" s="119">
        <v>18.0</v>
      </c>
      <c r="D286" s="119">
        <v>18.0</v>
      </c>
      <c r="E286" s="119">
        <v>18.0</v>
      </c>
      <c r="F286" s="120" t="s">
        <v>410</v>
      </c>
      <c r="G286" s="121">
        <v>122.0</v>
      </c>
      <c r="H286" s="120" t="s">
        <v>40</v>
      </c>
      <c r="I286" s="119">
        <v>10.0</v>
      </c>
    </row>
    <row r="287">
      <c r="A287" s="119">
        <v>19.0</v>
      </c>
      <c r="B287" s="119">
        <v>19.0</v>
      </c>
      <c r="C287" s="119">
        <v>19.0</v>
      </c>
      <c r="D287" s="119">
        <v>19.0</v>
      </c>
      <c r="E287" s="119">
        <v>19.0</v>
      </c>
      <c r="F287" s="120" t="s">
        <v>411</v>
      </c>
      <c r="G287" s="121">
        <v>121.0</v>
      </c>
      <c r="H287" s="120" t="s">
        <v>40</v>
      </c>
      <c r="I287" s="119">
        <v>8.0</v>
      </c>
    </row>
    <row r="288">
      <c r="A288" s="119">
        <v>20.0</v>
      </c>
      <c r="B288" s="119">
        <v>20.0</v>
      </c>
      <c r="C288" s="119">
        <v>20.0</v>
      </c>
      <c r="D288" s="119">
        <v>20.0</v>
      </c>
      <c r="E288" s="119">
        <v>20.0</v>
      </c>
      <c r="F288" s="120" t="s">
        <v>412</v>
      </c>
      <c r="G288" s="121">
        <v>120.0</v>
      </c>
      <c r="H288" s="120" t="s">
        <v>40</v>
      </c>
      <c r="I288" s="119">
        <v>8.0</v>
      </c>
    </row>
    <row r="289">
      <c r="A289" s="119">
        <v>21.0</v>
      </c>
      <c r="B289" s="119">
        <v>21.0</v>
      </c>
      <c r="C289" s="119">
        <v>21.0</v>
      </c>
      <c r="D289" s="119">
        <v>21.0</v>
      </c>
      <c r="E289" s="119">
        <v>21.0</v>
      </c>
      <c r="F289" s="120" t="s">
        <v>413</v>
      </c>
      <c r="G289" s="121">
        <v>115.0</v>
      </c>
      <c r="H289" s="120" t="s">
        <v>40</v>
      </c>
      <c r="I289" s="119">
        <v>8.0</v>
      </c>
    </row>
    <row r="290">
      <c r="A290" s="119">
        <v>22.0</v>
      </c>
      <c r="B290" s="119">
        <v>22.0</v>
      </c>
      <c r="C290" s="119">
        <v>22.0</v>
      </c>
      <c r="D290" s="119">
        <v>22.0</v>
      </c>
      <c r="E290" s="119">
        <v>22.0</v>
      </c>
      <c r="F290" s="120" t="s">
        <v>414</v>
      </c>
      <c r="G290" s="121">
        <v>115.0</v>
      </c>
      <c r="H290" s="120" t="s">
        <v>40</v>
      </c>
      <c r="I290" s="119">
        <v>5.0</v>
      </c>
    </row>
    <row r="291">
      <c r="A291" s="119">
        <v>23.0</v>
      </c>
      <c r="B291" s="119">
        <v>23.0</v>
      </c>
      <c r="C291" s="119">
        <v>23.0</v>
      </c>
      <c r="D291" s="119">
        <v>23.0</v>
      </c>
      <c r="E291" s="119">
        <v>23.0</v>
      </c>
      <c r="F291" s="120" t="s">
        <v>415</v>
      </c>
      <c r="G291" s="121">
        <v>115.0</v>
      </c>
      <c r="H291" s="120" t="s">
        <v>40</v>
      </c>
      <c r="I291" s="119">
        <v>8.0</v>
      </c>
    </row>
    <row r="292">
      <c r="A292" s="119">
        <v>24.0</v>
      </c>
      <c r="B292" s="119">
        <v>24.0</v>
      </c>
      <c r="C292" s="119">
        <v>24.0</v>
      </c>
      <c r="D292" s="119">
        <v>24.0</v>
      </c>
      <c r="E292" s="119">
        <v>24.0</v>
      </c>
      <c r="F292" s="120" t="s">
        <v>416</v>
      </c>
      <c r="G292" s="121">
        <v>113.0</v>
      </c>
      <c r="H292" s="120" t="s">
        <v>40</v>
      </c>
      <c r="I292" s="119">
        <v>6.0</v>
      </c>
    </row>
    <row r="293">
      <c r="A293" s="119">
        <v>25.0</v>
      </c>
      <c r="B293" s="119">
        <v>25.0</v>
      </c>
      <c r="C293" s="119">
        <v>25.0</v>
      </c>
      <c r="D293" s="119">
        <v>25.0</v>
      </c>
      <c r="E293" s="119">
        <v>25.0</v>
      </c>
      <c r="F293" s="120" t="s">
        <v>417</v>
      </c>
      <c r="G293" s="121">
        <v>105.0</v>
      </c>
      <c r="H293" s="120" t="s">
        <v>40</v>
      </c>
      <c r="I293" s="119">
        <v>14.0</v>
      </c>
    </row>
    <row r="294">
      <c r="A294" s="119">
        <v>26.0</v>
      </c>
      <c r="B294" s="119">
        <v>26.0</v>
      </c>
      <c r="C294" s="119">
        <v>26.0</v>
      </c>
      <c r="D294" s="119">
        <v>26.0</v>
      </c>
      <c r="E294" s="119">
        <v>26.0</v>
      </c>
      <c r="F294" s="120" t="s">
        <v>418</v>
      </c>
      <c r="G294" s="121">
        <v>105.0</v>
      </c>
      <c r="H294" s="120" t="s">
        <v>40</v>
      </c>
      <c r="I294" s="119">
        <v>9.0</v>
      </c>
    </row>
    <row r="295">
      <c r="A295" s="119">
        <v>27.0</v>
      </c>
      <c r="B295" s="119">
        <v>27.0</v>
      </c>
      <c r="C295" s="119">
        <v>27.0</v>
      </c>
      <c r="D295" s="119">
        <v>27.0</v>
      </c>
      <c r="E295" s="119">
        <v>27.0</v>
      </c>
      <c r="F295" s="120" t="s">
        <v>419</v>
      </c>
      <c r="G295" s="121">
        <v>104.0</v>
      </c>
      <c r="H295" s="120" t="s">
        <v>40</v>
      </c>
      <c r="I295" s="119">
        <v>11.0</v>
      </c>
    </row>
    <row r="296">
      <c r="A296" s="119">
        <v>28.0</v>
      </c>
      <c r="B296" s="119">
        <v>28.0</v>
      </c>
      <c r="C296" s="119">
        <v>28.0</v>
      </c>
      <c r="D296" s="119">
        <v>28.0</v>
      </c>
      <c r="E296" s="119">
        <v>28.0</v>
      </c>
      <c r="F296" s="120" t="s">
        <v>420</v>
      </c>
      <c r="G296" s="121">
        <v>104.0</v>
      </c>
      <c r="H296" s="120" t="s">
        <v>40</v>
      </c>
      <c r="I296" s="119">
        <v>10.0</v>
      </c>
    </row>
    <row r="297">
      <c r="A297" s="119">
        <v>29.0</v>
      </c>
      <c r="B297" s="119">
        <v>29.0</v>
      </c>
      <c r="C297" s="119">
        <v>29.0</v>
      </c>
      <c r="D297" s="119">
        <v>29.0</v>
      </c>
      <c r="E297" s="119">
        <v>29.0</v>
      </c>
      <c r="F297" s="120" t="s">
        <v>421</v>
      </c>
      <c r="G297" s="121">
        <v>103.0</v>
      </c>
      <c r="H297" s="120" t="s">
        <v>40</v>
      </c>
      <c r="I297" s="119">
        <v>14.0</v>
      </c>
    </row>
    <row r="298">
      <c r="A298" s="119">
        <v>30.0</v>
      </c>
      <c r="B298" s="119">
        <v>30.0</v>
      </c>
      <c r="C298" s="119">
        <v>30.0</v>
      </c>
      <c r="D298" s="119">
        <v>30.0</v>
      </c>
      <c r="E298" s="119">
        <v>30.0</v>
      </c>
      <c r="F298" s="120" t="s">
        <v>422</v>
      </c>
      <c r="G298" s="121">
        <v>103.0</v>
      </c>
      <c r="H298" s="120" t="s">
        <v>40</v>
      </c>
      <c r="I298" s="119">
        <v>14.0</v>
      </c>
    </row>
    <row r="299">
      <c r="A299" s="119">
        <v>31.0</v>
      </c>
      <c r="B299" s="119">
        <v>31.0</v>
      </c>
      <c r="C299" s="119">
        <v>31.0</v>
      </c>
      <c r="D299" s="119">
        <v>31.0</v>
      </c>
      <c r="E299" s="119">
        <v>31.0</v>
      </c>
      <c r="F299" s="120" t="s">
        <v>423</v>
      </c>
      <c r="G299" s="121">
        <v>102.0</v>
      </c>
      <c r="H299" s="120" t="s">
        <v>40</v>
      </c>
      <c r="I299" s="119">
        <v>11.0</v>
      </c>
    </row>
    <row r="300">
      <c r="A300" s="119">
        <v>32.0</v>
      </c>
      <c r="B300" s="119">
        <v>32.0</v>
      </c>
      <c r="C300" s="119">
        <v>32.0</v>
      </c>
      <c r="D300" s="119">
        <v>32.0</v>
      </c>
      <c r="E300" s="119">
        <v>32.0</v>
      </c>
      <c r="F300" s="120" t="s">
        <v>424</v>
      </c>
      <c r="G300" s="121">
        <v>95.0</v>
      </c>
      <c r="H300" s="120" t="s">
        <v>40</v>
      </c>
      <c r="I300" s="119">
        <v>9.0</v>
      </c>
    </row>
    <row r="301">
      <c r="A301" s="124">
        <v>32.0</v>
      </c>
      <c r="B301" s="124">
        <v>32.0</v>
      </c>
      <c r="C301" s="124">
        <v>32.0</v>
      </c>
      <c r="D301" s="124">
        <v>32.0</v>
      </c>
      <c r="E301" s="124">
        <v>32.0</v>
      </c>
      <c r="F301" s="120" t="s">
        <v>425</v>
      </c>
      <c r="G301" s="121">
        <v>142.0</v>
      </c>
      <c r="H301" s="120" t="s">
        <v>41</v>
      </c>
      <c r="I301" s="119">
        <v>12.0</v>
      </c>
    </row>
    <row r="302">
      <c r="A302" s="124">
        <v>33.0</v>
      </c>
      <c r="B302" s="124">
        <v>33.0</v>
      </c>
      <c r="C302" s="124">
        <v>33.0</v>
      </c>
      <c r="D302" s="124">
        <v>33.0</v>
      </c>
      <c r="E302" s="124">
        <v>33.0</v>
      </c>
      <c r="F302" s="120" t="s">
        <v>426</v>
      </c>
      <c r="G302" s="121">
        <v>139.0</v>
      </c>
      <c r="H302" s="120" t="s">
        <v>41</v>
      </c>
      <c r="I302" s="119">
        <v>9.0</v>
      </c>
    </row>
    <row r="303">
      <c r="A303" s="124">
        <v>34.0</v>
      </c>
      <c r="B303" s="124">
        <v>34.0</v>
      </c>
      <c r="C303" s="124">
        <v>34.0</v>
      </c>
      <c r="D303" s="124">
        <v>34.0</v>
      </c>
      <c r="E303" s="124">
        <v>34.0</v>
      </c>
      <c r="F303" s="120" t="s">
        <v>427</v>
      </c>
      <c r="G303" s="121">
        <v>137.0</v>
      </c>
      <c r="H303" s="120" t="s">
        <v>41</v>
      </c>
      <c r="I303" s="119">
        <v>5.0</v>
      </c>
    </row>
    <row r="304">
      <c r="A304" s="124">
        <v>35.0</v>
      </c>
      <c r="B304" s="124">
        <v>35.0</v>
      </c>
      <c r="C304" s="124">
        <v>35.0</v>
      </c>
      <c r="D304" s="124">
        <v>35.0</v>
      </c>
      <c r="E304" s="124">
        <v>35.0</v>
      </c>
      <c r="F304" s="120" t="s">
        <v>428</v>
      </c>
      <c r="G304" s="121">
        <v>135.0</v>
      </c>
      <c r="H304" s="120" t="s">
        <v>41</v>
      </c>
      <c r="I304" s="119">
        <v>7.0</v>
      </c>
    </row>
    <row r="305">
      <c r="A305" s="124">
        <v>36.0</v>
      </c>
      <c r="B305" s="124">
        <v>36.0</v>
      </c>
      <c r="C305" s="124">
        <v>36.0</v>
      </c>
      <c r="D305" s="124">
        <v>36.0</v>
      </c>
      <c r="E305" s="124">
        <v>36.0</v>
      </c>
      <c r="F305" s="120" t="s">
        <v>429</v>
      </c>
      <c r="G305" s="121">
        <v>132.0</v>
      </c>
      <c r="H305" s="120" t="s">
        <v>41</v>
      </c>
      <c r="I305" s="119">
        <v>6.0</v>
      </c>
    </row>
    <row r="306">
      <c r="A306" s="124">
        <v>37.0</v>
      </c>
      <c r="B306" s="124">
        <v>37.0</v>
      </c>
      <c r="C306" s="124">
        <v>37.0</v>
      </c>
      <c r="D306" s="124">
        <v>37.0</v>
      </c>
      <c r="E306" s="124">
        <v>37.0</v>
      </c>
      <c r="F306" s="120" t="s">
        <v>430</v>
      </c>
      <c r="G306" s="121">
        <v>130.0</v>
      </c>
      <c r="H306" s="120" t="s">
        <v>41</v>
      </c>
      <c r="I306" s="119">
        <v>10.0</v>
      </c>
    </row>
    <row r="307">
      <c r="A307" s="124">
        <v>38.0</v>
      </c>
      <c r="B307" s="124">
        <v>38.0</v>
      </c>
      <c r="C307" s="124">
        <v>38.0</v>
      </c>
      <c r="D307" s="124">
        <v>38.0</v>
      </c>
      <c r="E307" s="124">
        <v>38.0</v>
      </c>
      <c r="F307" s="120" t="s">
        <v>431</v>
      </c>
      <c r="G307" s="121">
        <v>129.0</v>
      </c>
      <c r="H307" s="120" t="s">
        <v>41</v>
      </c>
      <c r="I307" s="119">
        <v>8.0</v>
      </c>
    </row>
    <row r="308">
      <c r="A308" s="124">
        <v>39.0</v>
      </c>
      <c r="B308" s="124">
        <v>39.0</v>
      </c>
      <c r="C308" s="124">
        <v>39.0</v>
      </c>
      <c r="D308" s="124">
        <v>39.0</v>
      </c>
      <c r="E308" s="124">
        <v>39.0</v>
      </c>
      <c r="F308" s="120" t="s">
        <v>432</v>
      </c>
      <c r="G308" s="121">
        <v>128.0</v>
      </c>
      <c r="H308" s="120" t="s">
        <v>41</v>
      </c>
      <c r="I308" s="119">
        <v>9.0</v>
      </c>
    </row>
    <row r="309">
      <c r="A309" s="124">
        <v>40.0</v>
      </c>
      <c r="B309" s="124">
        <v>40.0</v>
      </c>
      <c r="C309" s="124">
        <v>40.0</v>
      </c>
      <c r="D309" s="124">
        <v>40.0</v>
      </c>
      <c r="E309" s="124">
        <v>40.0</v>
      </c>
      <c r="F309" s="120" t="s">
        <v>433</v>
      </c>
      <c r="G309" s="121">
        <v>127.0</v>
      </c>
      <c r="H309" s="120" t="s">
        <v>41</v>
      </c>
      <c r="I309" s="119">
        <v>6.0</v>
      </c>
    </row>
    <row r="310">
      <c r="A310" s="124">
        <v>41.0</v>
      </c>
      <c r="B310" s="124">
        <v>41.0</v>
      </c>
      <c r="C310" s="124">
        <v>41.0</v>
      </c>
      <c r="D310" s="124">
        <v>41.0</v>
      </c>
      <c r="E310" s="124">
        <v>41.0</v>
      </c>
      <c r="F310" s="120" t="s">
        <v>434</v>
      </c>
      <c r="G310" s="121">
        <v>126.0</v>
      </c>
      <c r="H310" s="120" t="s">
        <v>41</v>
      </c>
      <c r="I310" s="119">
        <v>12.0</v>
      </c>
    </row>
    <row r="311">
      <c r="A311" s="124">
        <v>42.0</v>
      </c>
      <c r="B311" s="124">
        <v>42.0</v>
      </c>
      <c r="C311" s="124">
        <v>42.0</v>
      </c>
      <c r="D311" s="124">
        <v>42.0</v>
      </c>
      <c r="E311" s="124">
        <v>42.0</v>
      </c>
      <c r="F311" s="120" t="s">
        <v>435</v>
      </c>
      <c r="G311" s="121">
        <v>125.0</v>
      </c>
      <c r="H311" s="120" t="s">
        <v>41</v>
      </c>
      <c r="I311" s="119">
        <v>7.0</v>
      </c>
    </row>
    <row r="312">
      <c r="A312" s="124">
        <v>43.0</v>
      </c>
      <c r="B312" s="124">
        <v>43.0</v>
      </c>
      <c r="C312" s="124">
        <v>43.0</v>
      </c>
      <c r="D312" s="124">
        <v>43.0</v>
      </c>
      <c r="E312" s="124">
        <v>43.0</v>
      </c>
      <c r="F312" s="120" t="s">
        <v>436</v>
      </c>
      <c r="G312" s="121">
        <v>124.0</v>
      </c>
      <c r="H312" s="120" t="s">
        <v>41</v>
      </c>
      <c r="I312" s="119">
        <v>8.0</v>
      </c>
    </row>
    <row r="313">
      <c r="A313" s="124">
        <v>44.0</v>
      </c>
      <c r="B313" s="124">
        <v>44.0</v>
      </c>
      <c r="C313" s="124">
        <v>44.0</v>
      </c>
      <c r="D313" s="124">
        <v>44.0</v>
      </c>
      <c r="E313" s="124">
        <v>44.0</v>
      </c>
      <c r="F313" s="120" t="s">
        <v>437</v>
      </c>
      <c r="G313" s="121">
        <v>122.0</v>
      </c>
      <c r="H313" s="120" t="s">
        <v>41</v>
      </c>
      <c r="I313" s="119">
        <v>8.0</v>
      </c>
    </row>
    <row r="314">
      <c r="A314" s="124">
        <v>45.0</v>
      </c>
      <c r="B314" s="124">
        <v>45.0</v>
      </c>
      <c r="C314" s="124">
        <v>45.0</v>
      </c>
      <c r="D314" s="124">
        <v>45.0</v>
      </c>
      <c r="E314" s="124">
        <v>45.0</v>
      </c>
      <c r="F314" s="120" t="s">
        <v>438</v>
      </c>
      <c r="G314" s="121">
        <v>121.0</v>
      </c>
      <c r="H314" s="120" t="s">
        <v>41</v>
      </c>
      <c r="I314" s="119">
        <v>5.0</v>
      </c>
    </row>
    <row r="315">
      <c r="A315" s="124">
        <v>46.0</v>
      </c>
      <c r="B315" s="124">
        <v>46.0</v>
      </c>
      <c r="C315" s="124">
        <v>46.0</v>
      </c>
      <c r="D315" s="124">
        <v>46.0</v>
      </c>
      <c r="E315" s="124">
        <v>46.0</v>
      </c>
      <c r="F315" s="120" t="s">
        <v>439</v>
      </c>
      <c r="G315" s="121">
        <v>120.0</v>
      </c>
      <c r="H315" s="120" t="s">
        <v>41</v>
      </c>
      <c r="I315" s="119">
        <v>10.0</v>
      </c>
    </row>
    <row r="316">
      <c r="A316" s="124">
        <v>47.0</v>
      </c>
      <c r="B316" s="124">
        <v>47.0</v>
      </c>
      <c r="C316" s="124">
        <v>47.0</v>
      </c>
      <c r="D316" s="124">
        <v>47.0</v>
      </c>
      <c r="E316" s="124">
        <v>47.0</v>
      </c>
      <c r="F316" s="120" t="s">
        <v>440</v>
      </c>
      <c r="G316" s="121">
        <v>118.0</v>
      </c>
      <c r="H316" s="120" t="s">
        <v>41</v>
      </c>
      <c r="I316" s="119">
        <v>14.0</v>
      </c>
    </row>
    <row r="317">
      <c r="A317" s="124">
        <v>48.0</v>
      </c>
      <c r="B317" s="124">
        <v>48.0</v>
      </c>
      <c r="C317" s="124">
        <v>48.0</v>
      </c>
      <c r="D317" s="124">
        <v>48.0</v>
      </c>
      <c r="E317" s="124">
        <v>48.0</v>
      </c>
      <c r="F317" s="120" t="s">
        <v>441</v>
      </c>
      <c r="G317" s="121">
        <v>117.0</v>
      </c>
      <c r="H317" s="120" t="s">
        <v>41</v>
      </c>
      <c r="I317" s="119">
        <v>9.0</v>
      </c>
    </row>
    <row r="318">
      <c r="A318" s="124">
        <v>49.0</v>
      </c>
      <c r="B318" s="124">
        <v>49.0</v>
      </c>
      <c r="C318" s="124">
        <v>49.0</v>
      </c>
      <c r="D318" s="124">
        <v>49.0</v>
      </c>
      <c r="E318" s="124">
        <v>49.0</v>
      </c>
      <c r="F318" s="120" t="s">
        <v>442</v>
      </c>
      <c r="G318" s="121">
        <v>116.0</v>
      </c>
      <c r="H318" s="120" t="s">
        <v>41</v>
      </c>
      <c r="I318" s="119">
        <v>14.0</v>
      </c>
    </row>
    <row r="319">
      <c r="A319" s="124">
        <v>50.0</v>
      </c>
      <c r="B319" s="124">
        <v>50.0</v>
      </c>
      <c r="C319" s="124">
        <v>50.0</v>
      </c>
      <c r="D319" s="124">
        <v>50.0</v>
      </c>
      <c r="E319" s="124">
        <v>50.0</v>
      </c>
      <c r="F319" s="120" t="s">
        <v>443</v>
      </c>
      <c r="G319" s="121">
        <v>115.0</v>
      </c>
      <c r="H319" s="120" t="s">
        <v>41</v>
      </c>
      <c r="I319" s="119">
        <v>9.0</v>
      </c>
    </row>
    <row r="320">
      <c r="A320" s="124">
        <v>51.0</v>
      </c>
      <c r="B320" s="124">
        <v>51.0</v>
      </c>
      <c r="C320" s="124">
        <v>51.0</v>
      </c>
      <c r="D320" s="124">
        <v>51.0</v>
      </c>
      <c r="E320" s="124">
        <v>51.0</v>
      </c>
      <c r="F320" s="120" t="s">
        <v>444</v>
      </c>
      <c r="G320" s="121">
        <v>114.0</v>
      </c>
      <c r="H320" s="120" t="s">
        <v>41</v>
      </c>
      <c r="I320" s="119">
        <v>12.0</v>
      </c>
    </row>
    <row r="321">
      <c r="A321" s="124">
        <v>52.0</v>
      </c>
      <c r="B321" s="124">
        <v>52.0</v>
      </c>
      <c r="C321" s="124">
        <v>52.0</v>
      </c>
      <c r="D321" s="124">
        <v>52.0</v>
      </c>
      <c r="E321" s="124">
        <v>52.0</v>
      </c>
      <c r="F321" s="120" t="s">
        <v>445</v>
      </c>
      <c r="G321" s="121">
        <v>113.0</v>
      </c>
      <c r="H321" s="120" t="s">
        <v>41</v>
      </c>
      <c r="I321" s="119">
        <v>8.0</v>
      </c>
    </row>
    <row r="322">
      <c r="A322" s="124">
        <v>53.0</v>
      </c>
      <c r="B322" s="124">
        <v>53.0</v>
      </c>
      <c r="C322" s="124">
        <v>53.0</v>
      </c>
      <c r="D322" s="124">
        <v>53.0</v>
      </c>
      <c r="E322" s="124">
        <v>53.0</v>
      </c>
      <c r="F322" s="120" t="s">
        <v>446</v>
      </c>
      <c r="G322" s="121">
        <v>112.0</v>
      </c>
      <c r="H322" s="120" t="s">
        <v>41</v>
      </c>
      <c r="I322" s="119">
        <v>5.0</v>
      </c>
    </row>
    <row r="323">
      <c r="A323" s="124">
        <v>54.0</v>
      </c>
      <c r="B323" s="124">
        <v>54.0</v>
      </c>
      <c r="C323" s="124">
        <v>54.0</v>
      </c>
      <c r="D323" s="124">
        <v>54.0</v>
      </c>
      <c r="E323" s="124">
        <v>54.0</v>
      </c>
      <c r="F323" s="120" t="s">
        <v>447</v>
      </c>
      <c r="G323" s="121">
        <v>111.0</v>
      </c>
      <c r="H323" s="120" t="s">
        <v>41</v>
      </c>
      <c r="I323" s="119">
        <v>14.0</v>
      </c>
    </row>
    <row r="324">
      <c r="A324" s="124">
        <v>55.0</v>
      </c>
      <c r="B324" s="124">
        <v>55.0</v>
      </c>
      <c r="C324" s="124">
        <v>55.0</v>
      </c>
      <c r="D324" s="124">
        <v>55.0</v>
      </c>
      <c r="E324" s="124">
        <v>55.0</v>
      </c>
      <c r="F324" s="120" t="s">
        <v>448</v>
      </c>
      <c r="G324" s="121">
        <v>110.0</v>
      </c>
      <c r="H324" s="120" t="s">
        <v>41</v>
      </c>
      <c r="I324" s="119">
        <v>12.0</v>
      </c>
    </row>
    <row r="325">
      <c r="A325" s="124">
        <v>56.0</v>
      </c>
      <c r="B325" s="124">
        <v>56.0</v>
      </c>
      <c r="C325" s="124">
        <v>56.0</v>
      </c>
      <c r="D325" s="124">
        <v>56.0</v>
      </c>
      <c r="E325" s="124">
        <v>56.0</v>
      </c>
      <c r="F325" s="120" t="s">
        <v>449</v>
      </c>
      <c r="G325" s="121">
        <v>109.0</v>
      </c>
      <c r="H325" s="120" t="s">
        <v>41</v>
      </c>
      <c r="I325" s="119">
        <v>10.0</v>
      </c>
    </row>
    <row r="326">
      <c r="A326" s="124">
        <v>57.0</v>
      </c>
      <c r="B326" s="124">
        <v>57.0</v>
      </c>
      <c r="C326" s="124">
        <v>57.0</v>
      </c>
      <c r="D326" s="124">
        <v>57.0</v>
      </c>
      <c r="E326" s="124">
        <v>57.0</v>
      </c>
      <c r="F326" s="120" t="s">
        <v>450</v>
      </c>
      <c r="G326" s="121">
        <v>108.0</v>
      </c>
      <c r="H326" s="120" t="s">
        <v>41</v>
      </c>
      <c r="I326" s="119">
        <v>5.0</v>
      </c>
    </row>
    <row r="327">
      <c r="A327" s="124">
        <v>58.0</v>
      </c>
      <c r="B327" s="124">
        <v>58.0</v>
      </c>
      <c r="C327" s="124">
        <v>58.0</v>
      </c>
      <c r="D327" s="124">
        <v>58.0</v>
      </c>
      <c r="E327" s="124">
        <v>58.0</v>
      </c>
      <c r="F327" s="120" t="s">
        <v>451</v>
      </c>
      <c r="G327" s="121">
        <v>107.0</v>
      </c>
      <c r="H327" s="120" t="s">
        <v>41</v>
      </c>
      <c r="I327" s="119">
        <v>11.0</v>
      </c>
    </row>
    <row r="328">
      <c r="A328" s="124">
        <v>59.0</v>
      </c>
      <c r="B328" s="124">
        <v>59.0</v>
      </c>
      <c r="C328" s="124">
        <v>59.0</v>
      </c>
      <c r="D328" s="124">
        <v>59.0</v>
      </c>
      <c r="E328" s="124">
        <v>59.0</v>
      </c>
      <c r="F328" s="120" t="s">
        <v>452</v>
      </c>
      <c r="G328" s="121">
        <v>106.0</v>
      </c>
      <c r="H328" s="120" t="s">
        <v>41</v>
      </c>
      <c r="I328" s="119">
        <v>11.0</v>
      </c>
    </row>
    <row r="329">
      <c r="A329" s="124">
        <v>60.0</v>
      </c>
      <c r="B329" s="124">
        <v>60.0</v>
      </c>
      <c r="C329" s="124">
        <v>60.0</v>
      </c>
      <c r="D329" s="124">
        <v>60.0</v>
      </c>
      <c r="E329" s="124">
        <v>60.0</v>
      </c>
      <c r="F329" s="120" t="s">
        <v>453</v>
      </c>
      <c r="G329" s="121">
        <v>105.0</v>
      </c>
      <c r="H329" s="120" t="s">
        <v>41</v>
      </c>
      <c r="I329" s="119">
        <v>8.0</v>
      </c>
    </row>
    <row r="330">
      <c r="A330" s="124">
        <v>61.0</v>
      </c>
      <c r="B330" s="124">
        <v>61.0</v>
      </c>
      <c r="C330" s="124">
        <v>61.0</v>
      </c>
      <c r="D330" s="124">
        <v>61.0</v>
      </c>
      <c r="E330" s="124">
        <v>61.0</v>
      </c>
      <c r="F330" s="120" t="s">
        <v>454</v>
      </c>
      <c r="G330" s="121">
        <v>104.0</v>
      </c>
      <c r="H330" s="120" t="s">
        <v>41</v>
      </c>
      <c r="I330" s="119">
        <v>8.0</v>
      </c>
    </row>
    <row r="331">
      <c r="A331" s="124">
        <v>62.0</v>
      </c>
      <c r="B331" s="124">
        <v>62.0</v>
      </c>
      <c r="C331" s="124">
        <v>62.0</v>
      </c>
      <c r="D331" s="124">
        <v>62.0</v>
      </c>
      <c r="E331" s="124">
        <v>62.0</v>
      </c>
      <c r="F331" s="120" t="s">
        <v>455</v>
      </c>
      <c r="G331" s="121">
        <v>103.0</v>
      </c>
      <c r="H331" s="120" t="s">
        <v>41</v>
      </c>
      <c r="I331" s="119">
        <v>10.0</v>
      </c>
    </row>
    <row r="332">
      <c r="A332" s="124">
        <v>63.0</v>
      </c>
      <c r="B332" s="124">
        <v>63.0</v>
      </c>
      <c r="C332" s="124">
        <v>63.0</v>
      </c>
      <c r="D332" s="124">
        <v>63.0</v>
      </c>
      <c r="E332" s="124">
        <v>63.0</v>
      </c>
      <c r="F332" s="120" t="s">
        <v>456</v>
      </c>
      <c r="G332" s="121">
        <v>102.0</v>
      </c>
      <c r="H332" s="120" t="s">
        <v>41</v>
      </c>
      <c r="I332" s="119">
        <v>14.0</v>
      </c>
    </row>
    <row r="333">
      <c r="A333" s="122"/>
      <c r="B333" s="122"/>
      <c r="C333" s="122"/>
      <c r="D333" s="122"/>
      <c r="E333" s="122"/>
      <c r="F333" s="120"/>
      <c r="G333" s="120"/>
      <c r="H333" s="120"/>
      <c r="I333" s="122"/>
    </row>
    <row r="334">
      <c r="A334" s="125"/>
      <c r="B334" s="125"/>
      <c r="C334" s="125"/>
      <c r="D334" s="125"/>
      <c r="E334" s="125"/>
      <c r="F334" s="126"/>
      <c r="G334" s="126"/>
      <c r="H334" s="126"/>
      <c r="I334" s="125"/>
    </row>
    <row r="335">
      <c r="A335" s="125"/>
      <c r="B335" s="125"/>
      <c r="C335" s="125"/>
      <c r="D335" s="125"/>
      <c r="E335" s="125"/>
      <c r="F335" s="126"/>
      <c r="G335" s="126"/>
      <c r="H335" s="126"/>
      <c r="I335" s="125"/>
    </row>
    <row r="336">
      <c r="A336" s="125"/>
      <c r="B336" s="125"/>
      <c r="C336" s="125"/>
      <c r="D336" s="125"/>
      <c r="E336" s="125"/>
      <c r="F336" s="126"/>
      <c r="G336" s="126"/>
      <c r="H336" s="126"/>
      <c r="I336" s="125"/>
    </row>
    <row r="337">
      <c r="A337" s="125"/>
      <c r="B337" s="125"/>
      <c r="C337" s="125"/>
      <c r="D337" s="125"/>
      <c r="E337" s="125"/>
      <c r="F337" s="126"/>
      <c r="G337" s="126"/>
      <c r="H337" s="126"/>
      <c r="I337" s="125"/>
    </row>
    <row r="338">
      <c r="A338" s="125"/>
      <c r="B338" s="125"/>
      <c r="C338" s="125"/>
      <c r="D338" s="125"/>
      <c r="E338" s="125"/>
      <c r="F338" s="126"/>
      <c r="G338" s="126"/>
      <c r="H338" s="126"/>
      <c r="I338" s="125"/>
    </row>
    <row r="339">
      <c r="A339" s="125"/>
      <c r="B339" s="125"/>
      <c r="C339" s="125"/>
      <c r="D339" s="125"/>
      <c r="E339" s="125"/>
      <c r="F339" s="126"/>
      <c r="G339" s="126"/>
      <c r="H339" s="126"/>
      <c r="I339" s="125"/>
    </row>
    <row r="340">
      <c r="A340" s="125"/>
      <c r="B340" s="125"/>
      <c r="C340" s="125"/>
      <c r="D340" s="125"/>
      <c r="E340" s="125"/>
      <c r="F340" s="126"/>
      <c r="G340" s="126"/>
      <c r="H340" s="126"/>
      <c r="I340" s="125"/>
    </row>
    <row r="341">
      <c r="A341" s="125"/>
      <c r="B341" s="125"/>
      <c r="C341" s="125"/>
      <c r="D341" s="125"/>
      <c r="E341" s="125"/>
      <c r="F341" s="126"/>
      <c r="G341" s="126"/>
      <c r="H341" s="126"/>
      <c r="I341" s="125"/>
    </row>
    <row r="342">
      <c r="A342" s="125"/>
      <c r="B342" s="125"/>
      <c r="C342" s="125"/>
      <c r="D342" s="125"/>
      <c r="E342" s="125"/>
      <c r="F342" s="126"/>
      <c r="G342" s="126"/>
      <c r="H342" s="126"/>
      <c r="I342" s="125"/>
    </row>
    <row r="343">
      <c r="A343" s="125"/>
      <c r="B343" s="125"/>
      <c r="C343" s="125"/>
      <c r="D343" s="125"/>
      <c r="E343" s="125"/>
      <c r="F343" s="126"/>
      <c r="G343" s="126"/>
      <c r="H343" s="126"/>
      <c r="I343" s="125"/>
    </row>
    <row r="344">
      <c r="A344" s="125"/>
      <c r="B344" s="125"/>
      <c r="C344" s="125"/>
      <c r="D344" s="125"/>
      <c r="E344" s="125"/>
      <c r="F344" s="126"/>
      <c r="G344" s="126"/>
      <c r="H344" s="126"/>
      <c r="I344" s="125"/>
    </row>
    <row r="345">
      <c r="A345" s="125"/>
      <c r="B345" s="125"/>
      <c r="C345" s="125"/>
      <c r="D345" s="125"/>
      <c r="E345" s="125"/>
      <c r="F345" s="126"/>
      <c r="G345" s="126"/>
      <c r="H345" s="126"/>
      <c r="I345" s="125"/>
    </row>
    <row r="346">
      <c r="A346" s="125"/>
      <c r="B346" s="125"/>
      <c r="C346" s="125"/>
      <c r="D346" s="125"/>
      <c r="E346" s="125"/>
      <c r="F346" s="126"/>
      <c r="G346" s="126"/>
      <c r="H346" s="126"/>
      <c r="I346" s="125"/>
    </row>
    <row r="347">
      <c r="A347" s="125"/>
      <c r="B347" s="125"/>
      <c r="C347" s="125"/>
      <c r="D347" s="125"/>
      <c r="E347" s="125"/>
      <c r="F347" s="126"/>
      <c r="G347" s="126"/>
      <c r="H347" s="126"/>
      <c r="I347" s="125"/>
    </row>
    <row r="348">
      <c r="A348" s="125"/>
      <c r="B348" s="125"/>
      <c r="C348" s="125"/>
      <c r="D348" s="125"/>
      <c r="E348" s="125"/>
      <c r="F348" s="126"/>
      <c r="G348" s="126"/>
      <c r="H348" s="126"/>
      <c r="I348" s="125"/>
    </row>
    <row r="349">
      <c r="A349" s="125"/>
      <c r="B349" s="125"/>
      <c r="C349" s="125"/>
      <c r="D349" s="125"/>
      <c r="E349" s="125"/>
      <c r="F349" s="126"/>
      <c r="G349" s="126"/>
      <c r="H349" s="126"/>
      <c r="I349" s="125"/>
    </row>
    <row r="350">
      <c r="A350" s="125"/>
      <c r="B350" s="125"/>
      <c r="C350" s="125"/>
      <c r="D350" s="125"/>
      <c r="E350" s="125"/>
      <c r="F350" s="126"/>
      <c r="G350" s="126"/>
      <c r="H350" s="126"/>
      <c r="I350" s="125"/>
    </row>
    <row r="351">
      <c r="A351" s="125"/>
      <c r="B351" s="125"/>
      <c r="C351" s="125"/>
      <c r="D351" s="125"/>
      <c r="E351" s="125"/>
      <c r="F351" s="126"/>
      <c r="G351" s="126"/>
      <c r="H351" s="126"/>
      <c r="I351" s="125"/>
    </row>
    <row r="352">
      <c r="A352" s="125"/>
      <c r="B352" s="125"/>
      <c r="C352" s="125"/>
      <c r="D352" s="125"/>
      <c r="E352" s="125"/>
      <c r="F352" s="126"/>
      <c r="G352" s="126"/>
      <c r="H352" s="126"/>
      <c r="I352" s="125"/>
    </row>
    <row r="353">
      <c r="A353" s="125"/>
      <c r="B353" s="125"/>
      <c r="C353" s="125"/>
      <c r="D353" s="125"/>
      <c r="E353" s="125"/>
      <c r="F353" s="126"/>
      <c r="G353" s="126"/>
      <c r="H353" s="126"/>
      <c r="I353" s="125"/>
    </row>
    <row r="354">
      <c r="A354" s="125"/>
      <c r="B354" s="125"/>
      <c r="C354" s="125"/>
      <c r="D354" s="125"/>
      <c r="E354" s="125"/>
      <c r="F354" s="126"/>
      <c r="G354" s="126"/>
      <c r="H354" s="126"/>
      <c r="I354" s="125"/>
    </row>
    <row r="355">
      <c r="A355" s="125"/>
      <c r="B355" s="125"/>
      <c r="C355" s="125"/>
      <c r="D355" s="125"/>
      <c r="E355" s="125"/>
      <c r="F355" s="126"/>
      <c r="G355" s="126"/>
      <c r="H355" s="126"/>
      <c r="I355" s="125"/>
    </row>
    <row r="356">
      <c r="A356" s="125"/>
      <c r="B356" s="125"/>
      <c r="C356" s="125"/>
      <c r="D356" s="125"/>
      <c r="E356" s="125"/>
      <c r="F356" s="126"/>
      <c r="G356" s="126"/>
      <c r="H356" s="126"/>
      <c r="I356" s="125"/>
    </row>
    <row r="357">
      <c r="A357" s="125"/>
      <c r="B357" s="125"/>
      <c r="C357" s="125"/>
      <c r="D357" s="125"/>
      <c r="E357" s="125"/>
      <c r="F357" s="126"/>
      <c r="G357" s="126"/>
      <c r="H357" s="126"/>
      <c r="I357" s="125"/>
    </row>
    <row r="358">
      <c r="A358" s="125"/>
      <c r="B358" s="125"/>
      <c r="C358" s="125"/>
      <c r="D358" s="125"/>
      <c r="E358" s="125"/>
      <c r="F358" s="126"/>
      <c r="G358" s="126"/>
      <c r="H358" s="126"/>
      <c r="I358" s="125"/>
    </row>
    <row r="359">
      <c r="A359" s="125"/>
      <c r="B359" s="125"/>
      <c r="C359" s="125"/>
      <c r="D359" s="125"/>
      <c r="E359" s="125"/>
      <c r="F359" s="126"/>
      <c r="G359" s="126"/>
      <c r="H359" s="126"/>
      <c r="I359" s="125"/>
    </row>
    <row r="360">
      <c r="A360" s="125"/>
      <c r="B360" s="125"/>
      <c r="C360" s="125"/>
      <c r="D360" s="125"/>
      <c r="E360" s="125"/>
      <c r="F360" s="126"/>
      <c r="G360" s="126"/>
      <c r="H360" s="126"/>
      <c r="I360" s="125"/>
    </row>
    <row r="361">
      <c r="A361" s="125"/>
      <c r="B361" s="125"/>
      <c r="C361" s="125"/>
      <c r="D361" s="125"/>
      <c r="E361" s="125"/>
      <c r="F361" s="126"/>
      <c r="G361" s="126"/>
      <c r="H361" s="126"/>
      <c r="I361" s="125"/>
    </row>
    <row r="362">
      <c r="A362" s="125"/>
      <c r="B362" s="125"/>
      <c r="C362" s="125"/>
      <c r="D362" s="125"/>
      <c r="E362" s="125"/>
      <c r="F362" s="126"/>
      <c r="G362" s="126"/>
      <c r="H362" s="126"/>
      <c r="I362" s="125"/>
    </row>
    <row r="363">
      <c r="A363" s="125"/>
      <c r="B363" s="125"/>
      <c r="C363" s="125"/>
      <c r="D363" s="125"/>
      <c r="E363" s="125"/>
      <c r="F363" s="126"/>
      <c r="G363" s="126"/>
      <c r="H363" s="126"/>
      <c r="I363" s="125"/>
    </row>
    <row r="364">
      <c r="A364" s="125"/>
      <c r="B364" s="125"/>
      <c r="C364" s="125"/>
      <c r="D364" s="125"/>
      <c r="E364" s="125"/>
      <c r="F364" s="126"/>
      <c r="G364" s="126"/>
      <c r="H364" s="126"/>
      <c r="I364" s="125"/>
    </row>
    <row r="365">
      <c r="A365" s="125"/>
      <c r="B365" s="125"/>
      <c r="C365" s="125"/>
      <c r="D365" s="125"/>
      <c r="E365" s="125"/>
      <c r="F365" s="126"/>
      <c r="G365" s="126"/>
      <c r="H365" s="126"/>
      <c r="I365" s="125"/>
    </row>
    <row r="366">
      <c r="A366" s="125"/>
      <c r="B366" s="125"/>
      <c r="C366" s="125"/>
      <c r="D366" s="125"/>
      <c r="E366" s="125"/>
      <c r="F366" s="126"/>
      <c r="G366" s="126"/>
      <c r="H366" s="126"/>
      <c r="I366" s="125"/>
    </row>
    <row r="367">
      <c r="A367" s="125"/>
      <c r="B367" s="125"/>
      <c r="C367" s="125"/>
      <c r="D367" s="125"/>
      <c r="E367" s="125"/>
      <c r="F367" s="126"/>
      <c r="G367" s="126"/>
      <c r="H367" s="126"/>
      <c r="I367" s="125"/>
    </row>
    <row r="368">
      <c r="A368" s="125"/>
      <c r="B368" s="125"/>
      <c r="C368" s="125"/>
      <c r="D368" s="125"/>
      <c r="E368" s="125"/>
      <c r="F368" s="126"/>
      <c r="G368" s="126"/>
      <c r="H368" s="126"/>
      <c r="I368" s="125"/>
    </row>
    <row r="369">
      <c r="A369" s="125"/>
      <c r="B369" s="125"/>
      <c r="C369" s="125"/>
      <c r="D369" s="125"/>
      <c r="E369" s="125"/>
      <c r="F369" s="126"/>
      <c r="G369" s="126"/>
      <c r="H369" s="126"/>
      <c r="I369" s="125"/>
    </row>
    <row r="370">
      <c r="A370" s="125"/>
      <c r="B370" s="125"/>
      <c r="C370" s="125"/>
      <c r="D370" s="125"/>
      <c r="E370" s="125"/>
      <c r="F370" s="126"/>
      <c r="G370" s="126"/>
      <c r="H370" s="126"/>
      <c r="I370" s="125"/>
    </row>
    <row r="371">
      <c r="A371" s="125"/>
      <c r="B371" s="125"/>
      <c r="C371" s="125"/>
      <c r="D371" s="125"/>
      <c r="E371" s="125"/>
      <c r="F371" s="126"/>
      <c r="G371" s="126"/>
      <c r="H371" s="126"/>
      <c r="I371" s="125"/>
    </row>
    <row r="372">
      <c r="A372" s="125"/>
      <c r="B372" s="125"/>
      <c r="C372" s="125"/>
      <c r="D372" s="125"/>
      <c r="E372" s="125"/>
      <c r="F372" s="126"/>
      <c r="G372" s="126"/>
      <c r="H372" s="126"/>
      <c r="I372" s="125"/>
    </row>
    <row r="373">
      <c r="A373" s="125"/>
      <c r="B373" s="125"/>
      <c r="C373" s="125"/>
      <c r="D373" s="125"/>
      <c r="E373" s="125"/>
      <c r="F373" s="126"/>
      <c r="G373" s="126"/>
      <c r="H373" s="126"/>
      <c r="I373" s="125"/>
    </row>
    <row r="374">
      <c r="A374" s="125"/>
      <c r="B374" s="125"/>
      <c r="C374" s="125"/>
      <c r="D374" s="125"/>
      <c r="E374" s="125"/>
      <c r="F374" s="126"/>
      <c r="G374" s="126"/>
      <c r="H374" s="126"/>
      <c r="I374" s="125"/>
    </row>
    <row r="375">
      <c r="A375" s="125"/>
      <c r="B375" s="125"/>
      <c r="C375" s="125"/>
      <c r="D375" s="125"/>
      <c r="E375" s="125"/>
      <c r="F375" s="126"/>
      <c r="G375" s="126"/>
      <c r="H375" s="126"/>
      <c r="I375" s="125"/>
    </row>
    <row r="376">
      <c r="A376" s="125"/>
      <c r="B376" s="125"/>
      <c r="C376" s="125"/>
      <c r="D376" s="125"/>
      <c r="E376" s="125"/>
      <c r="F376" s="126"/>
      <c r="G376" s="126"/>
      <c r="H376" s="126"/>
      <c r="I376" s="125"/>
    </row>
    <row r="377">
      <c r="A377" s="125"/>
      <c r="B377" s="125"/>
      <c r="C377" s="125"/>
      <c r="D377" s="125"/>
      <c r="E377" s="125"/>
      <c r="F377" s="126"/>
      <c r="G377" s="126"/>
      <c r="H377" s="126"/>
      <c r="I377" s="125"/>
    </row>
    <row r="378">
      <c r="A378" s="125"/>
      <c r="B378" s="125"/>
      <c r="C378" s="125"/>
      <c r="D378" s="125"/>
      <c r="E378" s="125"/>
      <c r="F378" s="126"/>
      <c r="G378" s="126"/>
      <c r="H378" s="126"/>
      <c r="I378" s="125"/>
    </row>
    <row r="379">
      <c r="A379" s="125"/>
      <c r="B379" s="125"/>
      <c r="C379" s="125"/>
      <c r="D379" s="125"/>
      <c r="E379" s="125"/>
      <c r="F379" s="126"/>
      <c r="G379" s="126"/>
      <c r="H379" s="126"/>
      <c r="I379" s="125"/>
    </row>
    <row r="380">
      <c r="A380" s="125"/>
      <c r="B380" s="125"/>
      <c r="C380" s="125"/>
      <c r="D380" s="125"/>
      <c r="E380" s="125"/>
      <c r="F380" s="126"/>
      <c r="G380" s="126"/>
      <c r="H380" s="126"/>
      <c r="I380" s="125"/>
    </row>
    <row r="381">
      <c r="A381" s="125"/>
      <c r="B381" s="125"/>
      <c r="C381" s="125"/>
      <c r="D381" s="125"/>
      <c r="E381" s="125"/>
      <c r="F381" s="126"/>
      <c r="G381" s="126"/>
      <c r="H381" s="126"/>
      <c r="I381" s="125"/>
    </row>
    <row r="382">
      <c r="A382" s="125"/>
      <c r="B382" s="125"/>
      <c r="C382" s="125"/>
      <c r="D382" s="125"/>
      <c r="E382" s="125"/>
      <c r="F382" s="126"/>
      <c r="G382" s="126"/>
      <c r="H382" s="126"/>
      <c r="I382" s="125"/>
    </row>
    <row r="383">
      <c r="A383" s="125"/>
      <c r="B383" s="125"/>
      <c r="C383" s="125"/>
      <c r="D383" s="125"/>
      <c r="E383" s="125"/>
      <c r="F383" s="126"/>
      <c r="G383" s="126"/>
      <c r="H383" s="126"/>
      <c r="I383" s="125"/>
    </row>
    <row r="384">
      <c r="A384" s="125"/>
      <c r="B384" s="125"/>
      <c r="C384" s="125"/>
      <c r="D384" s="125"/>
      <c r="E384" s="125"/>
      <c r="F384" s="126"/>
      <c r="G384" s="126"/>
      <c r="H384" s="126"/>
      <c r="I384" s="125"/>
    </row>
    <row r="385">
      <c r="A385" s="125"/>
      <c r="B385" s="125"/>
      <c r="C385" s="125"/>
      <c r="D385" s="125"/>
      <c r="E385" s="125"/>
      <c r="F385" s="126"/>
      <c r="G385" s="126"/>
      <c r="H385" s="126"/>
      <c r="I385" s="125"/>
    </row>
    <row r="386">
      <c r="A386" s="125"/>
      <c r="B386" s="125"/>
      <c r="C386" s="125"/>
      <c r="D386" s="125"/>
      <c r="E386" s="125"/>
      <c r="F386" s="126"/>
      <c r="G386" s="126"/>
      <c r="H386" s="126"/>
      <c r="I386" s="125"/>
    </row>
    <row r="387">
      <c r="A387" s="125"/>
      <c r="B387" s="125"/>
      <c r="C387" s="125"/>
      <c r="D387" s="125"/>
      <c r="E387" s="125"/>
      <c r="F387" s="126"/>
      <c r="G387" s="126"/>
      <c r="H387" s="126"/>
      <c r="I387" s="125"/>
    </row>
    <row r="388">
      <c r="A388" s="125"/>
      <c r="B388" s="125"/>
      <c r="C388" s="125"/>
      <c r="D388" s="125"/>
      <c r="E388" s="125"/>
      <c r="F388" s="126"/>
      <c r="G388" s="126"/>
      <c r="H388" s="126"/>
      <c r="I388" s="125"/>
    </row>
    <row r="389">
      <c r="A389" s="125"/>
      <c r="B389" s="125"/>
      <c r="C389" s="125"/>
      <c r="D389" s="125"/>
      <c r="E389" s="125"/>
      <c r="F389" s="126"/>
      <c r="G389" s="126"/>
      <c r="H389" s="126"/>
      <c r="I389" s="125"/>
    </row>
    <row r="390">
      <c r="A390" s="125"/>
      <c r="B390" s="125"/>
      <c r="C390" s="125"/>
      <c r="D390" s="125"/>
      <c r="E390" s="125"/>
      <c r="F390" s="126"/>
      <c r="G390" s="126"/>
      <c r="H390" s="126"/>
      <c r="I390" s="125"/>
    </row>
    <row r="391">
      <c r="A391" s="125"/>
      <c r="B391" s="125"/>
      <c r="C391" s="125"/>
      <c r="D391" s="125"/>
      <c r="E391" s="125"/>
      <c r="F391" s="126"/>
      <c r="G391" s="126"/>
      <c r="H391" s="126"/>
      <c r="I391" s="125"/>
    </row>
    <row r="392">
      <c r="A392" s="125"/>
      <c r="B392" s="125"/>
      <c r="C392" s="125"/>
      <c r="D392" s="125"/>
      <c r="E392" s="125"/>
      <c r="F392" s="126"/>
      <c r="G392" s="126"/>
      <c r="H392" s="126"/>
      <c r="I392" s="125"/>
    </row>
    <row r="393">
      <c r="A393" s="125"/>
      <c r="B393" s="125"/>
      <c r="C393" s="125"/>
      <c r="D393" s="125"/>
      <c r="E393" s="125"/>
      <c r="F393" s="126"/>
      <c r="G393" s="126"/>
      <c r="H393" s="126"/>
      <c r="I393" s="125"/>
    </row>
    <row r="394">
      <c r="A394" s="125"/>
      <c r="B394" s="125"/>
      <c r="C394" s="125"/>
      <c r="D394" s="125"/>
      <c r="E394" s="125"/>
      <c r="F394" s="126"/>
      <c r="G394" s="126"/>
      <c r="H394" s="126"/>
      <c r="I394" s="125"/>
    </row>
    <row r="395">
      <c r="A395" s="125"/>
      <c r="B395" s="125"/>
      <c r="C395" s="125"/>
      <c r="D395" s="125"/>
      <c r="E395" s="125"/>
      <c r="F395" s="126"/>
      <c r="G395" s="126"/>
      <c r="H395" s="126"/>
      <c r="I395" s="125"/>
    </row>
    <row r="396">
      <c r="A396" s="125"/>
      <c r="B396" s="125"/>
      <c r="C396" s="125"/>
      <c r="D396" s="125"/>
      <c r="E396" s="125"/>
      <c r="F396" s="126"/>
      <c r="G396" s="126"/>
      <c r="H396" s="126"/>
      <c r="I396" s="125"/>
    </row>
    <row r="397">
      <c r="A397" s="125"/>
      <c r="B397" s="125"/>
      <c r="C397" s="125"/>
      <c r="D397" s="125"/>
      <c r="E397" s="125"/>
      <c r="F397" s="126"/>
      <c r="G397" s="126"/>
      <c r="H397" s="126"/>
      <c r="I397" s="125"/>
    </row>
    <row r="398">
      <c r="A398" s="125"/>
      <c r="B398" s="125"/>
      <c r="C398" s="125"/>
      <c r="D398" s="125"/>
      <c r="E398" s="125"/>
      <c r="F398" s="126"/>
      <c r="G398" s="126"/>
      <c r="H398" s="126"/>
      <c r="I398" s="125"/>
    </row>
    <row r="399">
      <c r="A399" s="125"/>
      <c r="B399" s="125"/>
      <c r="C399" s="125"/>
      <c r="D399" s="125"/>
      <c r="E399" s="125"/>
      <c r="F399" s="126"/>
      <c r="G399" s="126"/>
      <c r="H399" s="126"/>
      <c r="I399" s="125"/>
    </row>
    <row r="400">
      <c r="A400" s="125"/>
      <c r="B400" s="125"/>
      <c r="C400" s="125"/>
      <c r="D400" s="125"/>
      <c r="E400" s="125"/>
      <c r="F400" s="126"/>
      <c r="G400" s="126"/>
      <c r="H400" s="126"/>
      <c r="I400" s="125"/>
    </row>
    <row r="401">
      <c r="A401" s="125"/>
      <c r="B401" s="125"/>
      <c r="C401" s="125"/>
      <c r="D401" s="125"/>
      <c r="E401" s="125"/>
      <c r="F401" s="126"/>
      <c r="G401" s="126"/>
      <c r="H401" s="126"/>
      <c r="I401" s="125"/>
    </row>
    <row r="402">
      <c r="A402" s="125"/>
      <c r="B402" s="125"/>
      <c r="C402" s="125"/>
      <c r="D402" s="125"/>
      <c r="E402" s="125"/>
      <c r="F402" s="126"/>
      <c r="G402" s="126"/>
      <c r="H402" s="126"/>
      <c r="I402" s="125"/>
    </row>
    <row r="403">
      <c r="A403" s="125"/>
      <c r="B403" s="125"/>
      <c r="C403" s="125"/>
      <c r="D403" s="125"/>
      <c r="E403" s="125"/>
      <c r="F403" s="126"/>
      <c r="G403" s="126"/>
      <c r="H403" s="126"/>
      <c r="I403" s="125"/>
    </row>
    <row r="404">
      <c r="A404" s="125"/>
      <c r="B404" s="125"/>
      <c r="C404" s="125"/>
      <c r="D404" s="125"/>
      <c r="E404" s="125"/>
      <c r="F404" s="126"/>
      <c r="G404" s="126"/>
      <c r="H404" s="126"/>
      <c r="I404" s="125"/>
    </row>
    <row r="405">
      <c r="A405" s="125"/>
      <c r="B405" s="125"/>
      <c r="C405" s="125"/>
      <c r="D405" s="125"/>
      <c r="E405" s="125"/>
      <c r="F405" s="126"/>
      <c r="G405" s="126"/>
      <c r="H405" s="126"/>
      <c r="I405" s="125"/>
    </row>
    <row r="406">
      <c r="A406" s="125"/>
      <c r="B406" s="125"/>
      <c r="C406" s="125"/>
      <c r="D406" s="125"/>
      <c r="E406" s="125"/>
      <c r="F406" s="126"/>
      <c r="G406" s="126"/>
      <c r="H406" s="126"/>
      <c r="I406" s="125"/>
    </row>
    <row r="407">
      <c r="A407" s="125"/>
      <c r="B407" s="125"/>
      <c r="C407" s="125"/>
      <c r="D407" s="125"/>
      <c r="E407" s="125"/>
      <c r="F407" s="126"/>
      <c r="G407" s="126"/>
      <c r="H407" s="126"/>
      <c r="I407" s="125"/>
    </row>
    <row r="408">
      <c r="A408" s="125"/>
      <c r="B408" s="125"/>
      <c r="C408" s="125"/>
      <c r="D408" s="125"/>
      <c r="E408" s="125"/>
      <c r="F408" s="126"/>
      <c r="G408" s="126"/>
      <c r="H408" s="126"/>
      <c r="I408" s="125"/>
    </row>
    <row r="409">
      <c r="A409" s="125"/>
      <c r="B409" s="125"/>
      <c r="C409" s="125"/>
      <c r="D409" s="125"/>
      <c r="E409" s="125"/>
      <c r="F409" s="126"/>
      <c r="G409" s="126"/>
      <c r="H409" s="126"/>
      <c r="I409" s="125"/>
    </row>
    <row r="410">
      <c r="A410" s="125"/>
      <c r="B410" s="125"/>
      <c r="C410" s="125"/>
      <c r="D410" s="125"/>
      <c r="E410" s="125"/>
      <c r="F410" s="126"/>
      <c r="G410" s="126"/>
      <c r="H410" s="126"/>
      <c r="I410" s="125"/>
    </row>
    <row r="411">
      <c r="A411" s="125"/>
      <c r="B411" s="125"/>
      <c r="C411" s="125"/>
      <c r="D411" s="125"/>
      <c r="E411" s="125"/>
      <c r="F411" s="126"/>
      <c r="G411" s="126"/>
      <c r="H411" s="126"/>
      <c r="I411" s="125"/>
    </row>
    <row r="412">
      <c r="A412" s="125"/>
      <c r="B412" s="125"/>
      <c r="C412" s="125"/>
      <c r="D412" s="125"/>
      <c r="E412" s="125"/>
      <c r="F412" s="126"/>
      <c r="G412" s="126"/>
      <c r="H412" s="126"/>
      <c r="I412" s="125"/>
    </row>
    <row r="413">
      <c r="A413" s="125"/>
      <c r="B413" s="125"/>
      <c r="C413" s="125"/>
      <c r="D413" s="125"/>
      <c r="E413" s="125"/>
      <c r="F413" s="126"/>
      <c r="G413" s="126"/>
      <c r="H413" s="126"/>
      <c r="I413" s="125"/>
    </row>
    <row r="414">
      <c r="A414" s="125"/>
      <c r="B414" s="125"/>
      <c r="C414" s="125"/>
      <c r="D414" s="125"/>
      <c r="E414" s="125"/>
      <c r="F414" s="126"/>
      <c r="G414" s="126"/>
      <c r="H414" s="126"/>
      <c r="I414" s="125"/>
    </row>
    <row r="415">
      <c r="A415" s="125"/>
      <c r="B415" s="125"/>
      <c r="C415" s="125"/>
      <c r="D415" s="125"/>
      <c r="E415" s="125"/>
      <c r="F415" s="126"/>
      <c r="G415" s="126"/>
      <c r="H415" s="126"/>
      <c r="I415" s="125"/>
    </row>
    <row r="416">
      <c r="A416" s="125"/>
      <c r="B416" s="125"/>
      <c r="C416" s="125"/>
      <c r="D416" s="125"/>
      <c r="E416" s="125"/>
      <c r="F416" s="126"/>
      <c r="G416" s="126"/>
      <c r="H416" s="126"/>
      <c r="I416" s="125"/>
    </row>
    <row r="417">
      <c r="A417" s="125"/>
      <c r="B417" s="125"/>
      <c r="C417" s="125"/>
      <c r="D417" s="125"/>
      <c r="E417" s="125"/>
      <c r="F417" s="126"/>
      <c r="G417" s="126"/>
      <c r="H417" s="126"/>
      <c r="I417" s="125"/>
    </row>
    <row r="418">
      <c r="A418" s="125"/>
      <c r="B418" s="125"/>
      <c r="C418" s="125"/>
      <c r="D418" s="125"/>
      <c r="E418" s="125"/>
      <c r="F418" s="126"/>
      <c r="G418" s="126"/>
      <c r="H418" s="126"/>
      <c r="I418" s="125"/>
    </row>
    <row r="419">
      <c r="A419" s="125"/>
      <c r="B419" s="125"/>
      <c r="C419" s="125"/>
      <c r="D419" s="125"/>
      <c r="E419" s="125"/>
      <c r="F419" s="126"/>
      <c r="G419" s="126"/>
      <c r="H419" s="126"/>
      <c r="I419" s="125"/>
    </row>
    <row r="420">
      <c r="A420" s="125"/>
      <c r="B420" s="125"/>
      <c r="C420" s="125"/>
      <c r="D420" s="125"/>
      <c r="E420" s="125"/>
      <c r="F420" s="126"/>
      <c r="G420" s="126"/>
      <c r="H420" s="126"/>
      <c r="I420" s="125"/>
    </row>
    <row r="421">
      <c r="A421" s="125"/>
      <c r="B421" s="125"/>
      <c r="C421" s="125"/>
      <c r="D421" s="125"/>
      <c r="E421" s="125"/>
      <c r="F421" s="126"/>
      <c r="G421" s="126"/>
      <c r="H421" s="126"/>
      <c r="I421" s="125"/>
    </row>
    <row r="422">
      <c r="A422" s="125"/>
      <c r="B422" s="125"/>
      <c r="C422" s="125"/>
      <c r="D422" s="125"/>
      <c r="E422" s="125"/>
      <c r="F422" s="126"/>
      <c r="G422" s="126"/>
      <c r="H422" s="126"/>
      <c r="I422" s="125"/>
    </row>
    <row r="423">
      <c r="A423" s="125"/>
      <c r="B423" s="125"/>
      <c r="C423" s="125"/>
      <c r="D423" s="125"/>
      <c r="E423" s="125"/>
      <c r="F423" s="126"/>
      <c r="G423" s="126"/>
      <c r="H423" s="126"/>
      <c r="I423" s="125"/>
    </row>
    <row r="424">
      <c r="A424" s="125"/>
      <c r="B424" s="125"/>
      <c r="C424" s="125"/>
      <c r="D424" s="125"/>
      <c r="E424" s="125"/>
      <c r="F424" s="126"/>
      <c r="G424" s="126"/>
      <c r="H424" s="126"/>
      <c r="I424" s="125"/>
    </row>
    <row r="425">
      <c r="A425" s="125"/>
      <c r="B425" s="125"/>
      <c r="C425" s="125"/>
      <c r="D425" s="125"/>
      <c r="E425" s="125"/>
      <c r="F425" s="126"/>
      <c r="G425" s="126"/>
      <c r="H425" s="126"/>
      <c r="I425" s="125"/>
    </row>
    <row r="426">
      <c r="A426" s="125"/>
      <c r="B426" s="125"/>
      <c r="C426" s="125"/>
      <c r="D426" s="125"/>
      <c r="E426" s="125"/>
      <c r="F426" s="126"/>
      <c r="G426" s="126"/>
      <c r="H426" s="126"/>
      <c r="I426" s="125"/>
    </row>
    <row r="427">
      <c r="A427" s="125"/>
      <c r="B427" s="125"/>
      <c r="C427" s="125"/>
      <c r="D427" s="125"/>
      <c r="E427" s="125"/>
      <c r="F427" s="126"/>
      <c r="G427" s="126"/>
      <c r="H427" s="126"/>
      <c r="I427" s="125"/>
    </row>
    <row r="428">
      <c r="A428" s="125"/>
      <c r="B428" s="125"/>
      <c r="C428" s="125"/>
      <c r="D428" s="125"/>
      <c r="E428" s="125"/>
      <c r="F428" s="126"/>
      <c r="G428" s="126"/>
      <c r="H428" s="126"/>
      <c r="I428" s="125"/>
    </row>
    <row r="429">
      <c r="A429" s="125"/>
      <c r="B429" s="125"/>
      <c r="C429" s="125"/>
      <c r="D429" s="125"/>
      <c r="E429" s="125"/>
      <c r="F429" s="126"/>
      <c r="G429" s="126"/>
      <c r="H429" s="126"/>
      <c r="I429" s="125"/>
    </row>
    <row r="430">
      <c r="A430" s="125"/>
      <c r="B430" s="125"/>
      <c r="C430" s="125"/>
      <c r="D430" s="125"/>
      <c r="E430" s="125"/>
      <c r="F430" s="126"/>
      <c r="G430" s="126"/>
      <c r="H430" s="126"/>
      <c r="I430" s="125"/>
    </row>
    <row r="431">
      <c r="A431" s="125"/>
      <c r="B431" s="125"/>
      <c r="C431" s="125"/>
      <c r="D431" s="125"/>
      <c r="E431" s="125"/>
      <c r="F431" s="126"/>
      <c r="G431" s="126"/>
      <c r="H431" s="126"/>
      <c r="I431" s="125"/>
    </row>
    <row r="432">
      <c r="A432" s="125"/>
      <c r="B432" s="125"/>
      <c r="C432" s="125"/>
      <c r="D432" s="125"/>
      <c r="E432" s="125"/>
      <c r="F432" s="126"/>
      <c r="G432" s="126"/>
      <c r="H432" s="126"/>
      <c r="I432" s="125"/>
    </row>
    <row r="433">
      <c r="A433" s="125"/>
      <c r="B433" s="125"/>
      <c r="C433" s="125"/>
      <c r="D433" s="125"/>
      <c r="E433" s="125"/>
      <c r="F433" s="126"/>
      <c r="G433" s="126"/>
      <c r="H433" s="126"/>
      <c r="I433" s="125"/>
    </row>
    <row r="434">
      <c r="A434" s="125"/>
      <c r="B434" s="125"/>
      <c r="C434" s="125"/>
      <c r="D434" s="125"/>
      <c r="E434" s="125"/>
      <c r="F434" s="126"/>
      <c r="G434" s="126"/>
      <c r="H434" s="126"/>
      <c r="I434" s="125"/>
    </row>
    <row r="435">
      <c r="A435" s="125"/>
      <c r="B435" s="125"/>
      <c r="C435" s="125"/>
      <c r="D435" s="125"/>
      <c r="E435" s="125"/>
      <c r="F435" s="126"/>
      <c r="G435" s="126"/>
      <c r="H435" s="126"/>
      <c r="I435" s="125"/>
    </row>
    <row r="436">
      <c r="A436" s="125"/>
      <c r="B436" s="125"/>
      <c r="C436" s="125"/>
      <c r="D436" s="125"/>
      <c r="E436" s="125"/>
      <c r="F436" s="126"/>
      <c r="G436" s="126"/>
      <c r="H436" s="126"/>
      <c r="I436" s="125"/>
    </row>
    <row r="437">
      <c r="A437" s="125"/>
      <c r="B437" s="125"/>
      <c r="C437" s="125"/>
      <c r="D437" s="125"/>
      <c r="E437" s="125"/>
      <c r="F437" s="126"/>
      <c r="G437" s="126"/>
      <c r="H437" s="126"/>
      <c r="I437" s="125"/>
    </row>
    <row r="438">
      <c r="A438" s="125"/>
      <c r="B438" s="125"/>
      <c r="C438" s="125"/>
      <c r="D438" s="125"/>
      <c r="E438" s="125"/>
      <c r="F438" s="126"/>
      <c r="G438" s="126"/>
      <c r="H438" s="126"/>
      <c r="I438" s="125"/>
    </row>
    <row r="439">
      <c r="A439" s="125"/>
      <c r="B439" s="125"/>
      <c r="C439" s="125"/>
      <c r="D439" s="125"/>
      <c r="E439" s="125"/>
      <c r="F439" s="126"/>
      <c r="G439" s="126"/>
      <c r="H439" s="126"/>
      <c r="I439" s="125"/>
    </row>
    <row r="440">
      <c r="A440" s="125"/>
      <c r="B440" s="125"/>
      <c r="C440" s="125"/>
      <c r="D440" s="125"/>
      <c r="E440" s="125"/>
      <c r="F440" s="126"/>
      <c r="G440" s="126"/>
      <c r="H440" s="126"/>
      <c r="I440" s="125"/>
    </row>
    <row r="441">
      <c r="A441" s="125"/>
      <c r="B441" s="125"/>
      <c r="C441" s="125"/>
      <c r="D441" s="125"/>
      <c r="E441" s="125"/>
      <c r="F441" s="126"/>
      <c r="G441" s="126"/>
      <c r="H441" s="126"/>
      <c r="I441" s="125"/>
    </row>
    <row r="442">
      <c r="A442" s="125"/>
      <c r="B442" s="125"/>
      <c r="C442" s="125"/>
      <c r="D442" s="125"/>
      <c r="E442" s="125"/>
      <c r="F442" s="126"/>
      <c r="G442" s="126"/>
      <c r="H442" s="126"/>
      <c r="I442" s="125"/>
    </row>
    <row r="443">
      <c r="A443" s="125"/>
      <c r="B443" s="125"/>
      <c r="C443" s="125"/>
      <c r="D443" s="125"/>
      <c r="E443" s="125"/>
      <c r="F443" s="126"/>
      <c r="G443" s="126"/>
      <c r="H443" s="126"/>
      <c r="I443" s="125"/>
    </row>
    <row r="444">
      <c r="A444" s="125"/>
      <c r="B444" s="125"/>
      <c r="C444" s="125"/>
      <c r="D444" s="125"/>
      <c r="E444" s="125"/>
      <c r="F444" s="126"/>
      <c r="G444" s="126"/>
      <c r="H444" s="126"/>
      <c r="I444" s="125"/>
    </row>
    <row r="445">
      <c r="A445" s="125"/>
      <c r="B445" s="125"/>
      <c r="C445" s="125"/>
      <c r="D445" s="125"/>
      <c r="E445" s="125"/>
      <c r="F445" s="126"/>
      <c r="G445" s="126"/>
      <c r="H445" s="126"/>
      <c r="I445" s="125"/>
    </row>
    <row r="446">
      <c r="A446" s="125"/>
      <c r="B446" s="125"/>
      <c r="C446" s="125"/>
      <c r="D446" s="125"/>
      <c r="E446" s="125"/>
      <c r="F446" s="126"/>
      <c r="G446" s="126"/>
      <c r="H446" s="126"/>
      <c r="I446" s="125"/>
    </row>
    <row r="447">
      <c r="A447" s="125"/>
      <c r="B447" s="125"/>
      <c r="C447" s="125"/>
      <c r="D447" s="125"/>
      <c r="E447" s="125"/>
      <c r="F447" s="126"/>
      <c r="G447" s="126"/>
      <c r="H447" s="126"/>
      <c r="I447" s="125"/>
    </row>
    <row r="448">
      <c r="A448" s="125"/>
      <c r="B448" s="125"/>
      <c r="C448" s="125"/>
      <c r="D448" s="125"/>
      <c r="E448" s="125"/>
      <c r="F448" s="126"/>
      <c r="G448" s="126"/>
      <c r="H448" s="126"/>
      <c r="I448" s="125"/>
    </row>
    <row r="449">
      <c r="A449" s="125"/>
      <c r="B449" s="125"/>
      <c r="C449" s="125"/>
      <c r="D449" s="125"/>
      <c r="E449" s="125"/>
      <c r="F449" s="126"/>
      <c r="G449" s="126"/>
      <c r="H449" s="126"/>
      <c r="I449" s="125"/>
    </row>
    <row r="450">
      <c r="A450" s="125"/>
      <c r="B450" s="125"/>
      <c r="C450" s="125"/>
      <c r="D450" s="125"/>
      <c r="E450" s="125"/>
      <c r="F450" s="126"/>
      <c r="G450" s="126"/>
      <c r="H450" s="126"/>
      <c r="I450" s="125"/>
    </row>
    <row r="451">
      <c r="A451" s="125"/>
      <c r="B451" s="125"/>
      <c r="C451" s="125"/>
      <c r="D451" s="125"/>
      <c r="E451" s="125"/>
      <c r="F451" s="126"/>
      <c r="G451" s="126"/>
      <c r="H451" s="126"/>
      <c r="I451" s="125"/>
    </row>
    <row r="452">
      <c r="A452" s="125"/>
      <c r="B452" s="125"/>
      <c r="C452" s="125"/>
      <c r="D452" s="125"/>
      <c r="E452" s="125"/>
      <c r="F452" s="126"/>
      <c r="G452" s="126"/>
      <c r="H452" s="126"/>
      <c r="I452" s="125"/>
    </row>
    <row r="453">
      <c r="A453" s="125"/>
      <c r="B453" s="125"/>
      <c r="C453" s="125"/>
      <c r="D453" s="125"/>
      <c r="E453" s="125"/>
      <c r="F453" s="126"/>
      <c r="G453" s="126"/>
      <c r="H453" s="126"/>
      <c r="I453" s="125"/>
    </row>
    <row r="454">
      <c r="A454" s="125"/>
      <c r="B454" s="125"/>
      <c r="C454" s="125"/>
      <c r="D454" s="125"/>
      <c r="E454" s="125"/>
      <c r="F454" s="126"/>
      <c r="G454" s="126"/>
      <c r="H454" s="126"/>
      <c r="I454" s="125"/>
    </row>
    <row r="455">
      <c r="A455" s="125"/>
      <c r="B455" s="125"/>
      <c r="C455" s="125"/>
      <c r="D455" s="125"/>
      <c r="E455" s="125"/>
      <c r="F455" s="126"/>
      <c r="G455" s="126"/>
      <c r="H455" s="126"/>
      <c r="I455" s="125"/>
    </row>
    <row r="456">
      <c r="A456" s="125"/>
      <c r="B456" s="125"/>
      <c r="C456" s="125"/>
      <c r="D456" s="125"/>
      <c r="E456" s="125"/>
      <c r="F456" s="126"/>
      <c r="G456" s="126"/>
      <c r="H456" s="126"/>
      <c r="I456" s="125"/>
    </row>
    <row r="457">
      <c r="A457" s="125"/>
      <c r="B457" s="125"/>
      <c r="C457" s="125"/>
      <c r="D457" s="125"/>
      <c r="E457" s="125"/>
      <c r="F457" s="126"/>
      <c r="G457" s="126"/>
      <c r="H457" s="126"/>
      <c r="I457" s="125"/>
    </row>
    <row r="458">
      <c r="A458" s="125"/>
      <c r="B458" s="125"/>
      <c r="C458" s="125"/>
      <c r="D458" s="125"/>
      <c r="E458" s="125"/>
      <c r="F458" s="126"/>
      <c r="G458" s="126"/>
      <c r="H458" s="126"/>
      <c r="I458" s="125"/>
    </row>
    <row r="459">
      <c r="A459" s="125"/>
      <c r="B459" s="125"/>
      <c r="C459" s="125"/>
      <c r="D459" s="125"/>
      <c r="E459" s="125"/>
      <c r="F459" s="126"/>
      <c r="G459" s="126"/>
      <c r="H459" s="126"/>
      <c r="I459" s="125"/>
    </row>
    <row r="460">
      <c r="A460" s="125"/>
      <c r="B460" s="125"/>
      <c r="C460" s="125"/>
      <c r="D460" s="125"/>
      <c r="E460" s="125"/>
      <c r="F460" s="126"/>
      <c r="G460" s="126"/>
      <c r="H460" s="126"/>
      <c r="I460" s="125"/>
    </row>
    <row r="461">
      <c r="A461" s="125"/>
      <c r="B461" s="125"/>
      <c r="C461" s="125"/>
      <c r="D461" s="125"/>
      <c r="E461" s="125"/>
      <c r="F461" s="126"/>
      <c r="G461" s="126"/>
      <c r="H461" s="126"/>
      <c r="I461" s="125"/>
    </row>
    <row r="462">
      <c r="A462" s="125"/>
      <c r="B462" s="125"/>
      <c r="C462" s="125"/>
      <c r="D462" s="125"/>
      <c r="E462" s="125"/>
      <c r="F462" s="126"/>
      <c r="G462" s="126"/>
      <c r="H462" s="126"/>
      <c r="I462" s="125"/>
    </row>
    <row r="463">
      <c r="A463" s="125"/>
      <c r="B463" s="125"/>
      <c r="C463" s="125"/>
      <c r="D463" s="125"/>
      <c r="E463" s="125"/>
      <c r="F463" s="126"/>
      <c r="G463" s="126"/>
      <c r="H463" s="126"/>
      <c r="I463" s="125"/>
    </row>
    <row r="464">
      <c r="A464" s="125"/>
      <c r="B464" s="125"/>
      <c r="C464" s="125"/>
      <c r="D464" s="125"/>
      <c r="E464" s="125"/>
      <c r="F464" s="126"/>
      <c r="G464" s="126"/>
      <c r="H464" s="126"/>
      <c r="I464" s="125"/>
    </row>
    <row r="465">
      <c r="A465" s="125"/>
      <c r="B465" s="125"/>
      <c r="C465" s="125"/>
      <c r="D465" s="125"/>
      <c r="E465" s="125"/>
      <c r="F465" s="126"/>
      <c r="G465" s="126"/>
      <c r="H465" s="126"/>
      <c r="I465" s="125"/>
    </row>
    <row r="466">
      <c r="A466" s="125"/>
      <c r="B466" s="125"/>
      <c r="C466" s="125"/>
      <c r="D466" s="125"/>
      <c r="E466" s="125"/>
      <c r="F466" s="126"/>
      <c r="G466" s="126"/>
      <c r="H466" s="126"/>
      <c r="I466" s="125"/>
    </row>
    <row r="467">
      <c r="A467" s="125"/>
      <c r="B467" s="125"/>
      <c r="C467" s="125"/>
      <c r="D467" s="125"/>
      <c r="E467" s="125"/>
      <c r="F467" s="126"/>
      <c r="G467" s="126"/>
      <c r="H467" s="126"/>
      <c r="I467" s="125"/>
    </row>
    <row r="468">
      <c r="A468" s="125"/>
      <c r="B468" s="125"/>
      <c r="C468" s="125"/>
      <c r="D468" s="125"/>
      <c r="E468" s="125"/>
      <c r="F468" s="126"/>
      <c r="G468" s="126"/>
      <c r="H468" s="126"/>
      <c r="I468" s="125"/>
    </row>
    <row r="469">
      <c r="A469" s="125"/>
      <c r="B469" s="125"/>
      <c r="C469" s="125"/>
      <c r="D469" s="125"/>
      <c r="E469" s="125"/>
      <c r="F469" s="126"/>
      <c r="G469" s="126"/>
      <c r="H469" s="126"/>
      <c r="I469" s="125"/>
    </row>
    <row r="470">
      <c r="A470" s="125"/>
      <c r="B470" s="125"/>
      <c r="C470" s="125"/>
      <c r="D470" s="125"/>
      <c r="E470" s="125"/>
      <c r="F470" s="126"/>
      <c r="G470" s="126"/>
      <c r="H470" s="126"/>
      <c r="I470" s="125"/>
    </row>
    <row r="471">
      <c r="A471" s="125"/>
      <c r="B471" s="125"/>
      <c r="C471" s="125"/>
      <c r="D471" s="125"/>
      <c r="E471" s="125"/>
      <c r="F471" s="126"/>
      <c r="G471" s="126"/>
      <c r="H471" s="126"/>
      <c r="I471" s="125"/>
    </row>
    <row r="472">
      <c r="A472" s="125"/>
      <c r="B472" s="125"/>
      <c r="C472" s="125"/>
      <c r="D472" s="125"/>
      <c r="E472" s="125"/>
      <c r="F472" s="126"/>
      <c r="G472" s="126"/>
      <c r="H472" s="126"/>
      <c r="I472" s="125"/>
    </row>
    <row r="473">
      <c r="A473" s="125"/>
      <c r="B473" s="125"/>
      <c r="C473" s="125"/>
      <c r="D473" s="125"/>
      <c r="E473" s="125"/>
      <c r="F473" s="126"/>
      <c r="G473" s="126"/>
      <c r="H473" s="126"/>
      <c r="I473" s="125"/>
    </row>
    <row r="474">
      <c r="A474" s="125"/>
      <c r="B474" s="125"/>
      <c r="C474" s="125"/>
      <c r="D474" s="125"/>
      <c r="E474" s="125"/>
      <c r="F474" s="126"/>
      <c r="G474" s="126"/>
      <c r="H474" s="126"/>
      <c r="I474" s="125"/>
    </row>
    <row r="475">
      <c r="A475" s="125"/>
      <c r="B475" s="125"/>
      <c r="C475" s="125"/>
      <c r="D475" s="125"/>
      <c r="E475" s="125"/>
      <c r="F475" s="126"/>
      <c r="G475" s="126"/>
      <c r="H475" s="126"/>
      <c r="I475" s="125"/>
    </row>
    <row r="476">
      <c r="A476" s="125"/>
      <c r="B476" s="125"/>
      <c r="C476" s="125"/>
      <c r="D476" s="125"/>
      <c r="E476" s="125"/>
      <c r="F476" s="126"/>
      <c r="G476" s="126"/>
      <c r="H476" s="126"/>
      <c r="I476" s="125"/>
    </row>
    <row r="477">
      <c r="A477" s="125"/>
      <c r="B477" s="125"/>
      <c r="C477" s="125"/>
      <c r="D477" s="125"/>
      <c r="E477" s="125"/>
      <c r="F477" s="126"/>
      <c r="G477" s="126"/>
      <c r="H477" s="126"/>
      <c r="I477" s="125"/>
    </row>
    <row r="478">
      <c r="A478" s="125"/>
      <c r="B478" s="125"/>
      <c r="C478" s="125"/>
      <c r="D478" s="125"/>
      <c r="E478" s="125"/>
      <c r="F478" s="126"/>
      <c r="G478" s="126"/>
      <c r="H478" s="126"/>
      <c r="I478" s="125"/>
    </row>
    <row r="479">
      <c r="A479" s="125"/>
      <c r="B479" s="125"/>
      <c r="C479" s="125"/>
      <c r="D479" s="125"/>
      <c r="E479" s="125"/>
      <c r="F479" s="126"/>
      <c r="G479" s="126"/>
      <c r="H479" s="126"/>
      <c r="I479" s="125"/>
    </row>
    <row r="480">
      <c r="A480" s="125"/>
      <c r="B480" s="125"/>
      <c r="C480" s="125"/>
      <c r="D480" s="125"/>
      <c r="E480" s="125"/>
      <c r="F480" s="126"/>
      <c r="G480" s="126"/>
      <c r="H480" s="126"/>
      <c r="I480" s="125"/>
    </row>
    <row r="481">
      <c r="A481" s="125"/>
      <c r="B481" s="125"/>
      <c r="C481" s="125"/>
      <c r="D481" s="125"/>
      <c r="E481" s="125"/>
      <c r="F481" s="126"/>
      <c r="G481" s="126"/>
      <c r="H481" s="126"/>
      <c r="I481" s="125"/>
    </row>
    <row r="482">
      <c r="A482" s="125"/>
      <c r="B482" s="125"/>
      <c r="C482" s="125"/>
      <c r="D482" s="125"/>
      <c r="E482" s="125"/>
      <c r="F482" s="126"/>
      <c r="G482" s="126"/>
      <c r="H482" s="126"/>
      <c r="I482" s="125"/>
    </row>
    <row r="483">
      <c r="A483" s="125"/>
      <c r="B483" s="125"/>
      <c r="C483" s="125"/>
      <c r="D483" s="125"/>
      <c r="E483" s="125"/>
      <c r="F483" s="126"/>
      <c r="G483" s="126"/>
      <c r="H483" s="126"/>
      <c r="I483" s="125"/>
    </row>
    <row r="484">
      <c r="A484" s="125"/>
      <c r="B484" s="125"/>
      <c r="C484" s="125"/>
      <c r="D484" s="125"/>
      <c r="E484" s="125"/>
      <c r="F484" s="126"/>
      <c r="G484" s="126"/>
      <c r="H484" s="126"/>
      <c r="I484" s="125"/>
    </row>
    <row r="485">
      <c r="A485" s="125"/>
      <c r="B485" s="125"/>
      <c r="C485" s="125"/>
      <c r="D485" s="125"/>
      <c r="E485" s="125"/>
      <c r="F485" s="126"/>
      <c r="G485" s="126"/>
      <c r="H485" s="126"/>
      <c r="I485" s="125"/>
    </row>
    <row r="486">
      <c r="A486" s="125"/>
      <c r="B486" s="125"/>
      <c r="C486" s="125"/>
      <c r="D486" s="125"/>
      <c r="E486" s="125"/>
      <c r="F486" s="126"/>
      <c r="G486" s="126"/>
      <c r="H486" s="126"/>
      <c r="I486" s="125"/>
    </row>
    <row r="487">
      <c r="A487" s="125"/>
      <c r="B487" s="125"/>
      <c r="C487" s="125"/>
      <c r="D487" s="125"/>
      <c r="E487" s="125"/>
      <c r="F487" s="126"/>
      <c r="G487" s="126"/>
      <c r="H487" s="126"/>
      <c r="I487" s="125"/>
    </row>
    <row r="488">
      <c r="A488" s="125"/>
      <c r="B488" s="125"/>
      <c r="C488" s="125"/>
      <c r="D488" s="125"/>
      <c r="E488" s="125"/>
      <c r="F488" s="126"/>
      <c r="G488" s="126"/>
      <c r="H488" s="126"/>
      <c r="I488" s="125"/>
    </row>
    <row r="489">
      <c r="A489" s="125"/>
      <c r="B489" s="125"/>
      <c r="C489" s="125"/>
      <c r="D489" s="125"/>
      <c r="E489" s="125"/>
      <c r="F489" s="126"/>
      <c r="G489" s="126"/>
      <c r="H489" s="126"/>
      <c r="I489" s="125"/>
    </row>
    <row r="490">
      <c r="A490" s="125"/>
      <c r="B490" s="125"/>
      <c r="C490" s="125"/>
      <c r="D490" s="125"/>
      <c r="E490" s="125"/>
      <c r="F490" s="126"/>
      <c r="G490" s="126"/>
      <c r="H490" s="126"/>
      <c r="I490" s="125"/>
    </row>
    <row r="491">
      <c r="A491" s="125"/>
      <c r="B491" s="125"/>
      <c r="C491" s="125"/>
      <c r="D491" s="125"/>
      <c r="E491" s="125"/>
      <c r="F491" s="126"/>
      <c r="G491" s="126"/>
      <c r="H491" s="126"/>
      <c r="I491" s="125"/>
    </row>
    <row r="492">
      <c r="A492" s="125"/>
      <c r="B492" s="125"/>
      <c r="C492" s="125"/>
      <c r="D492" s="125"/>
      <c r="E492" s="125"/>
      <c r="F492" s="126"/>
      <c r="G492" s="126"/>
      <c r="H492" s="126"/>
      <c r="I492" s="125"/>
    </row>
    <row r="493">
      <c r="A493" s="125"/>
      <c r="B493" s="125"/>
      <c r="C493" s="125"/>
      <c r="D493" s="125"/>
      <c r="E493" s="125"/>
      <c r="F493" s="126"/>
      <c r="G493" s="126"/>
      <c r="H493" s="126"/>
      <c r="I493" s="125"/>
    </row>
    <row r="494">
      <c r="A494" s="125"/>
      <c r="B494" s="125"/>
      <c r="C494" s="125"/>
      <c r="D494" s="125"/>
      <c r="E494" s="125"/>
      <c r="F494" s="126"/>
      <c r="G494" s="126"/>
      <c r="H494" s="126"/>
      <c r="I494" s="125"/>
    </row>
    <row r="495">
      <c r="A495" s="125"/>
      <c r="B495" s="125"/>
      <c r="C495" s="125"/>
      <c r="D495" s="125"/>
      <c r="E495" s="125"/>
      <c r="F495" s="126"/>
      <c r="G495" s="126"/>
      <c r="H495" s="126"/>
      <c r="I495" s="125"/>
    </row>
    <row r="496">
      <c r="A496" s="125"/>
      <c r="B496" s="125"/>
      <c r="C496" s="125"/>
      <c r="D496" s="125"/>
      <c r="E496" s="125"/>
      <c r="F496" s="126"/>
      <c r="G496" s="126"/>
      <c r="H496" s="126"/>
      <c r="I496" s="125"/>
    </row>
    <row r="497">
      <c r="A497" s="125"/>
      <c r="B497" s="125"/>
      <c r="C497" s="125"/>
      <c r="D497" s="125"/>
      <c r="E497" s="125"/>
      <c r="F497" s="126"/>
      <c r="G497" s="126"/>
      <c r="H497" s="126"/>
      <c r="I497" s="125"/>
    </row>
    <row r="498">
      <c r="A498" s="125"/>
      <c r="B498" s="125"/>
      <c r="C498" s="125"/>
      <c r="D498" s="125"/>
      <c r="E498" s="125"/>
      <c r="F498" s="126"/>
      <c r="G498" s="126"/>
      <c r="H498" s="126"/>
      <c r="I498" s="125"/>
    </row>
    <row r="499">
      <c r="A499" s="125"/>
      <c r="B499" s="125"/>
      <c r="C499" s="125"/>
      <c r="D499" s="125"/>
      <c r="E499" s="125"/>
      <c r="F499" s="126"/>
      <c r="G499" s="126"/>
      <c r="H499" s="126"/>
      <c r="I499" s="125"/>
    </row>
    <row r="500">
      <c r="A500" s="125"/>
      <c r="B500" s="125"/>
      <c r="C500" s="125"/>
      <c r="D500" s="125"/>
      <c r="E500" s="125"/>
      <c r="F500" s="126"/>
      <c r="G500" s="126"/>
      <c r="H500" s="126"/>
      <c r="I500" s="125"/>
    </row>
    <row r="501">
      <c r="A501" s="125"/>
      <c r="B501" s="125"/>
      <c r="C501" s="125"/>
      <c r="D501" s="125"/>
      <c r="E501" s="125"/>
      <c r="F501" s="126"/>
      <c r="G501" s="126"/>
      <c r="H501" s="126"/>
      <c r="I501" s="125"/>
    </row>
    <row r="502">
      <c r="A502" s="125"/>
      <c r="B502" s="125"/>
      <c r="C502" s="125"/>
      <c r="D502" s="125"/>
      <c r="E502" s="125"/>
      <c r="F502" s="126"/>
      <c r="G502" s="126"/>
      <c r="H502" s="126"/>
      <c r="I502" s="125"/>
    </row>
    <row r="503">
      <c r="A503" s="125"/>
      <c r="B503" s="125"/>
      <c r="C503" s="125"/>
      <c r="D503" s="125"/>
      <c r="E503" s="125"/>
      <c r="F503" s="126"/>
      <c r="G503" s="126"/>
      <c r="H503" s="126"/>
      <c r="I503" s="125"/>
    </row>
    <row r="504">
      <c r="A504" s="125"/>
      <c r="B504" s="125"/>
      <c r="C504" s="125"/>
      <c r="D504" s="125"/>
      <c r="E504" s="125"/>
      <c r="F504" s="126"/>
      <c r="G504" s="126"/>
      <c r="H504" s="126"/>
      <c r="I504" s="125"/>
    </row>
    <row r="505">
      <c r="A505" s="125"/>
      <c r="B505" s="125"/>
      <c r="C505" s="125"/>
      <c r="D505" s="125"/>
      <c r="E505" s="125"/>
      <c r="F505" s="126"/>
      <c r="G505" s="126"/>
      <c r="H505" s="126"/>
      <c r="I505" s="125"/>
    </row>
    <row r="506">
      <c r="A506" s="125"/>
      <c r="B506" s="125"/>
      <c r="C506" s="125"/>
      <c r="D506" s="125"/>
      <c r="E506" s="125"/>
      <c r="F506" s="126"/>
      <c r="G506" s="126"/>
      <c r="H506" s="126"/>
      <c r="I506" s="125"/>
    </row>
    <row r="507">
      <c r="A507" s="125"/>
      <c r="B507" s="125"/>
      <c r="C507" s="125"/>
      <c r="D507" s="125"/>
      <c r="E507" s="125"/>
      <c r="F507" s="126"/>
      <c r="G507" s="126"/>
      <c r="H507" s="126"/>
      <c r="I507" s="125"/>
    </row>
    <row r="508">
      <c r="A508" s="125"/>
      <c r="B508" s="125"/>
      <c r="C508" s="125"/>
      <c r="D508" s="125"/>
      <c r="E508" s="125"/>
      <c r="F508" s="126"/>
      <c r="G508" s="126"/>
      <c r="H508" s="126"/>
      <c r="I508" s="125"/>
    </row>
    <row r="509">
      <c r="A509" s="125"/>
      <c r="B509" s="125"/>
      <c r="C509" s="125"/>
      <c r="D509" s="125"/>
      <c r="E509" s="125"/>
      <c r="F509" s="126"/>
      <c r="G509" s="126"/>
      <c r="H509" s="126"/>
      <c r="I509" s="125"/>
    </row>
    <row r="510">
      <c r="A510" s="125"/>
      <c r="B510" s="125"/>
      <c r="C510" s="125"/>
      <c r="D510" s="125"/>
      <c r="E510" s="125"/>
      <c r="F510" s="126"/>
      <c r="G510" s="126"/>
      <c r="H510" s="126"/>
      <c r="I510" s="125"/>
    </row>
    <row r="511">
      <c r="A511" s="125"/>
      <c r="B511" s="125"/>
      <c r="C511" s="125"/>
      <c r="D511" s="125"/>
      <c r="E511" s="125"/>
      <c r="F511" s="126"/>
      <c r="G511" s="126"/>
      <c r="H511" s="126"/>
      <c r="I511" s="125"/>
    </row>
    <row r="512">
      <c r="A512" s="125"/>
      <c r="B512" s="125"/>
      <c r="C512" s="125"/>
      <c r="D512" s="125"/>
      <c r="E512" s="125"/>
      <c r="F512" s="126"/>
      <c r="G512" s="126"/>
      <c r="H512" s="126"/>
      <c r="I512" s="125"/>
    </row>
    <row r="513">
      <c r="A513" s="125"/>
      <c r="B513" s="125"/>
      <c r="C513" s="125"/>
      <c r="D513" s="125"/>
      <c r="E513" s="125"/>
      <c r="F513" s="126"/>
      <c r="G513" s="126"/>
      <c r="H513" s="126"/>
      <c r="I513" s="125"/>
    </row>
    <row r="514">
      <c r="A514" s="125"/>
      <c r="B514" s="125"/>
      <c r="C514" s="125"/>
      <c r="D514" s="125"/>
      <c r="E514" s="125"/>
      <c r="F514" s="126"/>
      <c r="G514" s="126"/>
      <c r="H514" s="126"/>
      <c r="I514" s="125"/>
    </row>
    <row r="515">
      <c r="A515" s="125"/>
      <c r="B515" s="125"/>
      <c r="C515" s="125"/>
      <c r="D515" s="125"/>
      <c r="E515" s="125"/>
      <c r="F515" s="126"/>
      <c r="G515" s="126"/>
      <c r="H515" s="126"/>
      <c r="I515" s="125"/>
    </row>
    <row r="516">
      <c r="A516" s="125"/>
      <c r="B516" s="125"/>
      <c r="C516" s="125"/>
      <c r="D516" s="125"/>
      <c r="E516" s="125"/>
      <c r="F516" s="126"/>
      <c r="G516" s="126"/>
      <c r="H516" s="126"/>
      <c r="I516" s="125"/>
    </row>
    <row r="517">
      <c r="A517" s="125"/>
      <c r="B517" s="125"/>
      <c r="C517" s="125"/>
      <c r="D517" s="125"/>
      <c r="E517" s="125"/>
      <c r="F517" s="126"/>
      <c r="G517" s="126"/>
      <c r="H517" s="126"/>
      <c r="I517" s="125"/>
    </row>
    <row r="518">
      <c r="A518" s="125"/>
      <c r="B518" s="125"/>
      <c r="C518" s="125"/>
      <c r="D518" s="125"/>
      <c r="E518" s="125"/>
      <c r="F518" s="126"/>
      <c r="G518" s="126"/>
      <c r="H518" s="126"/>
      <c r="I518" s="125"/>
    </row>
    <row r="519">
      <c r="A519" s="125"/>
      <c r="B519" s="125"/>
      <c r="C519" s="125"/>
      <c r="D519" s="125"/>
      <c r="E519" s="125"/>
      <c r="F519" s="126"/>
      <c r="G519" s="126"/>
      <c r="H519" s="126"/>
      <c r="I519" s="125"/>
    </row>
    <row r="520">
      <c r="A520" s="125"/>
      <c r="B520" s="125"/>
      <c r="C520" s="125"/>
      <c r="D520" s="125"/>
      <c r="E520" s="125"/>
      <c r="F520" s="126"/>
      <c r="G520" s="126"/>
      <c r="H520" s="126"/>
      <c r="I520" s="125"/>
    </row>
    <row r="521">
      <c r="A521" s="125"/>
      <c r="B521" s="125"/>
      <c r="C521" s="125"/>
      <c r="D521" s="125"/>
      <c r="E521" s="125"/>
      <c r="F521" s="126"/>
      <c r="G521" s="126"/>
      <c r="H521" s="126"/>
      <c r="I521" s="125"/>
    </row>
    <row r="522">
      <c r="A522" s="125"/>
      <c r="B522" s="125"/>
      <c r="C522" s="125"/>
      <c r="D522" s="125"/>
      <c r="E522" s="125"/>
      <c r="F522" s="126"/>
      <c r="G522" s="126"/>
      <c r="H522" s="126"/>
      <c r="I522" s="125"/>
    </row>
    <row r="523">
      <c r="A523" s="125"/>
      <c r="B523" s="125"/>
      <c r="C523" s="125"/>
      <c r="D523" s="125"/>
      <c r="E523" s="125"/>
      <c r="F523" s="126"/>
      <c r="G523" s="126"/>
      <c r="H523" s="126"/>
      <c r="I523" s="125"/>
    </row>
    <row r="524">
      <c r="A524" s="125"/>
      <c r="B524" s="125"/>
      <c r="C524" s="125"/>
      <c r="D524" s="125"/>
      <c r="E524" s="125"/>
      <c r="F524" s="126"/>
      <c r="G524" s="126"/>
      <c r="H524" s="126"/>
      <c r="I524" s="125"/>
    </row>
    <row r="525">
      <c r="A525" s="125"/>
      <c r="B525" s="125"/>
      <c r="C525" s="125"/>
      <c r="D525" s="125"/>
      <c r="E525" s="125"/>
      <c r="F525" s="126"/>
      <c r="G525" s="126"/>
      <c r="H525" s="126"/>
      <c r="I525" s="125"/>
    </row>
    <row r="526">
      <c r="A526" s="125"/>
      <c r="B526" s="125"/>
      <c r="C526" s="125"/>
      <c r="D526" s="125"/>
      <c r="E526" s="125"/>
      <c r="F526" s="126"/>
      <c r="G526" s="126"/>
      <c r="H526" s="126"/>
      <c r="I526" s="125"/>
    </row>
    <row r="527">
      <c r="A527" s="125"/>
      <c r="B527" s="125"/>
      <c r="C527" s="125"/>
      <c r="D527" s="125"/>
      <c r="E527" s="125"/>
      <c r="F527" s="126"/>
      <c r="G527" s="126"/>
      <c r="H527" s="126"/>
      <c r="I527" s="125"/>
    </row>
    <row r="528">
      <c r="A528" s="125"/>
      <c r="B528" s="125"/>
      <c r="C528" s="125"/>
      <c r="D528" s="125"/>
      <c r="E528" s="125"/>
      <c r="F528" s="126"/>
      <c r="G528" s="126"/>
      <c r="H528" s="126"/>
      <c r="I528" s="125"/>
    </row>
    <row r="529">
      <c r="A529" s="125"/>
      <c r="B529" s="125"/>
      <c r="C529" s="125"/>
      <c r="D529" s="125"/>
      <c r="E529" s="125"/>
      <c r="F529" s="126"/>
      <c r="G529" s="126"/>
      <c r="H529" s="126"/>
      <c r="I529" s="125"/>
    </row>
    <row r="530">
      <c r="A530" s="125"/>
      <c r="B530" s="125"/>
      <c r="C530" s="125"/>
      <c r="D530" s="125"/>
      <c r="E530" s="125"/>
      <c r="F530" s="126"/>
      <c r="G530" s="126"/>
      <c r="H530" s="126"/>
      <c r="I530" s="125"/>
    </row>
    <row r="531">
      <c r="A531" s="125"/>
      <c r="B531" s="125"/>
      <c r="C531" s="125"/>
      <c r="D531" s="125"/>
      <c r="E531" s="125"/>
      <c r="F531" s="126"/>
      <c r="G531" s="126"/>
      <c r="H531" s="126"/>
      <c r="I531" s="125"/>
    </row>
    <row r="532">
      <c r="A532" s="125"/>
      <c r="B532" s="125"/>
      <c r="C532" s="125"/>
      <c r="D532" s="125"/>
      <c r="E532" s="125"/>
      <c r="F532" s="126"/>
      <c r="G532" s="126"/>
      <c r="H532" s="126"/>
      <c r="I532" s="125"/>
    </row>
    <row r="533">
      <c r="A533" s="125"/>
      <c r="B533" s="125"/>
      <c r="C533" s="125"/>
      <c r="D533" s="125"/>
      <c r="E533" s="125"/>
      <c r="F533" s="126"/>
      <c r="G533" s="126"/>
      <c r="H533" s="126"/>
      <c r="I533" s="125"/>
    </row>
    <row r="534">
      <c r="A534" s="125"/>
      <c r="B534" s="125"/>
      <c r="C534" s="125"/>
      <c r="D534" s="125"/>
      <c r="E534" s="125"/>
      <c r="F534" s="126"/>
      <c r="G534" s="126"/>
      <c r="H534" s="126"/>
      <c r="I534" s="125"/>
    </row>
    <row r="535">
      <c r="A535" s="125"/>
      <c r="B535" s="125"/>
      <c r="C535" s="125"/>
      <c r="D535" s="125"/>
      <c r="E535" s="125"/>
      <c r="F535" s="126"/>
      <c r="G535" s="126"/>
      <c r="H535" s="126"/>
      <c r="I535" s="125"/>
    </row>
    <row r="536">
      <c r="A536" s="125"/>
      <c r="B536" s="125"/>
      <c r="C536" s="125"/>
      <c r="D536" s="125"/>
      <c r="E536" s="125"/>
      <c r="F536" s="126"/>
      <c r="G536" s="126"/>
      <c r="H536" s="126"/>
      <c r="I536" s="125"/>
    </row>
    <row r="537">
      <c r="A537" s="125"/>
      <c r="B537" s="125"/>
      <c r="C537" s="125"/>
      <c r="D537" s="125"/>
      <c r="E537" s="125"/>
      <c r="F537" s="126"/>
      <c r="G537" s="126"/>
      <c r="H537" s="126"/>
      <c r="I537" s="125"/>
    </row>
    <row r="538">
      <c r="A538" s="125"/>
      <c r="B538" s="125"/>
      <c r="C538" s="125"/>
      <c r="D538" s="125"/>
      <c r="E538" s="125"/>
      <c r="F538" s="126"/>
      <c r="G538" s="126"/>
      <c r="H538" s="126"/>
      <c r="I538" s="125"/>
    </row>
    <row r="539">
      <c r="A539" s="125"/>
      <c r="B539" s="125"/>
      <c r="C539" s="125"/>
      <c r="D539" s="125"/>
      <c r="E539" s="125"/>
      <c r="F539" s="126"/>
      <c r="G539" s="126"/>
      <c r="H539" s="126"/>
      <c r="I539" s="125"/>
    </row>
    <row r="540">
      <c r="A540" s="125"/>
      <c r="B540" s="125"/>
      <c r="C540" s="125"/>
      <c r="D540" s="125"/>
      <c r="E540" s="125"/>
      <c r="F540" s="126"/>
      <c r="G540" s="126"/>
      <c r="H540" s="126"/>
      <c r="I540" s="125"/>
    </row>
    <row r="541">
      <c r="A541" s="125"/>
      <c r="B541" s="125"/>
      <c r="C541" s="125"/>
      <c r="D541" s="125"/>
      <c r="E541" s="125"/>
      <c r="F541" s="126"/>
      <c r="G541" s="126"/>
      <c r="H541" s="126"/>
      <c r="I541" s="125"/>
    </row>
    <row r="542">
      <c r="A542" s="125"/>
      <c r="B542" s="125"/>
      <c r="C542" s="125"/>
      <c r="D542" s="125"/>
      <c r="E542" s="125"/>
      <c r="F542" s="126"/>
      <c r="G542" s="126"/>
      <c r="H542" s="126"/>
      <c r="I542" s="125"/>
    </row>
    <row r="543">
      <c r="A543" s="125"/>
      <c r="B543" s="125"/>
      <c r="C543" s="125"/>
      <c r="D543" s="125"/>
      <c r="E543" s="125"/>
      <c r="F543" s="126"/>
      <c r="G543" s="126"/>
      <c r="H543" s="126"/>
      <c r="I543" s="125"/>
    </row>
    <row r="544">
      <c r="A544" s="125"/>
      <c r="B544" s="125"/>
      <c r="C544" s="125"/>
      <c r="D544" s="125"/>
      <c r="E544" s="125"/>
      <c r="F544" s="126"/>
      <c r="G544" s="126"/>
      <c r="H544" s="126"/>
      <c r="I544" s="125"/>
    </row>
    <row r="545">
      <c r="A545" s="125"/>
      <c r="B545" s="125"/>
      <c r="C545" s="125"/>
      <c r="D545" s="125"/>
      <c r="E545" s="125"/>
      <c r="F545" s="126"/>
      <c r="G545" s="126"/>
      <c r="H545" s="126"/>
      <c r="I545" s="125"/>
    </row>
    <row r="546">
      <c r="A546" s="125"/>
      <c r="B546" s="125"/>
      <c r="C546" s="125"/>
      <c r="D546" s="125"/>
      <c r="E546" s="125"/>
      <c r="F546" s="126"/>
      <c r="G546" s="126"/>
      <c r="H546" s="126"/>
      <c r="I546" s="125"/>
    </row>
    <row r="547">
      <c r="A547" s="125"/>
      <c r="B547" s="125"/>
      <c r="C547" s="125"/>
      <c r="D547" s="125"/>
      <c r="E547" s="125"/>
      <c r="F547" s="126"/>
      <c r="G547" s="126"/>
      <c r="H547" s="126"/>
      <c r="I547" s="125"/>
    </row>
    <row r="548">
      <c r="A548" s="125"/>
      <c r="B548" s="125"/>
      <c r="C548" s="125"/>
      <c r="D548" s="125"/>
      <c r="E548" s="125"/>
      <c r="F548" s="126"/>
      <c r="G548" s="126"/>
      <c r="H548" s="126"/>
      <c r="I548" s="125"/>
    </row>
    <row r="549">
      <c r="A549" s="125"/>
      <c r="B549" s="125"/>
      <c r="C549" s="125"/>
      <c r="D549" s="125"/>
      <c r="E549" s="125"/>
      <c r="F549" s="126"/>
      <c r="G549" s="126"/>
      <c r="H549" s="126"/>
      <c r="I549" s="125"/>
    </row>
    <row r="550">
      <c r="A550" s="125"/>
      <c r="B550" s="125"/>
      <c r="C550" s="125"/>
      <c r="D550" s="125"/>
      <c r="E550" s="125"/>
      <c r="F550" s="126"/>
      <c r="G550" s="126"/>
      <c r="H550" s="126"/>
      <c r="I550" s="125"/>
    </row>
    <row r="551">
      <c r="A551" s="125"/>
      <c r="B551" s="125"/>
      <c r="C551" s="125"/>
      <c r="D551" s="125"/>
      <c r="E551" s="125"/>
      <c r="F551" s="126"/>
      <c r="G551" s="126"/>
      <c r="H551" s="126"/>
      <c r="I551" s="125"/>
    </row>
    <row r="552">
      <c r="A552" s="125"/>
      <c r="B552" s="125"/>
      <c r="C552" s="125"/>
      <c r="D552" s="125"/>
      <c r="E552" s="125"/>
      <c r="F552" s="126"/>
      <c r="G552" s="126"/>
      <c r="H552" s="126"/>
      <c r="I552" s="125"/>
    </row>
    <row r="553">
      <c r="A553" s="125"/>
      <c r="B553" s="125"/>
      <c r="C553" s="125"/>
      <c r="D553" s="125"/>
      <c r="E553" s="125"/>
      <c r="F553" s="126"/>
      <c r="G553" s="126"/>
      <c r="H553" s="126"/>
      <c r="I553" s="125"/>
    </row>
    <row r="554">
      <c r="A554" s="125"/>
      <c r="B554" s="125"/>
      <c r="C554" s="125"/>
      <c r="D554" s="125"/>
      <c r="E554" s="125"/>
      <c r="F554" s="126"/>
      <c r="G554" s="126"/>
      <c r="H554" s="126"/>
      <c r="I554" s="125"/>
    </row>
    <row r="555">
      <c r="A555" s="125"/>
      <c r="B555" s="125"/>
      <c r="C555" s="125"/>
      <c r="D555" s="125"/>
      <c r="E555" s="125"/>
      <c r="F555" s="126"/>
      <c r="G555" s="126"/>
      <c r="H555" s="126"/>
      <c r="I555" s="125"/>
    </row>
    <row r="556">
      <c r="A556" s="125"/>
      <c r="B556" s="125"/>
      <c r="C556" s="125"/>
      <c r="D556" s="125"/>
      <c r="E556" s="125"/>
      <c r="F556" s="126"/>
      <c r="G556" s="126"/>
      <c r="H556" s="126"/>
      <c r="I556" s="125"/>
    </row>
    <row r="557">
      <c r="A557" s="125"/>
      <c r="B557" s="125"/>
      <c r="C557" s="125"/>
      <c r="D557" s="125"/>
      <c r="E557" s="125"/>
      <c r="F557" s="126"/>
      <c r="G557" s="126"/>
      <c r="H557" s="126"/>
      <c r="I557" s="125"/>
    </row>
    <row r="558">
      <c r="A558" s="125"/>
      <c r="B558" s="125"/>
      <c r="C558" s="125"/>
      <c r="D558" s="125"/>
      <c r="E558" s="125"/>
      <c r="F558" s="126"/>
      <c r="G558" s="126"/>
      <c r="H558" s="126"/>
      <c r="I558" s="125"/>
    </row>
    <row r="559">
      <c r="A559" s="125"/>
      <c r="B559" s="125"/>
      <c r="C559" s="125"/>
      <c r="D559" s="125"/>
      <c r="E559" s="125"/>
      <c r="F559" s="126"/>
      <c r="G559" s="126"/>
      <c r="H559" s="126"/>
      <c r="I559" s="125"/>
    </row>
    <row r="560">
      <c r="A560" s="125"/>
      <c r="B560" s="125"/>
      <c r="C560" s="125"/>
      <c r="D560" s="125"/>
      <c r="E560" s="125"/>
      <c r="F560" s="126"/>
      <c r="G560" s="126"/>
      <c r="H560" s="126"/>
      <c r="I560" s="125"/>
    </row>
    <row r="561">
      <c r="A561" s="125"/>
      <c r="B561" s="125"/>
      <c r="C561" s="125"/>
      <c r="D561" s="125"/>
      <c r="E561" s="125"/>
      <c r="F561" s="126"/>
      <c r="G561" s="126"/>
      <c r="H561" s="126"/>
      <c r="I561" s="125"/>
    </row>
    <row r="562">
      <c r="A562" s="125"/>
      <c r="B562" s="125"/>
      <c r="C562" s="125"/>
      <c r="D562" s="125"/>
      <c r="E562" s="125"/>
      <c r="F562" s="126"/>
      <c r="G562" s="126"/>
      <c r="H562" s="126"/>
      <c r="I562" s="125"/>
    </row>
    <row r="563">
      <c r="A563" s="125"/>
      <c r="B563" s="125"/>
      <c r="C563" s="125"/>
      <c r="D563" s="125"/>
      <c r="E563" s="125"/>
      <c r="F563" s="126"/>
      <c r="G563" s="126"/>
      <c r="H563" s="126"/>
      <c r="I563" s="125"/>
    </row>
    <row r="564">
      <c r="A564" s="125"/>
      <c r="B564" s="125"/>
      <c r="C564" s="125"/>
      <c r="D564" s="125"/>
      <c r="E564" s="125"/>
      <c r="F564" s="126"/>
      <c r="G564" s="126"/>
      <c r="H564" s="126"/>
      <c r="I564" s="125"/>
    </row>
    <row r="565">
      <c r="A565" s="125"/>
      <c r="B565" s="125"/>
      <c r="C565" s="125"/>
      <c r="D565" s="125"/>
      <c r="E565" s="125"/>
      <c r="F565" s="126"/>
      <c r="G565" s="126"/>
      <c r="H565" s="126"/>
      <c r="I565" s="125"/>
    </row>
    <row r="566">
      <c r="A566" s="125"/>
      <c r="B566" s="125"/>
      <c r="C566" s="125"/>
      <c r="D566" s="125"/>
      <c r="E566" s="125"/>
      <c r="F566" s="126"/>
      <c r="G566" s="126"/>
      <c r="H566" s="126"/>
      <c r="I566" s="125"/>
    </row>
    <row r="567">
      <c r="A567" s="125"/>
      <c r="B567" s="125"/>
      <c r="C567" s="125"/>
      <c r="D567" s="125"/>
      <c r="E567" s="125"/>
      <c r="F567" s="126"/>
      <c r="G567" s="126"/>
      <c r="H567" s="126"/>
      <c r="I567" s="125"/>
    </row>
    <row r="568">
      <c r="A568" s="125"/>
      <c r="B568" s="125"/>
      <c r="C568" s="125"/>
      <c r="D568" s="125"/>
      <c r="E568" s="125"/>
      <c r="F568" s="126"/>
      <c r="G568" s="126"/>
      <c r="H568" s="126"/>
      <c r="I568" s="125"/>
    </row>
    <row r="569">
      <c r="A569" s="125"/>
      <c r="B569" s="125"/>
      <c r="C569" s="125"/>
      <c r="D569" s="125"/>
      <c r="E569" s="125"/>
      <c r="F569" s="126"/>
      <c r="G569" s="126"/>
      <c r="H569" s="126"/>
      <c r="I569" s="125"/>
    </row>
    <row r="570">
      <c r="A570" s="125"/>
      <c r="B570" s="125"/>
      <c r="C570" s="125"/>
      <c r="D570" s="125"/>
      <c r="E570" s="125"/>
      <c r="F570" s="126"/>
      <c r="G570" s="126"/>
      <c r="H570" s="126"/>
      <c r="I570" s="125"/>
    </row>
    <row r="571">
      <c r="A571" s="125"/>
      <c r="B571" s="125"/>
      <c r="C571" s="125"/>
      <c r="D571" s="125"/>
      <c r="E571" s="125"/>
      <c r="F571" s="126"/>
      <c r="G571" s="126"/>
      <c r="H571" s="126"/>
      <c r="I571" s="125"/>
    </row>
    <row r="572">
      <c r="A572" s="125"/>
      <c r="B572" s="125"/>
      <c r="C572" s="125"/>
      <c r="D572" s="125"/>
      <c r="E572" s="125"/>
      <c r="F572" s="126"/>
      <c r="G572" s="126"/>
      <c r="H572" s="126"/>
      <c r="I572" s="125"/>
    </row>
    <row r="573">
      <c r="A573" s="125"/>
      <c r="B573" s="125"/>
      <c r="C573" s="125"/>
      <c r="D573" s="125"/>
      <c r="E573" s="125"/>
      <c r="F573" s="126"/>
      <c r="G573" s="126"/>
      <c r="H573" s="126"/>
      <c r="I573" s="125"/>
    </row>
    <row r="574">
      <c r="A574" s="125"/>
      <c r="B574" s="125"/>
      <c r="C574" s="125"/>
      <c r="D574" s="125"/>
      <c r="E574" s="125"/>
      <c r="F574" s="126"/>
      <c r="G574" s="126"/>
      <c r="H574" s="126"/>
      <c r="I574" s="125"/>
    </row>
    <row r="575">
      <c r="A575" s="125"/>
      <c r="B575" s="125"/>
      <c r="C575" s="125"/>
      <c r="D575" s="125"/>
      <c r="E575" s="125"/>
      <c r="F575" s="126"/>
      <c r="G575" s="126"/>
      <c r="H575" s="126"/>
      <c r="I575" s="125"/>
    </row>
    <row r="576">
      <c r="A576" s="125"/>
      <c r="B576" s="125"/>
      <c r="C576" s="125"/>
      <c r="D576" s="125"/>
      <c r="E576" s="125"/>
      <c r="F576" s="126"/>
      <c r="G576" s="126"/>
      <c r="H576" s="126"/>
      <c r="I576" s="125"/>
    </row>
    <row r="577">
      <c r="A577" s="125"/>
      <c r="B577" s="125"/>
      <c r="C577" s="125"/>
      <c r="D577" s="125"/>
      <c r="E577" s="125"/>
      <c r="F577" s="126"/>
      <c r="G577" s="126"/>
      <c r="H577" s="126"/>
      <c r="I577" s="125"/>
    </row>
    <row r="578">
      <c r="A578" s="125"/>
      <c r="B578" s="125"/>
      <c r="C578" s="125"/>
      <c r="D578" s="125"/>
      <c r="E578" s="125"/>
      <c r="F578" s="126"/>
      <c r="G578" s="126"/>
      <c r="H578" s="126"/>
      <c r="I578" s="125"/>
    </row>
    <row r="579">
      <c r="A579" s="125"/>
      <c r="B579" s="125"/>
      <c r="C579" s="125"/>
      <c r="D579" s="125"/>
      <c r="E579" s="125"/>
      <c r="F579" s="126"/>
      <c r="G579" s="126"/>
      <c r="H579" s="126"/>
      <c r="I579" s="125"/>
    </row>
    <row r="580">
      <c r="A580" s="125"/>
      <c r="B580" s="125"/>
      <c r="C580" s="125"/>
      <c r="D580" s="125"/>
      <c r="E580" s="125"/>
      <c r="F580" s="126"/>
      <c r="G580" s="126"/>
      <c r="H580" s="126"/>
      <c r="I580" s="125"/>
    </row>
    <row r="581">
      <c r="A581" s="125"/>
      <c r="B581" s="125"/>
      <c r="C581" s="125"/>
      <c r="D581" s="125"/>
      <c r="E581" s="125"/>
      <c r="F581" s="126"/>
      <c r="G581" s="126"/>
      <c r="H581" s="126"/>
      <c r="I581" s="125"/>
    </row>
    <row r="582">
      <c r="A582" s="125"/>
      <c r="B582" s="125"/>
      <c r="C582" s="125"/>
      <c r="D582" s="125"/>
      <c r="E582" s="125"/>
      <c r="F582" s="126"/>
      <c r="G582" s="126"/>
      <c r="H582" s="126"/>
      <c r="I582" s="125"/>
    </row>
    <row r="583">
      <c r="A583" s="125"/>
      <c r="B583" s="125"/>
      <c r="C583" s="125"/>
      <c r="D583" s="125"/>
      <c r="E583" s="125"/>
      <c r="F583" s="126"/>
      <c r="G583" s="126"/>
      <c r="H583" s="126"/>
      <c r="I583" s="125"/>
    </row>
    <row r="584">
      <c r="A584" s="125"/>
      <c r="B584" s="125"/>
      <c r="C584" s="125"/>
      <c r="D584" s="125"/>
      <c r="E584" s="125"/>
      <c r="F584" s="126"/>
      <c r="G584" s="126"/>
      <c r="H584" s="126"/>
      <c r="I584" s="125"/>
    </row>
    <row r="585">
      <c r="A585" s="125"/>
      <c r="B585" s="125"/>
      <c r="C585" s="125"/>
      <c r="D585" s="125"/>
      <c r="E585" s="125"/>
      <c r="F585" s="126"/>
      <c r="G585" s="126"/>
      <c r="H585" s="126"/>
      <c r="I585" s="125"/>
    </row>
    <row r="586">
      <c r="A586" s="125"/>
      <c r="B586" s="125"/>
      <c r="C586" s="125"/>
      <c r="D586" s="125"/>
      <c r="E586" s="125"/>
      <c r="F586" s="126"/>
      <c r="G586" s="126"/>
      <c r="H586" s="126"/>
      <c r="I586" s="125"/>
    </row>
    <row r="587">
      <c r="A587" s="125"/>
      <c r="B587" s="125"/>
      <c r="C587" s="125"/>
      <c r="D587" s="125"/>
      <c r="E587" s="125"/>
      <c r="F587" s="126"/>
      <c r="G587" s="126"/>
      <c r="H587" s="126"/>
      <c r="I587" s="125"/>
    </row>
    <row r="588">
      <c r="A588" s="125"/>
      <c r="B588" s="125"/>
      <c r="C588" s="125"/>
      <c r="D588" s="125"/>
      <c r="E588" s="125"/>
      <c r="F588" s="126"/>
      <c r="G588" s="126"/>
      <c r="H588" s="126"/>
      <c r="I588" s="125"/>
    </row>
    <row r="589">
      <c r="A589" s="125"/>
      <c r="B589" s="125"/>
      <c r="C589" s="125"/>
      <c r="D589" s="125"/>
      <c r="E589" s="125"/>
      <c r="F589" s="126"/>
      <c r="G589" s="126"/>
      <c r="H589" s="126"/>
      <c r="I589" s="125"/>
    </row>
    <row r="590">
      <c r="A590" s="125"/>
      <c r="B590" s="125"/>
      <c r="C590" s="125"/>
      <c r="D590" s="125"/>
      <c r="E590" s="125"/>
      <c r="F590" s="126"/>
      <c r="G590" s="126"/>
      <c r="H590" s="126"/>
      <c r="I590" s="125"/>
    </row>
    <row r="591">
      <c r="A591" s="125"/>
      <c r="B591" s="125"/>
      <c r="C591" s="125"/>
      <c r="D591" s="125"/>
      <c r="E591" s="125"/>
      <c r="F591" s="126"/>
      <c r="G591" s="126"/>
      <c r="H591" s="126"/>
      <c r="I591" s="125"/>
    </row>
    <row r="592">
      <c r="A592" s="125"/>
      <c r="B592" s="125"/>
      <c r="C592" s="125"/>
      <c r="D592" s="125"/>
      <c r="E592" s="125"/>
      <c r="F592" s="126"/>
      <c r="G592" s="126"/>
      <c r="H592" s="126"/>
      <c r="I592" s="125"/>
    </row>
    <row r="593">
      <c r="A593" s="125"/>
      <c r="B593" s="125"/>
      <c r="C593" s="125"/>
      <c r="D593" s="125"/>
      <c r="E593" s="125"/>
      <c r="F593" s="126"/>
      <c r="G593" s="126"/>
      <c r="H593" s="126"/>
      <c r="I593" s="125"/>
    </row>
    <row r="594">
      <c r="A594" s="125"/>
      <c r="B594" s="125"/>
      <c r="C594" s="125"/>
      <c r="D594" s="125"/>
      <c r="E594" s="125"/>
      <c r="F594" s="126"/>
      <c r="G594" s="126"/>
      <c r="H594" s="126"/>
      <c r="I594" s="125"/>
    </row>
    <row r="595">
      <c r="A595" s="125"/>
      <c r="B595" s="125"/>
      <c r="C595" s="125"/>
      <c r="D595" s="125"/>
      <c r="E595" s="125"/>
      <c r="F595" s="126"/>
      <c r="G595" s="126"/>
      <c r="H595" s="126"/>
      <c r="I595" s="125"/>
    </row>
    <row r="596">
      <c r="A596" s="125"/>
      <c r="B596" s="125"/>
      <c r="C596" s="125"/>
      <c r="D596" s="125"/>
      <c r="E596" s="125"/>
      <c r="F596" s="126"/>
      <c r="G596" s="126"/>
      <c r="H596" s="126"/>
      <c r="I596" s="125"/>
    </row>
    <row r="597">
      <c r="A597" s="125"/>
      <c r="B597" s="125"/>
      <c r="C597" s="125"/>
      <c r="D597" s="125"/>
      <c r="E597" s="125"/>
      <c r="F597" s="126"/>
      <c r="G597" s="126"/>
      <c r="H597" s="126"/>
      <c r="I597" s="125"/>
    </row>
    <row r="598">
      <c r="A598" s="125"/>
      <c r="B598" s="125"/>
      <c r="C598" s="125"/>
      <c r="D598" s="125"/>
      <c r="E598" s="125"/>
      <c r="F598" s="126"/>
      <c r="G598" s="126"/>
      <c r="H598" s="126"/>
      <c r="I598" s="125"/>
    </row>
    <row r="599">
      <c r="A599" s="125"/>
      <c r="B599" s="125"/>
      <c r="C599" s="125"/>
      <c r="D599" s="125"/>
      <c r="E599" s="125"/>
      <c r="F599" s="126"/>
      <c r="G599" s="126"/>
      <c r="H599" s="126"/>
      <c r="I599" s="125"/>
    </row>
    <row r="600">
      <c r="A600" s="125"/>
      <c r="B600" s="125"/>
      <c r="C600" s="125"/>
      <c r="D600" s="125"/>
      <c r="E600" s="125"/>
      <c r="F600" s="126"/>
      <c r="G600" s="126"/>
      <c r="H600" s="126"/>
      <c r="I600" s="125"/>
    </row>
    <row r="601">
      <c r="A601" s="125"/>
      <c r="B601" s="125"/>
      <c r="C601" s="125"/>
      <c r="D601" s="125"/>
      <c r="E601" s="125"/>
      <c r="F601" s="126"/>
      <c r="G601" s="126"/>
      <c r="H601" s="126"/>
      <c r="I601" s="125"/>
    </row>
    <row r="602">
      <c r="A602" s="125"/>
      <c r="B602" s="125"/>
      <c r="C602" s="125"/>
      <c r="D602" s="125"/>
      <c r="E602" s="125"/>
      <c r="F602" s="126"/>
      <c r="G602" s="126"/>
      <c r="H602" s="126"/>
      <c r="I602" s="125"/>
    </row>
    <row r="603">
      <c r="A603" s="125"/>
      <c r="B603" s="125"/>
      <c r="C603" s="125"/>
      <c r="D603" s="125"/>
      <c r="E603" s="125"/>
      <c r="F603" s="126"/>
      <c r="G603" s="126"/>
      <c r="H603" s="126"/>
      <c r="I603" s="125"/>
    </row>
    <row r="604">
      <c r="A604" s="125"/>
      <c r="B604" s="125"/>
      <c r="C604" s="125"/>
      <c r="D604" s="125"/>
      <c r="E604" s="125"/>
      <c r="F604" s="126"/>
      <c r="G604" s="126"/>
      <c r="H604" s="126"/>
      <c r="I604" s="125"/>
    </row>
    <row r="605">
      <c r="A605" s="125"/>
      <c r="B605" s="125"/>
      <c r="C605" s="125"/>
      <c r="D605" s="125"/>
      <c r="E605" s="125"/>
      <c r="F605" s="126"/>
      <c r="G605" s="126"/>
      <c r="H605" s="126"/>
      <c r="I605" s="125"/>
    </row>
    <row r="606">
      <c r="A606" s="125"/>
      <c r="B606" s="125"/>
      <c r="C606" s="125"/>
      <c r="D606" s="125"/>
      <c r="E606" s="125"/>
      <c r="F606" s="126"/>
      <c r="G606" s="126"/>
      <c r="H606" s="126"/>
      <c r="I606" s="125"/>
    </row>
    <row r="607">
      <c r="A607" s="125"/>
      <c r="B607" s="125"/>
      <c r="C607" s="125"/>
      <c r="D607" s="125"/>
      <c r="E607" s="125"/>
      <c r="F607" s="126"/>
      <c r="G607" s="126"/>
      <c r="H607" s="126"/>
      <c r="I607" s="125"/>
    </row>
    <row r="608">
      <c r="A608" s="125"/>
      <c r="B608" s="125"/>
      <c r="C608" s="125"/>
      <c r="D608" s="125"/>
      <c r="E608" s="125"/>
      <c r="F608" s="126"/>
      <c r="G608" s="126"/>
      <c r="H608" s="126"/>
      <c r="I608" s="125"/>
    </row>
    <row r="609">
      <c r="A609" s="125"/>
      <c r="B609" s="125"/>
      <c r="C609" s="125"/>
      <c r="D609" s="125"/>
      <c r="E609" s="125"/>
      <c r="F609" s="126"/>
      <c r="G609" s="126"/>
      <c r="H609" s="126"/>
      <c r="I609" s="125"/>
    </row>
    <row r="610">
      <c r="A610" s="125"/>
      <c r="B610" s="125"/>
      <c r="C610" s="125"/>
      <c r="D610" s="125"/>
      <c r="E610" s="125"/>
      <c r="F610" s="126"/>
      <c r="G610" s="126"/>
      <c r="H610" s="126"/>
      <c r="I610" s="125"/>
    </row>
    <row r="611">
      <c r="A611" s="125"/>
      <c r="B611" s="125"/>
      <c r="C611" s="125"/>
      <c r="D611" s="125"/>
      <c r="E611" s="125"/>
      <c r="F611" s="126"/>
      <c r="G611" s="126"/>
      <c r="H611" s="126"/>
      <c r="I611" s="125"/>
    </row>
    <row r="612">
      <c r="A612" s="125"/>
      <c r="B612" s="125"/>
      <c r="C612" s="125"/>
      <c r="D612" s="125"/>
      <c r="E612" s="125"/>
      <c r="F612" s="126"/>
      <c r="G612" s="126"/>
      <c r="H612" s="126"/>
      <c r="I612" s="125"/>
    </row>
    <row r="613">
      <c r="A613" s="125"/>
      <c r="B613" s="125"/>
      <c r="C613" s="125"/>
      <c r="D613" s="125"/>
      <c r="E613" s="125"/>
      <c r="F613" s="126"/>
      <c r="G613" s="126"/>
      <c r="H613" s="126"/>
      <c r="I613" s="125"/>
    </row>
    <row r="614">
      <c r="A614" s="125"/>
      <c r="B614" s="125"/>
      <c r="C614" s="125"/>
      <c r="D614" s="125"/>
      <c r="E614" s="125"/>
      <c r="F614" s="126"/>
      <c r="G614" s="126"/>
      <c r="H614" s="126"/>
      <c r="I614" s="125"/>
    </row>
    <row r="615">
      <c r="A615" s="125"/>
      <c r="B615" s="125"/>
      <c r="C615" s="125"/>
      <c r="D615" s="125"/>
      <c r="E615" s="125"/>
      <c r="F615" s="126"/>
      <c r="G615" s="126"/>
      <c r="H615" s="126"/>
      <c r="I615" s="125"/>
    </row>
    <row r="616">
      <c r="A616" s="125"/>
      <c r="B616" s="125"/>
      <c r="C616" s="125"/>
      <c r="D616" s="125"/>
      <c r="E616" s="125"/>
      <c r="F616" s="126"/>
      <c r="G616" s="126"/>
      <c r="H616" s="126"/>
      <c r="I616" s="125"/>
    </row>
    <row r="617">
      <c r="A617" s="125"/>
      <c r="B617" s="125"/>
      <c r="C617" s="125"/>
      <c r="D617" s="125"/>
      <c r="E617" s="125"/>
      <c r="F617" s="126"/>
      <c r="G617" s="126"/>
      <c r="H617" s="126"/>
      <c r="I617" s="125"/>
    </row>
    <row r="618">
      <c r="A618" s="125"/>
      <c r="B618" s="125"/>
      <c r="C618" s="125"/>
      <c r="D618" s="125"/>
      <c r="E618" s="125"/>
      <c r="F618" s="126"/>
      <c r="G618" s="126"/>
      <c r="H618" s="126"/>
      <c r="I618" s="125"/>
    </row>
    <row r="619">
      <c r="A619" s="125"/>
      <c r="B619" s="125"/>
      <c r="C619" s="125"/>
      <c r="D619" s="125"/>
      <c r="E619" s="125"/>
      <c r="F619" s="126"/>
      <c r="G619" s="126"/>
      <c r="H619" s="126"/>
      <c r="I619" s="125"/>
    </row>
    <row r="620">
      <c r="A620" s="125"/>
      <c r="B620" s="125"/>
      <c r="C620" s="125"/>
      <c r="D620" s="125"/>
      <c r="E620" s="125"/>
      <c r="F620" s="126"/>
      <c r="G620" s="126"/>
      <c r="H620" s="126"/>
      <c r="I620" s="125"/>
    </row>
    <row r="621">
      <c r="A621" s="125"/>
      <c r="B621" s="125"/>
      <c r="C621" s="125"/>
      <c r="D621" s="125"/>
      <c r="E621" s="125"/>
      <c r="F621" s="126"/>
      <c r="G621" s="126"/>
      <c r="H621" s="126"/>
      <c r="I621" s="125"/>
    </row>
    <row r="622">
      <c r="A622" s="125"/>
      <c r="B622" s="125"/>
      <c r="C622" s="125"/>
      <c r="D622" s="125"/>
      <c r="E622" s="125"/>
      <c r="F622" s="126"/>
      <c r="G622" s="126"/>
      <c r="H622" s="126"/>
      <c r="I622" s="125"/>
    </row>
    <row r="623">
      <c r="A623" s="125"/>
      <c r="B623" s="125"/>
      <c r="C623" s="125"/>
      <c r="D623" s="125"/>
      <c r="E623" s="125"/>
      <c r="F623" s="126"/>
      <c r="G623" s="126"/>
      <c r="H623" s="126"/>
      <c r="I623" s="125"/>
    </row>
    <row r="624">
      <c r="A624" s="125"/>
      <c r="B624" s="125"/>
      <c r="C624" s="125"/>
      <c r="D624" s="125"/>
      <c r="E624" s="125"/>
      <c r="F624" s="126"/>
      <c r="G624" s="126"/>
      <c r="H624" s="126"/>
      <c r="I624" s="125"/>
    </row>
    <row r="625">
      <c r="A625" s="125"/>
      <c r="B625" s="125"/>
      <c r="C625" s="125"/>
      <c r="D625" s="125"/>
      <c r="E625" s="125"/>
      <c r="F625" s="126"/>
      <c r="G625" s="126"/>
      <c r="H625" s="126"/>
      <c r="I625" s="125"/>
    </row>
    <row r="626">
      <c r="A626" s="125"/>
      <c r="B626" s="125"/>
      <c r="C626" s="125"/>
      <c r="D626" s="125"/>
      <c r="E626" s="125"/>
      <c r="F626" s="126"/>
      <c r="G626" s="126"/>
      <c r="H626" s="126"/>
      <c r="I626" s="125"/>
    </row>
    <row r="627">
      <c r="A627" s="125"/>
      <c r="B627" s="125"/>
      <c r="C627" s="125"/>
      <c r="D627" s="125"/>
      <c r="E627" s="125"/>
      <c r="F627" s="126"/>
      <c r="G627" s="126"/>
      <c r="H627" s="126"/>
      <c r="I627" s="125"/>
    </row>
    <row r="628">
      <c r="A628" s="125"/>
      <c r="B628" s="125"/>
      <c r="C628" s="125"/>
      <c r="D628" s="125"/>
      <c r="E628" s="125"/>
      <c r="F628" s="126"/>
      <c r="G628" s="126"/>
      <c r="H628" s="126"/>
      <c r="I628" s="125"/>
    </row>
    <row r="629">
      <c r="A629" s="125"/>
      <c r="B629" s="125"/>
      <c r="C629" s="125"/>
      <c r="D629" s="125"/>
      <c r="E629" s="125"/>
      <c r="F629" s="126"/>
      <c r="G629" s="126"/>
      <c r="H629" s="126"/>
      <c r="I629" s="125"/>
    </row>
    <row r="630">
      <c r="A630" s="125"/>
      <c r="B630" s="125"/>
      <c r="C630" s="125"/>
      <c r="D630" s="125"/>
      <c r="E630" s="125"/>
      <c r="F630" s="126"/>
      <c r="G630" s="126"/>
      <c r="H630" s="126"/>
      <c r="I630" s="125"/>
    </row>
    <row r="631">
      <c r="A631" s="125"/>
      <c r="B631" s="125"/>
      <c r="C631" s="125"/>
      <c r="D631" s="125"/>
      <c r="E631" s="125"/>
      <c r="F631" s="126"/>
      <c r="G631" s="126"/>
      <c r="H631" s="126"/>
      <c r="I631" s="125"/>
    </row>
    <row r="632">
      <c r="A632" s="125"/>
      <c r="B632" s="125"/>
      <c r="C632" s="125"/>
      <c r="D632" s="125"/>
      <c r="E632" s="125"/>
      <c r="F632" s="126"/>
      <c r="G632" s="126"/>
      <c r="H632" s="126"/>
      <c r="I632" s="125"/>
    </row>
    <row r="633">
      <c r="A633" s="125"/>
      <c r="B633" s="125"/>
      <c r="C633" s="125"/>
      <c r="D633" s="125"/>
      <c r="E633" s="125"/>
      <c r="F633" s="126"/>
      <c r="G633" s="126"/>
      <c r="H633" s="126"/>
      <c r="I633" s="125"/>
    </row>
    <row r="634">
      <c r="A634" s="125"/>
      <c r="B634" s="125"/>
      <c r="C634" s="125"/>
      <c r="D634" s="125"/>
      <c r="E634" s="125"/>
      <c r="F634" s="126"/>
      <c r="G634" s="126"/>
      <c r="H634" s="126"/>
      <c r="I634" s="125"/>
    </row>
    <row r="635">
      <c r="A635" s="125"/>
      <c r="B635" s="125"/>
      <c r="C635" s="125"/>
      <c r="D635" s="125"/>
      <c r="E635" s="125"/>
      <c r="F635" s="126"/>
      <c r="G635" s="126"/>
      <c r="H635" s="126"/>
      <c r="I635" s="125"/>
    </row>
    <row r="636">
      <c r="A636" s="125"/>
      <c r="B636" s="125"/>
      <c r="C636" s="125"/>
      <c r="D636" s="125"/>
      <c r="E636" s="125"/>
      <c r="F636" s="126"/>
      <c r="G636" s="126"/>
      <c r="H636" s="126"/>
      <c r="I636" s="125"/>
    </row>
    <row r="637">
      <c r="A637" s="125"/>
      <c r="B637" s="125"/>
      <c r="C637" s="125"/>
      <c r="D637" s="125"/>
      <c r="E637" s="125"/>
      <c r="F637" s="126"/>
      <c r="G637" s="126"/>
      <c r="H637" s="126"/>
      <c r="I637" s="125"/>
    </row>
    <row r="638">
      <c r="A638" s="125"/>
      <c r="B638" s="125"/>
      <c r="C638" s="125"/>
      <c r="D638" s="125"/>
      <c r="E638" s="125"/>
      <c r="F638" s="126"/>
      <c r="G638" s="126"/>
      <c r="H638" s="126"/>
      <c r="I638" s="125"/>
    </row>
    <row r="639">
      <c r="A639" s="125"/>
      <c r="B639" s="125"/>
      <c r="C639" s="125"/>
      <c r="D639" s="125"/>
      <c r="E639" s="125"/>
      <c r="F639" s="126"/>
      <c r="G639" s="126"/>
      <c r="H639" s="126"/>
      <c r="I639" s="125"/>
    </row>
    <row r="640">
      <c r="A640" s="125"/>
      <c r="B640" s="125"/>
      <c r="C640" s="125"/>
      <c r="D640" s="125"/>
      <c r="E640" s="125"/>
      <c r="F640" s="126"/>
      <c r="G640" s="126"/>
      <c r="H640" s="126"/>
      <c r="I640" s="125"/>
    </row>
    <row r="641">
      <c r="A641" s="125"/>
      <c r="B641" s="125"/>
      <c r="C641" s="125"/>
      <c r="D641" s="125"/>
      <c r="E641" s="125"/>
      <c r="F641" s="126"/>
      <c r="G641" s="126"/>
      <c r="H641" s="126"/>
      <c r="I641" s="125"/>
    </row>
    <row r="642">
      <c r="A642" s="125"/>
      <c r="B642" s="125"/>
      <c r="C642" s="125"/>
      <c r="D642" s="125"/>
      <c r="E642" s="125"/>
      <c r="F642" s="126"/>
      <c r="G642" s="126"/>
      <c r="H642" s="126"/>
      <c r="I642" s="125"/>
    </row>
    <row r="643">
      <c r="A643" s="125"/>
      <c r="B643" s="125"/>
      <c r="C643" s="125"/>
      <c r="D643" s="125"/>
      <c r="E643" s="125"/>
      <c r="F643" s="126"/>
      <c r="G643" s="126"/>
      <c r="H643" s="126"/>
      <c r="I643" s="125"/>
    </row>
    <row r="644">
      <c r="A644" s="125"/>
      <c r="B644" s="125"/>
      <c r="C644" s="125"/>
      <c r="D644" s="125"/>
      <c r="E644" s="125"/>
      <c r="F644" s="126"/>
      <c r="G644" s="126"/>
      <c r="H644" s="126"/>
      <c r="I644" s="125"/>
    </row>
    <row r="645">
      <c r="A645" s="125"/>
      <c r="B645" s="125"/>
      <c r="C645" s="125"/>
      <c r="D645" s="125"/>
      <c r="E645" s="125"/>
      <c r="F645" s="126"/>
      <c r="G645" s="126"/>
      <c r="H645" s="126"/>
      <c r="I645" s="125"/>
    </row>
    <row r="646">
      <c r="A646" s="125"/>
      <c r="B646" s="125"/>
      <c r="C646" s="125"/>
      <c r="D646" s="125"/>
      <c r="E646" s="125"/>
      <c r="F646" s="126"/>
      <c r="G646" s="126"/>
      <c r="H646" s="126"/>
      <c r="I646" s="125"/>
    </row>
    <row r="647">
      <c r="A647" s="125"/>
      <c r="B647" s="125"/>
      <c r="C647" s="125"/>
      <c r="D647" s="125"/>
      <c r="E647" s="125"/>
      <c r="F647" s="126"/>
      <c r="G647" s="126"/>
      <c r="H647" s="126"/>
      <c r="I647" s="125"/>
    </row>
    <row r="648">
      <c r="A648" s="125"/>
      <c r="B648" s="125"/>
      <c r="C648" s="125"/>
      <c r="D648" s="125"/>
      <c r="E648" s="125"/>
      <c r="F648" s="126"/>
      <c r="G648" s="126"/>
      <c r="H648" s="126"/>
      <c r="I648" s="125"/>
    </row>
    <row r="649">
      <c r="A649" s="125"/>
      <c r="B649" s="125"/>
      <c r="C649" s="125"/>
      <c r="D649" s="125"/>
      <c r="E649" s="125"/>
      <c r="F649" s="126"/>
      <c r="G649" s="126"/>
      <c r="H649" s="126"/>
      <c r="I649" s="125"/>
    </row>
    <row r="650">
      <c r="A650" s="125"/>
      <c r="B650" s="125"/>
      <c r="C650" s="125"/>
      <c r="D650" s="125"/>
      <c r="E650" s="125"/>
      <c r="F650" s="126"/>
      <c r="G650" s="126"/>
      <c r="H650" s="126"/>
      <c r="I650" s="125"/>
    </row>
    <row r="651">
      <c r="A651" s="125"/>
      <c r="B651" s="125"/>
      <c r="C651" s="125"/>
      <c r="D651" s="125"/>
      <c r="E651" s="125"/>
      <c r="F651" s="126"/>
      <c r="G651" s="126"/>
      <c r="H651" s="126"/>
      <c r="I651" s="125"/>
    </row>
    <row r="652">
      <c r="A652" s="125"/>
      <c r="B652" s="125"/>
      <c r="C652" s="125"/>
      <c r="D652" s="125"/>
      <c r="E652" s="125"/>
      <c r="F652" s="126"/>
      <c r="G652" s="126"/>
      <c r="H652" s="126"/>
      <c r="I652" s="125"/>
    </row>
    <row r="653">
      <c r="A653" s="125"/>
      <c r="B653" s="125"/>
      <c r="C653" s="125"/>
      <c r="D653" s="125"/>
      <c r="E653" s="125"/>
      <c r="F653" s="126"/>
      <c r="G653" s="126"/>
      <c r="H653" s="126"/>
      <c r="I653" s="125"/>
    </row>
    <row r="654">
      <c r="A654" s="125"/>
      <c r="B654" s="125"/>
      <c r="C654" s="125"/>
      <c r="D654" s="125"/>
      <c r="E654" s="125"/>
      <c r="F654" s="126"/>
      <c r="G654" s="126"/>
      <c r="H654" s="126"/>
      <c r="I654" s="125"/>
    </row>
    <row r="655">
      <c r="A655" s="125"/>
      <c r="B655" s="125"/>
      <c r="C655" s="125"/>
      <c r="D655" s="125"/>
      <c r="E655" s="125"/>
      <c r="F655" s="126"/>
      <c r="G655" s="126"/>
      <c r="H655" s="126"/>
      <c r="I655" s="125"/>
    </row>
    <row r="656">
      <c r="A656" s="125"/>
      <c r="B656" s="125"/>
      <c r="C656" s="125"/>
      <c r="D656" s="125"/>
      <c r="E656" s="125"/>
      <c r="F656" s="126"/>
      <c r="G656" s="126"/>
      <c r="H656" s="126"/>
      <c r="I656" s="125"/>
    </row>
    <row r="657">
      <c r="A657" s="125"/>
      <c r="B657" s="125"/>
      <c r="C657" s="125"/>
      <c r="D657" s="125"/>
      <c r="E657" s="125"/>
      <c r="F657" s="126"/>
      <c r="G657" s="126"/>
      <c r="H657" s="126"/>
      <c r="I657" s="125"/>
    </row>
    <row r="658">
      <c r="A658" s="125"/>
      <c r="B658" s="125"/>
      <c r="C658" s="125"/>
      <c r="D658" s="125"/>
      <c r="E658" s="125"/>
      <c r="F658" s="126"/>
      <c r="G658" s="126"/>
      <c r="H658" s="126"/>
      <c r="I658" s="125"/>
    </row>
    <row r="659">
      <c r="A659" s="125"/>
      <c r="B659" s="125"/>
      <c r="C659" s="125"/>
      <c r="D659" s="125"/>
      <c r="E659" s="125"/>
      <c r="F659" s="126"/>
      <c r="G659" s="126"/>
      <c r="H659" s="126"/>
      <c r="I659" s="125"/>
    </row>
    <row r="660">
      <c r="A660" s="125"/>
      <c r="B660" s="125"/>
      <c r="C660" s="125"/>
      <c r="D660" s="125"/>
      <c r="E660" s="125"/>
      <c r="F660" s="126"/>
      <c r="G660" s="126"/>
      <c r="H660" s="126"/>
      <c r="I660" s="125"/>
    </row>
    <row r="661">
      <c r="A661" s="125"/>
      <c r="B661" s="125"/>
      <c r="C661" s="125"/>
      <c r="D661" s="125"/>
      <c r="E661" s="125"/>
      <c r="F661" s="126"/>
      <c r="G661" s="126"/>
      <c r="H661" s="126"/>
      <c r="I661" s="125"/>
    </row>
    <row r="662">
      <c r="A662" s="125"/>
      <c r="B662" s="125"/>
      <c r="C662" s="125"/>
      <c r="D662" s="125"/>
      <c r="E662" s="125"/>
      <c r="F662" s="126"/>
      <c r="G662" s="126"/>
      <c r="H662" s="126"/>
      <c r="I662" s="125"/>
    </row>
    <row r="663">
      <c r="A663" s="125"/>
      <c r="B663" s="125"/>
      <c r="C663" s="125"/>
      <c r="D663" s="125"/>
      <c r="E663" s="125"/>
      <c r="F663" s="126"/>
      <c r="G663" s="126"/>
      <c r="H663" s="126"/>
      <c r="I663" s="125"/>
    </row>
    <row r="664">
      <c r="A664" s="125"/>
      <c r="B664" s="125"/>
      <c r="C664" s="125"/>
      <c r="D664" s="125"/>
      <c r="E664" s="125"/>
      <c r="F664" s="126"/>
      <c r="G664" s="126"/>
      <c r="H664" s="126"/>
      <c r="I664" s="125"/>
    </row>
    <row r="665">
      <c r="A665" s="125"/>
      <c r="B665" s="125"/>
      <c r="C665" s="125"/>
      <c r="D665" s="125"/>
      <c r="E665" s="125"/>
      <c r="F665" s="126"/>
      <c r="G665" s="126"/>
      <c r="H665" s="126"/>
      <c r="I665" s="125"/>
    </row>
    <row r="666">
      <c r="A666" s="125"/>
      <c r="B666" s="125"/>
      <c r="C666" s="125"/>
      <c r="D666" s="125"/>
      <c r="E666" s="125"/>
      <c r="F666" s="126"/>
      <c r="G666" s="126"/>
      <c r="H666" s="126"/>
      <c r="I666" s="125"/>
    </row>
    <row r="667">
      <c r="A667" s="125"/>
      <c r="B667" s="125"/>
      <c r="C667" s="125"/>
      <c r="D667" s="125"/>
      <c r="E667" s="125"/>
      <c r="F667" s="126"/>
      <c r="G667" s="126"/>
      <c r="H667" s="126"/>
      <c r="I667" s="125"/>
    </row>
    <row r="668">
      <c r="A668" s="125"/>
      <c r="B668" s="125"/>
      <c r="C668" s="125"/>
      <c r="D668" s="125"/>
      <c r="E668" s="125"/>
      <c r="F668" s="126"/>
      <c r="G668" s="126"/>
      <c r="H668" s="126"/>
      <c r="I668" s="125"/>
    </row>
    <row r="669">
      <c r="A669" s="125"/>
      <c r="B669" s="125"/>
      <c r="C669" s="125"/>
      <c r="D669" s="125"/>
      <c r="E669" s="125"/>
      <c r="F669" s="126"/>
      <c r="G669" s="126"/>
      <c r="H669" s="126"/>
      <c r="I669" s="125"/>
    </row>
    <row r="670">
      <c r="A670" s="125"/>
      <c r="B670" s="125"/>
      <c r="C670" s="125"/>
      <c r="D670" s="125"/>
      <c r="E670" s="125"/>
      <c r="F670" s="126"/>
      <c r="G670" s="126"/>
      <c r="H670" s="126"/>
      <c r="I670" s="125"/>
    </row>
    <row r="671">
      <c r="A671" s="125"/>
      <c r="B671" s="125"/>
      <c r="C671" s="125"/>
      <c r="D671" s="125"/>
      <c r="E671" s="125"/>
      <c r="F671" s="126"/>
      <c r="G671" s="126"/>
      <c r="H671" s="126"/>
      <c r="I671" s="125"/>
    </row>
    <row r="672">
      <c r="A672" s="125"/>
      <c r="B672" s="125"/>
      <c r="C672" s="125"/>
      <c r="D672" s="125"/>
      <c r="E672" s="125"/>
      <c r="F672" s="126"/>
      <c r="G672" s="126"/>
      <c r="H672" s="126"/>
      <c r="I672" s="125"/>
    </row>
    <row r="673">
      <c r="A673" s="125"/>
      <c r="B673" s="125"/>
      <c r="C673" s="125"/>
      <c r="D673" s="125"/>
      <c r="E673" s="125"/>
      <c r="F673" s="126"/>
      <c r="G673" s="126"/>
      <c r="H673" s="126"/>
      <c r="I673" s="125"/>
    </row>
    <row r="674">
      <c r="A674" s="125"/>
      <c r="B674" s="125"/>
      <c r="C674" s="125"/>
      <c r="D674" s="125"/>
      <c r="E674" s="125"/>
      <c r="F674" s="126"/>
      <c r="G674" s="126"/>
      <c r="H674" s="126"/>
      <c r="I674" s="125"/>
    </row>
    <row r="675">
      <c r="A675" s="125"/>
      <c r="B675" s="125"/>
      <c r="C675" s="125"/>
      <c r="D675" s="125"/>
      <c r="E675" s="125"/>
      <c r="F675" s="126"/>
      <c r="G675" s="126"/>
      <c r="H675" s="126"/>
      <c r="I675" s="125"/>
    </row>
    <row r="676">
      <c r="A676" s="125"/>
      <c r="B676" s="125"/>
      <c r="C676" s="125"/>
      <c r="D676" s="125"/>
      <c r="E676" s="125"/>
      <c r="F676" s="126"/>
      <c r="G676" s="126"/>
      <c r="H676" s="126"/>
      <c r="I676" s="125"/>
    </row>
    <row r="677">
      <c r="A677" s="125"/>
      <c r="B677" s="125"/>
      <c r="C677" s="125"/>
      <c r="D677" s="125"/>
      <c r="E677" s="125"/>
      <c r="F677" s="126"/>
      <c r="G677" s="126"/>
      <c r="H677" s="126"/>
      <c r="I677" s="125"/>
    </row>
    <row r="678">
      <c r="A678" s="125"/>
      <c r="B678" s="125"/>
      <c r="C678" s="125"/>
      <c r="D678" s="125"/>
      <c r="E678" s="125"/>
      <c r="F678" s="126"/>
      <c r="G678" s="126"/>
      <c r="H678" s="126"/>
      <c r="I678" s="125"/>
    </row>
    <row r="679">
      <c r="A679" s="125"/>
      <c r="B679" s="125"/>
      <c r="C679" s="125"/>
      <c r="D679" s="125"/>
      <c r="E679" s="125"/>
      <c r="F679" s="126"/>
      <c r="G679" s="126"/>
      <c r="H679" s="126"/>
      <c r="I679" s="125"/>
    </row>
    <row r="680">
      <c r="A680" s="125"/>
      <c r="B680" s="125"/>
      <c r="C680" s="125"/>
      <c r="D680" s="125"/>
      <c r="E680" s="125"/>
      <c r="F680" s="126"/>
      <c r="G680" s="126"/>
      <c r="H680" s="126"/>
      <c r="I680" s="125"/>
    </row>
    <row r="681">
      <c r="A681" s="125"/>
      <c r="B681" s="125"/>
      <c r="C681" s="125"/>
      <c r="D681" s="125"/>
      <c r="E681" s="125"/>
      <c r="F681" s="126"/>
      <c r="G681" s="126"/>
      <c r="H681" s="126"/>
      <c r="I681" s="125"/>
    </row>
    <row r="682">
      <c r="A682" s="125"/>
      <c r="B682" s="125"/>
      <c r="C682" s="125"/>
      <c r="D682" s="125"/>
      <c r="E682" s="125"/>
      <c r="F682" s="126"/>
      <c r="G682" s="126"/>
      <c r="H682" s="126"/>
      <c r="I682" s="125"/>
    </row>
    <row r="683">
      <c r="A683" s="125"/>
      <c r="B683" s="125"/>
      <c r="C683" s="125"/>
      <c r="D683" s="125"/>
      <c r="E683" s="125"/>
      <c r="F683" s="126"/>
      <c r="G683" s="126"/>
      <c r="H683" s="126"/>
      <c r="I683" s="125"/>
    </row>
    <row r="684">
      <c r="A684" s="125"/>
      <c r="B684" s="125"/>
      <c r="C684" s="125"/>
      <c r="D684" s="125"/>
      <c r="E684" s="125"/>
      <c r="F684" s="126"/>
      <c r="G684" s="126"/>
      <c r="H684" s="126"/>
      <c r="I684" s="125"/>
    </row>
    <row r="685">
      <c r="A685" s="125"/>
      <c r="B685" s="125"/>
      <c r="C685" s="125"/>
      <c r="D685" s="125"/>
      <c r="E685" s="125"/>
      <c r="F685" s="126"/>
      <c r="G685" s="126"/>
      <c r="H685" s="126"/>
      <c r="I685" s="125"/>
    </row>
    <row r="686">
      <c r="A686" s="125"/>
      <c r="B686" s="125"/>
      <c r="C686" s="125"/>
      <c r="D686" s="125"/>
      <c r="E686" s="125"/>
      <c r="F686" s="126"/>
      <c r="G686" s="126"/>
      <c r="H686" s="126"/>
      <c r="I686" s="125"/>
    </row>
    <row r="687">
      <c r="A687" s="125"/>
      <c r="B687" s="125"/>
      <c r="C687" s="125"/>
      <c r="D687" s="125"/>
      <c r="E687" s="125"/>
      <c r="F687" s="126"/>
      <c r="G687" s="126"/>
      <c r="H687" s="126"/>
      <c r="I687" s="125"/>
    </row>
    <row r="688">
      <c r="A688" s="125"/>
      <c r="B688" s="125"/>
      <c r="C688" s="125"/>
      <c r="D688" s="125"/>
      <c r="E688" s="125"/>
      <c r="F688" s="126"/>
      <c r="G688" s="126"/>
      <c r="H688" s="126"/>
      <c r="I688" s="125"/>
    </row>
    <row r="689">
      <c r="A689" s="125"/>
      <c r="B689" s="125"/>
      <c r="C689" s="125"/>
      <c r="D689" s="125"/>
      <c r="E689" s="125"/>
      <c r="F689" s="126"/>
      <c r="G689" s="126"/>
      <c r="H689" s="126"/>
      <c r="I689" s="125"/>
    </row>
    <row r="690">
      <c r="A690" s="125"/>
      <c r="B690" s="125"/>
      <c r="C690" s="125"/>
      <c r="D690" s="125"/>
      <c r="E690" s="125"/>
      <c r="F690" s="126"/>
      <c r="G690" s="126"/>
      <c r="H690" s="126"/>
      <c r="I690" s="125"/>
    </row>
    <row r="691">
      <c r="A691" s="125"/>
      <c r="B691" s="125"/>
      <c r="C691" s="125"/>
      <c r="D691" s="125"/>
      <c r="E691" s="125"/>
      <c r="F691" s="126"/>
      <c r="G691" s="126"/>
      <c r="H691" s="126"/>
      <c r="I691" s="125"/>
    </row>
    <row r="692">
      <c r="A692" s="125"/>
      <c r="B692" s="125"/>
      <c r="C692" s="125"/>
      <c r="D692" s="125"/>
      <c r="E692" s="125"/>
      <c r="F692" s="126"/>
      <c r="G692" s="126"/>
      <c r="H692" s="126"/>
      <c r="I692" s="125"/>
    </row>
    <row r="693">
      <c r="A693" s="125"/>
      <c r="B693" s="125"/>
      <c r="C693" s="125"/>
      <c r="D693" s="125"/>
      <c r="E693" s="125"/>
      <c r="F693" s="126"/>
      <c r="G693" s="126"/>
      <c r="H693" s="126"/>
      <c r="I693" s="125"/>
    </row>
    <row r="694">
      <c r="A694" s="125"/>
      <c r="B694" s="125"/>
      <c r="C694" s="125"/>
      <c r="D694" s="125"/>
      <c r="E694" s="125"/>
      <c r="F694" s="126"/>
      <c r="G694" s="126"/>
      <c r="H694" s="126"/>
      <c r="I694" s="125"/>
    </row>
    <row r="695">
      <c r="A695" s="125"/>
      <c r="B695" s="125"/>
      <c r="C695" s="125"/>
      <c r="D695" s="125"/>
      <c r="E695" s="125"/>
      <c r="F695" s="126"/>
      <c r="G695" s="126"/>
      <c r="H695" s="126"/>
      <c r="I695" s="125"/>
    </row>
    <row r="696">
      <c r="A696" s="125"/>
      <c r="B696" s="125"/>
      <c r="C696" s="125"/>
      <c r="D696" s="125"/>
      <c r="E696" s="125"/>
      <c r="F696" s="126"/>
      <c r="G696" s="126"/>
      <c r="H696" s="126"/>
      <c r="I696" s="125"/>
    </row>
    <row r="697">
      <c r="A697" s="125"/>
      <c r="B697" s="125"/>
      <c r="C697" s="125"/>
      <c r="D697" s="125"/>
      <c r="E697" s="125"/>
      <c r="F697" s="126"/>
      <c r="G697" s="126"/>
      <c r="H697" s="126"/>
      <c r="I697" s="125"/>
    </row>
    <row r="698">
      <c r="A698" s="125"/>
      <c r="B698" s="125"/>
      <c r="C698" s="125"/>
      <c r="D698" s="125"/>
      <c r="E698" s="125"/>
      <c r="F698" s="126"/>
      <c r="G698" s="126"/>
      <c r="H698" s="126"/>
      <c r="I698" s="125"/>
    </row>
    <row r="699">
      <c r="A699" s="125"/>
      <c r="B699" s="125"/>
      <c r="C699" s="125"/>
      <c r="D699" s="125"/>
      <c r="E699" s="125"/>
      <c r="F699" s="126"/>
      <c r="G699" s="126"/>
      <c r="H699" s="126"/>
      <c r="I699" s="125"/>
    </row>
    <row r="700">
      <c r="A700" s="125"/>
      <c r="B700" s="125"/>
      <c r="C700" s="125"/>
      <c r="D700" s="125"/>
      <c r="E700" s="125"/>
      <c r="F700" s="126"/>
      <c r="G700" s="126"/>
      <c r="H700" s="126"/>
      <c r="I700" s="125"/>
    </row>
    <row r="701">
      <c r="A701" s="125"/>
      <c r="B701" s="125"/>
      <c r="C701" s="125"/>
      <c r="D701" s="125"/>
      <c r="E701" s="125"/>
      <c r="F701" s="126"/>
      <c r="G701" s="126"/>
      <c r="H701" s="126"/>
      <c r="I701" s="125"/>
    </row>
    <row r="702">
      <c r="A702" s="125"/>
      <c r="B702" s="125"/>
      <c r="C702" s="125"/>
      <c r="D702" s="125"/>
      <c r="E702" s="125"/>
      <c r="F702" s="126"/>
      <c r="G702" s="126"/>
      <c r="H702" s="126"/>
      <c r="I702" s="125"/>
    </row>
    <row r="703">
      <c r="A703" s="125"/>
      <c r="B703" s="125"/>
      <c r="C703" s="125"/>
      <c r="D703" s="125"/>
      <c r="E703" s="125"/>
      <c r="F703" s="126"/>
      <c r="G703" s="126"/>
      <c r="H703" s="126"/>
      <c r="I703" s="125"/>
    </row>
    <row r="704">
      <c r="A704" s="125"/>
      <c r="B704" s="125"/>
      <c r="C704" s="125"/>
      <c r="D704" s="125"/>
      <c r="E704" s="125"/>
      <c r="F704" s="126"/>
      <c r="G704" s="126"/>
      <c r="H704" s="126"/>
      <c r="I704" s="125"/>
    </row>
    <row r="705">
      <c r="A705" s="125"/>
      <c r="B705" s="125"/>
      <c r="C705" s="125"/>
      <c r="D705" s="125"/>
      <c r="E705" s="125"/>
      <c r="F705" s="126"/>
      <c r="G705" s="126"/>
      <c r="H705" s="126"/>
      <c r="I705" s="125"/>
    </row>
    <row r="706">
      <c r="A706" s="125"/>
      <c r="B706" s="125"/>
      <c r="C706" s="125"/>
      <c r="D706" s="125"/>
      <c r="E706" s="125"/>
      <c r="F706" s="126"/>
      <c r="G706" s="126"/>
      <c r="H706" s="126"/>
      <c r="I706" s="125"/>
    </row>
    <row r="707">
      <c r="A707" s="125"/>
      <c r="B707" s="125"/>
      <c r="C707" s="125"/>
      <c r="D707" s="125"/>
      <c r="E707" s="125"/>
      <c r="F707" s="126"/>
      <c r="G707" s="126"/>
      <c r="H707" s="126"/>
      <c r="I707" s="125"/>
    </row>
    <row r="708">
      <c r="A708" s="125"/>
      <c r="B708" s="125"/>
      <c r="C708" s="125"/>
      <c r="D708" s="125"/>
      <c r="E708" s="125"/>
      <c r="F708" s="126"/>
      <c r="G708" s="126"/>
      <c r="H708" s="126"/>
      <c r="I708" s="125"/>
    </row>
    <row r="709">
      <c r="A709" s="125"/>
      <c r="B709" s="125"/>
      <c r="C709" s="125"/>
      <c r="D709" s="125"/>
      <c r="E709" s="125"/>
      <c r="F709" s="126"/>
      <c r="G709" s="126"/>
      <c r="H709" s="126"/>
      <c r="I709" s="125"/>
    </row>
    <row r="710">
      <c r="A710" s="125"/>
      <c r="B710" s="125"/>
      <c r="C710" s="125"/>
      <c r="D710" s="125"/>
      <c r="E710" s="125"/>
      <c r="F710" s="126"/>
      <c r="G710" s="126"/>
      <c r="H710" s="126"/>
      <c r="I710" s="125"/>
    </row>
    <row r="711">
      <c r="A711" s="125"/>
      <c r="B711" s="125"/>
      <c r="C711" s="125"/>
      <c r="D711" s="125"/>
      <c r="E711" s="125"/>
      <c r="F711" s="126"/>
      <c r="G711" s="126"/>
      <c r="H711" s="126"/>
      <c r="I711" s="125"/>
    </row>
    <row r="712">
      <c r="A712" s="125"/>
      <c r="B712" s="125"/>
      <c r="C712" s="125"/>
      <c r="D712" s="125"/>
      <c r="E712" s="125"/>
      <c r="F712" s="126"/>
      <c r="G712" s="126"/>
      <c r="H712" s="126"/>
      <c r="I712" s="125"/>
    </row>
    <row r="713">
      <c r="A713" s="125"/>
      <c r="B713" s="125"/>
      <c r="C713" s="125"/>
      <c r="D713" s="125"/>
      <c r="E713" s="125"/>
      <c r="F713" s="126"/>
      <c r="G713" s="126"/>
      <c r="H713" s="126"/>
      <c r="I713" s="125"/>
    </row>
    <row r="714">
      <c r="A714" s="125"/>
      <c r="B714" s="125"/>
      <c r="C714" s="125"/>
      <c r="D714" s="125"/>
      <c r="E714" s="125"/>
      <c r="F714" s="126"/>
      <c r="G714" s="126"/>
      <c r="H714" s="126"/>
      <c r="I714" s="125"/>
    </row>
    <row r="715">
      <c r="A715" s="125"/>
      <c r="B715" s="125"/>
      <c r="C715" s="125"/>
      <c r="D715" s="125"/>
      <c r="E715" s="125"/>
      <c r="F715" s="126"/>
      <c r="G715" s="126"/>
      <c r="H715" s="126"/>
      <c r="I715" s="125"/>
    </row>
    <row r="716">
      <c r="A716" s="125"/>
      <c r="B716" s="125"/>
      <c r="C716" s="125"/>
      <c r="D716" s="125"/>
      <c r="E716" s="125"/>
      <c r="F716" s="126"/>
      <c r="G716" s="126"/>
      <c r="H716" s="126"/>
      <c r="I716" s="125"/>
    </row>
    <row r="717">
      <c r="A717" s="125"/>
      <c r="B717" s="125"/>
      <c r="C717" s="125"/>
      <c r="D717" s="125"/>
      <c r="E717" s="125"/>
      <c r="F717" s="126"/>
      <c r="G717" s="126"/>
      <c r="H717" s="126"/>
      <c r="I717" s="125"/>
    </row>
    <row r="718">
      <c r="A718" s="125"/>
      <c r="B718" s="125"/>
      <c r="C718" s="125"/>
      <c r="D718" s="125"/>
      <c r="E718" s="125"/>
      <c r="F718" s="126"/>
      <c r="G718" s="126"/>
      <c r="H718" s="126"/>
      <c r="I718" s="125"/>
    </row>
    <row r="719">
      <c r="A719" s="125"/>
      <c r="B719" s="125"/>
      <c r="C719" s="125"/>
      <c r="D719" s="125"/>
      <c r="E719" s="125"/>
      <c r="F719" s="126"/>
      <c r="G719" s="126"/>
      <c r="H719" s="126"/>
      <c r="I719" s="125"/>
    </row>
    <row r="720">
      <c r="A720" s="125"/>
      <c r="B720" s="125"/>
      <c r="C720" s="125"/>
      <c r="D720" s="125"/>
      <c r="E720" s="125"/>
      <c r="F720" s="126"/>
      <c r="G720" s="126"/>
      <c r="H720" s="126"/>
      <c r="I720" s="125"/>
    </row>
    <row r="721">
      <c r="A721" s="125"/>
      <c r="B721" s="125"/>
      <c r="C721" s="125"/>
      <c r="D721" s="125"/>
      <c r="E721" s="125"/>
      <c r="F721" s="126"/>
      <c r="G721" s="126"/>
      <c r="H721" s="126"/>
      <c r="I721" s="125"/>
    </row>
    <row r="722">
      <c r="A722" s="125"/>
      <c r="B722" s="125"/>
      <c r="C722" s="125"/>
      <c r="D722" s="125"/>
      <c r="E722" s="125"/>
      <c r="F722" s="126"/>
      <c r="G722" s="126"/>
      <c r="H722" s="126"/>
      <c r="I722" s="125"/>
    </row>
    <row r="723">
      <c r="A723" s="125"/>
      <c r="B723" s="125"/>
      <c r="C723" s="125"/>
      <c r="D723" s="125"/>
      <c r="E723" s="125"/>
      <c r="F723" s="126"/>
      <c r="G723" s="126"/>
      <c r="H723" s="126"/>
      <c r="I723" s="125"/>
    </row>
    <row r="724">
      <c r="A724" s="125"/>
      <c r="B724" s="125"/>
      <c r="C724" s="125"/>
      <c r="D724" s="125"/>
      <c r="E724" s="125"/>
      <c r="F724" s="126"/>
      <c r="G724" s="126"/>
      <c r="H724" s="126"/>
      <c r="I724" s="125"/>
    </row>
    <row r="725">
      <c r="A725" s="125"/>
      <c r="B725" s="125"/>
      <c r="C725" s="125"/>
      <c r="D725" s="125"/>
      <c r="E725" s="125"/>
      <c r="F725" s="126"/>
      <c r="G725" s="126"/>
      <c r="H725" s="126"/>
      <c r="I725" s="125"/>
    </row>
    <row r="726">
      <c r="A726" s="125"/>
      <c r="B726" s="125"/>
      <c r="C726" s="125"/>
      <c r="D726" s="125"/>
      <c r="E726" s="125"/>
      <c r="F726" s="126"/>
      <c r="G726" s="126"/>
      <c r="H726" s="126"/>
      <c r="I726" s="125"/>
    </row>
    <row r="727">
      <c r="A727" s="125"/>
      <c r="B727" s="125"/>
      <c r="C727" s="125"/>
      <c r="D727" s="125"/>
      <c r="E727" s="125"/>
      <c r="F727" s="126"/>
      <c r="G727" s="126"/>
      <c r="H727" s="126"/>
      <c r="I727" s="125"/>
    </row>
    <row r="728">
      <c r="A728" s="125"/>
      <c r="B728" s="125"/>
      <c r="C728" s="125"/>
      <c r="D728" s="125"/>
      <c r="E728" s="125"/>
      <c r="F728" s="126"/>
      <c r="G728" s="126"/>
      <c r="H728" s="126"/>
      <c r="I728" s="125"/>
    </row>
    <row r="729">
      <c r="A729" s="125"/>
      <c r="B729" s="125"/>
      <c r="C729" s="125"/>
      <c r="D729" s="125"/>
      <c r="E729" s="125"/>
      <c r="F729" s="126"/>
      <c r="G729" s="126"/>
      <c r="H729" s="126"/>
      <c r="I729" s="125"/>
    </row>
    <row r="730">
      <c r="A730" s="125"/>
      <c r="B730" s="125"/>
      <c r="C730" s="125"/>
      <c r="D730" s="125"/>
      <c r="E730" s="125"/>
      <c r="F730" s="126"/>
      <c r="G730" s="126"/>
      <c r="H730" s="126"/>
      <c r="I730" s="125"/>
    </row>
    <row r="731">
      <c r="A731" s="125"/>
      <c r="B731" s="125"/>
      <c r="C731" s="125"/>
      <c r="D731" s="125"/>
      <c r="E731" s="125"/>
      <c r="F731" s="126"/>
      <c r="G731" s="126"/>
      <c r="H731" s="126"/>
      <c r="I731" s="125"/>
    </row>
    <row r="732">
      <c r="A732" s="125"/>
      <c r="B732" s="125"/>
      <c r="C732" s="125"/>
      <c r="D732" s="125"/>
      <c r="E732" s="125"/>
      <c r="F732" s="126"/>
      <c r="G732" s="126"/>
      <c r="H732" s="126"/>
      <c r="I732" s="125"/>
    </row>
    <row r="733">
      <c r="A733" s="125"/>
      <c r="B733" s="125"/>
      <c r="C733" s="125"/>
      <c r="D733" s="125"/>
      <c r="E733" s="125"/>
      <c r="F733" s="126"/>
      <c r="G733" s="126"/>
      <c r="H733" s="126"/>
      <c r="I733" s="125"/>
    </row>
    <row r="734">
      <c r="A734" s="125"/>
      <c r="B734" s="125"/>
      <c r="C734" s="125"/>
      <c r="D734" s="125"/>
      <c r="E734" s="125"/>
      <c r="F734" s="126"/>
      <c r="G734" s="126"/>
      <c r="H734" s="126"/>
      <c r="I734" s="125"/>
    </row>
    <row r="735">
      <c r="A735" s="125"/>
      <c r="B735" s="125"/>
      <c r="C735" s="125"/>
      <c r="D735" s="125"/>
      <c r="E735" s="125"/>
      <c r="F735" s="126"/>
      <c r="G735" s="126"/>
      <c r="H735" s="126"/>
      <c r="I735" s="125"/>
    </row>
    <row r="736">
      <c r="A736" s="125"/>
      <c r="B736" s="125"/>
      <c r="C736" s="125"/>
      <c r="D736" s="125"/>
      <c r="E736" s="125"/>
      <c r="F736" s="126"/>
      <c r="G736" s="126"/>
      <c r="H736" s="126"/>
      <c r="I736" s="125"/>
    </row>
    <row r="737">
      <c r="A737" s="125"/>
      <c r="B737" s="125"/>
      <c r="C737" s="125"/>
      <c r="D737" s="125"/>
      <c r="E737" s="125"/>
      <c r="F737" s="126"/>
      <c r="G737" s="126"/>
      <c r="H737" s="126"/>
      <c r="I737" s="125"/>
    </row>
    <row r="738">
      <c r="A738" s="125"/>
      <c r="B738" s="125"/>
      <c r="C738" s="125"/>
      <c r="D738" s="125"/>
      <c r="E738" s="125"/>
      <c r="F738" s="126"/>
      <c r="G738" s="126"/>
      <c r="H738" s="126"/>
      <c r="I738" s="125"/>
    </row>
    <row r="739">
      <c r="A739" s="125"/>
      <c r="B739" s="125"/>
      <c r="C739" s="125"/>
      <c r="D739" s="125"/>
      <c r="E739" s="125"/>
      <c r="F739" s="126"/>
      <c r="G739" s="126"/>
      <c r="H739" s="126"/>
      <c r="I739" s="125"/>
    </row>
    <row r="740">
      <c r="A740" s="125"/>
      <c r="B740" s="125"/>
      <c r="C740" s="125"/>
      <c r="D740" s="125"/>
      <c r="E740" s="125"/>
      <c r="F740" s="126"/>
      <c r="G740" s="126"/>
      <c r="H740" s="126"/>
      <c r="I740" s="125"/>
    </row>
    <row r="741">
      <c r="A741" s="125"/>
      <c r="B741" s="125"/>
      <c r="C741" s="125"/>
      <c r="D741" s="125"/>
      <c r="E741" s="125"/>
      <c r="F741" s="126"/>
      <c r="G741" s="126"/>
      <c r="H741" s="126"/>
      <c r="I741" s="125"/>
    </row>
    <row r="742">
      <c r="A742" s="125"/>
      <c r="B742" s="125"/>
      <c r="C742" s="125"/>
      <c r="D742" s="125"/>
      <c r="E742" s="125"/>
      <c r="F742" s="126"/>
      <c r="G742" s="126"/>
      <c r="H742" s="126"/>
      <c r="I742" s="125"/>
    </row>
    <row r="743">
      <c r="A743" s="125"/>
      <c r="B743" s="125"/>
      <c r="C743" s="125"/>
      <c r="D743" s="125"/>
      <c r="E743" s="125"/>
      <c r="F743" s="126"/>
      <c r="G743" s="126"/>
      <c r="H743" s="126"/>
      <c r="I743" s="125"/>
    </row>
    <row r="744">
      <c r="A744" s="125"/>
      <c r="B744" s="125"/>
      <c r="C744" s="125"/>
      <c r="D744" s="125"/>
      <c r="E744" s="125"/>
      <c r="F744" s="126"/>
      <c r="G744" s="126"/>
      <c r="H744" s="126"/>
      <c r="I744" s="125"/>
    </row>
    <row r="745">
      <c r="A745" s="125"/>
      <c r="B745" s="125"/>
      <c r="C745" s="125"/>
      <c r="D745" s="125"/>
      <c r="E745" s="125"/>
      <c r="F745" s="126"/>
      <c r="G745" s="126"/>
      <c r="H745" s="126"/>
      <c r="I745" s="125"/>
    </row>
    <row r="746">
      <c r="A746" s="125"/>
      <c r="B746" s="125"/>
      <c r="C746" s="125"/>
      <c r="D746" s="125"/>
      <c r="E746" s="125"/>
      <c r="F746" s="126"/>
      <c r="G746" s="126"/>
      <c r="H746" s="126"/>
      <c r="I746" s="125"/>
    </row>
    <row r="747">
      <c r="A747" s="125"/>
      <c r="B747" s="125"/>
      <c r="C747" s="125"/>
      <c r="D747" s="125"/>
      <c r="E747" s="125"/>
      <c r="F747" s="126"/>
      <c r="G747" s="126"/>
      <c r="H747" s="126"/>
      <c r="I747" s="125"/>
    </row>
    <row r="748">
      <c r="A748" s="125"/>
      <c r="B748" s="125"/>
      <c r="C748" s="125"/>
      <c r="D748" s="125"/>
      <c r="E748" s="125"/>
      <c r="F748" s="126"/>
      <c r="G748" s="126"/>
      <c r="H748" s="126"/>
      <c r="I748" s="125"/>
    </row>
    <row r="749">
      <c r="A749" s="125"/>
      <c r="B749" s="125"/>
      <c r="C749" s="125"/>
      <c r="D749" s="125"/>
      <c r="E749" s="125"/>
      <c r="F749" s="126"/>
      <c r="G749" s="126"/>
      <c r="H749" s="126"/>
      <c r="I749" s="125"/>
    </row>
    <row r="750">
      <c r="A750" s="125"/>
      <c r="B750" s="125"/>
      <c r="C750" s="125"/>
      <c r="D750" s="125"/>
      <c r="E750" s="125"/>
      <c r="F750" s="126"/>
      <c r="G750" s="126"/>
      <c r="H750" s="126"/>
      <c r="I750" s="125"/>
    </row>
    <row r="751">
      <c r="A751" s="125"/>
      <c r="B751" s="125"/>
      <c r="C751" s="125"/>
      <c r="D751" s="125"/>
      <c r="E751" s="125"/>
      <c r="F751" s="126"/>
      <c r="G751" s="126"/>
      <c r="H751" s="126"/>
      <c r="I751" s="125"/>
    </row>
    <row r="752">
      <c r="A752" s="125"/>
      <c r="B752" s="125"/>
      <c r="C752" s="125"/>
      <c r="D752" s="125"/>
      <c r="E752" s="125"/>
      <c r="F752" s="126"/>
      <c r="G752" s="126"/>
      <c r="H752" s="126"/>
      <c r="I752" s="125"/>
    </row>
    <row r="753">
      <c r="A753" s="125"/>
      <c r="B753" s="125"/>
      <c r="C753" s="125"/>
      <c r="D753" s="125"/>
      <c r="E753" s="125"/>
      <c r="F753" s="126"/>
      <c r="G753" s="126"/>
      <c r="H753" s="126"/>
      <c r="I753" s="125"/>
    </row>
    <row r="754">
      <c r="A754" s="125"/>
      <c r="B754" s="125"/>
      <c r="C754" s="125"/>
      <c r="D754" s="125"/>
      <c r="E754" s="125"/>
      <c r="F754" s="126"/>
      <c r="G754" s="126"/>
      <c r="H754" s="126"/>
      <c r="I754" s="125"/>
    </row>
    <row r="755">
      <c r="A755" s="125"/>
      <c r="B755" s="125"/>
      <c r="C755" s="125"/>
      <c r="D755" s="125"/>
      <c r="E755" s="125"/>
      <c r="F755" s="126"/>
      <c r="G755" s="126"/>
      <c r="H755" s="126"/>
      <c r="I755" s="125"/>
    </row>
    <row r="756">
      <c r="A756" s="125"/>
      <c r="B756" s="125"/>
      <c r="C756" s="125"/>
      <c r="D756" s="125"/>
      <c r="E756" s="125"/>
      <c r="F756" s="126"/>
      <c r="G756" s="126"/>
      <c r="H756" s="126"/>
      <c r="I756" s="125"/>
    </row>
    <row r="757">
      <c r="A757" s="125"/>
      <c r="B757" s="125"/>
      <c r="C757" s="125"/>
      <c r="D757" s="125"/>
      <c r="E757" s="125"/>
      <c r="F757" s="126"/>
      <c r="G757" s="126"/>
      <c r="H757" s="126"/>
      <c r="I757" s="125"/>
    </row>
    <row r="758">
      <c r="A758" s="125"/>
      <c r="B758" s="125"/>
      <c r="C758" s="125"/>
      <c r="D758" s="125"/>
      <c r="E758" s="125"/>
      <c r="F758" s="126"/>
      <c r="G758" s="126"/>
      <c r="H758" s="126"/>
      <c r="I758" s="125"/>
    </row>
    <row r="759">
      <c r="A759" s="125"/>
      <c r="B759" s="125"/>
      <c r="C759" s="125"/>
      <c r="D759" s="125"/>
      <c r="E759" s="125"/>
      <c r="F759" s="126"/>
      <c r="G759" s="126"/>
      <c r="H759" s="126"/>
      <c r="I759" s="125"/>
    </row>
    <row r="760">
      <c r="A760" s="125"/>
      <c r="B760" s="125"/>
      <c r="C760" s="125"/>
      <c r="D760" s="125"/>
      <c r="E760" s="125"/>
      <c r="F760" s="126"/>
      <c r="G760" s="126"/>
      <c r="H760" s="126"/>
      <c r="I760" s="125"/>
    </row>
    <row r="761">
      <c r="A761" s="125"/>
      <c r="B761" s="125"/>
      <c r="C761" s="125"/>
      <c r="D761" s="125"/>
      <c r="E761" s="125"/>
      <c r="F761" s="126"/>
      <c r="G761" s="126"/>
      <c r="H761" s="126"/>
      <c r="I761" s="125"/>
    </row>
    <row r="762">
      <c r="A762" s="125"/>
      <c r="B762" s="125"/>
      <c r="C762" s="125"/>
      <c r="D762" s="125"/>
      <c r="E762" s="125"/>
      <c r="F762" s="126"/>
      <c r="G762" s="126"/>
      <c r="H762" s="126"/>
      <c r="I762" s="125"/>
    </row>
    <row r="763">
      <c r="A763" s="125"/>
      <c r="B763" s="125"/>
      <c r="C763" s="125"/>
      <c r="D763" s="125"/>
      <c r="E763" s="125"/>
      <c r="F763" s="126"/>
      <c r="G763" s="126"/>
      <c r="H763" s="126"/>
      <c r="I763" s="125"/>
    </row>
    <row r="764">
      <c r="A764" s="125"/>
      <c r="B764" s="125"/>
      <c r="C764" s="125"/>
      <c r="D764" s="125"/>
      <c r="E764" s="125"/>
      <c r="F764" s="126"/>
      <c r="G764" s="126"/>
      <c r="H764" s="126"/>
      <c r="I764" s="125"/>
    </row>
    <row r="765">
      <c r="A765" s="125"/>
      <c r="B765" s="125"/>
      <c r="C765" s="125"/>
      <c r="D765" s="125"/>
      <c r="E765" s="125"/>
      <c r="F765" s="126"/>
      <c r="G765" s="126"/>
      <c r="H765" s="126"/>
      <c r="I765" s="125"/>
    </row>
    <row r="766">
      <c r="A766" s="125"/>
      <c r="B766" s="125"/>
      <c r="C766" s="125"/>
      <c r="D766" s="125"/>
      <c r="E766" s="125"/>
      <c r="F766" s="126"/>
      <c r="G766" s="126"/>
      <c r="H766" s="126"/>
      <c r="I766" s="125"/>
    </row>
    <row r="767">
      <c r="A767" s="125"/>
      <c r="B767" s="125"/>
      <c r="C767" s="125"/>
      <c r="D767" s="125"/>
      <c r="E767" s="125"/>
      <c r="F767" s="126"/>
      <c r="G767" s="126"/>
      <c r="H767" s="126"/>
      <c r="I767" s="125"/>
    </row>
    <row r="768">
      <c r="A768" s="125"/>
      <c r="B768" s="125"/>
      <c r="C768" s="125"/>
      <c r="D768" s="125"/>
      <c r="E768" s="125"/>
      <c r="F768" s="126"/>
      <c r="G768" s="126"/>
      <c r="H768" s="126"/>
      <c r="I768" s="125"/>
    </row>
    <row r="769">
      <c r="A769" s="125"/>
      <c r="B769" s="125"/>
      <c r="C769" s="125"/>
      <c r="D769" s="125"/>
      <c r="E769" s="125"/>
      <c r="F769" s="126"/>
      <c r="G769" s="126"/>
      <c r="H769" s="126"/>
      <c r="I769" s="125"/>
    </row>
    <row r="770">
      <c r="A770" s="125"/>
      <c r="B770" s="125"/>
      <c r="C770" s="125"/>
      <c r="D770" s="125"/>
      <c r="E770" s="125"/>
      <c r="F770" s="126"/>
      <c r="G770" s="126"/>
      <c r="H770" s="126"/>
      <c r="I770" s="125"/>
    </row>
    <row r="771">
      <c r="A771" s="125"/>
      <c r="B771" s="125"/>
      <c r="C771" s="125"/>
      <c r="D771" s="125"/>
      <c r="E771" s="125"/>
      <c r="F771" s="126"/>
      <c r="G771" s="126"/>
      <c r="H771" s="126"/>
      <c r="I771" s="125"/>
    </row>
    <row r="772">
      <c r="A772" s="125"/>
      <c r="B772" s="125"/>
      <c r="C772" s="125"/>
      <c r="D772" s="125"/>
      <c r="E772" s="125"/>
      <c r="F772" s="126"/>
      <c r="G772" s="126"/>
      <c r="H772" s="126"/>
      <c r="I772" s="125"/>
    </row>
    <row r="773">
      <c r="A773" s="125"/>
      <c r="B773" s="125"/>
      <c r="C773" s="125"/>
      <c r="D773" s="125"/>
      <c r="E773" s="125"/>
      <c r="F773" s="126"/>
      <c r="G773" s="126"/>
      <c r="H773" s="126"/>
      <c r="I773" s="125"/>
    </row>
    <row r="774">
      <c r="A774" s="125"/>
      <c r="B774" s="125"/>
      <c r="C774" s="125"/>
      <c r="D774" s="125"/>
      <c r="E774" s="125"/>
      <c r="F774" s="126"/>
      <c r="G774" s="126"/>
      <c r="H774" s="126"/>
      <c r="I774" s="125"/>
    </row>
    <row r="775">
      <c r="A775" s="125"/>
      <c r="B775" s="125"/>
      <c r="C775" s="125"/>
      <c r="D775" s="125"/>
      <c r="E775" s="125"/>
      <c r="F775" s="126"/>
      <c r="G775" s="126"/>
      <c r="H775" s="126"/>
      <c r="I775" s="125"/>
    </row>
    <row r="776">
      <c r="A776" s="125"/>
      <c r="B776" s="125"/>
      <c r="C776" s="125"/>
      <c r="D776" s="125"/>
      <c r="E776" s="125"/>
      <c r="F776" s="126"/>
      <c r="G776" s="126"/>
      <c r="H776" s="126"/>
      <c r="I776" s="125"/>
    </row>
    <row r="777">
      <c r="A777" s="125"/>
      <c r="B777" s="125"/>
      <c r="C777" s="125"/>
      <c r="D777" s="125"/>
      <c r="E777" s="125"/>
      <c r="F777" s="126"/>
      <c r="G777" s="126"/>
      <c r="H777" s="126"/>
      <c r="I777" s="125"/>
    </row>
    <row r="778">
      <c r="A778" s="125"/>
      <c r="B778" s="125"/>
      <c r="C778" s="125"/>
      <c r="D778" s="125"/>
      <c r="E778" s="125"/>
      <c r="F778" s="126"/>
      <c r="G778" s="126"/>
      <c r="H778" s="126"/>
      <c r="I778" s="125"/>
    </row>
    <row r="779">
      <c r="A779" s="125"/>
      <c r="B779" s="125"/>
      <c r="C779" s="125"/>
      <c r="D779" s="125"/>
      <c r="E779" s="125"/>
      <c r="F779" s="126"/>
      <c r="G779" s="126"/>
      <c r="H779" s="126"/>
      <c r="I779" s="125"/>
    </row>
    <row r="780">
      <c r="A780" s="125"/>
      <c r="B780" s="125"/>
      <c r="C780" s="125"/>
      <c r="D780" s="125"/>
      <c r="E780" s="125"/>
      <c r="F780" s="126"/>
      <c r="G780" s="126"/>
      <c r="H780" s="126"/>
      <c r="I780" s="125"/>
    </row>
    <row r="781">
      <c r="A781" s="125"/>
      <c r="B781" s="125"/>
      <c r="C781" s="125"/>
      <c r="D781" s="125"/>
      <c r="E781" s="125"/>
      <c r="F781" s="126"/>
      <c r="G781" s="126"/>
      <c r="H781" s="126"/>
      <c r="I781" s="125"/>
    </row>
    <row r="782">
      <c r="A782" s="125"/>
      <c r="B782" s="125"/>
      <c r="C782" s="125"/>
      <c r="D782" s="125"/>
      <c r="E782" s="125"/>
      <c r="F782" s="126"/>
      <c r="G782" s="126"/>
      <c r="H782" s="126"/>
      <c r="I782" s="125"/>
    </row>
    <row r="783">
      <c r="A783" s="125"/>
      <c r="B783" s="125"/>
      <c r="C783" s="125"/>
      <c r="D783" s="125"/>
      <c r="E783" s="125"/>
      <c r="F783" s="126"/>
      <c r="G783" s="126"/>
      <c r="H783" s="126"/>
      <c r="I783" s="125"/>
    </row>
    <row r="784">
      <c r="A784" s="125"/>
      <c r="B784" s="125"/>
      <c r="C784" s="125"/>
      <c r="D784" s="125"/>
      <c r="E784" s="125"/>
      <c r="F784" s="126"/>
      <c r="G784" s="126"/>
      <c r="H784" s="126"/>
      <c r="I784" s="125"/>
    </row>
    <row r="785">
      <c r="A785" s="125"/>
      <c r="B785" s="125"/>
      <c r="C785" s="125"/>
      <c r="D785" s="125"/>
      <c r="E785" s="125"/>
      <c r="F785" s="126"/>
      <c r="G785" s="126"/>
      <c r="H785" s="126"/>
      <c r="I785" s="125"/>
    </row>
    <row r="786">
      <c r="A786" s="125"/>
      <c r="B786" s="125"/>
      <c r="C786" s="125"/>
      <c r="D786" s="125"/>
      <c r="E786" s="125"/>
      <c r="F786" s="126"/>
      <c r="G786" s="126"/>
      <c r="H786" s="126"/>
      <c r="I786" s="125"/>
    </row>
    <row r="787">
      <c r="A787" s="125"/>
      <c r="B787" s="125"/>
      <c r="C787" s="125"/>
      <c r="D787" s="125"/>
      <c r="E787" s="125"/>
      <c r="F787" s="126"/>
      <c r="G787" s="126"/>
      <c r="H787" s="126"/>
      <c r="I787" s="125"/>
    </row>
    <row r="788">
      <c r="A788" s="125"/>
      <c r="B788" s="125"/>
      <c r="C788" s="125"/>
      <c r="D788" s="125"/>
      <c r="E788" s="125"/>
      <c r="F788" s="126"/>
      <c r="G788" s="126"/>
      <c r="H788" s="126"/>
      <c r="I788" s="125"/>
    </row>
    <row r="789">
      <c r="A789" s="125"/>
      <c r="B789" s="125"/>
      <c r="C789" s="125"/>
      <c r="D789" s="125"/>
      <c r="E789" s="125"/>
      <c r="F789" s="126"/>
      <c r="G789" s="126"/>
      <c r="H789" s="126"/>
      <c r="I789" s="125"/>
    </row>
    <row r="790">
      <c r="A790" s="125"/>
      <c r="B790" s="125"/>
      <c r="C790" s="125"/>
      <c r="D790" s="125"/>
      <c r="E790" s="125"/>
      <c r="F790" s="126"/>
      <c r="G790" s="126"/>
      <c r="H790" s="126"/>
      <c r="I790" s="125"/>
    </row>
    <row r="791">
      <c r="A791" s="125"/>
      <c r="B791" s="125"/>
      <c r="C791" s="125"/>
      <c r="D791" s="125"/>
      <c r="E791" s="125"/>
      <c r="F791" s="126"/>
      <c r="G791" s="126"/>
      <c r="H791" s="126"/>
      <c r="I791" s="125"/>
    </row>
    <row r="792">
      <c r="A792" s="125"/>
      <c r="B792" s="125"/>
      <c r="C792" s="125"/>
      <c r="D792" s="125"/>
      <c r="E792" s="125"/>
      <c r="F792" s="126"/>
      <c r="G792" s="126"/>
      <c r="H792" s="126"/>
      <c r="I792" s="125"/>
    </row>
    <row r="793">
      <c r="A793" s="125"/>
      <c r="B793" s="125"/>
      <c r="C793" s="125"/>
      <c r="D793" s="125"/>
      <c r="E793" s="125"/>
      <c r="F793" s="126"/>
      <c r="G793" s="126"/>
      <c r="H793" s="126"/>
      <c r="I793" s="125"/>
    </row>
    <row r="794">
      <c r="A794" s="125"/>
      <c r="B794" s="125"/>
      <c r="C794" s="125"/>
      <c r="D794" s="125"/>
      <c r="E794" s="125"/>
      <c r="F794" s="126"/>
      <c r="G794" s="126"/>
      <c r="H794" s="126"/>
      <c r="I794" s="125"/>
    </row>
    <row r="795">
      <c r="A795" s="125"/>
      <c r="B795" s="125"/>
      <c r="C795" s="125"/>
      <c r="D795" s="125"/>
      <c r="E795" s="125"/>
      <c r="F795" s="126"/>
      <c r="G795" s="126"/>
      <c r="H795" s="126"/>
      <c r="I795" s="125"/>
    </row>
    <row r="796">
      <c r="A796" s="125"/>
      <c r="B796" s="125"/>
      <c r="C796" s="125"/>
      <c r="D796" s="125"/>
      <c r="E796" s="125"/>
      <c r="F796" s="126"/>
      <c r="G796" s="126"/>
      <c r="H796" s="126"/>
      <c r="I796" s="125"/>
    </row>
    <row r="797">
      <c r="A797" s="125"/>
      <c r="B797" s="125"/>
      <c r="C797" s="125"/>
      <c r="D797" s="125"/>
      <c r="E797" s="125"/>
      <c r="F797" s="126"/>
      <c r="G797" s="126"/>
      <c r="H797" s="126"/>
      <c r="I797" s="125"/>
    </row>
    <row r="798">
      <c r="A798" s="125"/>
      <c r="B798" s="125"/>
      <c r="C798" s="125"/>
      <c r="D798" s="125"/>
      <c r="E798" s="125"/>
      <c r="F798" s="126"/>
      <c r="G798" s="126"/>
      <c r="H798" s="126"/>
      <c r="I798" s="125"/>
    </row>
    <row r="799">
      <c r="A799" s="125"/>
      <c r="B799" s="125"/>
      <c r="C799" s="125"/>
      <c r="D799" s="125"/>
      <c r="E799" s="125"/>
      <c r="F799" s="126"/>
      <c r="G799" s="126"/>
      <c r="H799" s="126"/>
      <c r="I799" s="125"/>
    </row>
    <row r="800">
      <c r="A800" s="125"/>
      <c r="B800" s="125"/>
      <c r="C800" s="125"/>
      <c r="D800" s="125"/>
      <c r="E800" s="125"/>
      <c r="F800" s="126"/>
      <c r="G800" s="126"/>
      <c r="H800" s="126"/>
      <c r="I800" s="125"/>
    </row>
    <row r="801">
      <c r="A801" s="125"/>
      <c r="B801" s="125"/>
      <c r="C801" s="125"/>
      <c r="D801" s="125"/>
      <c r="E801" s="125"/>
      <c r="F801" s="126"/>
      <c r="G801" s="126"/>
      <c r="H801" s="126"/>
      <c r="I801" s="125"/>
    </row>
    <row r="802">
      <c r="A802" s="125"/>
      <c r="B802" s="125"/>
      <c r="C802" s="125"/>
      <c r="D802" s="125"/>
      <c r="E802" s="125"/>
      <c r="F802" s="126"/>
      <c r="G802" s="126"/>
      <c r="H802" s="126"/>
      <c r="I802" s="125"/>
    </row>
    <row r="803">
      <c r="A803" s="125"/>
      <c r="B803" s="125"/>
      <c r="C803" s="125"/>
      <c r="D803" s="125"/>
      <c r="E803" s="125"/>
      <c r="F803" s="126"/>
      <c r="G803" s="126"/>
      <c r="H803" s="126"/>
      <c r="I803" s="125"/>
    </row>
    <row r="804">
      <c r="A804" s="125"/>
      <c r="B804" s="125"/>
      <c r="C804" s="125"/>
      <c r="D804" s="125"/>
      <c r="E804" s="125"/>
      <c r="F804" s="126"/>
      <c r="G804" s="126"/>
      <c r="H804" s="126"/>
      <c r="I804" s="125"/>
    </row>
    <row r="805">
      <c r="A805" s="125"/>
      <c r="B805" s="125"/>
      <c r="C805" s="125"/>
      <c r="D805" s="125"/>
      <c r="E805" s="125"/>
      <c r="F805" s="126"/>
      <c r="G805" s="126"/>
      <c r="H805" s="126"/>
      <c r="I805" s="125"/>
    </row>
    <row r="806">
      <c r="A806" s="125"/>
      <c r="B806" s="125"/>
      <c r="C806" s="125"/>
      <c r="D806" s="125"/>
      <c r="E806" s="125"/>
      <c r="F806" s="126"/>
      <c r="G806" s="126"/>
      <c r="H806" s="126"/>
      <c r="I806" s="125"/>
    </row>
    <row r="807">
      <c r="A807" s="125"/>
      <c r="B807" s="125"/>
      <c r="C807" s="125"/>
      <c r="D807" s="125"/>
      <c r="E807" s="125"/>
      <c r="F807" s="126"/>
      <c r="G807" s="126"/>
      <c r="H807" s="126"/>
      <c r="I807" s="125"/>
    </row>
    <row r="808">
      <c r="A808" s="125"/>
      <c r="B808" s="125"/>
      <c r="C808" s="125"/>
      <c r="D808" s="125"/>
      <c r="E808" s="125"/>
      <c r="F808" s="126"/>
      <c r="G808" s="126"/>
      <c r="H808" s="126"/>
      <c r="I808" s="125"/>
    </row>
    <row r="809">
      <c r="A809" s="125"/>
      <c r="B809" s="125"/>
      <c r="C809" s="125"/>
      <c r="D809" s="125"/>
      <c r="E809" s="125"/>
      <c r="F809" s="126"/>
      <c r="G809" s="126"/>
      <c r="H809" s="126"/>
      <c r="I809" s="125"/>
    </row>
    <row r="810">
      <c r="A810" s="125"/>
      <c r="B810" s="125"/>
      <c r="C810" s="125"/>
      <c r="D810" s="125"/>
      <c r="E810" s="125"/>
      <c r="F810" s="126"/>
      <c r="G810" s="126"/>
      <c r="H810" s="126"/>
      <c r="I810" s="125"/>
    </row>
    <row r="811">
      <c r="A811" s="125"/>
      <c r="B811" s="125"/>
      <c r="C811" s="125"/>
      <c r="D811" s="125"/>
      <c r="E811" s="125"/>
      <c r="F811" s="126"/>
      <c r="G811" s="126"/>
      <c r="H811" s="126"/>
      <c r="I811" s="125"/>
    </row>
    <row r="812">
      <c r="A812" s="125"/>
      <c r="B812" s="125"/>
      <c r="C812" s="125"/>
      <c r="D812" s="125"/>
      <c r="E812" s="125"/>
      <c r="F812" s="126"/>
      <c r="G812" s="126"/>
      <c r="H812" s="126"/>
      <c r="I812" s="125"/>
    </row>
    <row r="813">
      <c r="A813" s="125"/>
      <c r="B813" s="125"/>
      <c r="C813" s="125"/>
      <c r="D813" s="125"/>
      <c r="E813" s="125"/>
      <c r="F813" s="126"/>
      <c r="G813" s="126"/>
      <c r="H813" s="126"/>
      <c r="I813" s="125"/>
    </row>
    <row r="814">
      <c r="A814" s="125"/>
      <c r="B814" s="125"/>
      <c r="C814" s="125"/>
      <c r="D814" s="125"/>
      <c r="E814" s="125"/>
      <c r="F814" s="126"/>
      <c r="G814" s="126"/>
      <c r="H814" s="126"/>
      <c r="I814" s="125"/>
    </row>
    <row r="815">
      <c r="A815" s="125"/>
      <c r="B815" s="125"/>
      <c r="C815" s="125"/>
      <c r="D815" s="125"/>
      <c r="E815" s="125"/>
      <c r="F815" s="126"/>
      <c r="G815" s="126"/>
      <c r="H815" s="126"/>
      <c r="I815" s="125"/>
    </row>
    <row r="816">
      <c r="A816" s="125"/>
      <c r="B816" s="125"/>
      <c r="C816" s="125"/>
      <c r="D816" s="125"/>
      <c r="E816" s="125"/>
      <c r="F816" s="126"/>
      <c r="G816" s="126"/>
      <c r="H816" s="126"/>
      <c r="I816" s="125"/>
    </row>
    <row r="817">
      <c r="A817" s="125"/>
      <c r="B817" s="125"/>
      <c r="C817" s="125"/>
      <c r="D817" s="125"/>
      <c r="E817" s="125"/>
      <c r="F817" s="126"/>
      <c r="G817" s="126"/>
      <c r="H817" s="126"/>
      <c r="I817" s="125"/>
    </row>
    <row r="818">
      <c r="A818" s="125"/>
      <c r="B818" s="125"/>
      <c r="C818" s="125"/>
      <c r="D818" s="125"/>
      <c r="E818" s="125"/>
      <c r="F818" s="126"/>
      <c r="G818" s="126"/>
      <c r="H818" s="126"/>
      <c r="I818" s="125"/>
    </row>
    <row r="819">
      <c r="A819" s="125"/>
      <c r="B819" s="125"/>
      <c r="C819" s="125"/>
      <c r="D819" s="125"/>
      <c r="E819" s="125"/>
      <c r="F819" s="126"/>
      <c r="G819" s="126"/>
      <c r="H819" s="126"/>
      <c r="I819" s="125"/>
    </row>
    <row r="820">
      <c r="A820" s="125"/>
      <c r="B820" s="125"/>
      <c r="C820" s="125"/>
      <c r="D820" s="125"/>
      <c r="E820" s="125"/>
      <c r="F820" s="126"/>
      <c r="G820" s="126"/>
      <c r="H820" s="126"/>
      <c r="I820" s="125"/>
    </row>
    <row r="821">
      <c r="A821" s="125"/>
      <c r="B821" s="125"/>
      <c r="C821" s="125"/>
      <c r="D821" s="125"/>
      <c r="E821" s="125"/>
      <c r="F821" s="126"/>
      <c r="G821" s="126"/>
      <c r="H821" s="126"/>
      <c r="I821" s="125"/>
    </row>
    <row r="822">
      <c r="A822" s="125"/>
      <c r="B822" s="125"/>
      <c r="C822" s="125"/>
      <c r="D822" s="125"/>
      <c r="E822" s="125"/>
      <c r="F822" s="126"/>
      <c r="G822" s="126"/>
      <c r="H822" s="126"/>
      <c r="I822" s="125"/>
    </row>
    <row r="823">
      <c r="A823" s="125"/>
      <c r="B823" s="125"/>
      <c r="C823" s="125"/>
      <c r="D823" s="125"/>
      <c r="E823" s="125"/>
      <c r="F823" s="126"/>
      <c r="G823" s="126"/>
      <c r="H823" s="126"/>
      <c r="I823" s="125"/>
    </row>
    <row r="824">
      <c r="A824" s="125"/>
      <c r="B824" s="125"/>
      <c r="C824" s="125"/>
      <c r="D824" s="125"/>
      <c r="E824" s="125"/>
      <c r="F824" s="126"/>
      <c r="G824" s="126"/>
      <c r="H824" s="126"/>
      <c r="I824" s="125"/>
    </row>
    <row r="825">
      <c r="A825" s="125"/>
      <c r="B825" s="125"/>
      <c r="C825" s="125"/>
      <c r="D825" s="125"/>
      <c r="E825" s="125"/>
      <c r="F825" s="126"/>
      <c r="G825" s="126"/>
      <c r="H825" s="126"/>
      <c r="I825" s="125"/>
    </row>
    <row r="826">
      <c r="A826" s="125"/>
      <c r="B826" s="125"/>
      <c r="C826" s="125"/>
      <c r="D826" s="125"/>
      <c r="E826" s="125"/>
      <c r="F826" s="126"/>
      <c r="G826" s="126"/>
      <c r="H826" s="126"/>
      <c r="I826" s="125"/>
    </row>
    <row r="827">
      <c r="A827" s="125"/>
      <c r="B827" s="125"/>
      <c r="C827" s="125"/>
      <c r="D827" s="125"/>
      <c r="E827" s="125"/>
      <c r="F827" s="126"/>
      <c r="G827" s="126"/>
      <c r="H827" s="126"/>
      <c r="I827" s="125"/>
    </row>
    <row r="828">
      <c r="A828" s="125"/>
      <c r="B828" s="125"/>
      <c r="C828" s="125"/>
      <c r="D828" s="125"/>
      <c r="E828" s="125"/>
      <c r="F828" s="126"/>
      <c r="G828" s="126"/>
      <c r="H828" s="126"/>
      <c r="I828" s="125"/>
    </row>
    <row r="829">
      <c r="A829" s="125"/>
      <c r="B829" s="125"/>
      <c r="C829" s="125"/>
      <c r="D829" s="125"/>
      <c r="E829" s="125"/>
      <c r="F829" s="126"/>
      <c r="G829" s="126"/>
      <c r="H829" s="126"/>
      <c r="I829" s="125"/>
    </row>
    <row r="830">
      <c r="A830" s="125"/>
      <c r="B830" s="125"/>
      <c r="C830" s="125"/>
      <c r="D830" s="125"/>
      <c r="E830" s="125"/>
      <c r="F830" s="126"/>
      <c r="G830" s="126"/>
      <c r="H830" s="126"/>
      <c r="I830" s="125"/>
    </row>
    <row r="831">
      <c r="A831" s="125"/>
      <c r="B831" s="125"/>
      <c r="C831" s="125"/>
      <c r="D831" s="125"/>
      <c r="E831" s="125"/>
      <c r="F831" s="126"/>
      <c r="G831" s="126"/>
      <c r="H831" s="126"/>
      <c r="I831" s="125"/>
    </row>
    <row r="832">
      <c r="A832" s="125"/>
      <c r="B832" s="125"/>
      <c r="C832" s="125"/>
      <c r="D832" s="125"/>
      <c r="E832" s="125"/>
      <c r="F832" s="126"/>
      <c r="G832" s="126"/>
      <c r="H832" s="126"/>
      <c r="I832" s="125"/>
    </row>
    <row r="833">
      <c r="A833" s="125"/>
      <c r="B833" s="125"/>
      <c r="C833" s="125"/>
      <c r="D833" s="125"/>
      <c r="E833" s="125"/>
      <c r="F833" s="126"/>
      <c r="G833" s="126"/>
      <c r="H833" s="126"/>
      <c r="I833" s="125"/>
    </row>
    <row r="834">
      <c r="A834" s="125"/>
      <c r="B834" s="125"/>
      <c r="C834" s="125"/>
      <c r="D834" s="125"/>
      <c r="E834" s="125"/>
      <c r="F834" s="126"/>
      <c r="G834" s="126"/>
      <c r="H834" s="126"/>
      <c r="I834" s="125"/>
    </row>
    <row r="835">
      <c r="A835" s="125"/>
      <c r="B835" s="125"/>
      <c r="C835" s="125"/>
      <c r="D835" s="125"/>
      <c r="E835" s="125"/>
      <c r="F835" s="126"/>
      <c r="G835" s="126"/>
      <c r="H835" s="126"/>
      <c r="I835" s="125"/>
    </row>
    <row r="836">
      <c r="A836" s="125"/>
      <c r="B836" s="125"/>
      <c r="C836" s="125"/>
      <c r="D836" s="125"/>
      <c r="E836" s="125"/>
      <c r="F836" s="126"/>
      <c r="G836" s="126"/>
      <c r="H836" s="126"/>
      <c r="I836" s="125"/>
    </row>
    <row r="837">
      <c r="A837" s="125"/>
      <c r="B837" s="125"/>
      <c r="C837" s="125"/>
      <c r="D837" s="125"/>
      <c r="E837" s="125"/>
      <c r="F837" s="126"/>
      <c r="G837" s="126"/>
      <c r="H837" s="126"/>
      <c r="I837" s="125"/>
    </row>
    <row r="838">
      <c r="A838" s="125"/>
      <c r="B838" s="125"/>
      <c r="C838" s="125"/>
      <c r="D838" s="125"/>
      <c r="E838" s="125"/>
      <c r="F838" s="126"/>
      <c r="G838" s="126"/>
      <c r="H838" s="126"/>
      <c r="I838" s="125"/>
    </row>
    <row r="839">
      <c r="A839" s="125"/>
      <c r="B839" s="125"/>
      <c r="C839" s="125"/>
      <c r="D839" s="125"/>
      <c r="E839" s="125"/>
      <c r="F839" s="126"/>
      <c r="G839" s="126"/>
      <c r="H839" s="126"/>
      <c r="I839" s="125"/>
    </row>
    <row r="840">
      <c r="A840" s="125"/>
      <c r="B840" s="125"/>
      <c r="C840" s="125"/>
      <c r="D840" s="125"/>
      <c r="E840" s="125"/>
      <c r="F840" s="126"/>
      <c r="G840" s="126"/>
      <c r="H840" s="126"/>
      <c r="I840" s="125"/>
    </row>
    <row r="841">
      <c r="A841" s="125"/>
      <c r="B841" s="125"/>
      <c r="C841" s="125"/>
      <c r="D841" s="125"/>
      <c r="E841" s="125"/>
      <c r="F841" s="126"/>
      <c r="G841" s="126"/>
      <c r="H841" s="126"/>
      <c r="I841" s="125"/>
    </row>
    <row r="842">
      <c r="A842" s="125"/>
      <c r="B842" s="125"/>
      <c r="C842" s="125"/>
      <c r="D842" s="125"/>
      <c r="E842" s="125"/>
      <c r="F842" s="126"/>
      <c r="G842" s="126"/>
      <c r="H842" s="126"/>
      <c r="I842" s="125"/>
    </row>
    <row r="843">
      <c r="A843" s="125"/>
      <c r="B843" s="125"/>
      <c r="C843" s="125"/>
      <c r="D843" s="125"/>
      <c r="E843" s="125"/>
      <c r="F843" s="126"/>
      <c r="G843" s="126"/>
      <c r="H843" s="126"/>
      <c r="I843" s="125"/>
    </row>
    <row r="844">
      <c r="A844" s="125"/>
      <c r="B844" s="125"/>
      <c r="C844" s="125"/>
      <c r="D844" s="125"/>
      <c r="E844" s="125"/>
      <c r="F844" s="126"/>
      <c r="G844" s="126"/>
      <c r="H844" s="126"/>
      <c r="I844" s="125"/>
    </row>
    <row r="845">
      <c r="A845" s="125"/>
      <c r="B845" s="125"/>
      <c r="C845" s="125"/>
      <c r="D845" s="125"/>
      <c r="E845" s="125"/>
      <c r="F845" s="126"/>
      <c r="G845" s="126"/>
      <c r="H845" s="126"/>
      <c r="I845" s="125"/>
    </row>
    <row r="846">
      <c r="A846" s="125"/>
      <c r="B846" s="125"/>
      <c r="C846" s="125"/>
      <c r="D846" s="125"/>
      <c r="E846" s="125"/>
      <c r="F846" s="126"/>
      <c r="G846" s="126"/>
      <c r="H846" s="126"/>
      <c r="I846" s="125"/>
    </row>
    <row r="847">
      <c r="A847" s="125"/>
      <c r="B847" s="125"/>
      <c r="C847" s="125"/>
      <c r="D847" s="125"/>
      <c r="E847" s="125"/>
      <c r="F847" s="126"/>
      <c r="G847" s="126"/>
      <c r="H847" s="126"/>
      <c r="I847" s="125"/>
    </row>
    <row r="848">
      <c r="A848" s="125"/>
      <c r="B848" s="125"/>
      <c r="C848" s="125"/>
      <c r="D848" s="125"/>
      <c r="E848" s="125"/>
      <c r="F848" s="126"/>
      <c r="G848" s="126"/>
      <c r="H848" s="126"/>
      <c r="I848" s="125"/>
    </row>
    <row r="849">
      <c r="A849" s="125"/>
      <c r="B849" s="125"/>
      <c r="C849" s="125"/>
      <c r="D849" s="125"/>
      <c r="E849" s="125"/>
      <c r="F849" s="126"/>
      <c r="G849" s="126"/>
      <c r="H849" s="126"/>
      <c r="I849" s="125"/>
    </row>
    <row r="850">
      <c r="A850" s="125"/>
      <c r="B850" s="125"/>
      <c r="C850" s="125"/>
      <c r="D850" s="125"/>
      <c r="E850" s="125"/>
      <c r="F850" s="126"/>
      <c r="G850" s="126"/>
      <c r="H850" s="126"/>
      <c r="I850" s="125"/>
    </row>
    <row r="851">
      <c r="A851" s="125"/>
      <c r="B851" s="125"/>
      <c r="C851" s="125"/>
      <c r="D851" s="125"/>
      <c r="E851" s="125"/>
      <c r="F851" s="126"/>
      <c r="G851" s="126"/>
      <c r="H851" s="126"/>
      <c r="I851" s="125"/>
    </row>
    <row r="852">
      <c r="A852" s="125"/>
      <c r="B852" s="125"/>
      <c r="C852" s="125"/>
      <c r="D852" s="125"/>
      <c r="E852" s="125"/>
      <c r="F852" s="126"/>
      <c r="G852" s="126"/>
      <c r="H852" s="126"/>
      <c r="I852" s="125"/>
    </row>
    <row r="853">
      <c r="A853" s="125"/>
      <c r="B853" s="125"/>
      <c r="C853" s="125"/>
      <c r="D853" s="125"/>
      <c r="E853" s="125"/>
      <c r="F853" s="126"/>
      <c r="G853" s="126"/>
      <c r="H853" s="126"/>
      <c r="I853" s="125"/>
    </row>
    <row r="854">
      <c r="A854" s="125"/>
      <c r="B854" s="125"/>
      <c r="C854" s="125"/>
      <c r="D854" s="125"/>
      <c r="E854" s="125"/>
      <c r="F854" s="126"/>
      <c r="G854" s="126"/>
      <c r="H854" s="126"/>
      <c r="I854" s="125"/>
    </row>
    <row r="855">
      <c r="A855" s="125"/>
      <c r="B855" s="125"/>
      <c r="C855" s="125"/>
      <c r="D855" s="125"/>
      <c r="E855" s="125"/>
      <c r="F855" s="126"/>
      <c r="G855" s="126"/>
      <c r="H855" s="126"/>
      <c r="I855" s="125"/>
    </row>
    <row r="856">
      <c r="A856" s="125"/>
      <c r="B856" s="125"/>
      <c r="C856" s="125"/>
      <c r="D856" s="125"/>
      <c r="E856" s="125"/>
      <c r="F856" s="126"/>
      <c r="G856" s="126"/>
      <c r="H856" s="126"/>
      <c r="I856" s="125"/>
    </row>
    <row r="857">
      <c r="A857" s="125"/>
      <c r="B857" s="125"/>
      <c r="C857" s="125"/>
      <c r="D857" s="125"/>
      <c r="E857" s="125"/>
      <c r="F857" s="126"/>
      <c r="G857" s="126"/>
      <c r="H857" s="126"/>
      <c r="I857" s="125"/>
    </row>
    <row r="858">
      <c r="A858" s="125"/>
      <c r="B858" s="125"/>
      <c r="C858" s="125"/>
      <c r="D858" s="125"/>
      <c r="E858" s="125"/>
      <c r="F858" s="126"/>
      <c r="G858" s="126"/>
      <c r="H858" s="126"/>
      <c r="I858" s="125"/>
    </row>
    <row r="859">
      <c r="A859" s="125"/>
      <c r="B859" s="125"/>
      <c r="C859" s="125"/>
      <c r="D859" s="125"/>
      <c r="E859" s="125"/>
      <c r="F859" s="126"/>
      <c r="G859" s="126"/>
      <c r="H859" s="126"/>
      <c r="I859" s="125"/>
    </row>
    <row r="860">
      <c r="A860" s="125"/>
      <c r="B860" s="125"/>
      <c r="C860" s="125"/>
      <c r="D860" s="125"/>
      <c r="E860" s="125"/>
      <c r="F860" s="126"/>
      <c r="G860" s="126"/>
      <c r="H860" s="126"/>
      <c r="I860" s="125"/>
    </row>
    <row r="861">
      <c r="A861" s="125"/>
      <c r="B861" s="125"/>
      <c r="C861" s="125"/>
      <c r="D861" s="125"/>
      <c r="E861" s="125"/>
      <c r="F861" s="126"/>
      <c r="G861" s="126"/>
      <c r="H861" s="126"/>
      <c r="I861" s="125"/>
    </row>
    <row r="862">
      <c r="A862" s="125"/>
      <c r="B862" s="125"/>
      <c r="C862" s="125"/>
      <c r="D862" s="125"/>
      <c r="E862" s="125"/>
      <c r="F862" s="126"/>
      <c r="G862" s="126"/>
      <c r="H862" s="126"/>
      <c r="I862" s="125"/>
    </row>
    <row r="863">
      <c r="A863" s="125"/>
      <c r="B863" s="125"/>
      <c r="C863" s="125"/>
      <c r="D863" s="125"/>
      <c r="E863" s="125"/>
      <c r="F863" s="126"/>
      <c r="G863" s="126"/>
      <c r="H863" s="126"/>
      <c r="I863" s="125"/>
    </row>
    <row r="864">
      <c r="A864" s="125"/>
      <c r="B864" s="125"/>
      <c r="C864" s="125"/>
      <c r="D864" s="125"/>
      <c r="E864" s="125"/>
      <c r="F864" s="126"/>
      <c r="G864" s="126"/>
      <c r="H864" s="126"/>
      <c r="I864" s="125"/>
    </row>
    <row r="865">
      <c r="A865" s="125"/>
      <c r="B865" s="125"/>
      <c r="C865" s="125"/>
      <c r="D865" s="125"/>
      <c r="E865" s="125"/>
      <c r="F865" s="126"/>
      <c r="G865" s="126"/>
      <c r="H865" s="126"/>
      <c r="I865" s="125"/>
    </row>
    <row r="866">
      <c r="A866" s="125"/>
      <c r="B866" s="125"/>
      <c r="C866" s="125"/>
      <c r="D866" s="125"/>
      <c r="E866" s="125"/>
      <c r="F866" s="126"/>
      <c r="G866" s="126"/>
      <c r="H866" s="126"/>
      <c r="I866" s="125"/>
    </row>
    <row r="867">
      <c r="A867" s="125"/>
      <c r="B867" s="125"/>
      <c r="C867" s="125"/>
      <c r="D867" s="125"/>
      <c r="E867" s="125"/>
      <c r="F867" s="126"/>
      <c r="G867" s="126"/>
      <c r="H867" s="126"/>
      <c r="I867" s="125"/>
    </row>
    <row r="868">
      <c r="A868" s="125"/>
      <c r="B868" s="125"/>
      <c r="C868" s="125"/>
      <c r="D868" s="125"/>
      <c r="E868" s="125"/>
      <c r="F868" s="126"/>
      <c r="G868" s="126"/>
      <c r="H868" s="126"/>
      <c r="I868" s="125"/>
    </row>
    <row r="869">
      <c r="A869" s="125"/>
      <c r="B869" s="125"/>
      <c r="C869" s="125"/>
      <c r="D869" s="125"/>
      <c r="E869" s="125"/>
      <c r="F869" s="126"/>
      <c r="G869" s="126"/>
      <c r="H869" s="126"/>
      <c r="I869" s="125"/>
    </row>
    <row r="870">
      <c r="A870" s="125"/>
      <c r="B870" s="125"/>
      <c r="C870" s="125"/>
      <c r="D870" s="125"/>
      <c r="E870" s="125"/>
      <c r="F870" s="126"/>
      <c r="G870" s="126"/>
      <c r="H870" s="126"/>
      <c r="I870" s="125"/>
    </row>
    <row r="871">
      <c r="A871" s="125"/>
      <c r="B871" s="125"/>
      <c r="C871" s="125"/>
      <c r="D871" s="125"/>
      <c r="E871" s="125"/>
      <c r="F871" s="126"/>
      <c r="G871" s="126"/>
      <c r="H871" s="126"/>
      <c r="I871" s="125"/>
    </row>
    <row r="872">
      <c r="A872" s="125"/>
      <c r="B872" s="125"/>
      <c r="C872" s="125"/>
      <c r="D872" s="125"/>
      <c r="E872" s="125"/>
      <c r="F872" s="126"/>
      <c r="G872" s="126"/>
      <c r="H872" s="126"/>
      <c r="I872" s="125"/>
    </row>
    <row r="873">
      <c r="A873" s="125"/>
      <c r="B873" s="125"/>
      <c r="C873" s="125"/>
      <c r="D873" s="125"/>
      <c r="E873" s="125"/>
      <c r="F873" s="126"/>
      <c r="G873" s="126"/>
      <c r="H873" s="126"/>
      <c r="I873" s="125"/>
    </row>
    <row r="874">
      <c r="A874" s="125"/>
      <c r="B874" s="125"/>
      <c r="C874" s="125"/>
      <c r="D874" s="125"/>
      <c r="E874" s="125"/>
      <c r="F874" s="126"/>
      <c r="G874" s="126"/>
      <c r="H874" s="126"/>
      <c r="I874" s="125"/>
    </row>
    <row r="875">
      <c r="A875" s="125"/>
      <c r="B875" s="125"/>
      <c r="C875" s="125"/>
      <c r="D875" s="125"/>
      <c r="E875" s="125"/>
      <c r="F875" s="126"/>
      <c r="G875" s="126"/>
      <c r="H875" s="126"/>
      <c r="I875" s="125"/>
    </row>
    <row r="876">
      <c r="A876" s="125"/>
      <c r="B876" s="125"/>
      <c r="C876" s="125"/>
      <c r="D876" s="125"/>
      <c r="E876" s="125"/>
      <c r="F876" s="126"/>
      <c r="G876" s="126"/>
      <c r="H876" s="126"/>
      <c r="I876" s="125"/>
    </row>
    <row r="877">
      <c r="A877" s="125"/>
      <c r="B877" s="125"/>
      <c r="C877" s="125"/>
      <c r="D877" s="125"/>
      <c r="E877" s="125"/>
      <c r="F877" s="126"/>
      <c r="G877" s="126"/>
      <c r="H877" s="126"/>
      <c r="I877" s="125"/>
    </row>
    <row r="878">
      <c r="A878" s="125"/>
      <c r="B878" s="125"/>
      <c r="C878" s="125"/>
      <c r="D878" s="125"/>
      <c r="E878" s="125"/>
      <c r="F878" s="126"/>
      <c r="G878" s="126"/>
      <c r="H878" s="126"/>
      <c r="I878" s="125"/>
    </row>
    <row r="879">
      <c r="A879" s="125"/>
      <c r="B879" s="125"/>
      <c r="C879" s="125"/>
      <c r="D879" s="125"/>
      <c r="E879" s="125"/>
      <c r="F879" s="126"/>
      <c r="G879" s="126"/>
      <c r="H879" s="126"/>
      <c r="I879" s="125"/>
    </row>
    <row r="880">
      <c r="A880" s="125"/>
      <c r="B880" s="125"/>
      <c r="C880" s="125"/>
      <c r="D880" s="125"/>
      <c r="E880" s="125"/>
      <c r="F880" s="126"/>
      <c r="G880" s="126"/>
      <c r="H880" s="126"/>
      <c r="I880" s="125"/>
    </row>
    <row r="881">
      <c r="A881" s="125"/>
      <c r="B881" s="125"/>
      <c r="C881" s="125"/>
      <c r="D881" s="125"/>
      <c r="E881" s="125"/>
      <c r="F881" s="126"/>
      <c r="G881" s="126"/>
      <c r="H881" s="126"/>
      <c r="I881" s="125"/>
    </row>
    <row r="882">
      <c r="A882" s="125"/>
      <c r="B882" s="125"/>
      <c r="C882" s="125"/>
      <c r="D882" s="125"/>
      <c r="E882" s="125"/>
      <c r="F882" s="126"/>
      <c r="G882" s="126"/>
      <c r="H882" s="126"/>
      <c r="I882" s="125"/>
    </row>
    <row r="883">
      <c r="A883" s="125"/>
      <c r="B883" s="125"/>
      <c r="C883" s="125"/>
      <c r="D883" s="125"/>
      <c r="E883" s="125"/>
      <c r="F883" s="126"/>
      <c r="G883" s="126"/>
      <c r="H883" s="126"/>
      <c r="I883" s="125"/>
    </row>
    <row r="884">
      <c r="A884" s="125"/>
      <c r="B884" s="125"/>
      <c r="C884" s="125"/>
      <c r="D884" s="125"/>
      <c r="E884" s="125"/>
      <c r="F884" s="126"/>
      <c r="G884" s="126"/>
      <c r="H884" s="126"/>
      <c r="I884" s="125"/>
    </row>
    <row r="885">
      <c r="A885" s="125"/>
      <c r="B885" s="125"/>
      <c r="C885" s="125"/>
      <c r="D885" s="125"/>
      <c r="E885" s="125"/>
      <c r="F885" s="126"/>
      <c r="G885" s="126"/>
      <c r="H885" s="126"/>
      <c r="I885" s="125"/>
    </row>
    <row r="886">
      <c r="A886" s="125"/>
      <c r="B886" s="125"/>
      <c r="C886" s="125"/>
      <c r="D886" s="125"/>
      <c r="E886" s="125"/>
      <c r="F886" s="126"/>
      <c r="G886" s="126"/>
      <c r="H886" s="126"/>
      <c r="I886" s="125"/>
    </row>
    <row r="887">
      <c r="A887" s="125"/>
      <c r="B887" s="125"/>
      <c r="C887" s="125"/>
      <c r="D887" s="125"/>
      <c r="E887" s="125"/>
      <c r="F887" s="126"/>
      <c r="G887" s="126"/>
      <c r="H887" s="126"/>
      <c r="I887" s="125"/>
    </row>
    <row r="888">
      <c r="A888" s="125"/>
      <c r="B888" s="125"/>
      <c r="C888" s="125"/>
      <c r="D888" s="125"/>
      <c r="E888" s="125"/>
      <c r="F888" s="126"/>
      <c r="G888" s="126"/>
      <c r="H888" s="126"/>
      <c r="I888" s="125"/>
    </row>
    <row r="889">
      <c r="A889" s="125"/>
      <c r="B889" s="125"/>
      <c r="C889" s="125"/>
      <c r="D889" s="125"/>
      <c r="E889" s="125"/>
      <c r="F889" s="126"/>
      <c r="G889" s="126"/>
      <c r="H889" s="126"/>
      <c r="I889" s="125"/>
    </row>
    <row r="890">
      <c r="A890" s="125"/>
      <c r="B890" s="125"/>
      <c r="C890" s="125"/>
      <c r="D890" s="125"/>
      <c r="E890" s="125"/>
      <c r="F890" s="126"/>
      <c r="G890" s="126"/>
      <c r="H890" s="126"/>
      <c r="I890" s="125"/>
    </row>
    <row r="891">
      <c r="A891" s="125"/>
      <c r="B891" s="125"/>
      <c r="C891" s="125"/>
      <c r="D891" s="125"/>
      <c r="E891" s="125"/>
      <c r="F891" s="126"/>
      <c r="G891" s="126"/>
      <c r="H891" s="126"/>
      <c r="I891" s="125"/>
    </row>
    <row r="892">
      <c r="A892" s="125"/>
      <c r="B892" s="125"/>
      <c r="C892" s="125"/>
      <c r="D892" s="125"/>
      <c r="E892" s="125"/>
      <c r="F892" s="126"/>
      <c r="G892" s="126"/>
      <c r="H892" s="126"/>
      <c r="I892" s="125"/>
    </row>
    <row r="893">
      <c r="A893" s="125"/>
      <c r="B893" s="125"/>
      <c r="C893" s="125"/>
      <c r="D893" s="125"/>
      <c r="E893" s="125"/>
      <c r="F893" s="126"/>
      <c r="G893" s="126"/>
      <c r="H893" s="126"/>
      <c r="I893" s="125"/>
    </row>
    <row r="894">
      <c r="A894" s="125"/>
      <c r="B894" s="125"/>
      <c r="C894" s="125"/>
      <c r="D894" s="125"/>
      <c r="E894" s="125"/>
      <c r="F894" s="126"/>
      <c r="G894" s="126"/>
      <c r="H894" s="126"/>
      <c r="I894" s="125"/>
    </row>
    <row r="895">
      <c r="A895" s="125"/>
      <c r="B895" s="125"/>
      <c r="C895" s="125"/>
      <c r="D895" s="125"/>
      <c r="E895" s="125"/>
      <c r="F895" s="126"/>
      <c r="G895" s="126"/>
      <c r="H895" s="126"/>
      <c r="I895" s="125"/>
    </row>
    <row r="896">
      <c r="A896" s="125"/>
      <c r="B896" s="125"/>
      <c r="C896" s="125"/>
      <c r="D896" s="125"/>
      <c r="E896" s="125"/>
      <c r="F896" s="126"/>
      <c r="G896" s="126"/>
      <c r="H896" s="126"/>
      <c r="I896" s="125"/>
    </row>
    <row r="897">
      <c r="A897" s="125"/>
      <c r="B897" s="125"/>
      <c r="C897" s="125"/>
      <c r="D897" s="125"/>
      <c r="E897" s="125"/>
      <c r="F897" s="126"/>
      <c r="G897" s="126"/>
      <c r="H897" s="126"/>
      <c r="I897" s="125"/>
    </row>
    <row r="898">
      <c r="A898" s="125"/>
      <c r="B898" s="125"/>
      <c r="C898" s="125"/>
      <c r="D898" s="125"/>
      <c r="E898" s="125"/>
      <c r="F898" s="126"/>
      <c r="G898" s="126"/>
      <c r="H898" s="126"/>
      <c r="I898" s="125"/>
    </row>
    <row r="899">
      <c r="A899" s="125"/>
      <c r="B899" s="125"/>
      <c r="C899" s="125"/>
      <c r="D899" s="125"/>
      <c r="E899" s="125"/>
      <c r="F899" s="126"/>
      <c r="G899" s="126"/>
      <c r="H899" s="126"/>
      <c r="I899" s="125"/>
    </row>
    <row r="900">
      <c r="A900" s="125"/>
      <c r="B900" s="125"/>
      <c r="C900" s="125"/>
      <c r="D900" s="125"/>
      <c r="E900" s="125"/>
      <c r="F900" s="126"/>
      <c r="G900" s="126"/>
      <c r="H900" s="126"/>
      <c r="I900" s="125"/>
    </row>
    <row r="901">
      <c r="A901" s="125"/>
      <c r="B901" s="125"/>
      <c r="C901" s="125"/>
      <c r="D901" s="125"/>
      <c r="E901" s="125"/>
      <c r="F901" s="126"/>
      <c r="G901" s="126"/>
      <c r="H901" s="126"/>
      <c r="I901" s="125"/>
    </row>
    <row r="902">
      <c r="A902" s="125"/>
      <c r="B902" s="125"/>
      <c r="C902" s="125"/>
      <c r="D902" s="125"/>
      <c r="E902" s="125"/>
      <c r="F902" s="126"/>
      <c r="G902" s="126"/>
      <c r="H902" s="126"/>
      <c r="I902" s="125"/>
    </row>
    <row r="903">
      <c r="A903" s="125"/>
      <c r="B903" s="125"/>
      <c r="C903" s="125"/>
      <c r="D903" s="125"/>
      <c r="E903" s="125"/>
      <c r="F903" s="126"/>
      <c r="G903" s="126"/>
      <c r="H903" s="126"/>
      <c r="I903" s="125"/>
    </row>
    <row r="904">
      <c r="A904" s="125"/>
      <c r="B904" s="125"/>
      <c r="C904" s="125"/>
      <c r="D904" s="125"/>
      <c r="E904" s="125"/>
      <c r="F904" s="126"/>
      <c r="G904" s="126"/>
      <c r="H904" s="126"/>
      <c r="I904" s="125"/>
    </row>
    <row r="905">
      <c r="A905" s="125"/>
      <c r="B905" s="125"/>
      <c r="C905" s="125"/>
      <c r="D905" s="125"/>
      <c r="E905" s="125"/>
      <c r="F905" s="126"/>
      <c r="G905" s="126"/>
      <c r="H905" s="126"/>
      <c r="I905" s="125"/>
    </row>
    <row r="906">
      <c r="A906" s="125"/>
      <c r="B906" s="125"/>
      <c r="C906" s="125"/>
      <c r="D906" s="125"/>
      <c r="E906" s="125"/>
      <c r="F906" s="126"/>
      <c r="G906" s="126"/>
      <c r="H906" s="126"/>
      <c r="I906" s="125"/>
    </row>
    <row r="907">
      <c r="A907" s="125"/>
      <c r="B907" s="125"/>
      <c r="C907" s="125"/>
      <c r="D907" s="125"/>
      <c r="E907" s="125"/>
      <c r="F907" s="126"/>
      <c r="G907" s="126"/>
      <c r="H907" s="126"/>
      <c r="I907" s="125"/>
    </row>
    <row r="908">
      <c r="A908" s="125"/>
      <c r="B908" s="125"/>
      <c r="C908" s="125"/>
      <c r="D908" s="125"/>
      <c r="E908" s="125"/>
      <c r="F908" s="126"/>
      <c r="G908" s="126"/>
      <c r="H908" s="126"/>
      <c r="I908" s="125"/>
    </row>
    <row r="909">
      <c r="A909" s="125"/>
      <c r="B909" s="125"/>
      <c r="C909" s="125"/>
      <c r="D909" s="125"/>
      <c r="E909" s="125"/>
      <c r="F909" s="126"/>
      <c r="G909" s="126"/>
      <c r="H909" s="126"/>
      <c r="I909" s="125"/>
    </row>
    <row r="910">
      <c r="A910" s="125"/>
      <c r="B910" s="125"/>
      <c r="C910" s="125"/>
      <c r="D910" s="125"/>
      <c r="E910" s="125"/>
      <c r="F910" s="126"/>
      <c r="G910" s="126"/>
      <c r="H910" s="126"/>
      <c r="I910" s="125"/>
    </row>
    <row r="911">
      <c r="A911" s="125"/>
      <c r="B911" s="125"/>
      <c r="C911" s="125"/>
      <c r="D911" s="125"/>
      <c r="E911" s="125"/>
      <c r="F911" s="126"/>
      <c r="G911" s="126"/>
      <c r="H911" s="126"/>
      <c r="I911" s="125"/>
    </row>
    <row r="912">
      <c r="A912" s="125"/>
      <c r="B912" s="125"/>
      <c r="C912" s="125"/>
      <c r="D912" s="125"/>
      <c r="E912" s="125"/>
      <c r="F912" s="126"/>
      <c r="G912" s="126"/>
      <c r="H912" s="126"/>
      <c r="I912" s="125"/>
    </row>
    <row r="913">
      <c r="A913" s="125"/>
      <c r="B913" s="125"/>
      <c r="C913" s="125"/>
      <c r="D913" s="125"/>
      <c r="E913" s="125"/>
      <c r="F913" s="126"/>
      <c r="G913" s="126"/>
      <c r="H913" s="126"/>
      <c r="I913" s="125"/>
    </row>
    <row r="914">
      <c r="A914" s="125"/>
      <c r="B914" s="125"/>
      <c r="C914" s="125"/>
      <c r="D914" s="125"/>
      <c r="E914" s="125"/>
      <c r="F914" s="126"/>
      <c r="G914" s="126"/>
      <c r="H914" s="126"/>
      <c r="I914" s="125"/>
    </row>
    <row r="915">
      <c r="A915" s="125"/>
      <c r="B915" s="125"/>
      <c r="C915" s="125"/>
      <c r="D915" s="125"/>
      <c r="E915" s="125"/>
      <c r="F915" s="126"/>
      <c r="G915" s="126"/>
      <c r="H915" s="126"/>
      <c r="I915" s="125"/>
    </row>
    <row r="916">
      <c r="A916" s="125"/>
      <c r="B916" s="125"/>
      <c r="C916" s="125"/>
      <c r="D916" s="125"/>
      <c r="E916" s="125"/>
      <c r="F916" s="126"/>
      <c r="G916" s="126"/>
      <c r="H916" s="126"/>
      <c r="I916" s="125"/>
    </row>
    <row r="917">
      <c r="A917" s="125"/>
      <c r="B917" s="125"/>
      <c r="C917" s="125"/>
      <c r="D917" s="125"/>
      <c r="E917" s="125"/>
      <c r="F917" s="126"/>
      <c r="G917" s="126"/>
      <c r="H917" s="126"/>
      <c r="I917" s="125"/>
    </row>
    <row r="918">
      <c r="A918" s="125"/>
      <c r="B918" s="125"/>
      <c r="C918" s="125"/>
      <c r="D918" s="125"/>
      <c r="E918" s="125"/>
      <c r="F918" s="126"/>
      <c r="G918" s="126"/>
      <c r="H918" s="126"/>
      <c r="I918" s="125"/>
    </row>
    <row r="919">
      <c r="A919" s="125"/>
      <c r="B919" s="125"/>
      <c r="C919" s="125"/>
      <c r="D919" s="125"/>
      <c r="E919" s="125"/>
      <c r="F919" s="126"/>
      <c r="G919" s="126"/>
      <c r="H919" s="126"/>
      <c r="I919" s="125"/>
    </row>
    <row r="920">
      <c r="A920" s="125"/>
      <c r="B920" s="125"/>
      <c r="C920" s="125"/>
      <c r="D920" s="125"/>
      <c r="E920" s="125"/>
      <c r="F920" s="126"/>
      <c r="G920" s="126"/>
      <c r="H920" s="126"/>
      <c r="I920" s="125"/>
    </row>
    <row r="921">
      <c r="A921" s="125"/>
      <c r="B921" s="125"/>
      <c r="C921" s="125"/>
      <c r="D921" s="125"/>
      <c r="E921" s="125"/>
      <c r="F921" s="126"/>
      <c r="G921" s="126"/>
      <c r="H921" s="126"/>
      <c r="I921" s="125"/>
    </row>
    <row r="922">
      <c r="A922" s="125"/>
      <c r="B922" s="125"/>
      <c r="C922" s="125"/>
      <c r="D922" s="125"/>
      <c r="E922" s="125"/>
      <c r="F922" s="126"/>
      <c r="G922" s="126"/>
      <c r="H922" s="126"/>
      <c r="I922" s="125"/>
    </row>
    <row r="923">
      <c r="A923" s="125"/>
      <c r="B923" s="125"/>
      <c r="C923" s="125"/>
      <c r="D923" s="125"/>
      <c r="E923" s="125"/>
      <c r="F923" s="126"/>
      <c r="G923" s="126"/>
      <c r="H923" s="126"/>
      <c r="I923" s="125"/>
    </row>
    <row r="924">
      <c r="A924" s="125"/>
      <c r="B924" s="125"/>
      <c r="C924" s="125"/>
      <c r="D924" s="125"/>
      <c r="E924" s="125"/>
      <c r="F924" s="126"/>
      <c r="G924" s="126"/>
      <c r="H924" s="126"/>
      <c r="I924" s="125"/>
    </row>
    <row r="925">
      <c r="A925" s="125"/>
      <c r="B925" s="125"/>
      <c r="C925" s="125"/>
      <c r="D925" s="125"/>
      <c r="E925" s="125"/>
      <c r="F925" s="126"/>
      <c r="G925" s="126"/>
      <c r="H925" s="126"/>
      <c r="I925" s="125"/>
    </row>
    <row r="926">
      <c r="A926" s="125"/>
      <c r="B926" s="125"/>
      <c r="C926" s="125"/>
      <c r="D926" s="125"/>
      <c r="E926" s="125"/>
      <c r="F926" s="126"/>
      <c r="G926" s="126"/>
      <c r="H926" s="126"/>
      <c r="I926" s="125"/>
    </row>
    <row r="927">
      <c r="A927" s="125"/>
      <c r="B927" s="125"/>
      <c r="C927" s="125"/>
      <c r="D927" s="125"/>
      <c r="E927" s="125"/>
      <c r="F927" s="126"/>
      <c r="G927" s="126"/>
      <c r="H927" s="126"/>
      <c r="I927" s="125"/>
    </row>
    <row r="928">
      <c r="A928" s="125"/>
      <c r="B928" s="125"/>
      <c r="C928" s="125"/>
      <c r="D928" s="125"/>
      <c r="E928" s="125"/>
      <c r="F928" s="126"/>
      <c r="G928" s="126"/>
      <c r="H928" s="126"/>
      <c r="I928" s="125"/>
    </row>
    <row r="929">
      <c r="A929" s="125"/>
      <c r="B929" s="125"/>
      <c r="C929" s="125"/>
      <c r="D929" s="125"/>
      <c r="E929" s="125"/>
      <c r="F929" s="126"/>
      <c r="G929" s="126"/>
      <c r="H929" s="126"/>
      <c r="I929" s="125"/>
    </row>
    <row r="930">
      <c r="A930" s="125"/>
      <c r="B930" s="125"/>
      <c r="C930" s="125"/>
      <c r="D930" s="125"/>
      <c r="E930" s="125"/>
      <c r="F930" s="126"/>
      <c r="G930" s="126"/>
      <c r="H930" s="126"/>
      <c r="I930" s="125"/>
    </row>
    <row r="931">
      <c r="A931" s="125"/>
      <c r="B931" s="125"/>
      <c r="C931" s="125"/>
      <c r="D931" s="125"/>
      <c r="E931" s="125"/>
      <c r="F931" s="126"/>
      <c r="G931" s="126"/>
      <c r="H931" s="126"/>
      <c r="I931" s="125"/>
    </row>
    <row r="932">
      <c r="A932" s="125"/>
      <c r="B932" s="125"/>
      <c r="C932" s="125"/>
      <c r="D932" s="125"/>
      <c r="E932" s="125"/>
      <c r="F932" s="126"/>
      <c r="G932" s="126"/>
      <c r="H932" s="126"/>
      <c r="I932" s="125"/>
    </row>
    <row r="933">
      <c r="A933" s="125"/>
      <c r="B933" s="125"/>
      <c r="C933" s="125"/>
      <c r="D933" s="125"/>
      <c r="E933" s="125"/>
      <c r="F933" s="126"/>
      <c r="G933" s="126"/>
      <c r="H933" s="126"/>
      <c r="I933" s="125"/>
    </row>
    <row r="934">
      <c r="A934" s="125"/>
      <c r="B934" s="125"/>
      <c r="C934" s="125"/>
      <c r="D934" s="125"/>
      <c r="E934" s="125"/>
      <c r="F934" s="126"/>
      <c r="G934" s="126"/>
      <c r="H934" s="126"/>
      <c r="I934" s="125"/>
    </row>
    <row r="935">
      <c r="A935" s="125"/>
      <c r="B935" s="125"/>
      <c r="C935" s="125"/>
      <c r="D935" s="125"/>
      <c r="E935" s="125"/>
      <c r="F935" s="126"/>
      <c r="G935" s="126"/>
      <c r="H935" s="126"/>
      <c r="I935" s="125"/>
    </row>
    <row r="936">
      <c r="A936" s="125"/>
      <c r="B936" s="125"/>
      <c r="C936" s="125"/>
      <c r="D936" s="125"/>
      <c r="E936" s="125"/>
      <c r="F936" s="126"/>
      <c r="G936" s="126"/>
      <c r="H936" s="126"/>
      <c r="I936" s="125"/>
    </row>
    <row r="937">
      <c r="A937" s="125"/>
      <c r="B937" s="125"/>
      <c r="C937" s="125"/>
      <c r="D937" s="125"/>
      <c r="E937" s="125"/>
      <c r="F937" s="126"/>
      <c r="G937" s="126"/>
      <c r="H937" s="126"/>
      <c r="I937" s="125"/>
    </row>
    <row r="938">
      <c r="A938" s="125"/>
      <c r="B938" s="125"/>
      <c r="C938" s="125"/>
      <c r="D938" s="125"/>
      <c r="E938" s="125"/>
      <c r="F938" s="126"/>
      <c r="G938" s="126"/>
      <c r="H938" s="126"/>
      <c r="I938" s="125"/>
    </row>
    <row r="939">
      <c r="A939" s="125"/>
      <c r="B939" s="125"/>
      <c r="C939" s="125"/>
      <c r="D939" s="125"/>
      <c r="E939" s="125"/>
      <c r="F939" s="126"/>
      <c r="G939" s="126"/>
      <c r="H939" s="126"/>
      <c r="I939" s="125"/>
    </row>
    <row r="940">
      <c r="A940" s="125"/>
      <c r="B940" s="125"/>
      <c r="C940" s="125"/>
      <c r="D940" s="125"/>
      <c r="E940" s="125"/>
      <c r="F940" s="126"/>
      <c r="G940" s="126"/>
      <c r="H940" s="126"/>
      <c r="I940" s="125"/>
    </row>
    <row r="941">
      <c r="A941" s="125"/>
      <c r="B941" s="125"/>
      <c r="C941" s="125"/>
      <c r="D941" s="125"/>
      <c r="E941" s="125"/>
      <c r="F941" s="126"/>
      <c r="G941" s="126"/>
      <c r="H941" s="126"/>
      <c r="I941" s="125"/>
    </row>
    <row r="942">
      <c r="A942" s="125"/>
      <c r="B942" s="125"/>
      <c r="C942" s="125"/>
      <c r="D942" s="125"/>
      <c r="E942" s="125"/>
      <c r="F942" s="126"/>
      <c r="G942" s="126"/>
      <c r="H942" s="126"/>
      <c r="I942" s="125"/>
    </row>
    <row r="943">
      <c r="A943" s="125"/>
      <c r="B943" s="125"/>
      <c r="C943" s="125"/>
      <c r="D943" s="125"/>
      <c r="E943" s="125"/>
      <c r="F943" s="126"/>
      <c r="G943" s="126"/>
      <c r="H943" s="126"/>
      <c r="I943" s="125"/>
    </row>
    <row r="944">
      <c r="A944" s="125"/>
      <c r="B944" s="125"/>
      <c r="C944" s="125"/>
      <c r="D944" s="125"/>
      <c r="E944" s="125"/>
      <c r="F944" s="126"/>
      <c r="G944" s="126"/>
      <c r="H944" s="126"/>
      <c r="I944" s="125"/>
    </row>
    <row r="945">
      <c r="A945" s="125"/>
      <c r="B945" s="125"/>
      <c r="C945" s="125"/>
      <c r="D945" s="125"/>
      <c r="E945" s="125"/>
      <c r="F945" s="126"/>
      <c r="G945" s="126"/>
      <c r="H945" s="126"/>
      <c r="I945" s="125"/>
    </row>
    <row r="946">
      <c r="A946" s="125"/>
      <c r="B946" s="125"/>
      <c r="C946" s="125"/>
      <c r="D946" s="125"/>
      <c r="E946" s="125"/>
      <c r="F946" s="126"/>
      <c r="G946" s="126"/>
      <c r="H946" s="126"/>
      <c r="I946" s="125"/>
    </row>
    <row r="947">
      <c r="A947" s="125"/>
      <c r="B947" s="125"/>
      <c r="C947" s="125"/>
      <c r="D947" s="125"/>
      <c r="E947" s="125"/>
      <c r="F947" s="126"/>
      <c r="G947" s="126"/>
      <c r="H947" s="126"/>
      <c r="I947" s="125"/>
    </row>
    <row r="948">
      <c r="A948" s="125"/>
      <c r="B948" s="125"/>
      <c r="C948" s="125"/>
      <c r="D948" s="125"/>
      <c r="E948" s="125"/>
      <c r="F948" s="126"/>
      <c r="G948" s="126"/>
      <c r="H948" s="126"/>
      <c r="I948" s="125"/>
    </row>
    <row r="949">
      <c r="A949" s="125"/>
      <c r="B949" s="125"/>
      <c r="C949" s="125"/>
      <c r="D949" s="125"/>
      <c r="E949" s="125"/>
      <c r="F949" s="126"/>
      <c r="G949" s="126"/>
      <c r="H949" s="126"/>
      <c r="I949" s="125"/>
    </row>
    <row r="950">
      <c r="A950" s="125"/>
      <c r="B950" s="125"/>
      <c r="C950" s="125"/>
      <c r="D950" s="125"/>
      <c r="E950" s="125"/>
      <c r="F950" s="126"/>
      <c r="G950" s="126"/>
      <c r="H950" s="126"/>
      <c r="I950" s="125"/>
    </row>
    <row r="951">
      <c r="A951" s="125"/>
      <c r="B951" s="125"/>
      <c r="C951" s="125"/>
      <c r="D951" s="125"/>
      <c r="E951" s="125"/>
      <c r="F951" s="126"/>
      <c r="G951" s="126"/>
      <c r="H951" s="126"/>
      <c r="I951" s="125"/>
    </row>
    <row r="952">
      <c r="A952" s="125"/>
      <c r="B952" s="125"/>
      <c r="C952" s="125"/>
      <c r="D952" s="125"/>
      <c r="E952" s="125"/>
      <c r="F952" s="126"/>
      <c r="G952" s="126"/>
      <c r="H952" s="126"/>
      <c r="I952" s="125"/>
    </row>
    <row r="953">
      <c r="A953" s="125"/>
      <c r="B953" s="125"/>
      <c r="C953" s="125"/>
      <c r="D953" s="125"/>
      <c r="E953" s="125"/>
      <c r="F953" s="126"/>
      <c r="G953" s="126"/>
      <c r="H953" s="126"/>
      <c r="I953" s="125"/>
    </row>
    <row r="954">
      <c r="A954" s="125"/>
      <c r="B954" s="125"/>
      <c r="C954" s="125"/>
      <c r="D954" s="125"/>
      <c r="E954" s="125"/>
      <c r="F954" s="126"/>
      <c r="G954" s="126"/>
      <c r="H954" s="126"/>
      <c r="I954" s="125"/>
    </row>
    <row r="955">
      <c r="A955" s="125"/>
      <c r="B955" s="125"/>
      <c r="C955" s="125"/>
      <c r="D955" s="125"/>
      <c r="E955" s="125"/>
      <c r="F955" s="126"/>
      <c r="G955" s="126"/>
      <c r="H955" s="126"/>
      <c r="I955" s="125"/>
    </row>
    <row r="956">
      <c r="A956" s="125"/>
      <c r="B956" s="125"/>
      <c r="C956" s="125"/>
      <c r="D956" s="125"/>
      <c r="E956" s="125"/>
      <c r="F956" s="126"/>
      <c r="G956" s="126"/>
      <c r="H956" s="126"/>
      <c r="I956" s="125"/>
    </row>
    <row r="957">
      <c r="A957" s="125"/>
      <c r="B957" s="125"/>
      <c r="C957" s="125"/>
      <c r="D957" s="125"/>
      <c r="E957" s="125"/>
      <c r="F957" s="126"/>
      <c r="G957" s="126"/>
      <c r="H957" s="126"/>
      <c r="I957" s="125"/>
    </row>
    <row r="958">
      <c r="A958" s="125"/>
      <c r="B958" s="125"/>
      <c r="C958" s="125"/>
      <c r="D958" s="125"/>
      <c r="E958" s="125"/>
      <c r="F958" s="126"/>
      <c r="G958" s="126"/>
      <c r="H958" s="126"/>
      <c r="I958" s="125"/>
    </row>
    <row r="959">
      <c r="A959" s="125"/>
      <c r="B959" s="125"/>
      <c r="C959" s="125"/>
      <c r="D959" s="125"/>
      <c r="E959" s="125"/>
      <c r="F959" s="126"/>
      <c r="G959" s="126"/>
      <c r="H959" s="126"/>
      <c r="I959" s="125"/>
    </row>
    <row r="960">
      <c r="A960" s="125"/>
      <c r="B960" s="125"/>
      <c r="C960" s="125"/>
      <c r="D960" s="125"/>
      <c r="E960" s="125"/>
      <c r="F960" s="126"/>
      <c r="G960" s="126"/>
      <c r="H960" s="126"/>
      <c r="I960" s="125"/>
    </row>
    <row r="961">
      <c r="A961" s="125"/>
      <c r="B961" s="125"/>
      <c r="C961" s="125"/>
      <c r="D961" s="125"/>
      <c r="E961" s="125"/>
      <c r="F961" s="126"/>
      <c r="G961" s="126"/>
      <c r="H961" s="126"/>
      <c r="I961" s="125"/>
    </row>
    <row r="962">
      <c r="A962" s="125"/>
      <c r="B962" s="125"/>
      <c r="C962" s="125"/>
      <c r="D962" s="125"/>
      <c r="E962" s="125"/>
      <c r="F962" s="126"/>
      <c r="G962" s="126"/>
      <c r="H962" s="126"/>
      <c r="I962" s="125"/>
    </row>
    <row r="963">
      <c r="A963" s="125"/>
      <c r="B963" s="125"/>
      <c r="C963" s="125"/>
      <c r="D963" s="125"/>
      <c r="E963" s="125"/>
      <c r="F963" s="126"/>
      <c r="G963" s="126"/>
      <c r="H963" s="126"/>
      <c r="I963" s="125"/>
    </row>
    <row r="964">
      <c r="A964" s="125"/>
      <c r="B964" s="125"/>
      <c r="C964" s="125"/>
      <c r="D964" s="125"/>
      <c r="E964" s="125"/>
      <c r="F964" s="126"/>
      <c r="G964" s="126"/>
      <c r="H964" s="126"/>
      <c r="I964" s="125"/>
    </row>
    <row r="965">
      <c r="A965" s="125"/>
      <c r="B965" s="125"/>
      <c r="C965" s="125"/>
      <c r="D965" s="125"/>
      <c r="E965" s="125"/>
      <c r="F965" s="126"/>
      <c r="G965" s="126"/>
      <c r="H965" s="126"/>
      <c r="I965" s="125"/>
    </row>
    <row r="966">
      <c r="A966" s="125"/>
      <c r="B966" s="125"/>
      <c r="C966" s="125"/>
      <c r="D966" s="125"/>
      <c r="E966" s="125"/>
      <c r="F966" s="126"/>
      <c r="G966" s="126"/>
      <c r="H966" s="126"/>
      <c r="I966" s="125"/>
    </row>
    <row r="967">
      <c r="A967" s="125"/>
      <c r="B967" s="125"/>
      <c r="C967" s="125"/>
      <c r="D967" s="125"/>
      <c r="E967" s="125"/>
      <c r="F967" s="126"/>
      <c r="G967" s="126"/>
      <c r="H967" s="126"/>
      <c r="I967" s="125"/>
    </row>
    <row r="968">
      <c r="A968" s="125"/>
      <c r="B968" s="125"/>
      <c r="C968" s="125"/>
      <c r="D968" s="125"/>
      <c r="E968" s="125"/>
      <c r="F968" s="126"/>
      <c r="G968" s="126"/>
      <c r="H968" s="126"/>
      <c r="I968" s="125"/>
    </row>
    <row r="969">
      <c r="A969" s="125"/>
      <c r="B969" s="125"/>
      <c r="C969" s="125"/>
      <c r="D969" s="125"/>
      <c r="E969" s="125"/>
      <c r="F969" s="126"/>
      <c r="G969" s="126"/>
      <c r="H969" s="126"/>
      <c r="I969" s="125"/>
    </row>
    <row r="970">
      <c r="A970" s="125"/>
      <c r="B970" s="125"/>
      <c r="C970" s="125"/>
      <c r="D970" s="125"/>
      <c r="E970" s="125"/>
      <c r="F970" s="126"/>
      <c r="G970" s="126"/>
      <c r="H970" s="126"/>
      <c r="I970" s="125"/>
    </row>
    <row r="971">
      <c r="A971" s="125"/>
      <c r="B971" s="125"/>
      <c r="C971" s="125"/>
      <c r="D971" s="125"/>
      <c r="E971" s="125"/>
      <c r="F971" s="126"/>
      <c r="G971" s="126"/>
      <c r="H971" s="126"/>
      <c r="I971" s="125"/>
    </row>
    <row r="972">
      <c r="A972" s="125"/>
      <c r="B972" s="125"/>
      <c r="C972" s="125"/>
      <c r="D972" s="125"/>
      <c r="E972" s="125"/>
      <c r="F972" s="126"/>
      <c r="G972" s="126"/>
      <c r="H972" s="126"/>
      <c r="I972" s="125"/>
    </row>
    <row r="973">
      <c r="A973" s="125"/>
      <c r="B973" s="125"/>
      <c r="C973" s="125"/>
      <c r="D973" s="125"/>
      <c r="E973" s="125"/>
      <c r="F973" s="126"/>
      <c r="G973" s="126"/>
      <c r="H973" s="126"/>
      <c r="I973" s="125"/>
    </row>
    <row r="974">
      <c r="A974" s="125"/>
      <c r="B974" s="125"/>
      <c r="C974" s="125"/>
      <c r="D974" s="125"/>
      <c r="E974" s="125"/>
      <c r="F974" s="126"/>
      <c r="G974" s="126"/>
      <c r="H974" s="126"/>
      <c r="I974" s="125"/>
    </row>
    <row r="975">
      <c r="A975" s="125"/>
      <c r="B975" s="125"/>
      <c r="C975" s="125"/>
      <c r="D975" s="125"/>
      <c r="E975" s="125"/>
      <c r="F975" s="126"/>
      <c r="G975" s="126"/>
      <c r="H975" s="126"/>
      <c r="I975" s="125"/>
    </row>
    <row r="976">
      <c r="A976" s="125"/>
      <c r="B976" s="125"/>
      <c r="C976" s="125"/>
      <c r="D976" s="125"/>
      <c r="E976" s="125"/>
      <c r="F976" s="126"/>
      <c r="G976" s="126"/>
      <c r="H976" s="126"/>
      <c r="I976" s="125"/>
    </row>
    <row r="977">
      <c r="A977" s="125"/>
      <c r="B977" s="125"/>
      <c r="C977" s="125"/>
      <c r="D977" s="125"/>
      <c r="E977" s="125"/>
      <c r="F977" s="126"/>
      <c r="G977" s="126"/>
      <c r="H977" s="126"/>
      <c r="I977" s="125"/>
    </row>
    <row r="978">
      <c r="A978" s="125"/>
      <c r="B978" s="125"/>
      <c r="C978" s="125"/>
      <c r="D978" s="125"/>
      <c r="E978" s="125"/>
      <c r="F978" s="126"/>
      <c r="G978" s="126"/>
      <c r="H978" s="126"/>
      <c r="I978" s="125"/>
    </row>
    <row r="979">
      <c r="A979" s="125"/>
      <c r="B979" s="125"/>
      <c r="C979" s="125"/>
      <c r="D979" s="125"/>
      <c r="E979" s="125"/>
      <c r="F979" s="126"/>
      <c r="G979" s="126"/>
      <c r="H979" s="126"/>
      <c r="I979" s="125"/>
    </row>
    <row r="980">
      <c r="A980" s="125"/>
      <c r="B980" s="125"/>
      <c r="C980" s="125"/>
      <c r="D980" s="125"/>
      <c r="E980" s="125"/>
      <c r="F980" s="126"/>
      <c r="G980" s="126"/>
      <c r="H980" s="126"/>
      <c r="I980" s="125"/>
    </row>
    <row r="981">
      <c r="A981" s="125"/>
      <c r="B981" s="125"/>
      <c r="C981" s="125"/>
      <c r="D981" s="125"/>
      <c r="E981" s="125"/>
      <c r="F981" s="126"/>
      <c r="G981" s="126"/>
      <c r="H981" s="126"/>
      <c r="I981" s="125"/>
    </row>
    <row r="982">
      <c r="A982" s="125"/>
      <c r="B982" s="125"/>
      <c r="C982" s="125"/>
      <c r="D982" s="125"/>
      <c r="E982" s="125"/>
      <c r="F982" s="126"/>
      <c r="G982" s="126"/>
      <c r="H982" s="126"/>
      <c r="I982" s="125"/>
    </row>
    <row r="983">
      <c r="A983" s="125"/>
      <c r="B983" s="125"/>
      <c r="C983" s="125"/>
      <c r="D983" s="125"/>
      <c r="E983" s="125"/>
      <c r="F983" s="126"/>
      <c r="G983" s="126"/>
      <c r="H983" s="126"/>
      <c r="I983" s="125"/>
    </row>
    <row r="984">
      <c r="A984" s="125"/>
      <c r="B984" s="125"/>
      <c r="C984" s="125"/>
      <c r="D984" s="125"/>
      <c r="E984" s="125"/>
      <c r="F984" s="126"/>
      <c r="G984" s="126"/>
      <c r="H984" s="126"/>
      <c r="I984" s="125"/>
    </row>
    <row r="985">
      <c r="A985" s="125"/>
      <c r="B985" s="125"/>
      <c r="C985" s="125"/>
      <c r="D985" s="125"/>
      <c r="E985" s="125"/>
      <c r="F985" s="126"/>
      <c r="G985" s="126"/>
      <c r="H985" s="126"/>
      <c r="I985" s="125"/>
    </row>
    <row r="986">
      <c r="A986" s="125"/>
      <c r="B986" s="125"/>
      <c r="C986" s="125"/>
      <c r="D986" s="125"/>
      <c r="E986" s="125"/>
      <c r="F986" s="126"/>
      <c r="G986" s="126"/>
      <c r="H986" s="126"/>
      <c r="I986" s="125"/>
    </row>
    <row r="987">
      <c r="A987" s="125"/>
      <c r="B987" s="125"/>
      <c r="C987" s="125"/>
      <c r="D987" s="125"/>
      <c r="E987" s="125"/>
      <c r="F987" s="126"/>
      <c r="G987" s="126"/>
      <c r="H987" s="126"/>
      <c r="I987" s="125"/>
    </row>
    <row r="988">
      <c r="A988" s="125"/>
      <c r="B988" s="125"/>
      <c r="C988" s="125"/>
      <c r="D988" s="125"/>
      <c r="E988" s="125"/>
      <c r="F988" s="126"/>
      <c r="G988" s="126"/>
      <c r="H988" s="126"/>
      <c r="I988" s="125"/>
    </row>
    <row r="989">
      <c r="A989" s="125"/>
      <c r="B989" s="125"/>
      <c r="C989" s="125"/>
      <c r="D989" s="125"/>
      <c r="E989" s="125"/>
      <c r="F989" s="126"/>
      <c r="G989" s="126"/>
      <c r="H989" s="126"/>
      <c r="I989" s="125"/>
    </row>
    <row r="990">
      <c r="A990" s="125"/>
      <c r="B990" s="125"/>
      <c r="C990" s="125"/>
      <c r="D990" s="125"/>
      <c r="E990" s="125"/>
      <c r="F990" s="126"/>
      <c r="G990" s="126"/>
      <c r="H990" s="126"/>
      <c r="I990" s="125"/>
    </row>
    <row r="991">
      <c r="A991" s="125"/>
      <c r="B991" s="125"/>
      <c r="C991" s="125"/>
      <c r="D991" s="125"/>
      <c r="E991" s="125"/>
      <c r="F991" s="126"/>
      <c r="G991" s="126"/>
      <c r="H991" s="126"/>
      <c r="I991" s="125"/>
    </row>
    <row r="992">
      <c r="A992" s="125"/>
      <c r="B992" s="125"/>
      <c r="C992" s="125"/>
      <c r="D992" s="125"/>
      <c r="E992" s="125"/>
      <c r="F992" s="126"/>
      <c r="G992" s="126"/>
      <c r="H992" s="126"/>
      <c r="I992" s="125"/>
    </row>
    <row r="993">
      <c r="A993" s="125"/>
      <c r="B993" s="125"/>
      <c r="C993" s="125"/>
      <c r="D993" s="125"/>
      <c r="E993" s="125"/>
      <c r="F993" s="126"/>
      <c r="G993" s="126"/>
      <c r="H993" s="126"/>
      <c r="I993" s="125"/>
    </row>
    <row r="994">
      <c r="A994" s="125"/>
      <c r="B994" s="125"/>
      <c r="C994" s="125"/>
      <c r="D994" s="125"/>
      <c r="E994" s="125"/>
      <c r="F994" s="126"/>
      <c r="G994" s="126"/>
      <c r="H994" s="126"/>
      <c r="I994" s="125"/>
    </row>
    <row r="995">
      <c r="A995" s="125"/>
      <c r="B995" s="125"/>
      <c r="C995" s="125"/>
      <c r="D995" s="125"/>
      <c r="E995" s="125"/>
      <c r="F995" s="126"/>
      <c r="G995" s="126"/>
      <c r="H995" s="126"/>
      <c r="I995" s="125"/>
    </row>
    <row r="996">
      <c r="A996" s="125"/>
      <c r="B996" s="125"/>
      <c r="C996" s="125"/>
      <c r="D996" s="125"/>
      <c r="E996" s="125"/>
      <c r="F996" s="126"/>
      <c r="G996" s="126"/>
      <c r="H996" s="126"/>
      <c r="I996" s="125"/>
    </row>
    <row r="997">
      <c r="A997" s="125"/>
      <c r="B997" s="125"/>
      <c r="C997" s="125"/>
      <c r="D997" s="125"/>
      <c r="E997" s="125"/>
      <c r="F997" s="126"/>
      <c r="G997" s="126"/>
      <c r="H997" s="126"/>
      <c r="I997" s="125"/>
    </row>
    <row r="998">
      <c r="A998" s="125"/>
      <c r="B998" s="125"/>
      <c r="C998" s="125"/>
      <c r="D998" s="125"/>
      <c r="E998" s="125"/>
      <c r="F998" s="126"/>
      <c r="G998" s="126"/>
      <c r="H998" s="126"/>
      <c r="I998" s="125"/>
    </row>
    <row r="999">
      <c r="A999" s="125"/>
      <c r="B999" s="125"/>
      <c r="C999" s="125"/>
      <c r="D999" s="125"/>
      <c r="E999" s="125"/>
      <c r="F999" s="126"/>
      <c r="G999" s="126"/>
      <c r="H999" s="126"/>
      <c r="I999" s="125"/>
    </row>
    <row r="1000">
      <c r="A1000" s="125"/>
      <c r="B1000" s="125"/>
      <c r="C1000" s="125"/>
      <c r="D1000" s="125"/>
      <c r="E1000" s="125"/>
      <c r="F1000" s="126"/>
      <c r="G1000" s="126"/>
      <c r="H1000" s="126"/>
      <c r="I1000" s="125"/>
    </row>
    <row r="1001">
      <c r="A1001" s="125"/>
      <c r="B1001" s="125"/>
      <c r="C1001" s="125"/>
      <c r="D1001" s="125"/>
      <c r="E1001" s="125"/>
      <c r="F1001" s="126"/>
      <c r="G1001" s="126"/>
      <c r="H1001" s="126"/>
      <c r="I1001" s="125"/>
    </row>
    <row r="1002">
      <c r="A1002" s="125"/>
      <c r="B1002" s="125"/>
      <c r="C1002" s="125"/>
      <c r="D1002" s="125"/>
      <c r="E1002" s="125"/>
      <c r="F1002" s="126"/>
      <c r="G1002" s="126"/>
      <c r="H1002" s="126"/>
      <c r="I1002" s="125"/>
    </row>
    <row r="1003">
      <c r="A1003" s="125"/>
      <c r="B1003" s="125"/>
      <c r="C1003" s="125"/>
      <c r="D1003" s="125"/>
      <c r="E1003" s="125"/>
      <c r="F1003" s="126"/>
      <c r="G1003" s="126"/>
      <c r="H1003" s="126"/>
      <c r="I1003" s="125"/>
    </row>
    <row r="1004">
      <c r="A1004" s="125"/>
      <c r="B1004" s="125"/>
      <c r="C1004" s="125"/>
      <c r="D1004" s="125"/>
      <c r="E1004" s="125"/>
      <c r="F1004" s="126"/>
      <c r="G1004" s="126"/>
      <c r="H1004" s="126"/>
      <c r="I1004" s="125"/>
    </row>
    <row r="1005">
      <c r="A1005" s="125"/>
      <c r="B1005" s="125"/>
      <c r="C1005" s="125"/>
      <c r="D1005" s="125"/>
      <c r="E1005" s="125"/>
      <c r="F1005" s="126"/>
      <c r="G1005" s="126"/>
      <c r="H1005" s="126"/>
      <c r="I1005" s="125"/>
    </row>
    <row r="1006">
      <c r="A1006" s="125"/>
      <c r="B1006" s="125"/>
      <c r="C1006" s="125"/>
      <c r="D1006" s="125"/>
      <c r="E1006" s="125"/>
      <c r="F1006" s="126"/>
      <c r="G1006" s="126"/>
      <c r="H1006" s="126"/>
      <c r="I1006" s="125"/>
    </row>
    <row r="1007">
      <c r="A1007" s="125"/>
      <c r="B1007" s="125"/>
      <c r="C1007" s="125"/>
      <c r="D1007" s="125"/>
      <c r="E1007" s="125"/>
      <c r="F1007" s="126"/>
      <c r="G1007" s="126"/>
      <c r="H1007" s="126"/>
      <c r="I1007" s="125"/>
    </row>
    <row r="1008">
      <c r="A1008" s="125"/>
      <c r="B1008" s="125"/>
      <c r="C1008" s="125"/>
      <c r="D1008" s="125"/>
      <c r="E1008" s="125"/>
      <c r="F1008" s="126"/>
      <c r="G1008" s="126"/>
      <c r="H1008" s="126"/>
      <c r="I1008" s="125"/>
    </row>
    <row r="1009">
      <c r="A1009" s="125"/>
      <c r="B1009" s="125"/>
      <c r="C1009" s="125"/>
      <c r="D1009" s="125"/>
      <c r="E1009" s="125"/>
      <c r="F1009" s="126"/>
      <c r="G1009" s="126"/>
      <c r="H1009" s="126"/>
      <c r="I1009" s="125"/>
    </row>
    <row r="1010">
      <c r="A1010" s="125"/>
      <c r="B1010" s="125"/>
      <c r="C1010" s="125"/>
      <c r="D1010" s="125"/>
      <c r="E1010" s="125"/>
      <c r="F1010" s="126"/>
      <c r="G1010" s="126"/>
      <c r="H1010" s="126"/>
      <c r="I1010" s="125"/>
    </row>
    <row r="1011">
      <c r="A1011" s="125"/>
      <c r="B1011" s="125"/>
      <c r="C1011" s="125"/>
      <c r="D1011" s="125"/>
      <c r="E1011" s="125"/>
      <c r="F1011" s="126"/>
      <c r="G1011" s="126"/>
      <c r="H1011" s="126"/>
      <c r="I1011" s="125"/>
    </row>
    <row r="1012">
      <c r="A1012" s="125"/>
      <c r="B1012" s="125"/>
      <c r="C1012" s="125"/>
      <c r="D1012" s="125"/>
      <c r="E1012" s="125"/>
      <c r="F1012" s="126"/>
      <c r="G1012" s="126"/>
      <c r="H1012" s="126"/>
      <c r="I1012" s="125"/>
    </row>
    <row r="1013">
      <c r="A1013" s="125"/>
      <c r="B1013" s="125"/>
      <c r="C1013" s="125"/>
      <c r="D1013" s="125"/>
      <c r="E1013" s="125"/>
      <c r="F1013" s="126"/>
      <c r="G1013" s="126"/>
      <c r="H1013" s="126"/>
      <c r="I1013" s="125"/>
    </row>
    <row r="1014">
      <c r="A1014" s="125"/>
      <c r="B1014" s="125"/>
      <c r="C1014" s="125"/>
      <c r="D1014" s="125"/>
      <c r="E1014" s="125"/>
      <c r="F1014" s="126"/>
      <c r="G1014" s="126"/>
      <c r="H1014" s="126"/>
      <c r="I1014" s="125"/>
    </row>
    <row r="1015">
      <c r="A1015" s="125"/>
      <c r="B1015" s="125"/>
      <c r="C1015" s="125"/>
      <c r="D1015" s="125"/>
      <c r="E1015" s="125"/>
      <c r="F1015" s="126"/>
      <c r="G1015" s="126"/>
      <c r="H1015" s="126"/>
      <c r="I1015" s="125"/>
    </row>
    <row r="1016">
      <c r="A1016" s="125"/>
      <c r="B1016" s="125"/>
      <c r="C1016" s="125"/>
      <c r="D1016" s="125"/>
      <c r="E1016" s="125"/>
      <c r="F1016" s="126"/>
      <c r="G1016" s="126"/>
      <c r="H1016" s="126"/>
      <c r="I1016" s="125"/>
    </row>
    <row r="1017">
      <c r="A1017" s="125"/>
      <c r="B1017" s="125"/>
      <c r="C1017" s="125"/>
      <c r="D1017" s="125"/>
      <c r="E1017" s="125"/>
      <c r="F1017" s="126"/>
      <c r="G1017" s="126"/>
      <c r="H1017" s="126"/>
      <c r="I1017" s="125"/>
    </row>
    <row r="1018">
      <c r="A1018" s="125"/>
      <c r="B1018" s="125"/>
      <c r="C1018" s="125"/>
      <c r="D1018" s="125"/>
      <c r="E1018" s="125"/>
      <c r="F1018" s="126"/>
      <c r="G1018" s="126"/>
      <c r="H1018" s="126"/>
      <c r="I1018" s="125"/>
    </row>
    <row r="1019">
      <c r="A1019" s="125"/>
      <c r="B1019" s="125"/>
      <c r="C1019" s="125"/>
      <c r="D1019" s="125"/>
      <c r="E1019" s="125"/>
      <c r="F1019" s="126"/>
      <c r="G1019" s="126"/>
      <c r="H1019" s="126"/>
      <c r="I1019" s="125"/>
    </row>
    <row r="1020">
      <c r="A1020" s="125"/>
      <c r="B1020" s="125"/>
      <c r="C1020" s="125"/>
      <c r="D1020" s="125"/>
      <c r="E1020" s="125"/>
      <c r="F1020" s="126"/>
      <c r="G1020" s="126"/>
      <c r="H1020" s="126"/>
      <c r="I1020" s="125"/>
    </row>
    <row r="1021">
      <c r="A1021" s="125"/>
      <c r="B1021" s="125"/>
      <c r="C1021" s="125"/>
      <c r="D1021" s="125"/>
      <c r="E1021" s="125"/>
      <c r="F1021" s="126"/>
      <c r="G1021" s="126"/>
      <c r="H1021" s="126"/>
      <c r="I1021" s="125"/>
    </row>
    <row r="1022">
      <c r="A1022" s="125"/>
      <c r="B1022" s="125"/>
      <c r="C1022" s="125"/>
      <c r="D1022" s="125"/>
      <c r="E1022" s="125"/>
      <c r="F1022" s="126"/>
      <c r="G1022" s="126"/>
      <c r="H1022" s="126"/>
      <c r="I1022" s="125"/>
    </row>
    <row r="1023">
      <c r="A1023" s="125"/>
      <c r="B1023" s="125"/>
      <c r="C1023" s="125"/>
      <c r="D1023" s="125"/>
      <c r="E1023" s="125"/>
      <c r="F1023" s="126"/>
      <c r="G1023" s="126"/>
      <c r="H1023" s="126"/>
      <c r="I1023" s="125"/>
    </row>
    <row r="1024">
      <c r="A1024" s="125"/>
      <c r="B1024" s="125"/>
      <c r="C1024" s="125"/>
      <c r="D1024" s="125"/>
      <c r="E1024" s="125"/>
      <c r="F1024" s="126"/>
      <c r="G1024" s="126"/>
      <c r="H1024" s="126"/>
      <c r="I1024" s="125"/>
    </row>
    <row r="1025">
      <c r="A1025" s="125"/>
      <c r="B1025" s="125"/>
      <c r="C1025" s="125"/>
      <c r="D1025" s="125"/>
      <c r="E1025" s="125"/>
      <c r="F1025" s="126"/>
      <c r="G1025" s="126"/>
      <c r="H1025" s="126"/>
      <c r="I1025" s="125"/>
    </row>
    <row r="1026">
      <c r="A1026" s="125"/>
      <c r="B1026" s="125"/>
      <c r="C1026" s="125"/>
      <c r="D1026" s="125"/>
      <c r="E1026" s="125"/>
      <c r="F1026" s="126"/>
      <c r="G1026" s="126"/>
      <c r="H1026" s="126"/>
      <c r="I1026" s="125"/>
    </row>
    <row r="1027">
      <c r="A1027" s="125"/>
      <c r="B1027" s="125"/>
      <c r="C1027" s="125"/>
      <c r="D1027" s="125"/>
      <c r="E1027" s="125"/>
      <c r="F1027" s="126"/>
      <c r="G1027" s="126"/>
      <c r="H1027" s="126"/>
      <c r="I1027" s="125"/>
    </row>
    <row r="1028">
      <c r="A1028" s="125"/>
      <c r="B1028" s="125"/>
      <c r="C1028" s="125"/>
      <c r="D1028" s="125"/>
      <c r="E1028" s="125"/>
      <c r="F1028" s="126"/>
      <c r="G1028" s="126"/>
      <c r="H1028" s="126"/>
      <c r="I1028" s="125"/>
    </row>
    <row r="1029">
      <c r="A1029" s="125"/>
      <c r="B1029" s="125"/>
      <c r="C1029" s="125"/>
      <c r="D1029" s="125"/>
      <c r="E1029" s="125"/>
      <c r="F1029" s="126"/>
      <c r="G1029" s="126"/>
      <c r="H1029" s="126"/>
      <c r="I1029" s="125"/>
    </row>
    <row r="1030">
      <c r="A1030" s="125"/>
      <c r="B1030" s="125"/>
      <c r="C1030" s="125"/>
      <c r="D1030" s="125"/>
      <c r="E1030" s="125"/>
      <c r="F1030" s="126"/>
      <c r="G1030" s="126"/>
      <c r="H1030" s="126"/>
      <c r="I1030" s="125"/>
    </row>
    <row r="1031">
      <c r="A1031" s="125"/>
      <c r="B1031" s="125"/>
      <c r="C1031" s="125"/>
      <c r="D1031" s="125"/>
      <c r="E1031" s="125"/>
      <c r="F1031" s="126"/>
      <c r="G1031" s="126"/>
      <c r="H1031" s="126"/>
      <c r="I1031" s="125"/>
    </row>
    <row r="1032">
      <c r="A1032" s="125"/>
      <c r="B1032" s="125"/>
      <c r="C1032" s="125"/>
      <c r="D1032" s="125"/>
      <c r="E1032" s="125"/>
      <c r="F1032" s="126"/>
      <c r="G1032" s="126"/>
      <c r="H1032" s="126"/>
      <c r="I1032" s="125"/>
    </row>
    <row r="1033">
      <c r="A1033" s="125"/>
      <c r="B1033" s="125"/>
      <c r="C1033" s="125"/>
      <c r="D1033" s="125"/>
      <c r="E1033" s="125"/>
      <c r="F1033" s="126"/>
      <c r="G1033" s="126"/>
      <c r="H1033" s="126"/>
      <c r="I1033" s="125"/>
    </row>
    <row r="1034">
      <c r="A1034" s="125"/>
      <c r="B1034" s="125"/>
      <c r="C1034" s="125"/>
      <c r="D1034" s="125"/>
      <c r="E1034" s="125"/>
      <c r="F1034" s="126"/>
      <c r="G1034" s="126"/>
      <c r="H1034" s="126"/>
      <c r="I1034" s="125"/>
    </row>
    <row r="1035">
      <c r="A1035" s="125"/>
      <c r="B1035" s="125"/>
      <c r="C1035" s="125"/>
      <c r="D1035" s="125"/>
      <c r="E1035" s="125"/>
      <c r="F1035" s="126"/>
      <c r="G1035" s="126"/>
      <c r="H1035" s="126"/>
      <c r="I1035" s="125"/>
    </row>
    <row r="1036">
      <c r="A1036" s="125"/>
      <c r="B1036" s="125"/>
      <c r="C1036" s="125"/>
      <c r="D1036" s="125"/>
      <c r="E1036" s="125"/>
      <c r="F1036" s="126"/>
      <c r="G1036" s="126"/>
      <c r="H1036" s="126"/>
      <c r="I1036" s="125"/>
    </row>
    <row r="1037">
      <c r="A1037" s="125"/>
      <c r="B1037" s="125"/>
      <c r="C1037" s="125"/>
      <c r="D1037" s="125"/>
      <c r="E1037" s="125"/>
      <c r="F1037" s="126"/>
      <c r="G1037" s="126"/>
      <c r="H1037" s="126"/>
      <c r="I1037" s="125"/>
    </row>
    <row r="1038">
      <c r="A1038" s="125"/>
      <c r="B1038" s="125"/>
      <c r="C1038" s="125"/>
      <c r="D1038" s="125"/>
      <c r="E1038" s="125"/>
      <c r="F1038" s="126"/>
      <c r="G1038" s="126"/>
      <c r="H1038" s="126"/>
      <c r="I1038" s="125"/>
    </row>
    <row r="1039">
      <c r="A1039" s="125"/>
      <c r="B1039" s="125"/>
      <c r="C1039" s="125"/>
      <c r="D1039" s="125"/>
      <c r="E1039" s="125"/>
      <c r="F1039" s="126"/>
      <c r="G1039" s="126"/>
      <c r="H1039" s="126"/>
      <c r="I1039" s="125"/>
    </row>
    <row r="1040">
      <c r="A1040" s="125"/>
      <c r="B1040" s="125"/>
      <c r="C1040" s="125"/>
      <c r="D1040" s="125"/>
      <c r="E1040" s="125"/>
      <c r="F1040" s="126"/>
      <c r="G1040" s="126"/>
      <c r="H1040" s="126"/>
      <c r="I1040" s="125"/>
    </row>
    <row r="1041">
      <c r="A1041" s="125"/>
      <c r="B1041" s="125"/>
      <c r="C1041" s="125"/>
      <c r="D1041" s="125"/>
      <c r="E1041" s="125"/>
      <c r="F1041" s="126"/>
      <c r="G1041" s="126"/>
      <c r="H1041" s="126"/>
      <c r="I1041" s="125"/>
    </row>
    <row r="1042">
      <c r="A1042" s="125"/>
      <c r="B1042" s="125"/>
      <c r="C1042" s="125"/>
      <c r="D1042" s="125"/>
      <c r="E1042" s="125"/>
      <c r="F1042" s="126"/>
      <c r="G1042" s="126"/>
      <c r="H1042" s="126"/>
      <c r="I1042" s="125"/>
    </row>
    <row r="1043">
      <c r="A1043" s="125"/>
      <c r="B1043" s="125"/>
      <c r="C1043" s="125"/>
      <c r="D1043" s="125"/>
      <c r="E1043" s="125"/>
      <c r="F1043" s="126"/>
      <c r="G1043" s="126"/>
      <c r="H1043" s="126"/>
      <c r="I1043" s="125"/>
    </row>
    <row r="1044">
      <c r="A1044" s="125"/>
      <c r="B1044" s="125"/>
      <c r="C1044" s="125"/>
      <c r="D1044" s="125"/>
      <c r="E1044" s="125"/>
      <c r="F1044" s="126"/>
      <c r="G1044" s="126"/>
      <c r="H1044" s="126"/>
      <c r="I1044" s="125"/>
    </row>
    <row r="1045">
      <c r="A1045" s="125"/>
      <c r="B1045" s="125"/>
      <c r="C1045" s="125"/>
      <c r="D1045" s="125"/>
      <c r="E1045" s="125"/>
      <c r="F1045" s="126"/>
      <c r="G1045" s="126"/>
      <c r="H1045" s="126"/>
      <c r="I1045" s="125"/>
    </row>
    <row r="1046">
      <c r="A1046" s="125"/>
      <c r="B1046" s="125"/>
      <c r="C1046" s="125"/>
      <c r="D1046" s="125"/>
      <c r="E1046" s="125"/>
      <c r="F1046" s="126"/>
      <c r="G1046" s="126"/>
      <c r="H1046" s="126"/>
      <c r="I1046" s="125"/>
    </row>
    <row r="1047">
      <c r="A1047" s="125"/>
      <c r="B1047" s="125"/>
      <c r="C1047" s="125"/>
      <c r="D1047" s="125"/>
      <c r="E1047" s="125"/>
      <c r="F1047" s="126"/>
      <c r="G1047" s="126"/>
      <c r="H1047" s="126"/>
      <c r="I1047" s="125"/>
    </row>
    <row r="1048">
      <c r="A1048" s="125"/>
      <c r="B1048" s="125"/>
      <c r="C1048" s="125"/>
      <c r="D1048" s="125"/>
      <c r="E1048" s="125"/>
      <c r="F1048" s="126"/>
      <c r="G1048" s="126"/>
      <c r="H1048" s="126"/>
      <c r="I1048" s="125"/>
    </row>
    <row r="1049">
      <c r="A1049" s="125"/>
      <c r="B1049" s="125"/>
      <c r="C1049" s="125"/>
      <c r="D1049" s="125"/>
      <c r="E1049" s="125"/>
      <c r="F1049" s="126"/>
      <c r="G1049" s="126"/>
      <c r="H1049" s="126"/>
      <c r="I1049" s="125"/>
    </row>
    <row r="1050">
      <c r="A1050" s="125"/>
      <c r="B1050" s="125"/>
      <c r="C1050" s="125"/>
      <c r="D1050" s="125"/>
      <c r="E1050" s="125"/>
      <c r="F1050" s="126"/>
      <c r="G1050" s="126"/>
      <c r="H1050" s="126"/>
      <c r="I1050" s="125"/>
    </row>
    <row r="1051">
      <c r="A1051" s="125"/>
      <c r="B1051" s="125"/>
      <c r="C1051" s="125"/>
      <c r="D1051" s="125"/>
      <c r="E1051" s="125"/>
      <c r="F1051" s="126"/>
      <c r="G1051" s="126"/>
      <c r="H1051" s="126"/>
      <c r="I1051" s="125"/>
    </row>
    <row r="1052">
      <c r="A1052" s="125"/>
      <c r="B1052" s="125"/>
      <c r="C1052" s="125"/>
      <c r="D1052" s="125"/>
      <c r="E1052" s="125"/>
      <c r="F1052" s="126"/>
      <c r="G1052" s="126"/>
      <c r="H1052" s="126"/>
      <c r="I1052" s="125"/>
    </row>
    <row r="1053">
      <c r="A1053" s="125"/>
      <c r="B1053" s="125"/>
      <c r="C1053" s="125"/>
      <c r="D1053" s="125"/>
      <c r="E1053" s="125"/>
      <c r="F1053" s="126"/>
      <c r="G1053" s="126"/>
      <c r="H1053" s="126"/>
      <c r="I1053" s="125"/>
    </row>
    <row r="1054">
      <c r="A1054" s="125"/>
      <c r="B1054" s="125"/>
      <c r="C1054" s="125"/>
      <c r="D1054" s="125"/>
      <c r="E1054" s="125"/>
      <c r="F1054" s="126"/>
      <c r="G1054" s="126"/>
      <c r="H1054" s="126"/>
      <c r="I1054" s="125"/>
    </row>
    <row r="1055">
      <c r="A1055" s="125"/>
      <c r="B1055" s="125"/>
      <c r="C1055" s="125"/>
      <c r="D1055" s="125"/>
      <c r="E1055" s="125"/>
      <c r="F1055" s="126"/>
      <c r="G1055" s="126"/>
      <c r="H1055" s="126"/>
      <c r="I1055" s="125"/>
    </row>
    <row r="1056">
      <c r="A1056" s="125"/>
      <c r="B1056" s="125"/>
      <c r="C1056" s="125"/>
      <c r="D1056" s="125"/>
      <c r="E1056" s="125"/>
      <c r="F1056" s="126"/>
      <c r="G1056" s="126"/>
      <c r="H1056" s="126"/>
      <c r="I1056" s="125"/>
    </row>
    <row r="1057">
      <c r="A1057" s="125"/>
      <c r="B1057" s="125"/>
      <c r="C1057" s="125"/>
      <c r="D1057" s="125"/>
      <c r="E1057" s="125"/>
      <c r="F1057" s="126"/>
      <c r="G1057" s="126"/>
      <c r="H1057" s="126"/>
      <c r="I1057" s="125"/>
    </row>
    <row r="1058">
      <c r="A1058" s="125"/>
      <c r="B1058" s="125"/>
      <c r="C1058" s="125"/>
      <c r="D1058" s="125"/>
      <c r="E1058" s="125"/>
      <c r="F1058" s="126"/>
      <c r="G1058" s="126"/>
      <c r="H1058" s="126"/>
      <c r="I1058" s="125"/>
    </row>
    <row r="1059">
      <c r="A1059" s="125"/>
      <c r="B1059" s="125"/>
      <c r="C1059" s="125"/>
      <c r="D1059" s="125"/>
      <c r="E1059" s="125"/>
      <c r="F1059" s="126"/>
      <c r="G1059" s="126"/>
      <c r="H1059" s="126"/>
      <c r="I1059" s="125"/>
    </row>
    <row r="1060">
      <c r="A1060" s="125"/>
      <c r="B1060" s="125"/>
      <c r="C1060" s="125"/>
      <c r="D1060" s="125"/>
      <c r="E1060" s="125"/>
      <c r="F1060" s="126"/>
      <c r="G1060" s="126"/>
      <c r="H1060" s="126"/>
      <c r="I1060" s="125"/>
    </row>
    <row r="1061">
      <c r="A1061" s="125"/>
      <c r="B1061" s="125"/>
      <c r="C1061" s="125"/>
      <c r="D1061" s="125"/>
      <c r="E1061" s="125"/>
      <c r="F1061" s="126"/>
      <c r="G1061" s="126"/>
      <c r="H1061" s="126"/>
      <c r="I1061" s="125"/>
    </row>
    <row r="1062">
      <c r="A1062" s="125"/>
      <c r="B1062" s="125"/>
      <c r="C1062" s="125"/>
      <c r="D1062" s="125"/>
      <c r="E1062" s="125"/>
      <c r="F1062" s="126"/>
      <c r="G1062" s="126"/>
      <c r="H1062" s="126"/>
      <c r="I1062" s="125"/>
    </row>
    <row r="1063">
      <c r="A1063" s="125"/>
      <c r="B1063" s="125"/>
      <c r="C1063" s="125"/>
      <c r="D1063" s="125"/>
      <c r="E1063" s="125"/>
      <c r="F1063" s="126"/>
      <c r="G1063" s="126"/>
      <c r="H1063" s="126"/>
      <c r="I1063" s="125"/>
    </row>
    <row r="1064">
      <c r="A1064" s="125"/>
      <c r="B1064" s="125"/>
      <c r="C1064" s="125"/>
      <c r="D1064" s="125"/>
      <c r="E1064" s="125"/>
      <c r="F1064" s="126"/>
      <c r="G1064" s="126"/>
      <c r="H1064" s="126"/>
      <c r="I1064" s="125"/>
    </row>
    <row r="1065">
      <c r="A1065" s="125"/>
      <c r="B1065" s="125"/>
      <c r="C1065" s="125"/>
      <c r="D1065" s="125"/>
      <c r="E1065" s="125"/>
      <c r="F1065" s="126"/>
      <c r="G1065" s="126"/>
      <c r="H1065" s="126"/>
      <c r="I1065" s="125"/>
    </row>
    <row r="1066">
      <c r="A1066" s="125"/>
      <c r="B1066" s="125"/>
      <c r="C1066" s="125"/>
      <c r="D1066" s="125"/>
      <c r="E1066" s="125"/>
      <c r="F1066" s="126"/>
      <c r="G1066" s="126"/>
      <c r="H1066" s="126"/>
      <c r="I1066" s="125"/>
    </row>
    <row r="1067">
      <c r="A1067" s="125"/>
      <c r="B1067" s="125"/>
      <c r="C1067" s="125"/>
      <c r="D1067" s="125"/>
      <c r="E1067" s="125"/>
      <c r="F1067" s="126"/>
      <c r="G1067" s="126"/>
      <c r="H1067" s="126"/>
      <c r="I1067" s="125"/>
    </row>
    <row r="1068">
      <c r="A1068" s="125"/>
      <c r="B1068" s="125"/>
      <c r="C1068" s="125"/>
      <c r="D1068" s="125"/>
      <c r="E1068" s="125"/>
      <c r="F1068" s="126"/>
      <c r="G1068" s="126"/>
      <c r="H1068" s="126"/>
      <c r="I1068" s="125"/>
    </row>
    <row r="1069">
      <c r="A1069" s="125"/>
      <c r="B1069" s="125"/>
      <c r="C1069" s="125"/>
      <c r="D1069" s="125"/>
      <c r="E1069" s="125"/>
      <c r="F1069" s="126"/>
      <c r="G1069" s="126"/>
      <c r="H1069" s="126"/>
      <c r="I1069" s="125"/>
    </row>
    <row r="1070">
      <c r="A1070" s="125"/>
      <c r="B1070" s="125"/>
      <c r="C1070" s="125"/>
      <c r="D1070" s="125"/>
      <c r="E1070" s="125"/>
      <c r="F1070" s="126"/>
      <c r="G1070" s="126"/>
      <c r="H1070" s="126"/>
      <c r="I1070" s="125"/>
    </row>
    <row r="1071">
      <c r="A1071" s="125"/>
      <c r="B1071" s="125"/>
      <c r="C1071" s="125"/>
      <c r="D1071" s="125"/>
      <c r="E1071" s="125"/>
      <c r="F1071" s="126"/>
      <c r="G1071" s="126"/>
      <c r="H1071" s="126"/>
      <c r="I1071" s="125"/>
    </row>
    <row r="1072">
      <c r="A1072" s="125"/>
      <c r="B1072" s="125"/>
      <c r="C1072" s="125"/>
      <c r="D1072" s="125"/>
      <c r="E1072" s="125"/>
      <c r="F1072" s="126"/>
      <c r="G1072" s="126"/>
      <c r="H1072" s="126"/>
      <c r="I1072" s="125"/>
    </row>
    <row r="1073">
      <c r="A1073" s="125"/>
      <c r="B1073" s="125"/>
      <c r="C1073" s="125"/>
      <c r="D1073" s="125"/>
      <c r="E1073" s="125"/>
      <c r="F1073" s="126"/>
      <c r="G1073" s="126"/>
      <c r="H1073" s="126"/>
      <c r="I1073" s="125"/>
    </row>
    <row r="1074">
      <c r="A1074" s="125"/>
      <c r="B1074" s="125"/>
      <c r="C1074" s="125"/>
      <c r="D1074" s="125"/>
      <c r="E1074" s="125"/>
      <c r="F1074" s="126"/>
      <c r="G1074" s="126"/>
      <c r="H1074" s="126"/>
      <c r="I1074" s="125"/>
    </row>
    <row r="1075">
      <c r="A1075" s="125"/>
      <c r="B1075" s="125"/>
      <c r="C1075" s="125"/>
      <c r="D1075" s="125"/>
      <c r="E1075" s="125"/>
      <c r="F1075" s="126"/>
      <c r="G1075" s="126"/>
      <c r="H1075" s="126"/>
      <c r="I1075" s="125"/>
    </row>
    <row r="1076">
      <c r="A1076" s="125"/>
      <c r="B1076" s="125"/>
      <c r="C1076" s="125"/>
      <c r="D1076" s="125"/>
      <c r="E1076" s="125"/>
      <c r="F1076" s="126"/>
      <c r="G1076" s="126"/>
      <c r="H1076" s="126"/>
      <c r="I1076" s="125"/>
    </row>
    <row r="1077">
      <c r="A1077" s="125"/>
      <c r="B1077" s="125"/>
      <c r="C1077" s="125"/>
      <c r="D1077" s="125"/>
      <c r="E1077" s="125"/>
      <c r="F1077" s="126"/>
      <c r="G1077" s="126"/>
      <c r="H1077" s="126"/>
      <c r="I1077" s="125"/>
    </row>
    <row r="1078">
      <c r="A1078" s="125"/>
      <c r="B1078" s="125"/>
      <c r="C1078" s="125"/>
      <c r="D1078" s="125"/>
      <c r="E1078" s="125"/>
      <c r="F1078" s="126"/>
      <c r="G1078" s="126"/>
      <c r="H1078" s="126"/>
      <c r="I1078" s="125"/>
    </row>
    <row r="1079">
      <c r="A1079" s="125"/>
      <c r="B1079" s="125"/>
      <c r="C1079" s="125"/>
      <c r="D1079" s="125"/>
      <c r="E1079" s="125"/>
      <c r="F1079" s="126"/>
      <c r="G1079" s="126"/>
      <c r="H1079" s="126"/>
      <c r="I1079" s="125"/>
    </row>
    <row r="1080">
      <c r="A1080" s="125"/>
      <c r="B1080" s="125"/>
      <c r="C1080" s="125"/>
      <c r="D1080" s="125"/>
      <c r="E1080" s="125"/>
      <c r="F1080" s="126"/>
      <c r="G1080" s="126"/>
      <c r="H1080" s="126"/>
      <c r="I1080" s="125"/>
    </row>
    <row r="1081">
      <c r="A1081" s="125"/>
      <c r="B1081" s="125"/>
      <c r="C1081" s="125"/>
      <c r="D1081" s="125"/>
      <c r="E1081" s="125"/>
      <c r="F1081" s="126"/>
      <c r="G1081" s="126"/>
      <c r="H1081" s="126"/>
      <c r="I1081" s="125"/>
    </row>
    <row r="1082">
      <c r="A1082" s="125"/>
      <c r="B1082" s="125"/>
      <c r="C1082" s="125"/>
      <c r="D1082" s="125"/>
      <c r="E1082" s="125"/>
      <c r="F1082" s="126"/>
      <c r="G1082" s="126"/>
      <c r="H1082" s="126"/>
      <c r="I1082" s="125"/>
    </row>
    <row r="1083">
      <c r="A1083" s="125"/>
      <c r="B1083" s="125"/>
      <c r="C1083" s="125"/>
      <c r="D1083" s="125"/>
      <c r="E1083" s="125"/>
      <c r="F1083" s="126"/>
      <c r="G1083" s="126"/>
      <c r="H1083" s="126"/>
      <c r="I1083" s="125"/>
    </row>
    <row r="1084">
      <c r="A1084" s="125"/>
      <c r="B1084" s="125"/>
      <c r="C1084" s="125"/>
      <c r="D1084" s="125"/>
      <c r="E1084" s="125"/>
      <c r="F1084" s="126"/>
      <c r="G1084" s="126"/>
      <c r="H1084" s="126"/>
      <c r="I1084" s="125"/>
    </row>
    <row r="1085">
      <c r="A1085" s="125"/>
      <c r="B1085" s="125"/>
      <c r="C1085" s="125"/>
      <c r="D1085" s="125"/>
      <c r="E1085" s="125"/>
      <c r="F1085" s="126"/>
      <c r="G1085" s="126"/>
      <c r="H1085" s="126"/>
      <c r="I1085" s="125"/>
    </row>
    <row r="1086">
      <c r="A1086" s="125"/>
      <c r="B1086" s="125"/>
      <c r="C1086" s="125"/>
      <c r="D1086" s="125"/>
      <c r="E1086" s="125"/>
      <c r="F1086" s="126"/>
      <c r="G1086" s="126"/>
      <c r="H1086" s="126"/>
      <c r="I1086" s="125"/>
    </row>
    <row r="1087">
      <c r="A1087" s="125"/>
      <c r="B1087" s="125"/>
      <c r="C1087" s="125"/>
      <c r="D1087" s="125"/>
      <c r="E1087" s="125"/>
      <c r="F1087" s="126"/>
      <c r="G1087" s="126"/>
      <c r="H1087" s="126"/>
      <c r="I1087" s="125"/>
    </row>
    <row r="1088">
      <c r="A1088" s="125"/>
      <c r="B1088" s="125"/>
      <c r="C1088" s="125"/>
      <c r="D1088" s="125"/>
      <c r="E1088" s="125"/>
      <c r="F1088" s="126"/>
      <c r="G1088" s="126"/>
      <c r="H1088" s="126"/>
      <c r="I1088" s="125"/>
    </row>
    <row r="1089">
      <c r="A1089" s="125"/>
      <c r="B1089" s="125"/>
      <c r="C1089" s="125"/>
      <c r="D1089" s="125"/>
      <c r="E1089" s="125"/>
      <c r="F1089" s="126"/>
      <c r="G1089" s="126"/>
      <c r="H1089" s="126"/>
      <c r="I1089" s="125"/>
    </row>
    <row r="1090">
      <c r="A1090" s="125"/>
      <c r="B1090" s="125"/>
      <c r="C1090" s="125"/>
      <c r="D1090" s="125"/>
      <c r="E1090" s="125"/>
      <c r="F1090" s="126"/>
      <c r="G1090" s="126"/>
      <c r="H1090" s="126"/>
      <c r="I1090" s="125"/>
    </row>
    <row r="1091">
      <c r="A1091" s="125"/>
      <c r="B1091" s="125"/>
      <c r="C1091" s="125"/>
      <c r="D1091" s="125"/>
      <c r="E1091" s="125"/>
      <c r="F1091" s="126"/>
      <c r="G1091" s="126"/>
      <c r="H1091" s="126"/>
      <c r="I1091" s="125"/>
    </row>
    <row r="1092">
      <c r="A1092" s="125"/>
      <c r="B1092" s="125"/>
      <c r="C1092" s="125"/>
      <c r="D1092" s="125"/>
      <c r="E1092" s="125"/>
      <c r="F1092" s="126"/>
      <c r="G1092" s="126"/>
      <c r="H1092" s="126"/>
      <c r="I1092" s="125"/>
    </row>
    <row r="1093">
      <c r="A1093" s="125"/>
      <c r="B1093" s="125"/>
      <c r="C1093" s="125"/>
      <c r="D1093" s="125"/>
      <c r="E1093" s="125"/>
      <c r="F1093" s="126"/>
      <c r="G1093" s="126"/>
      <c r="H1093" s="126"/>
      <c r="I1093" s="125"/>
    </row>
    <row r="1094">
      <c r="A1094" s="125"/>
      <c r="B1094" s="125"/>
      <c r="C1094" s="125"/>
      <c r="D1094" s="125"/>
      <c r="E1094" s="125"/>
      <c r="F1094" s="126"/>
      <c r="G1094" s="126"/>
      <c r="H1094" s="126"/>
      <c r="I1094" s="125"/>
    </row>
    <row r="1095">
      <c r="A1095" s="125"/>
      <c r="B1095" s="125"/>
      <c r="C1095" s="125"/>
      <c r="D1095" s="125"/>
      <c r="E1095" s="125"/>
      <c r="F1095" s="126"/>
      <c r="G1095" s="126"/>
      <c r="H1095" s="126"/>
      <c r="I1095" s="125"/>
    </row>
    <row r="1096">
      <c r="A1096" s="125"/>
      <c r="B1096" s="125"/>
      <c r="C1096" s="125"/>
      <c r="D1096" s="125"/>
      <c r="E1096" s="125"/>
      <c r="F1096" s="126"/>
      <c r="G1096" s="126"/>
      <c r="H1096" s="126"/>
      <c r="I1096" s="125"/>
    </row>
    <row r="1097">
      <c r="A1097" s="125"/>
      <c r="B1097" s="125"/>
      <c r="C1097" s="125"/>
      <c r="D1097" s="125"/>
      <c r="E1097" s="125"/>
      <c r="F1097" s="126"/>
      <c r="G1097" s="126"/>
      <c r="H1097" s="126"/>
      <c r="I1097" s="125"/>
    </row>
    <row r="1098">
      <c r="A1098" s="125"/>
      <c r="B1098" s="125"/>
      <c r="C1098" s="125"/>
      <c r="D1098" s="125"/>
      <c r="E1098" s="125"/>
      <c r="F1098" s="126"/>
      <c r="G1098" s="126"/>
      <c r="H1098" s="126"/>
      <c r="I1098" s="125"/>
    </row>
    <row r="1099">
      <c r="A1099" s="125"/>
      <c r="B1099" s="125"/>
      <c r="C1099" s="125"/>
      <c r="D1099" s="125"/>
      <c r="E1099" s="125"/>
      <c r="F1099" s="126"/>
      <c r="G1099" s="126"/>
      <c r="H1099" s="126"/>
      <c r="I1099" s="125"/>
    </row>
    <row r="1100">
      <c r="A1100" s="125"/>
      <c r="B1100" s="125"/>
      <c r="C1100" s="125"/>
      <c r="D1100" s="125"/>
      <c r="E1100" s="125"/>
      <c r="F1100" s="126"/>
      <c r="G1100" s="126"/>
      <c r="H1100" s="126"/>
      <c r="I1100" s="125"/>
    </row>
    <row r="1101">
      <c r="A1101" s="125"/>
      <c r="B1101" s="125"/>
      <c r="C1101" s="125"/>
      <c r="D1101" s="125"/>
      <c r="E1101" s="125"/>
      <c r="F1101" s="126"/>
      <c r="G1101" s="126"/>
      <c r="H1101" s="126"/>
      <c r="I1101" s="125"/>
    </row>
    <row r="1102">
      <c r="A1102" s="125"/>
      <c r="B1102" s="125"/>
      <c r="C1102" s="125"/>
      <c r="D1102" s="125"/>
      <c r="E1102" s="125"/>
      <c r="F1102" s="126"/>
      <c r="G1102" s="126"/>
      <c r="H1102" s="126"/>
      <c r="I1102" s="125"/>
    </row>
    <row r="1103">
      <c r="A1103" s="125"/>
      <c r="B1103" s="125"/>
      <c r="C1103" s="125"/>
      <c r="D1103" s="125"/>
      <c r="E1103" s="125"/>
      <c r="F1103" s="126"/>
      <c r="G1103" s="126"/>
      <c r="H1103" s="126"/>
      <c r="I1103" s="125"/>
    </row>
    <row r="1104">
      <c r="A1104" s="125"/>
      <c r="B1104" s="125"/>
      <c r="C1104" s="125"/>
      <c r="D1104" s="125"/>
      <c r="E1104" s="125"/>
      <c r="F1104" s="126"/>
      <c r="G1104" s="126"/>
      <c r="H1104" s="126"/>
      <c r="I1104" s="125"/>
    </row>
    <row r="1105">
      <c r="A1105" s="125"/>
      <c r="B1105" s="125"/>
      <c r="C1105" s="125"/>
      <c r="D1105" s="125"/>
      <c r="E1105" s="125"/>
      <c r="F1105" s="126"/>
      <c r="G1105" s="126"/>
      <c r="H1105" s="126"/>
      <c r="I1105" s="125"/>
    </row>
    <row r="1106">
      <c r="A1106" s="125"/>
      <c r="B1106" s="125"/>
      <c r="C1106" s="125"/>
      <c r="D1106" s="125"/>
      <c r="E1106" s="125"/>
      <c r="F1106" s="126"/>
      <c r="G1106" s="126"/>
      <c r="H1106" s="126"/>
      <c r="I1106" s="125"/>
    </row>
    <row r="1107">
      <c r="A1107" s="125"/>
      <c r="B1107" s="125"/>
      <c r="C1107" s="125"/>
      <c r="D1107" s="125"/>
      <c r="E1107" s="125"/>
      <c r="F1107" s="126"/>
      <c r="G1107" s="126"/>
      <c r="H1107" s="126"/>
      <c r="I1107" s="125"/>
    </row>
    <row r="1108">
      <c r="A1108" s="125"/>
      <c r="B1108" s="125"/>
      <c r="C1108" s="125"/>
      <c r="D1108" s="125"/>
      <c r="E1108" s="125"/>
      <c r="F1108" s="126"/>
      <c r="G1108" s="126"/>
      <c r="H1108" s="126"/>
      <c r="I1108" s="125"/>
    </row>
    <row r="1109">
      <c r="A1109" s="125"/>
      <c r="B1109" s="125"/>
      <c r="C1109" s="125"/>
      <c r="D1109" s="125"/>
      <c r="E1109" s="125"/>
      <c r="F1109" s="126"/>
      <c r="G1109" s="126"/>
      <c r="H1109" s="126"/>
      <c r="I1109" s="125"/>
    </row>
    <row r="1110">
      <c r="A1110" s="125"/>
      <c r="B1110" s="125"/>
      <c r="C1110" s="125"/>
      <c r="D1110" s="125"/>
      <c r="E1110" s="125"/>
      <c r="F1110" s="126"/>
      <c r="G1110" s="126"/>
      <c r="H1110" s="126"/>
      <c r="I1110" s="125"/>
    </row>
    <row r="1111">
      <c r="A1111" s="125"/>
      <c r="B1111" s="125"/>
      <c r="C1111" s="125"/>
      <c r="D1111" s="125"/>
      <c r="E1111" s="125"/>
      <c r="F1111" s="126"/>
      <c r="G1111" s="126"/>
      <c r="H1111" s="126"/>
      <c r="I1111" s="125"/>
    </row>
    <row r="1112">
      <c r="A1112" s="125"/>
      <c r="B1112" s="125"/>
      <c r="C1112" s="125"/>
      <c r="D1112" s="125"/>
      <c r="E1112" s="125"/>
      <c r="F1112" s="126"/>
      <c r="G1112" s="126"/>
      <c r="H1112" s="126"/>
      <c r="I1112" s="125"/>
    </row>
    <row r="1113">
      <c r="A1113" s="125"/>
      <c r="B1113" s="125"/>
      <c r="C1113" s="125"/>
      <c r="D1113" s="125"/>
      <c r="E1113" s="125"/>
      <c r="F1113" s="126"/>
      <c r="G1113" s="126"/>
      <c r="H1113" s="126"/>
      <c r="I1113" s="125"/>
    </row>
    <row r="1114">
      <c r="A1114" s="125"/>
      <c r="B1114" s="125"/>
      <c r="C1114" s="125"/>
      <c r="D1114" s="125"/>
      <c r="E1114" s="125"/>
      <c r="F1114" s="126"/>
      <c r="G1114" s="126"/>
      <c r="H1114" s="126"/>
      <c r="I1114" s="125"/>
    </row>
    <row r="1115">
      <c r="A1115" s="125"/>
      <c r="B1115" s="125"/>
      <c r="C1115" s="125"/>
      <c r="D1115" s="125"/>
      <c r="E1115" s="125"/>
      <c r="F1115" s="126"/>
      <c r="G1115" s="126"/>
      <c r="H1115" s="126"/>
      <c r="I1115" s="125"/>
    </row>
    <row r="1116">
      <c r="A1116" s="125"/>
      <c r="B1116" s="125"/>
      <c r="C1116" s="125"/>
      <c r="D1116" s="125"/>
      <c r="E1116" s="125"/>
      <c r="F1116" s="126"/>
      <c r="G1116" s="126"/>
      <c r="H1116" s="126"/>
      <c r="I1116" s="125"/>
    </row>
    <row r="1117">
      <c r="A1117" s="125"/>
      <c r="B1117" s="125"/>
      <c r="C1117" s="125"/>
      <c r="D1117" s="125"/>
      <c r="E1117" s="125"/>
      <c r="F1117" s="126"/>
      <c r="G1117" s="126"/>
      <c r="H1117" s="126"/>
      <c r="I1117" s="125"/>
    </row>
    <row r="1118">
      <c r="A1118" s="125"/>
      <c r="B1118" s="125"/>
      <c r="C1118" s="125"/>
      <c r="D1118" s="125"/>
      <c r="E1118" s="125"/>
      <c r="F1118" s="126"/>
      <c r="G1118" s="126"/>
      <c r="H1118" s="126"/>
      <c r="I1118" s="125"/>
    </row>
    <row r="1119">
      <c r="A1119" s="125"/>
      <c r="B1119" s="125"/>
      <c r="C1119" s="125"/>
      <c r="D1119" s="125"/>
      <c r="E1119" s="125"/>
      <c r="F1119" s="126"/>
      <c r="G1119" s="126"/>
      <c r="H1119" s="126"/>
      <c r="I1119" s="125"/>
    </row>
    <row r="1120">
      <c r="A1120" s="125"/>
      <c r="B1120" s="125"/>
      <c r="C1120" s="125"/>
      <c r="D1120" s="125"/>
      <c r="E1120" s="125"/>
      <c r="F1120" s="126"/>
      <c r="G1120" s="126"/>
      <c r="H1120" s="126"/>
      <c r="I1120" s="125"/>
    </row>
    <row r="1121">
      <c r="A1121" s="125"/>
      <c r="B1121" s="125"/>
      <c r="C1121" s="125"/>
      <c r="D1121" s="125"/>
      <c r="E1121" s="125"/>
      <c r="F1121" s="126"/>
      <c r="G1121" s="126"/>
      <c r="H1121" s="126"/>
      <c r="I1121" s="125"/>
    </row>
    <row r="1122">
      <c r="A1122" s="125"/>
      <c r="B1122" s="125"/>
      <c r="C1122" s="125"/>
      <c r="D1122" s="125"/>
      <c r="E1122" s="125"/>
      <c r="F1122" s="126"/>
      <c r="G1122" s="126"/>
      <c r="H1122" s="126"/>
      <c r="I1122" s="125"/>
    </row>
    <row r="1123">
      <c r="A1123" s="125"/>
      <c r="B1123" s="125"/>
      <c r="C1123" s="125"/>
      <c r="D1123" s="125"/>
      <c r="E1123" s="125"/>
      <c r="F1123" s="126"/>
      <c r="G1123" s="126"/>
      <c r="H1123" s="126"/>
      <c r="I1123" s="125"/>
    </row>
    <row r="1124">
      <c r="A1124" s="125"/>
      <c r="B1124" s="125"/>
      <c r="C1124" s="125"/>
      <c r="D1124" s="125"/>
      <c r="E1124" s="125"/>
      <c r="F1124" s="126"/>
      <c r="G1124" s="126"/>
      <c r="H1124" s="126"/>
      <c r="I1124" s="125"/>
    </row>
    <row r="1125">
      <c r="A1125" s="125"/>
      <c r="B1125" s="125"/>
      <c r="C1125" s="125"/>
      <c r="D1125" s="125"/>
      <c r="E1125" s="125"/>
      <c r="F1125" s="126"/>
      <c r="G1125" s="126"/>
      <c r="H1125" s="126"/>
      <c r="I1125" s="125"/>
    </row>
    <row r="1126">
      <c r="A1126" s="125"/>
      <c r="B1126" s="125"/>
      <c r="C1126" s="125"/>
      <c r="D1126" s="125"/>
      <c r="E1126" s="125"/>
      <c r="F1126" s="126"/>
      <c r="G1126" s="126"/>
      <c r="H1126" s="126"/>
      <c r="I1126" s="125"/>
    </row>
    <row r="1127">
      <c r="A1127" s="125"/>
      <c r="B1127" s="125"/>
      <c r="C1127" s="125"/>
      <c r="D1127" s="125"/>
      <c r="E1127" s="125"/>
      <c r="F1127" s="126"/>
      <c r="G1127" s="126"/>
      <c r="H1127" s="126"/>
      <c r="I1127" s="125"/>
    </row>
    <row r="1128">
      <c r="A1128" s="125"/>
      <c r="B1128" s="125"/>
      <c r="C1128" s="125"/>
      <c r="D1128" s="125"/>
      <c r="E1128" s="125"/>
      <c r="F1128" s="126"/>
      <c r="G1128" s="126"/>
      <c r="H1128" s="126"/>
      <c r="I1128" s="125"/>
    </row>
    <row r="1129">
      <c r="A1129" s="125"/>
      <c r="B1129" s="125"/>
      <c r="C1129" s="125"/>
      <c r="D1129" s="125"/>
      <c r="E1129" s="125"/>
      <c r="F1129" s="126"/>
      <c r="G1129" s="126"/>
      <c r="H1129" s="126"/>
      <c r="I1129" s="125"/>
    </row>
    <row r="1130">
      <c r="A1130" s="125"/>
      <c r="B1130" s="125"/>
      <c r="C1130" s="125"/>
      <c r="D1130" s="125"/>
      <c r="E1130" s="125"/>
      <c r="F1130" s="126"/>
      <c r="G1130" s="126"/>
      <c r="H1130" s="126"/>
      <c r="I1130" s="125"/>
    </row>
    <row r="1131">
      <c r="A1131" s="125"/>
      <c r="B1131" s="125"/>
      <c r="C1131" s="125"/>
      <c r="D1131" s="125"/>
      <c r="E1131" s="125"/>
      <c r="F1131" s="126"/>
      <c r="G1131" s="126"/>
      <c r="H1131" s="126"/>
      <c r="I1131" s="125"/>
    </row>
    <row r="1132">
      <c r="A1132" s="125"/>
      <c r="B1132" s="125"/>
      <c r="C1132" s="125"/>
      <c r="D1132" s="125"/>
      <c r="E1132" s="125"/>
      <c r="F1132" s="126"/>
      <c r="G1132" s="126"/>
      <c r="H1132" s="126"/>
      <c r="I1132" s="125"/>
    </row>
    <row r="1133">
      <c r="A1133" s="125"/>
      <c r="B1133" s="125"/>
      <c r="C1133" s="125"/>
      <c r="D1133" s="125"/>
      <c r="E1133" s="125"/>
      <c r="F1133" s="126"/>
      <c r="G1133" s="126"/>
      <c r="H1133" s="126"/>
      <c r="I1133" s="125"/>
    </row>
    <row r="1134">
      <c r="A1134" s="125"/>
      <c r="B1134" s="125"/>
      <c r="C1134" s="125"/>
      <c r="D1134" s="125"/>
      <c r="E1134" s="125"/>
      <c r="F1134" s="126"/>
      <c r="G1134" s="126"/>
      <c r="H1134" s="126"/>
      <c r="I1134" s="125"/>
    </row>
    <row r="1135">
      <c r="A1135" s="125"/>
      <c r="B1135" s="125"/>
      <c r="C1135" s="125"/>
      <c r="D1135" s="125"/>
      <c r="E1135" s="125"/>
      <c r="F1135" s="126"/>
      <c r="G1135" s="126"/>
      <c r="H1135" s="126"/>
      <c r="I1135" s="125"/>
    </row>
    <row r="1136">
      <c r="A1136" s="125"/>
      <c r="B1136" s="125"/>
      <c r="C1136" s="125"/>
      <c r="D1136" s="125"/>
      <c r="E1136" s="125"/>
      <c r="F1136" s="126"/>
      <c r="G1136" s="126"/>
      <c r="H1136" s="126"/>
      <c r="I1136" s="125"/>
    </row>
    <row r="1137">
      <c r="A1137" s="125"/>
      <c r="B1137" s="125"/>
      <c r="C1137" s="125"/>
      <c r="D1137" s="125"/>
      <c r="E1137" s="125"/>
      <c r="F1137" s="126"/>
      <c r="G1137" s="126"/>
      <c r="H1137" s="126"/>
      <c r="I1137" s="125"/>
    </row>
    <row r="1138">
      <c r="A1138" s="125"/>
      <c r="B1138" s="125"/>
      <c r="C1138" s="125"/>
      <c r="D1138" s="125"/>
      <c r="E1138" s="125"/>
      <c r="F1138" s="126"/>
      <c r="G1138" s="126"/>
      <c r="H1138" s="126"/>
      <c r="I1138" s="125"/>
    </row>
    <row r="1139">
      <c r="A1139" s="125"/>
      <c r="B1139" s="125"/>
      <c r="C1139" s="125"/>
      <c r="D1139" s="125"/>
      <c r="E1139" s="125"/>
      <c r="F1139" s="126"/>
      <c r="G1139" s="126"/>
      <c r="H1139" s="126"/>
      <c r="I1139" s="125"/>
    </row>
    <row r="1140">
      <c r="A1140" s="125"/>
      <c r="B1140" s="125"/>
      <c r="C1140" s="125"/>
      <c r="D1140" s="125"/>
      <c r="E1140" s="125"/>
      <c r="F1140" s="126"/>
      <c r="G1140" s="126"/>
      <c r="H1140" s="126"/>
      <c r="I1140" s="125"/>
    </row>
    <row r="1141">
      <c r="A1141" s="125"/>
      <c r="B1141" s="125"/>
      <c r="C1141" s="125"/>
      <c r="D1141" s="125"/>
      <c r="E1141" s="125"/>
      <c r="F1141" s="126"/>
      <c r="G1141" s="126"/>
      <c r="H1141" s="126"/>
      <c r="I1141" s="125"/>
    </row>
    <row r="1142">
      <c r="A1142" s="125"/>
      <c r="B1142" s="125"/>
      <c r="C1142" s="125"/>
      <c r="D1142" s="125"/>
      <c r="E1142" s="125"/>
      <c r="F1142" s="126"/>
      <c r="G1142" s="126"/>
      <c r="H1142" s="126"/>
      <c r="I1142" s="125"/>
    </row>
    <row r="1143">
      <c r="A1143" s="125"/>
      <c r="B1143" s="125"/>
      <c r="C1143" s="125"/>
      <c r="D1143" s="125"/>
      <c r="E1143" s="125"/>
      <c r="F1143" s="126"/>
      <c r="G1143" s="126"/>
      <c r="H1143" s="126"/>
      <c r="I1143" s="125"/>
    </row>
    <row r="1144">
      <c r="A1144" s="125"/>
      <c r="B1144" s="125"/>
      <c r="C1144" s="125"/>
      <c r="D1144" s="125"/>
      <c r="E1144" s="125"/>
      <c r="F1144" s="126"/>
      <c r="G1144" s="126"/>
      <c r="H1144" s="126"/>
      <c r="I1144" s="125"/>
    </row>
    <row r="1145">
      <c r="A1145" s="125"/>
      <c r="B1145" s="125"/>
      <c r="C1145" s="125"/>
      <c r="D1145" s="125"/>
      <c r="E1145" s="125"/>
      <c r="F1145" s="126"/>
      <c r="G1145" s="126"/>
      <c r="H1145" s="126"/>
      <c r="I1145" s="125"/>
    </row>
    <row r="1146">
      <c r="A1146" s="125"/>
      <c r="B1146" s="125"/>
      <c r="C1146" s="125"/>
      <c r="D1146" s="125"/>
      <c r="E1146" s="125"/>
      <c r="F1146" s="126"/>
      <c r="G1146" s="126"/>
      <c r="H1146" s="126"/>
      <c r="I1146" s="125"/>
    </row>
    <row r="1147">
      <c r="A1147" s="125"/>
      <c r="B1147" s="125"/>
      <c r="C1147" s="125"/>
      <c r="D1147" s="125"/>
      <c r="E1147" s="125"/>
      <c r="F1147" s="126"/>
      <c r="G1147" s="126"/>
      <c r="H1147" s="126"/>
      <c r="I1147" s="125"/>
    </row>
    <row r="1148">
      <c r="A1148" s="125"/>
      <c r="B1148" s="125"/>
      <c r="C1148" s="125"/>
      <c r="D1148" s="125"/>
      <c r="E1148" s="125"/>
      <c r="F1148" s="126"/>
      <c r="G1148" s="126"/>
      <c r="H1148" s="126"/>
      <c r="I1148" s="125"/>
    </row>
    <row r="1149">
      <c r="A1149" s="125"/>
      <c r="B1149" s="125"/>
      <c r="C1149" s="125"/>
      <c r="D1149" s="125"/>
      <c r="E1149" s="125"/>
      <c r="F1149" s="126"/>
      <c r="G1149" s="126"/>
      <c r="H1149" s="126"/>
      <c r="I1149" s="125"/>
    </row>
    <row r="1150">
      <c r="A1150" s="125"/>
      <c r="B1150" s="125"/>
      <c r="C1150" s="125"/>
      <c r="D1150" s="125"/>
      <c r="E1150" s="125"/>
      <c r="F1150" s="126"/>
      <c r="G1150" s="126"/>
      <c r="H1150" s="126"/>
      <c r="I1150" s="125"/>
    </row>
    <row r="1151">
      <c r="A1151" s="125"/>
      <c r="B1151" s="125"/>
      <c r="C1151" s="125"/>
      <c r="D1151" s="125"/>
      <c r="E1151" s="125"/>
      <c r="F1151" s="126"/>
      <c r="G1151" s="126"/>
      <c r="H1151" s="126"/>
      <c r="I1151" s="125"/>
    </row>
    <row r="1152">
      <c r="A1152" s="125"/>
      <c r="B1152" s="125"/>
      <c r="C1152" s="125"/>
      <c r="D1152" s="125"/>
      <c r="E1152" s="125"/>
      <c r="F1152" s="126"/>
      <c r="G1152" s="126"/>
      <c r="H1152" s="126"/>
      <c r="I1152" s="125"/>
    </row>
    <row r="1153">
      <c r="A1153" s="125"/>
      <c r="B1153" s="125"/>
      <c r="C1153" s="125"/>
      <c r="D1153" s="125"/>
      <c r="E1153" s="125"/>
      <c r="F1153" s="126"/>
      <c r="G1153" s="126"/>
      <c r="H1153" s="126"/>
      <c r="I1153" s="125"/>
    </row>
    <row r="1154">
      <c r="A1154" s="125"/>
      <c r="B1154" s="125"/>
      <c r="C1154" s="125"/>
      <c r="D1154" s="125"/>
      <c r="E1154" s="125"/>
      <c r="F1154" s="126"/>
      <c r="G1154" s="126"/>
      <c r="H1154" s="126"/>
      <c r="I1154" s="125"/>
    </row>
    <row r="1155">
      <c r="A1155" s="125"/>
      <c r="B1155" s="125"/>
      <c r="C1155" s="125"/>
      <c r="D1155" s="125"/>
      <c r="E1155" s="125"/>
      <c r="F1155" s="126"/>
      <c r="G1155" s="126"/>
      <c r="H1155" s="126"/>
      <c r="I1155" s="125"/>
    </row>
    <row r="1156">
      <c r="A1156" s="125"/>
      <c r="B1156" s="125"/>
      <c r="C1156" s="125"/>
      <c r="D1156" s="125"/>
      <c r="E1156" s="125"/>
      <c r="F1156" s="126"/>
      <c r="G1156" s="126"/>
      <c r="H1156" s="126"/>
      <c r="I1156" s="125"/>
    </row>
    <row r="1157">
      <c r="A1157" s="125"/>
      <c r="B1157" s="125"/>
      <c r="C1157" s="125"/>
      <c r="D1157" s="125"/>
      <c r="E1157" s="125"/>
      <c r="F1157" s="126"/>
      <c r="G1157" s="126"/>
      <c r="H1157" s="126"/>
      <c r="I1157" s="125"/>
    </row>
    <row r="1158">
      <c r="A1158" s="125"/>
      <c r="B1158" s="125"/>
      <c r="C1158" s="125"/>
      <c r="D1158" s="125"/>
      <c r="E1158" s="125"/>
      <c r="F1158" s="126"/>
      <c r="G1158" s="126"/>
      <c r="H1158" s="126"/>
      <c r="I1158" s="125"/>
    </row>
    <row r="1159">
      <c r="A1159" s="125"/>
      <c r="B1159" s="125"/>
      <c r="C1159" s="125"/>
      <c r="D1159" s="125"/>
      <c r="E1159" s="125"/>
      <c r="F1159" s="126"/>
      <c r="G1159" s="126"/>
      <c r="H1159" s="126"/>
      <c r="I1159" s="125"/>
    </row>
    <row r="1160">
      <c r="A1160" s="125"/>
      <c r="B1160" s="125"/>
      <c r="C1160" s="125"/>
      <c r="D1160" s="125"/>
      <c r="E1160" s="125"/>
      <c r="F1160" s="126"/>
      <c r="G1160" s="126"/>
      <c r="H1160" s="126"/>
      <c r="I1160" s="125"/>
    </row>
    <row r="1161">
      <c r="A1161" s="125"/>
      <c r="B1161" s="125"/>
      <c r="C1161" s="125"/>
      <c r="D1161" s="125"/>
      <c r="E1161" s="125"/>
      <c r="F1161" s="126"/>
      <c r="G1161" s="126"/>
      <c r="H1161" s="126"/>
      <c r="I1161" s="125"/>
    </row>
    <row r="1162">
      <c r="A1162" s="125"/>
      <c r="B1162" s="125"/>
      <c r="C1162" s="125"/>
      <c r="D1162" s="125"/>
      <c r="E1162" s="125"/>
      <c r="F1162" s="126"/>
      <c r="G1162" s="126"/>
      <c r="H1162" s="126"/>
      <c r="I1162" s="125"/>
    </row>
    <row r="1163">
      <c r="A1163" s="125"/>
      <c r="B1163" s="125"/>
      <c r="C1163" s="125"/>
      <c r="D1163" s="125"/>
      <c r="E1163" s="125"/>
      <c r="F1163" s="126"/>
      <c r="G1163" s="126"/>
      <c r="H1163" s="126"/>
      <c r="I1163" s="125"/>
    </row>
    <row r="1164">
      <c r="A1164" s="125"/>
      <c r="B1164" s="125"/>
      <c r="C1164" s="125"/>
      <c r="D1164" s="125"/>
      <c r="E1164" s="125"/>
      <c r="F1164" s="126"/>
      <c r="G1164" s="126"/>
      <c r="H1164" s="126"/>
      <c r="I1164" s="125"/>
    </row>
    <row r="1165">
      <c r="A1165" s="125"/>
      <c r="B1165" s="125"/>
      <c r="C1165" s="125"/>
      <c r="D1165" s="125"/>
      <c r="E1165" s="125"/>
      <c r="F1165" s="126"/>
      <c r="G1165" s="126"/>
      <c r="H1165" s="126"/>
      <c r="I1165" s="125"/>
    </row>
    <row r="1166">
      <c r="A1166" s="125"/>
      <c r="B1166" s="125"/>
      <c r="C1166" s="125"/>
      <c r="D1166" s="125"/>
      <c r="E1166" s="125"/>
      <c r="F1166" s="126"/>
      <c r="G1166" s="126"/>
      <c r="H1166" s="126"/>
      <c r="I1166" s="125"/>
    </row>
    <row r="1167">
      <c r="A1167" s="125"/>
      <c r="B1167" s="125"/>
      <c r="C1167" s="125"/>
      <c r="D1167" s="125"/>
      <c r="E1167" s="125"/>
      <c r="F1167" s="126"/>
      <c r="G1167" s="126"/>
      <c r="H1167" s="126"/>
      <c r="I1167" s="125"/>
    </row>
    <row r="1168">
      <c r="A1168" s="125"/>
      <c r="B1168" s="125"/>
      <c r="C1168" s="125"/>
      <c r="D1168" s="125"/>
      <c r="E1168" s="125"/>
      <c r="F1168" s="126"/>
      <c r="G1168" s="126"/>
      <c r="H1168" s="126"/>
      <c r="I1168" s="125"/>
    </row>
    <row r="1169">
      <c r="A1169" s="125"/>
      <c r="B1169" s="125"/>
      <c r="C1169" s="125"/>
      <c r="D1169" s="125"/>
      <c r="E1169" s="125"/>
      <c r="F1169" s="126"/>
      <c r="G1169" s="126"/>
      <c r="H1169" s="126"/>
      <c r="I1169" s="125"/>
    </row>
    <row r="1170">
      <c r="A1170" s="125"/>
      <c r="B1170" s="125"/>
      <c r="C1170" s="125"/>
      <c r="D1170" s="125"/>
      <c r="E1170" s="125"/>
      <c r="F1170" s="126"/>
      <c r="G1170" s="126"/>
      <c r="H1170" s="126"/>
      <c r="I1170" s="125"/>
    </row>
    <row r="1171">
      <c r="A1171" s="125"/>
      <c r="B1171" s="125"/>
      <c r="C1171" s="125"/>
      <c r="D1171" s="125"/>
      <c r="E1171" s="125"/>
      <c r="F1171" s="126"/>
      <c r="G1171" s="126"/>
      <c r="H1171" s="126"/>
      <c r="I1171" s="125"/>
    </row>
    <row r="1172">
      <c r="A1172" s="125"/>
      <c r="B1172" s="125"/>
      <c r="C1172" s="125"/>
      <c r="D1172" s="125"/>
      <c r="E1172" s="125"/>
      <c r="F1172" s="126"/>
      <c r="G1172" s="126"/>
      <c r="H1172" s="126"/>
      <c r="I1172" s="125"/>
    </row>
    <row r="1173">
      <c r="A1173" s="125"/>
      <c r="B1173" s="125"/>
      <c r="C1173" s="125"/>
      <c r="D1173" s="125"/>
      <c r="E1173" s="125"/>
      <c r="F1173" s="126"/>
      <c r="G1173" s="126"/>
      <c r="H1173" s="126"/>
      <c r="I1173" s="125"/>
    </row>
    <row r="1174">
      <c r="A1174" s="125"/>
      <c r="B1174" s="125"/>
      <c r="C1174" s="125"/>
      <c r="D1174" s="125"/>
      <c r="E1174" s="125"/>
      <c r="F1174" s="126"/>
      <c r="G1174" s="126"/>
      <c r="H1174" s="126"/>
      <c r="I1174" s="125"/>
    </row>
    <row r="1175">
      <c r="A1175" s="125"/>
      <c r="B1175" s="125"/>
      <c r="C1175" s="125"/>
      <c r="D1175" s="125"/>
      <c r="E1175" s="125"/>
      <c r="F1175" s="126"/>
      <c r="G1175" s="126"/>
      <c r="H1175" s="126"/>
      <c r="I1175" s="125"/>
    </row>
    <row r="1176">
      <c r="A1176" s="125"/>
      <c r="B1176" s="125"/>
      <c r="C1176" s="125"/>
      <c r="D1176" s="125"/>
      <c r="E1176" s="125"/>
      <c r="F1176" s="126"/>
      <c r="G1176" s="126"/>
      <c r="H1176" s="126"/>
      <c r="I1176" s="125"/>
    </row>
    <row r="1177">
      <c r="A1177" s="125"/>
      <c r="B1177" s="125"/>
      <c r="C1177" s="125"/>
      <c r="D1177" s="125"/>
      <c r="E1177" s="125"/>
      <c r="F1177" s="126"/>
      <c r="G1177" s="126"/>
      <c r="H1177" s="126"/>
      <c r="I1177" s="125"/>
    </row>
    <row r="1178">
      <c r="A1178" s="125"/>
      <c r="B1178" s="125"/>
      <c r="C1178" s="125"/>
      <c r="D1178" s="125"/>
      <c r="E1178" s="125"/>
      <c r="F1178" s="126"/>
      <c r="G1178" s="126"/>
      <c r="H1178" s="126"/>
      <c r="I1178" s="125"/>
    </row>
    <row r="1179">
      <c r="A1179" s="125"/>
      <c r="B1179" s="125"/>
      <c r="C1179" s="125"/>
      <c r="D1179" s="125"/>
      <c r="E1179" s="125"/>
      <c r="F1179" s="126"/>
      <c r="G1179" s="126"/>
      <c r="H1179" s="126"/>
      <c r="I1179" s="125"/>
    </row>
    <row r="1180">
      <c r="A1180" s="125"/>
      <c r="B1180" s="125"/>
      <c r="C1180" s="125"/>
      <c r="D1180" s="125"/>
      <c r="E1180" s="125"/>
      <c r="F1180" s="126"/>
      <c r="G1180" s="126"/>
      <c r="H1180" s="126"/>
      <c r="I1180" s="125"/>
    </row>
    <row r="1181">
      <c r="A1181" s="125"/>
      <c r="B1181" s="125"/>
      <c r="C1181" s="125"/>
      <c r="D1181" s="125"/>
      <c r="E1181" s="125"/>
      <c r="F1181" s="126"/>
      <c r="G1181" s="126"/>
      <c r="H1181" s="126"/>
      <c r="I1181" s="125"/>
    </row>
    <row r="1182">
      <c r="A1182" s="125"/>
      <c r="B1182" s="125"/>
      <c r="C1182" s="125"/>
      <c r="D1182" s="125"/>
      <c r="E1182" s="125"/>
      <c r="F1182" s="126"/>
      <c r="G1182" s="126"/>
      <c r="H1182" s="126"/>
      <c r="I1182" s="125"/>
    </row>
    <row r="1183">
      <c r="A1183" s="125"/>
      <c r="B1183" s="125"/>
      <c r="C1183" s="125"/>
      <c r="D1183" s="125"/>
      <c r="E1183" s="125"/>
      <c r="F1183" s="126"/>
      <c r="G1183" s="126"/>
      <c r="H1183" s="126"/>
      <c r="I1183" s="125"/>
    </row>
    <row r="1184">
      <c r="A1184" s="125"/>
      <c r="B1184" s="125"/>
      <c r="C1184" s="125"/>
      <c r="D1184" s="125"/>
      <c r="E1184" s="125"/>
      <c r="F1184" s="126"/>
      <c r="G1184" s="126"/>
      <c r="H1184" s="126"/>
      <c r="I1184" s="125"/>
    </row>
    <row r="1185">
      <c r="A1185" s="125"/>
      <c r="B1185" s="125"/>
      <c r="C1185" s="125"/>
      <c r="D1185" s="125"/>
      <c r="E1185" s="125"/>
      <c r="F1185" s="126"/>
      <c r="G1185" s="126"/>
      <c r="H1185" s="126"/>
      <c r="I1185" s="125"/>
    </row>
    <row r="1186">
      <c r="A1186" s="125"/>
      <c r="B1186" s="125"/>
      <c r="C1186" s="125"/>
      <c r="D1186" s="125"/>
      <c r="E1186" s="125"/>
      <c r="F1186" s="126"/>
      <c r="G1186" s="126"/>
      <c r="H1186" s="126"/>
      <c r="I1186" s="125"/>
    </row>
    <row r="1187">
      <c r="A1187" s="125"/>
      <c r="B1187" s="125"/>
      <c r="C1187" s="125"/>
      <c r="D1187" s="125"/>
      <c r="E1187" s="125"/>
      <c r="F1187" s="126"/>
      <c r="G1187" s="126"/>
      <c r="H1187" s="126"/>
      <c r="I1187" s="125"/>
    </row>
    <row r="1188">
      <c r="A1188" s="125"/>
      <c r="B1188" s="125"/>
      <c r="C1188" s="125"/>
      <c r="D1188" s="125"/>
      <c r="E1188" s="125"/>
      <c r="F1188" s="126"/>
      <c r="G1188" s="126"/>
      <c r="H1188" s="126"/>
      <c r="I1188" s="125"/>
    </row>
    <row r="1189">
      <c r="A1189" s="125"/>
      <c r="B1189" s="125"/>
      <c r="C1189" s="125"/>
      <c r="D1189" s="125"/>
      <c r="E1189" s="125"/>
      <c r="F1189" s="126"/>
      <c r="G1189" s="126"/>
      <c r="H1189" s="126"/>
      <c r="I1189" s="125"/>
    </row>
    <row r="1190">
      <c r="A1190" s="125"/>
      <c r="B1190" s="125"/>
      <c r="C1190" s="125"/>
      <c r="D1190" s="125"/>
      <c r="E1190" s="125"/>
      <c r="F1190" s="126"/>
      <c r="G1190" s="126"/>
      <c r="H1190" s="126"/>
      <c r="I1190" s="125"/>
    </row>
    <row r="1191">
      <c r="A1191" s="125"/>
      <c r="B1191" s="125"/>
      <c r="C1191" s="125"/>
      <c r="D1191" s="125"/>
      <c r="E1191" s="125"/>
      <c r="F1191" s="126"/>
      <c r="G1191" s="126"/>
      <c r="H1191" s="126"/>
      <c r="I1191" s="125"/>
    </row>
    <row r="1192">
      <c r="A1192" s="125"/>
      <c r="B1192" s="125"/>
      <c r="C1192" s="125"/>
      <c r="D1192" s="125"/>
      <c r="E1192" s="125"/>
      <c r="F1192" s="126"/>
      <c r="G1192" s="126"/>
      <c r="H1192" s="126"/>
      <c r="I1192" s="125"/>
    </row>
    <row r="1193">
      <c r="A1193" s="125"/>
      <c r="B1193" s="125"/>
      <c r="C1193" s="125"/>
      <c r="D1193" s="125"/>
      <c r="E1193" s="125"/>
      <c r="F1193" s="126"/>
      <c r="G1193" s="126"/>
      <c r="H1193" s="126"/>
      <c r="I1193" s="125"/>
    </row>
    <row r="1194">
      <c r="A1194" s="125"/>
      <c r="B1194" s="125"/>
      <c r="C1194" s="125"/>
      <c r="D1194" s="125"/>
      <c r="E1194" s="125"/>
      <c r="F1194" s="126"/>
      <c r="G1194" s="126"/>
      <c r="H1194" s="126"/>
      <c r="I1194" s="125"/>
    </row>
    <row r="1195">
      <c r="A1195" s="125"/>
      <c r="B1195" s="125"/>
      <c r="C1195" s="125"/>
      <c r="D1195" s="125"/>
      <c r="E1195" s="125"/>
      <c r="F1195" s="126"/>
      <c r="G1195" s="126"/>
      <c r="H1195" s="126"/>
      <c r="I1195" s="125"/>
    </row>
    <row r="1196">
      <c r="A1196" s="125"/>
      <c r="B1196" s="125"/>
      <c r="C1196" s="125"/>
      <c r="D1196" s="125"/>
      <c r="E1196" s="125"/>
      <c r="F1196" s="126"/>
      <c r="G1196" s="126"/>
      <c r="H1196" s="126"/>
      <c r="I1196" s="125"/>
    </row>
    <row r="1197">
      <c r="A1197" s="125"/>
      <c r="B1197" s="125"/>
      <c r="C1197" s="125"/>
      <c r="D1197" s="125"/>
      <c r="E1197" s="125"/>
      <c r="F1197" s="126"/>
      <c r="G1197" s="126"/>
      <c r="H1197" s="126"/>
      <c r="I1197" s="125"/>
    </row>
    <row r="1198">
      <c r="A1198" s="125"/>
      <c r="B1198" s="125"/>
      <c r="C1198" s="125"/>
      <c r="D1198" s="125"/>
      <c r="E1198" s="125"/>
      <c r="F1198" s="126"/>
      <c r="G1198" s="126"/>
      <c r="H1198" s="126"/>
      <c r="I1198" s="125"/>
    </row>
    <row r="1199">
      <c r="A1199" s="125"/>
      <c r="B1199" s="125"/>
      <c r="C1199" s="125"/>
      <c r="D1199" s="125"/>
      <c r="E1199" s="125"/>
      <c r="F1199" s="126"/>
      <c r="G1199" s="126"/>
      <c r="H1199" s="126"/>
      <c r="I1199" s="125"/>
    </row>
    <row r="1200">
      <c r="A1200" s="125"/>
      <c r="B1200" s="125"/>
      <c r="C1200" s="125"/>
      <c r="D1200" s="125"/>
      <c r="E1200" s="125"/>
      <c r="F1200" s="126"/>
      <c r="G1200" s="126"/>
      <c r="H1200" s="126"/>
      <c r="I1200" s="125"/>
    </row>
    <row r="1201">
      <c r="A1201" s="125"/>
      <c r="B1201" s="125"/>
      <c r="C1201" s="125"/>
      <c r="D1201" s="125"/>
      <c r="E1201" s="125"/>
      <c r="F1201" s="126"/>
      <c r="G1201" s="126"/>
      <c r="H1201" s="126"/>
      <c r="I1201" s="125"/>
    </row>
    <row r="1202">
      <c r="A1202" s="125"/>
      <c r="B1202" s="125"/>
      <c r="C1202" s="125"/>
      <c r="D1202" s="125"/>
      <c r="E1202" s="125"/>
      <c r="F1202" s="126"/>
      <c r="G1202" s="126"/>
      <c r="H1202" s="126"/>
      <c r="I1202" s="125"/>
    </row>
    <row r="1203">
      <c r="A1203" s="125"/>
      <c r="B1203" s="125"/>
      <c r="C1203" s="125"/>
      <c r="D1203" s="125"/>
      <c r="E1203" s="125"/>
      <c r="F1203" s="126"/>
      <c r="G1203" s="126"/>
      <c r="H1203" s="126"/>
      <c r="I1203" s="125"/>
    </row>
    <row r="1204">
      <c r="A1204" s="125"/>
      <c r="B1204" s="125"/>
      <c r="C1204" s="125"/>
      <c r="D1204" s="125"/>
      <c r="E1204" s="125"/>
      <c r="F1204" s="126"/>
      <c r="G1204" s="126"/>
      <c r="H1204" s="126"/>
      <c r="I1204" s="125"/>
    </row>
    <row r="1205">
      <c r="A1205" s="125"/>
      <c r="B1205" s="125"/>
      <c r="C1205" s="125"/>
      <c r="D1205" s="125"/>
      <c r="E1205" s="125"/>
      <c r="F1205" s="126"/>
      <c r="G1205" s="126"/>
      <c r="H1205" s="126"/>
      <c r="I1205" s="125"/>
    </row>
    <row r="1206">
      <c r="A1206" s="125"/>
      <c r="B1206" s="125"/>
      <c r="C1206" s="125"/>
      <c r="D1206" s="125"/>
      <c r="E1206" s="125"/>
      <c r="F1206" s="126"/>
      <c r="G1206" s="126"/>
      <c r="H1206" s="126"/>
      <c r="I1206" s="125"/>
    </row>
    <row r="1207">
      <c r="A1207" s="125"/>
      <c r="B1207" s="125"/>
      <c r="C1207" s="125"/>
      <c r="D1207" s="125"/>
      <c r="E1207" s="125"/>
      <c r="F1207" s="126"/>
      <c r="G1207" s="126"/>
      <c r="H1207" s="126"/>
      <c r="I1207" s="125"/>
    </row>
    <row r="1208">
      <c r="A1208" s="125"/>
      <c r="B1208" s="125"/>
      <c r="C1208" s="125"/>
      <c r="D1208" s="125"/>
      <c r="E1208" s="125"/>
      <c r="F1208" s="126"/>
      <c r="G1208" s="126"/>
      <c r="H1208" s="126"/>
      <c r="I1208" s="125"/>
    </row>
    <row r="1209">
      <c r="A1209" s="125"/>
      <c r="B1209" s="125"/>
      <c r="C1209" s="125"/>
      <c r="D1209" s="125"/>
      <c r="E1209" s="125"/>
      <c r="F1209" s="126"/>
      <c r="G1209" s="126"/>
      <c r="H1209" s="126"/>
      <c r="I1209" s="125"/>
    </row>
    <row r="1210">
      <c r="A1210" s="125"/>
      <c r="B1210" s="125"/>
      <c r="C1210" s="125"/>
      <c r="D1210" s="125"/>
      <c r="E1210" s="125"/>
      <c r="F1210" s="126"/>
      <c r="G1210" s="126"/>
      <c r="H1210" s="126"/>
      <c r="I1210" s="125"/>
    </row>
    <row r="1211">
      <c r="A1211" s="125"/>
      <c r="B1211" s="125"/>
      <c r="C1211" s="125"/>
      <c r="D1211" s="125"/>
      <c r="E1211" s="125"/>
      <c r="F1211" s="126"/>
      <c r="G1211" s="126"/>
      <c r="H1211" s="126"/>
      <c r="I1211" s="125"/>
    </row>
    <row r="1212">
      <c r="A1212" s="125"/>
      <c r="B1212" s="125"/>
      <c r="C1212" s="125"/>
      <c r="D1212" s="125"/>
      <c r="E1212" s="125"/>
      <c r="F1212" s="126"/>
      <c r="G1212" s="126"/>
      <c r="H1212" s="126"/>
      <c r="I1212" s="125"/>
    </row>
    <row r="1213">
      <c r="A1213" s="125"/>
      <c r="B1213" s="125"/>
      <c r="C1213" s="125"/>
      <c r="D1213" s="125"/>
      <c r="E1213" s="125"/>
      <c r="F1213" s="126"/>
      <c r="G1213" s="126"/>
      <c r="H1213" s="126"/>
      <c r="I1213" s="125"/>
    </row>
    <row r="1214">
      <c r="A1214" s="125"/>
      <c r="B1214" s="125"/>
      <c r="C1214" s="125"/>
      <c r="D1214" s="125"/>
      <c r="E1214" s="125"/>
      <c r="F1214" s="126"/>
      <c r="G1214" s="126"/>
      <c r="H1214" s="126"/>
      <c r="I1214" s="125"/>
    </row>
    <row r="1215">
      <c r="A1215" s="125"/>
      <c r="B1215" s="125"/>
      <c r="C1215" s="125"/>
      <c r="D1215" s="125"/>
      <c r="E1215" s="125"/>
      <c r="F1215" s="126"/>
      <c r="G1215" s="126"/>
      <c r="H1215" s="126"/>
      <c r="I1215" s="125"/>
    </row>
    <row r="1216">
      <c r="A1216" s="125"/>
      <c r="B1216" s="125"/>
      <c r="C1216" s="125"/>
      <c r="D1216" s="125"/>
      <c r="E1216" s="125"/>
      <c r="F1216" s="126"/>
      <c r="G1216" s="126"/>
      <c r="H1216" s="126"/>
      <c r="I1216" s="125"/>
    </row>
    <row r="1217">
      <c r="A1217" s="125"/>
      <c r="B1217" s="125"/>
      <c r="C1217" s="125"/>
      <c r="D1217" s="125"/>
      <c r="E1217" s="125"/>
      <c r="F1217" s="126"/>
      <c r="G1217" s="126"/>
      <c r="H1217" s="126"/>
      <c r="I1217" s="125"/>
    </row>
    <row r="1218">
      <c r="A1218" s="125"/>
      <c r="B1218" s="125"/>
      <c r="C1218" s="125"/>
      <c r="D1218" s="125"/>
      <c r="E1218" s="125"/>
      <c r="F1218" s="126"/>
      <c r="G1218" s="126"/>
      <c r="H1218" s="126"/>
      <c r="I1218" s="125"/>
    </row>
    <row r="1219">
      <c r="A1219" s="125"/>
      <c r="B1219" s="125"/>
      <c r="C1219" s="125"/>
      <c r="D1219" s="125"/>
      <c r="E1219" s="125"/>
      <c r="F1219" s="126"/>
      <c r="G1219" s="126"/>
      <c r="H1219" s="126"/>
      <c r="I1219" s="125"/>
    </row>
    <row r="1220">
      <c r="A1220" s="125"/>
      <c r="B1220" s="125"/>
      <c r="C1220" s="125"/>
      <c r="D1220" s="125"/>
      <c r="E1220" s="125"/>
      <c r="F1220" s="126"/>
      <c r="G1220" s="126"/>
      <c r="H1220" s="126"/>
      <c r="I1220" s="125"/>
    </row>
    <row r="1221">
      <c r="A1221" s="125"/>
      <c r="B1221" s="125"/>
      <c r="C1221" s="125"/>
      <c r="D1221" s="125"/>
      <c r="E1221" s="125"/>
      <c r="F1221" s="126"/>
      <c r="G1221" s="126"/>
      <c r="H1221" s="126"/>
      <c r="I1221" s="125"/>
    </row>
    <row r="1222">
      <c r="A1222" s="125"/>
      <c r="B1222" s="125"/>
      <c r="C1222" s="125"/>
      <c r="D1222" s="125"/>
      <c r="E1222" s="125"/>
      <c r="F1222" s="126"/>
      <c r="G1222" s="126"/>
      <c r="H1222" s="126"/>
      <c r="I1222" s="125"/>
    </row>
    <row r="1223">
      <c r="A1223" s="125"/>
      <c r="B1223" s="125"/>
      <c r="C1223" s="125"/>
      <c r="D1223" s="125"/>
      <c r="E1223" s="125"/>
      <c r="F1223" s="126"/>
      <c r="G1223" s="126"/>
      <c r="H1223" s="126"/>
      <c r="I1223" s="125"/>
    </row>
    <row r="1224">
      <c r="A1224" s="125"/>
      <c r="B1224" s="125"/>
      <c r="C1224" s="125"/>
      <c r="D1224" s="125"/>
      <c r="E1224" s="125"/>
      <c r="F1224" s="126"/>
      <c r="G1224" s="126"/>
      <c r="H1224" s="126"/>
      <c r="I1224" s="125"/>
    </row>
    <row r="1225">
      <c r="A1225" s="125"/>
      <c r="B1225" s="125"/>
      <c r="C1225" s="125"/>
      <c r="D1225" s="125"/>
      <c r="E1225" s="125"/>
      <c r="F1225" s="126"/>
      <c r="G1225" s="126"/>
      <c r="H1225" s="126"/>
      <c r="I1225" s="125"/>
    </row>
    <row r="1226">
      <c r="A1226" s="125"/>
      <c r="B1226" s="125"/>
      <c r="C1226" s="125"/>
      <c r="D1226" s="125"/>
      <c r="E1226" s="125"/>
      <c r="F1226" s="126"/>
      <c r="G1226" s="126"/>
      <c r="H1226" s="126"/>
      <c r="I1226" s="125"/>
    </row>
    <row r="1227">
      <c r="A1227" s="125"/>
      <c r="B1227" s="125"/>
      <c r="C1227" s="125"/>
      <c r="D1227" s="125"/>
      <c r="E1227" s="125"/>
      <c r="F1227" s="126"/>
      <c r="G1227" s="126"/>
      <c r="H1227" s="126"/>
      <c r="I1227" s="125"/>
    </row>
    <row r="1228">
      <c r="A1228" s="125"/>
      <c r="B1228" s="125"/>
      <c r="C1228" s="125"/>
      <c r="D1228" s="125"/>
      <c r="E1228" s="125"/>
      <c r="F1228" s="126"/>
      <c r="G1228" s="126"/>
      <c r="H1228" s="126"/>
      <c r="I1228" s="125"/>
    </row>
    <row r="1229">
      <c r="A1229" s="125"/>
      <c r="B1229" s="125"/>
      <c r="C1229" s="125"/>
      <c r="D1229" s="125"/>
      <c r="E1229" s="125"/>
      <c r="F1229" s="126"/>
      <c r="G1229" s="126"/>
      <c r="H1229" s="126"/>
      <c r="I1229" s="125"/>
    </row>
    <row r="1230">
      <c r="A1230" s="125"/>
      <c r="B1230" s="125"/>
      <c r="C1230" s="125"/>
      <c r="D1230" s="125"/>
      <c r="E1230" s="125"/>
      <c r="F1230" s="126"/>
      <c r="G1230" s="126"/>
      <c r="H1230" s="126"/>
      <c r="I1230" s="125"/>
    </row>
    <row r="1231">
      <c r="A1231" s="125"/>
      <c r="B1231" s="125"/>
      <c r="C1231" s="125"/>
      <c r="D1231" s="125"/>
      <c r="E1231" s="125"/>
      <c r="F1231" s="126"/>
      <c r="G1231" s="126"/>
      <c r="H1231" s="126"/>
      <c r="I1231" s="125"/>
    </row>
    <row r="1232">
      <c r="A1232" s="125"/>
      <c r="B1232" s="125"/>
      <c r="C1232" s="125"/>
      <c r="D1232" s="125"/>
      <c r="E1232" s="125"/>
      <c r="F1232" s="126"/>
      <c r="G1232" s="126"/>
      <c r="H1232" s="126"/>
      <c r="I1232" s="125"/>
    </row>
    <row r="1233">
      <c r="A1233" s="125"/>
      <c r="B1233" s="125"/>
      <c r="C1233" s="125"/>
      <c r="D1233" s="125"/>
      <c r="E1233" s="125"/>
      <c r="F1233" s="126"/>
      <c r="G1233" s="126"/>
      <c r="H1233" s="126"/>
      <c r="I1233" s="125"/>
    </row>
    <row r="1234">
      <c r="A1234" s="125"/>
      <c r="B1234" s="125"/>
      <c r="C1234" s="125"/>
      <c r="D1234" s="125"/>
      <c r="E1234" s="125"/>
      <c r="F1234" s="126"/>
      <c r="G1234" s="126"/>
      <c r="H1234" s="126"/>
      <c r="I1234" s="125"/>
    </row>
    <row r="1235">
      <c r="A1235" s="125"/>
      <c r="B1235" s="125"/>
      <c r="C1235" s="125"/>
      <c r="D1235" s="125"/>
      <c r="E1235" s="125"/>
      <c r="F1235" s="126"/>
      <c r="G1235" s="126"/>
      <c r="H1235" s="126"/>
      <c r="I1235" s="125"/>
    </row>
    <row r="1236">
      <c r="A1236" s="125"/>
      <c r="B1236" s="125"/>
      <c r="C1236" s="125"/>
      <c r="D1236" s="125"/>
      <c r="E1236" s="125"/>
      <c r="F1236" s="126"/>
      <c r="G1236" s="126"/>
      <c r="H1236" s="126"/>
      <c r="I1236" s="125"/>
    </row>
    <row r="1237">
      <c r="A1237" s="125"/>
      <c r="B1237" s="125"/>
      <c r="C1237" s="125"/>
      <c r="D1237" s="125"/>
      <c r="E1237" s="125"/>
      <c r="F1237" s="126"/>
      <c r="G1237" s="126"/>
      <c r="H1237" s="126"/>
      <c r="I1237" s="125"/>
    </row>
    <row r="1238">
      <c r="A1238" s="125"/>
      <c r="B1238" s="125"/>
      <c r="C1238" s="125"/>
      <c r="D1238" s="125"/>
      <c r="E1238" s="125"/>
      <c r="F1238" s="126"/>
      <c r="G1238" s="126"/>
      <c r="H1238" s="126"/>
      <c r="I1238" s="125"/>
    </row>
    <row r="1239">
      <c r="A1239" s="125"/>
      <c r="B1239" s="125"/>
      <c r="C1239" s="125"/>
      <c r="D1239" s="125"/>
      <c r="E1239" s="125"/>
      <c r="F1239" s="126"/>
      <c r="G1239" s="126"/>
      <c r="H1239" s="126"/>
      <c r="I1239" s="125"/>
    </row>
    <row r="1240">
      <c r="A1240" s="125"/>
      <c r="B1240" s="125"/>
      <c r="C1240" s="125"/>
      <c r="D1240" s="125"/>
      <c r="E1240" s="125"/>
      <c r="F1240" s="126"/>
      <c r="G1240" s="126"/>
      <c r="H1240" s="126"/>
      <c r="I1240" s="125"/>
    </row>
    <row r="1241">
      <c r="A1241" s="125"/>
      <c r="B1241" s="125"/>
      <c r="C1241" s="125"/>
      <c r="D1241" s="125"/>
      <c r="E1241" s="125"/>
      <c r="F1241" s="126"/>
      <c r="G1241" s="126"/>
      <c r="H1241" s="126"/>
      <c r="I1241" s="125"/>
    </row>
    <row r="1242">
      <c r="A1242" s="125"/>
      <c r="B1242" s="125"/>
      <c r="C1242" s="125"/>
      <c r="D1242" s="125"/>
      <c r="E1242" s="125"/>
      <c r="F1242" s="126"/>
      <c r="G1242" s="126"/>
      <c r="H1242" s="126"/>
      <c r="I1242" s="125"/>
    </row>
    <row r="1243">
      <c r="A1243" s="125"/>
      <c r="B1243" s="125"/>
      <c r="C1243" s="125"/>
      <c r="D1243" s="125"/>
      <c r="E1243" s="125"/>
      <c r="F1243" s="126"/>
      <c r="G1243" s="126"/>
      <c r="H1243" s="126"/>
      <c r="I1243" s="125"/>
    </row>
    <row r="1244">
      <c r="A1244" s="125"/>
      <c r="B1244" s="125"/>
      <c r="C1244" s="125"/>
      <c r="D1244" s="125"/>
      <c r="E1244" s="125"/>
      <c r="F1244" s="126"/>
      <c r="G1244" s="126"/>
      <c r="H1244" s="126"/>
      <c r="I1244" s="125"/>
    </row>
    <row r="1245">
      <c r="A1245" s="125"/>
      <c r="B1245" s="125"/>
      <c r="C1245" s="125"/>
      <c r="D1245" s="125"/>
      <c r="E1245" s="125"/>
      <c r="F1245" s="126"/>
      <c r="G1245" s="126"/>
      <c r="H1245" s="126"/>
      <c r="I1245" s="125"/>
    </row>
    <row r="1246">
      <c r="A1246" s="125"/>
      <c r="B1246" s="125"/>
      <c r="C1246" s="125"/>
      <c r="D1246" s="125"/>
      <c r="E1246" s="125"/>
      <c r="F1246" s="126"/>
      <c r="G1246" s="126"/>
      <c r="H1246" s="126"/>
      <c r="I1246" s="125"/>
    </row>
    <row r="1247">
      <c r="A1247" s="125"/>
      <c r="B1247" s="125"/>
      <c r="C1247" s="125"/>
      <c r="D1247" s="125"/>
      <c r="E1247" s="125"/>
      <c r="F1247" s="126"/>
      <c r="G1247" s="126"/>
      <c r="H1247" s="126"/>
      <c r="I1247" s="125"/>
    </row>
    <row r="1248">
      <c r="A1248" s="125"/>
      <c r="B1248" s="125"/>
      <c r="C1248" s="125"/>
      <c r="D1248" s="125"/>
      <c r="E1248" s="125"/>
      <c r="F1248" s="126"/>
      <c r="G1248" s="126"/>
      <c r="H1248" s="126"/>
      <c r="I1248" s="125"/>
    </row>
    <row r="1249">
      <c r="A1249" s="125"/>
      <c r="B1249" s="125"/>
      <c r="C1249" s="125"/>
      <c r="D1249" s="125"/>
      <c r="E1249" s="125"/>
      <c r="F1249" s="126"/>
      <c r="G1249" s="126"/>
      <c r="H1249" s="126"/>
      <c r="I1249" s="125"/>
    </row>
    <row r="1250">
      <c r="A1250" s="125"/>
      <c r="B1250" s="125"/>
      <c r="C1250" s="125"/>
      <c r="D1250" s="125"/>
      <c r="E1250" s="125"/>
      <c r="F1250" s="126"/>
      <c r="G1250" s="126"/>
      <c r="H1250" s="126"/>
      <c r="I1250" s="125"/>
    </row>
    <row r="1251">
      <c r="A1251" s="125"/>
      <c r="B1251" s="125"/>
      <c r="C1251" s="125"/>
      <c r="D1251" s="125"/>
      <c r="E1251" s="125"/>
      <c r="F1251" s="126"/>
      <c r="G1251" s="126"/>
      <c r="H1251" s="126"/>
      <c r="I1251" s="125"/>
    </row>
    <row r="1252">
      <c r="A1252" s="125"/>
      <c r="B1252" s="125"/>
      <c r="C1252" s="125"/>
      <c r="D1252" s="125"/>
      <c r="E1252" s="125"/>
      <c r="F1252" s="126"/>
      <c r="G1252" s="126"/>
      <c r="H1252" s="126"/>
      <c r="I1252" s="125"/>
    </row>
    <row r="1253">
      <c r="A1253" s="125"/>
      <c r="B1253" s="125"/>
      <c r="C1253" s="125"/>
      <c r="D1253" s="125"/>
      <c r="E1253" s="125"/>
      <c r="F1253" s="126"/>
      <c r="G1253" s="126"/>
      <c r="H1253" s="126"/>
      <c r="I1253" s="125"/>
    </row>
    <row r="1254">
      <c r="A1254" s="125"/>
      <c r="B1254" s="125"/>
      <c r="C1254" s="125"/>
      <c r="D1254" s="125"/>
      <c r="E1254" s="125"/>
      <c r="F1254" s="126"/>
      <c r="G1254" s="126"/>
      <c r="H1254" s="126"/>
      <c r="I1254" s="125"/>
    </row>
    <row r="1255">
      <c r="A1255" s="125"/>
      <c r="B1255" s="125"/>
      <c r="C1255" s="125"/>
      <c r="D1255" s="125"/>
      <c r="E1255" s="125"/>
      <c r="F1255" s="126"/>
      <c r="G1255" s="126"/>
      <c r="H1255" s="126"/>
      <c r="I1255" s="125"/>
    </row>
    <row r="1256">
      <c r="A1256" s="125"/>
      <c r="B1256" s="125"/>
      <c r="C1256" s="125"/>
      <c r="D1256" s="125"/>
      <c r="E1256" s="125"/>
      <c r="F1256" s="126"/>
      <c r="G1256" s="126"/>
      <c r="H1256" s="126"/>
      <c r="I1256" s="125"/>
    </row>
    <row r="1257">
      <c r="A1257" s="125"/>
      <c r="B1257" s="125"/>
      <c r="C1257" s="125"/>
      <c r="D1257" s="125"/>
      <c r="E1257" s="125"/>
      <c r="F1257" s="126"/>
      <c r="G1257" s="126"/>
      <c r="H1257" s="126"/>
      <c r="I1257" s="125"/>
    </row>
    <row r="1258">
      <c r="A1258" s="125"/>
      <c r="B1258" s="125"/>
      <c r="C1258" s="125"/>
      <c r="D1258" s="125"/>
      <c r="E1258" s="125"/>
      <c r="F1258" s="126"/>
      <c r="G1258" s="126"/>
      <c r="H1258" s="126"/>
      <c r="I1258" s="125"/>
    </row>
    <row r="1259">
      <c r="A1259" s="125"/>
      <c r="B1259" s="125"/>
      <c r="C1259" s="125"/>
      <c r="D1259" s="125"/>
      <c r="E1259" s="125"/>
      <c r="F1259" s="126"/>
      <c r="G1259" s="126"/>
      <c r="H1259" s="126"/>
      <c r="I1259" s="125"/>
    </row>
    <row r="1260">
      <c r="A1260" s="125"/>
      <c r="B1260" s="125"/>
      <c r="C1260" s="125"/>
      <c r="D1260" s="125"/>
      <c r="E1260" s="125"/>
      <c r="F1260" s="126"/>
      <c r="G1260" s="126"/>
      <c r="H1260" s="126"/>
      <c r="I1260" s="125"/>
    </row>
    <row r="1261">
      <c r="A1261" s="125"/>
      <c r="B1261" s="125"/>
      <c r="C1261" s="125"/>
      <c r="D1261" s="125"/>
      <c r="E1261" s="125"/>
      <c r="F1261" s="126"/>
      <c r="G1261" s="126"/>
      <c r="H1261" s="126"/>
      <c r="I1261" s="125"/>
    </row>
    <row r="1262">
      <c r="A1262" s="125"/>
      <c r="B1262" s="125"/>
      <c r="C1262" s="125"/>
      <c r="D1262" s="125"/>
      <c r="E1262" s="125"/>
      <c r="F1262" s="126"/>
      <c r="G1262" s="126"/>
      <c r="H1262" s="126"/>
      <c r="I1262" s="125"/>
    </row>
    <row r="1263">
      <c r="A1263" s="125"/>
      <c r="B1263" s="125"/>
      <c r="C1263" s="125"/>
      <c r="D1263" s="125"/>
      <c r="E1263" s="125"/>
      <c r="F1263" s="126"/>
      <c r="G1263" s="126"/>
      <c r="H1263" s="126"/>
      <c r="I1263" s="125"/>
    </row>
    <row r="1264">
      <c r="A1264" s="125"/>
      <c r="B1264" s="125"/>
      <c r="C1264" s="125"/>
      <c r="D1264" s="125"/>
      <c r="E1264" s="125"/>
      <c r="F1264" s="126"/>
      <c r="G1264" s="126"/>
      <c r="H1264" s="126"/>
      <c r="I1264" s="125"/>
    </row>
    <row r="1265">
      <c r="A1265" s="125"/>
      <c r="B1265" s="125"/>
      <c r="C1265" s="125"/>
      <c r="D1265" s="125"/>
      <c r="E1265" s="125"/>
      <c r="F1265" s="126"/>
      <c r="G1265" s="126"/>
      <c r="H1265" s="126"/>
      <c r="I1265" s="125"/>
    </row>
    <row r="1266">
      <c r="A1266" s="125"/>
      <c r="B1266" s="125"/>
      <c r="C1266" s="125"/>
      <c r="D1266" s="125"/>
      <c r="E1266" s="125"/>
      <c r="F1266" s="126"/>
      <c r="G1266" s="126"/>
      <c r="H1266" s="126"/>
      <c r="I1266" s="125"/>
    </row>
    <row r="1267">
      <c r="A1267" s="125"/>
      <c r="B1267" s="125"/>
      <c r="C1267" s="125"/>
      <c r="D1267" s="125"/>
      <c r="E1267" s="125"/>
      <c r="F1267" s="126"/>
      <c r="G1267" s="126"/>
      <c r="H1267" s="126"/>
      <c r="I1267" s="125"/>
    </row>
    <row r="1268">
      <c r="A1268" s="125"/>
      <c r="B1268" s="125"/>
      <c r="C1268" s="125"/>
      <c r="D1268" s="125"/>
      <c r="E1268" s="125"/>
      <c r="F1268" s="126"/>
      <c r="G1268" s="126"/>
      <c r="H1268" s="126"/>
      <c r="I1268" s="125"/>
    </row>
    <row r="1269">
      <c r="A1269" s="125"/>
      <c r="B1269" s="125"/>
      <c r="C1269" s="125"/>
      <c r="D1269" s="125"/>
      <c r="E1269" s="125"/>
      <c r="F1269" s="126"/>
      <c r="G1269" s="126"/>
      <c r="H1269" s="126"/>
      <c r="I1269" s="125"/>
    </row>
    <row r="1270">
      <c r="A1270" s="125"/>
      <c r="B1270" s="125"/>
      <c r="C1270" s="125"/>
      <c r="D1270" s="125"/>
      <c r="E1270" s="125"/>
      <c r="F1270" s="126"/>
      <c r="G1270" s="126"/>
      <c r="H1270" s="126"/>
      <c r="I1270" s="125"/>
    </row>
    <row r="1271">
      <c r="A1271" s="125"/>
      <c r="B1271" s="125"/>
      <c r="C1271" s="125"/>
      <c r="D1271" s="125"/>
      <c r="E1271" s="125"/>
      <c r="F1271" s="126"/>
      <c r="G1271" s="126"/>
      <c r="H1271" s="126"/>
      <c r="I1271" s="125"/>
    </row>
    <row r="1272">
      <c r="A1272" s="125"/>
      <c r="B1272" s="125"/>
      <c r="C1272" s="125"/>
      <c r="D1272" s="125"/>
      <c r="E1272" s="125"/>
      <c r="F1272" s="126"/>
      <c r="G1272" s="126"/>
      <c r="H1272" s="126"/>
      <c r="I1272" s="125"/>
    </row>
    <row r="1273">
      <c r="A1273" s="125"/>
      <c r="B1273" s="125"/>
      <c r="C1273" s="125"/>
      <c r="D1273" s="125"/>
      <c r="E1273" s="125"/>
      <c r="F1273" s="126"/>
      <c r="G1273" s="126"/>
      <c r="H1273" s="126"/>
      <c r="I1273" s="125"/>
    </row>
    <row r="1274">
      <c r="A1274" s="125"/>
      <c r="B1274" s="125"/>
      <c r="C1274" s="125"/>
      <c r="D1274" s="125"/>
      <c r="E1274" s="125"/>
      <c r="F1274" s="126"/>
      <c r="G1274" s="126"/>
      <c r="H1274" s="126"/>
      <c r="I1274" s="125"/>
    </row>
    <row r="1275">
      <c r="A1275" s="125"/>
      <c r="B1275" s="125"/>
      <c r="C1275" s="125"/>
      <c r="D1275" s="125"/>
      <c r="E1275" s="125"/>
      <c r="F1275" s="126"/>
      <c r="G1275" s="126"/>
      <c r="H1275" s="126"/>
      <c r="I1275" s="125"/>
    </row>
    <row r="1276">
      <c r="A1276" s="125"/>
      <c r="B1276" s="125"/>
      <c r="C1276" s="125"/>
      <c r="D1276" s="125"/>
      <c r="E1276" s="125"/>
      <c r="F1276" s="126"/>
      <c r="G1276" s="126"/>
      <c r="H1276" s="126"/>
      <c r="I1276" s="125"/>
    </row>
    <row r="1277">
      <c r="A1277" s="125"/>
      <c r="B1277" s="125"/>
      <c r="C1277" s="125"/>
      <c r="D1277" s="125"/>
      <c r="E1277" s="125"/>
      <c r="F1277" s="126"/>
      <c r="G1277" s="126"/>
      <c r="H1277" s="126"/>
      <c r="I1277" s="125"/>
    </row>
    <row r="1278">
      <c r="A1278" s="125"/>
      <c r="B1278" s="125"/>
      <c r="C1278" s="125"/>
      <c r="D1278" s="125"/>
      <c r="E1278" s="125"/>
      <c r="F1278" s="126"/>
      <c r="G1278" s="126"/>
      <c r="H1278" s="126"/>
      <c r="I1278" s="125"/>
    </row>
    <row r="1279">
      <c r="A1279" s="125"/>
      <c r="B1279" s="125"/>
      <c r="C1279" s="125"/>
      <c r="D1279" s="125"/>
      <c r="E1279" s="125"/>
      <c r="F1279" s="126"/>
      <c r="G1279" s="126"/>
      <c r="H1279" s="126"/>
      <c r="I1279" s="125"/>
    </row>
    <row r="1280">
      <c r="A1280" s="125"/>
      <c r="B1280" s="125"/>
      <c r="C1280" s="125"/>
      <c r="D1280" s="125"/>
      <c r="E1280" s="125"/>
      <c r="F1280" s="126"/>
      <c r="G1280" s="126"/>
      <c r="H1280" s="126"/>
      <c r="I1280" s="125"/>
    </row>
    <row r="1281">
      <c r="A1281" s="125"/>
      <c r="B1281" s="125"/>
      <c r="C1281" s="125"/>
      <c r="D1281" s="125"/>
      <c r="E1281" s="125"/>
      <c r="F1281" s="126"/>
      <c r="G1281" s="126"/>
      <c r="H1281" s="126"/>
      <c r="I1281" s="125"/>
    </row>
    <row r="1282">
      <c r="A1282" s="125"/>
      <c r="B1282" s="125"/>
      <c r="C1282" s="125"/>
      <c r="D1282" s="125"/>
      <c r="E1282" s="125"/>
      <c r="F1282" s="126"/>
      <c r="G1282" s="126"/>
      <c r="H1282" s="126"/>
      <c r="I1282" s="125"/>
    </row>
    <row r="1283">
      <c r="A1283" s="125"/>
      <c r="B1283" s="125"/>
      <c r="C1283" s="125"/>
      <c r="D1283" s="125"/>
      <c r="E1283" s="125"/>
      <c r="F1283" s="126"/>
      <c r="G1283" s="126"/>
      <c r="H1283" s="126"/>
      <c r="I1283" s="125"/>
    </row>
    <row r="1284">
      <c r="A1284" s="125"/>
      <c r="B1284" s="125"/>
      <c r="C1284" s="125"/>
      <c r="D1284" s="125"/>
      <c r="E1284" s="125"/>
      <c r="F1284" s="126"/>
      <c r="G1284" s="126"/>
      <c r="H1284" s="126"/>
      <c r="I1284" s="125"/>
    </row>
    <row r="1285">
      <c r="A1285" s="125"/>
      <c r="B1285" s="125"/>
      <c r="C1285" s="125"/>
      <c r="D1285" s="125"/>
      <c r="E1285" s="125"/>
      <c r="F1285" s="126"/>
      <c r="G1285" s="126"/>
      <c r="H1285" s="126"/>
      <c r="I1285" s="125"/>
    </row>
    <row r="1286">
      <c r="A1286" s="125"/>
      <c r="B1286" s="125"/>
      <c r="C1286" s="125"/>
      <c r="D1286" s="125"/>
      <c r="E1286" s="125"/>
      <c r="F1286" s="126"/>
      <c r="G1286" s="126"/>
      <c r="H1286" s="126"/>
      <c r="I1286" s="125"/>
    </row>
    <row r="1287">
      <c r="A1287" s="125"/>
      <c r="B1287" s="125"/>
      <c r="C1287" s="125"/>
      <c r="D1287" s="125"/>
      <c r="E1287" s="125"/>
      <c r="F1287" s="126"/>
      <c r="G1287" s="126"/>
      <c r="H1287" s="126"/>
      <c r="I1287" s="125"/>
    </row>
    <row r="1288">
      <c r="A1288" s="125"/>
      <c r="B1288" s="125"/>
      <c r="C1288" s="125"/>
      <c r="D1288" s="125"/>
      <c r="E1288" s="125"/>
      <c r="F1288" s="126"/>
      <c r="G1288" s="126"/>
      <c r="H1288" s="126"/>
      <c r="I1288" s="125"/>
    </row>
    <row r="1289">
      <c r="A1289" s="125"/>
      <c r="B1289" s="125"/>
      <c r="C1289" s="125"/>
      <c r="D1289" s="125"/>
      <c r="E1289" s="125"/>
      <c r="F1289" s="126"/>
      <c r="G1289" s="126"/>
      <c r="H1289" s="126"/>
      <c r="I1289" s="125"/>
    </row>
    <row r="1290">
      <c r="A1290" s="125"/>
      <c r="B1290" s="125"/>
      <c r="C1290" s="125"/>
      <c r="D1290" s="125"/>
      <c r="E1290" s="125"/>
      <c r="F1290" s="126"/>
      <c r="G1290" s="126"/>
      <c r="H1290" s="126"/>
      <c r="I1290" s="125"/>
    </row>
    <row r="1291">
      <c r="A1291" s="125"/>
      <c r="B1291" s="125"/>
      <c r="C1291" s="125"/>
      <c r="D1291" s="125"/>
      <c r="E1291" s="125"/>
      <c r="F1291" s="126"/>
      <c r="G1291" s="126"/>
      <c r="H1291" s="126"/>
      <c r="I1291" s="125"/>
    </row>
    <row r="1292">
      <c r="A1292" s="125"/>
      <c r="B1292" s="125"/>
      <c r="C1292" s="125"/>
      <c r="D1292" s="125"/>
      <c r="E1292" s="125"/>
      <c r="F1292" s="126"/>
      <c r="G1292" s="126"/>
      <c r="H1292" s="126"/>
      <c r="I1292" s="125"/>
    </row>
    <row r="1293">
      <c r="A1293" s="125"/>
      <c r="B1293" s="125"/>
      <c r="C1293" s="125"/>
      <c r="D1293" s="125"/>
      <c r="E1293" s="125"/>
      <c r="F1293" s="126"/>
      <c r="G1293" s="126"/>
      <c r="H1293" s="126"/>
      <c r="I1293" s="125"/>
    </row>
    <row r="1294">
      <c r="A1294" s="125"/>
      <c r="B1294" s="125"/>
      <c r="C1294" s="125"/>
      <c r="D1294" s="125"/>
      <c r="E1294" s="125"/>
      <c r="F1294" s="126"/>
      <c r="G1294" s="126"/>
      <c r="H1294" s="126"/>
      <c r="I1294" s="125"/>
    </row>
    <row r="1295">
      <c r="A1295" s="125"/>
      <c r="B1295" s="125"/>
      <c r="C1295" s="125"/>
      <c r="D1295" s="125"/>
      <c r="E1295" s="125"/>
      <c r="F1295" s="126"/>
      <c r="G1295" s="126"/>
      <c r="H1295" s="126"/>
      <c r="I1295" s="125"/>
    </row>
    <row r="1296">
      <c r="A1296" s="125"/>
      <c r="B1296" s="125"/>
      <c r="C1296" s="125"/>
      <c r="D1296" s="125"/>
      <c r="E1296" s="125"/>
      <c r="F1296" s="126"/>
      <c r="G1296" s="126"/>
      <c r="H1296" s="126"/>
      <c r="I1296" s="125"/>
    </row>
    <row r="1297">
      <c r="A1297" s="125"/>
      <c r="B1297" s="125"/>
      <c r="C1297" s="125"/>
      <c r="D1297" s="125"/>
      <c r="E1297" s="125"/>
      <c r="F1297" s="126"/>
      <c r="G1297" s="126"/>
      <c r="H1297" s="126"/>
      <c r="I1297" s="125"/>
    </row>
    <row r="1298">
      <c r="A1298" s="125"/>
      <c r="B1298" s="125"/>
      <c r="C1298" s="125"/>
      <c r="D1298" s="125"/>
      <c r="E1298" s="125"/>
      <c r="F1298" s="126"/>
      <c r="G1298" s="126"/>
      <c r="H1298" s="126"/>
      <c r="I1298" s="125"/>
    </row>
    <row r="1299">
      <c r="A1299" s="125"/>
      <c r="B1299" s="125"/>
      <c r="C1299" s="125"/>
      <c r="D1299" s="125"/>
      <c r="E1299" s="125"/>
      <c r="F1299" s="126"/>
      <c r="G1299" s="126"/>
      <c r="H1299" s="126"/>
      <c r="I1299" s="125"/>
    </row>
    <row r="1300">
      <c r="A1300" s="125"/>
      <c r="B1300" s="125"/>
      <c r="C1300" s="125"/>
      <c r="D1300" s="125"/>
      <c r="E1300" s="125"/>
      <c r="F1300" s="126"/>
      <c r="G1300" s="126"/>
      <c r="H1300" s="126"/>
      <c r="I1300" s="125"/>
    </row>
    <row r="1301">
      <c r="A1301" s="125"/>
      <c r="B1301" s="125"/>
      <c r="C1301" s="125"/>
      <c r="D1301" s="125"/>
      <c r="E1301" s="125"/>
      <c r="F1301" s="126"/>
      <c r="G1301" s="126"/>
      <c r="H1301" s="126"/>
      <c r="I1301" s="125"/>
    </row>
    <row r="1302">
      <c r="A1302" s="125"/>
      <c r="B1302" s="125"/>
      <c r="C1302" s="125"/>
      <c r="D1302" s="125"/>
      <c r="E1302" s="125"/>
      <c r="F1302" s="126"/>
      <c r="G1302" s="126"/>
      <c r="H1302" s="126"/>
      <c r="I1302" s="125"/>
    </row>
    <row r="1303">
      <c r="A1303" s="125"/>
      <c r="B1303" s="125"/>
      <c r="C1303" s="125"/>
      <c r="D1303" s="125"/>
      <c r="E1303" s="125"/>
      <c r="F1303" s="126"/>
      <c r="G1303" s="126"/>
      <c r="H1303" s="126"/>
      <c r="I1303" s="125"/>
    </row>
    <row r="1304">
      <c r="A1304" s="125"/>
      <c r="B1304" s="125"/>
      <c r="C1304" s="125"/>
      <c r="D1304" s="125"/>
      <c r="E1304" s="125"/>
      <c r="F1304" s="126"/>
      <c r="G1304" s="126"/>
      <c r="H1304" s="126"/>
      <c r="I1304" s="125"/>
    </row>
    <row r="1305">
      <c r="A1305" s="125"/>
      <c r="B1305" s="125"/>
      <c r="C1305" s="125"/>
      <c r="D1305" s="125"/>
      <c r="E1305" s="125"/>
      <c r="F1305" s="126"/>
      <c r="G1305" s="126"/>
      <c r="H1305" s="126"/>
      <c r="I1305" s="125"/>
    </row>
    <row r="1306">
      <c r="A1306" s="125"/>
      <c r="B1306" s="125"/>
      <c r="C1306" s="125"/>
      <c r="D1306" s="125"/>
      <c r="E1306" s="125"/>
      <c r="F1306" s="126"/>
      <c r="G1306" s="126"/>
      <c r="H1306" s="126"/>
      <c r="I1306" s="125"/>
    </row>
    <row r="1307">
      <c r="A1307" s="125"/>
      <c r="B1307" s="125"/>
      <c r="C1307" s="125"/>
      <c r="D1307" s="125"/>
      <c r="E1307" s="125"/>
      <c r="F1307" s="126"/>
      <c r="G1307" s="126"/>
      <c r="H1307" s="126"/>
      <c r="I1307" s="125"/>
    </row>
    <row r="1308">
      <c r="A1308" s="125"/>
      <c r="B1308" s="125"/>
      <c r="C1308" s="125"/>
      <c r="D1308" s="125"/>
      <c r="E1308" s="125"/>
      <c r="F1308" s="126"/>
      <c r="G1308" s="126"/>
      <c r="H1308" s="126"/>
      <c r="I1308" s="125"/>
    </row>
    <row r="1309">
      <c r="A1309" s="125"/>
      <c r="B1309" s="125"/>
      <c r="C1309" s="125"/>
      <c r="D1309" s="125"/>
      <c r="E1309" s="125"/>
      <c r="F1309" s="126"/>
      <c r="G1309" s="126"/>
      <c r="H1309" s="126"/>
      <c r="I1309" s="125"/>
    </row>
    <row r="1310">
      <c r="A1310" s="125"/>
      <c r="B1310" s="125"/>
      <c r="C1310" s="125"/>
      <c r="D1310" s="125"/>
      <c r="E1310" s="125"/>
      <c r="F1310" s="126"/>
      <c r="G1310" s="126"/>
      <c r="H1310" s="126"/>
      <c r="I1310" s="125"/>
    </row>
    <row r="1311">
      <c r="A1311" s="125"/>
      <c r="B1311" s="125"/>
      <c r="C1311" s="125"/>
      <c r="D1311" s="125"/>
      <c r="E1311" s="125"/>
      <c r="F1311" s="126"/>
      <c r="G1311" s="126"/>
      <c r="H1311" s="126"/>
      <c r="I1311" s="125"/>
    </row>
    <row r="1312">
      <c r="A1312" s="125"/>
      <c r="B1312" s="125"/>
      <c r="C1312" s="125"/>
      <c r="D1312" s="125"/>
      <c r="E1312" s="125"/>
      <c r="F1312" s="126"/>
      <c r="G1312" s="126"/>
      <c r="H1312" s="126"/>
      <c r="I1312" s="125"/>
    </row>
    <row r="1313">
      <c r="A1313" s="125"/>
      <c r="B1313" s="125"/>
      <c r="C1313" s="125"/>
      <c r="D1313" s="125"/>
      <c r="E1313" s="125"/>
      <c r="F1313" s="126"/>
      <c r="G1313" s="126"/>
      <c r="H1313" s="126"/>
      <c r="I1313" s="125"/>
    </row>
    <row r="1314">
      <c r="A1314" s="125"/>
      <c r="B1314" s="125"/>
      <c r="C1314" s="125"/>
      <c r="D1314" s="125"/>
      <c r="E1314" s="125"/>
      <c r="F1314" s="126"/>
      <c r="G1314" s="126"/>
      <c r="H1314" s="126"/>
      <c r="I1314" s="125"/>
    </row>
    <row r="1315">
      <c r="A1315" s="125"/>
      <c r="B1315" s="125"/>
      <c r="C1315" s="125"/>
      <c r="D1315" s="125"/>
      <c r="E1315" s="125"/>
      <c r="F1315" s="126"/>
      <c r="G1315" s="126"/>
      <c r="H1315" s="126"/>
      <c r="I1315" s="125"/>
    </row>
    <row r="1316">
      <c r="A1316" s="125"/>
      <c r="B1316" s="125"/>
      <c r="C1316" s="125"/>
      <c r="D1316" s="125"/>
      <c r="E1316" s="125"/>
      <c r="F1316" s="126"/>
      <c r="G1316" s="126"/>
      <c r="H1316" s="126"/>
      <c r="I1316" s="125"/>
    </row>
    <row r="1317">
      <c r="A1317" s="125"/>
      <c r="B1317" s="125"/>
      <c r="C1317" s="125"/>
      <c r="D1317" s="125"/>
      <c r="E1317" s="125"/>
      <c r="F1317" s="126"/>
      <c r="G1317" s="126"/>
      <c r="H1317" s="126"/>
      <c r="I1317" s="125"/>
    </row>
    <row r="1318">
      <c r="A1318" s="125"/>
      <c r="B1318" s="125"/>
      <c r="C1318" s="125"/>
      <c r="D1318" s="125"/>
      <c r="E1318" s="125"/>
      <c r="F1318" s="126"/>
      <c r="G1318" s="126"/>
      <c r="H1318" s="126"/>
      <c r="I1318" s="125"/>
    </row>
    <row r="1319">
      <c r="A1319" s="125"/>
      <c r="B1319" s="125"/>
      <c r="C1319" s="125"/>
      <c r="D1319" s="125"/>
      <c r="E1319" s="125"/>
      <c r="F1319" s="126"/>
      <c r="G1319" s="126"/>
      <c r="H1319" s="126"/>
      <c r="I1319" s="125"/>
    </row>
    <row r="1320">
      <c r="A1320" s="125"/>
      <c r="B1320" s="125"/>
      <c r="C1320" s="125"/>
      <c r="D1320" s="125"/>
      <c r="E1320" s="125"/>
      <c r="F1320" s="126"/>
      <c r="G1320" s="126"/>
      <c r="H1320" s="126"/>
      <c r="I1320" s="125"/>
    </row>
    <row r="1321">
      <c r="A1321" s="125"/>
      <c r="B1321" s="125"/>
      <c r="C1321" s="125"/>
      <c r="D1321" s="125"/>
      <c r="E1321" s="125"/>
      <c r="F1321" s="126"/>
      <c r="G1321" s="126"/>
      <c r="H1321" s="126"/>
      <c r="I1321" s="125"/>
    </row>
    <row r="1322">
      <c r="A1322" s="125"/>
      <c r="B1322" s="125"/>
      <c r="C1322" s="125"/>
      <c r="D1322" s="125"/>
      <c r="E1322" s="125"/>
      <c r="F1322" s="126"/>
      <c r="G1322" s="126"/>
      <c r="H1322" s="126"/>
      <c r="I1322" s="125"/>
    </row>
    <row r="1323">
      <c r="A1323" s="125"/>
      <c r="B1323" s="125"/>
      <c r="C1323" s="125"/>
      <c r="D1323" s="125"/>
      <c r="E1323" s="125"/>
      <c r="F1323" s="126"/>
      <c r="G1323" s="126"/>
      <c r="H1323" s="126"/>
      <c r="I1323" s="125"/>
    </row>
    <row r="1324">
      <c r="A1324" s="125"/>
      <c r="B1324" s="125"/>
      <c r="C1324" s="125"/>
      <c r="D1324" s="125"/>
      <c r="E1324" s="125"/>
      <c r="F1324" s="126"/>
      <c r="G1324" s="126"/>
      <c r="H1324" s="126"/>
      <c r="I1324" s="125"/>
    </row>
    <row r="1325">
      <c r="A1325" s="125"/>
      <c r="B1325" s="125"/>
      <c r="C1325" s="125"/>
      <c r="D1325" s="125"/>
      <c r="E1325" s="125"/>
      <c r="F1325" s="126"/>
      <c r="G1325" s="126"/>
      <c r="H1325" s="126"/>
      <c r="I1325" s="125"/>
    </row>
    <row r="1326">
      <c r="A1326" s="125"/>
      <c r="B1326" s="125"/>
      <c r="C1326" s="125"/>
      <c r="D1326" s="125"/>
      <c r="E1326" s="125"/>
      <c r="F1326" s="126"/>
      <c r="G1326" s="126"/>
      <c r="H1326" s="126"/>
      <c r="I1326" s="125"/>
    </row>
    <row r="1327">
      <c r="A1327" s="125"/>
      <c r="B1327" s="125"/>
      <c r="C1327" s="125"/>
      <c r="D1327" s="125"/>
      <c r="E1327" s="125"/>
      <c r="F1327" s="126"/>
      <c r="G1327" s="126"/>
      <c r="H1327" s="126"/>
      <c r="I1327" s="125"/>
    </row>
    <row r="1328">
      <c r="A1328" s="125"/>
      <c r="B1328" s="125"/>
      <c r="C1328" s="125"/>
      <c r="D1328" s="125"/>
      <c r="E1328" s="125"/>
      <c r="F1328" s="126"/>
      <c r="G1328" s="126"/>
      <c r="H1328" s="126"/>
      <c r="I1328" s="125"/>
    </row>
    <row r="1329">
      <c r="A1329" s="125"/>
      <c r="B1329" s="125"/>
      <c r="C1329" s="125"/>
      <c r="D1329" s="125"/>
      <c r="E1329" s="125"/>
      <c r="F1329" s="126"/>
      <c r="G1329" s="126"/>
      <c r="H1329" s="126"/>
      <c r="I1329" s="125"/>
    </row>
    <row r="1330">
      <c r="A1330" s="125"/>
      <c r="B1330" s="125"/>
      <c r="C1330" s="125"/>
      <c r="D1330" s="125"/>
      <c r="E1330" s="125"/>
      <c r="F1330" s="126"/>
      <c r="G1330" s="126"/>
      <c r="H1330" s="126"/>
      <c r="I1330" s="125"/>
    </row>
    <row r="1331">
      <c r="A1331" s="125"/>
      <c r="B1331" s="125"/>
      <c r="C1331" s="125"/>
      <c r="D1331" s="125"/>
      <c r="E1331" s="125"/>
      <c r="F1331" s="126"/>
      <c r="G1331" s="126"/>
      <c r="H1331" s="126"/>
      <c r="I1331" s="125"/>
    </row>
    <row r="1332">
      <c r="A1332" s="125"/>
      <c r="B1332" s="125"/>
      <c r="C1332" s="125"/>
      <c r="D1332" s="125"/>
      <c r="E1332" s="125"/>
      <c r="F1332" s="126"/>
      <c r="G1332" s="126"/>
      <c r="H1332" s="126"/>
      <c r="I1332" s="125"/>
    </row>
    <row r="1333">
      <c r="A1333" s="125"/>
      <c r="B1333" s="125"/>
      <c r="C1333" s="125"/>
      <c r="D1333" s="125"/>
      <c r="E1333" s="125"/>
      <c r="F1333" s="126"/>
      <c r="G1333" s="126"/>
      <c r="H1333" s="126"/>
      <c r="I1333" s="125"/>
    </row>
    <row r="1334">
      <c r="A1334" s="125"/>
      <c r="B1334" s="125"/>
      <c r="C1334" s="125"/>
      <c r="D1334" s="125"/>
      <c r="E1334" s="125"/>
      <c r="F1334" s="126"/>
      <c r="G1334" s="126"/>
      <c r="H1334" s="126"/>
      <c r="I1334" s="125"/>
    </row>
    <row r="1335">
      <c r="A1335" s="125"/>
      <c r="B1335" s="125"/>
      <c r="C1335" s="125"/>
      <c r="D1335" s="125"/>
      <c r="E1335" s="125"/>
      <c r="F1335" s="126"/>
      <c r="G1335" s="126"/>
      <c r="H1335" s="126"/>
      <c r="I1335" s="125"/>
    </row>
    <row r="1336">
      <c r="A1336" s="125"/>
      <c r="B1336" s="125"/>
      <c r="C1336" s="125"/>
      <c r="D1336" s="125"/>
      <c r="E1336" s="125"/>
      <c r="F1336" s="126"/>
      <c r="G1336" s="126"/>
      <c r="H1336" s="126"/>
      <c r="I1336" s="125"/>
    </row>
    <row r="1337">
      <c r="A1337" s="125"/>
      <c r="B1337" s="125"/>
      <c r="C1337" s="125"/>
      <c r="D1337" s="125"/>
      <c r="E1337" s="125"/>
      <c r="F1337" s="126"/>
      <c r="G1337" s="126"/>
      <c r="H1337" s="126"/>
      <c r="I1337" s="125"/>
    </row>
    <row r="1338">
      <c r="A1338" s="125"/>
      <c r="B1338" s="125"/>
      <c r="C1338" s="125"/>
      <c r="D1338" s="125"/>
      <c r="E1338" s="125"/>
      <c r="F1338" s="126"/>
      <c r="G1338" s="126"/>
      <c r="H1338" s="126"/>
      <c r="I1338" s="125"/>
    </row>
    <row r="1339">
      <c r="A1339" s="125"/>
      <c r="B1339" s="125"/>
      <c r="C1339" s="125"/>
      <c r="D1339" s="125"/>
      <c r="E1339" s="125"/>
      <c r="F1339" s="126"/>
      <c r="G1339" s="126"/>
      <c r="H1339" s="126"/>
      <c r="I1339" s="125"/>
    </row>
    <row r="1340">
      <c r="A1340" s="125"/>
      <c r="B1340" s="125"/>
      <c r="C1340" s="125"/>
      <c r="D1340" s="125"/>
      <c r="E1340" s="125"/>
      <c r="F1340" s="126"/>
      <c r="G1340" s="126"/>
      <c r="H1340" s="126"/>
      <c r="I1340" s="125"/>
    </row>
    <row r="1341">
      <c r="A1341" s="125"/>
      <c r="B1341" s="125"/>
      <c r="C1341" s="125"/>
      <c r="D1341" s="125"/>
      <c r="E1341" s="125"/>
      <c r="F1341" s="126"/>
      <c r="G1341" s="126"/>
      <c r="H1341" s="126"/>
      <c r="I1341" s="125"/>
    </row>
    <row r="1342">
      <c r="A1342" s="125"/>
      <c r="B1342" s="125"/>
      <c r="C1342" s="125"/>
      <c r="D1342" s="125"/>
      <c r="E1342" s="125"/>
      <c r="F1342" s="126"/>
      <c r="G1342" s="126"/>
      <c r="H1342" s="126"/>
      <c r="I1342" s="125"/>
    </row>
    <row r="1343">
      <c r="A1343" s="125"/>
      <c r="B1343" s="125"/>
      <c r="C1343" s="125"/>
      <c r="D1343" s="125"/>
      <c r="E1343" s="125"/>
      <c r="F1343" s="126"/>
      <c r="G1343" s="126"/>
      <c r="H1343" s="126"/>
      <c r="I1343" s="125"/>
    </row>
    <row r="1344">
      <c r="A1344" s="125"/>
      <c r="B1344" s="125"/>
      <c r="C1344" s="125"/>
      <c r="D1344" s="125"/>
      <c r="E1344" s="125"/>
      <c r="F1344" s="126"/>
      <c r="G1344" s="126"/>
      <c r="H1344" s="126"/>
      <c r="I1344" s="125"/>
    </row>
    <row r="1345">
      <c r="A1345" s="125"/>
      <c r="B1345" s="125"/>
      <c r="C1345" s="125"/>
      <c r="D1345" s="125"/>
      <c r="E1345" s="125"/>
      <c r="F1345" s="126"/>
      <c r="G1345" s="126"/>
      <c r="H1345" s="126"/>
      <c r="I1345" s="125"/>
    </row>
    <row r="1346">
      <c r="A1346" s="125"/>
      <c r="B1346" s="125"/>
      <c r="C1346" s="125"/>
      <c r="D1346" s="125"/>
      <c r="E1346" s="125"/>
      <c r="F1346" s="126"/>
      <c r="G1346" s="126"/>
      <c r="H1346" s="126"/>
      <c r="I1346" s="125"/>
    </row>
    <row r="1347">
      <c r="A1347" s="125"/>
      <c r="B1347" s="125"/>
      <c r="C1347" s="125"/>
      <c r="D1347" s="125"/>
      <c r="E1347" s="125"/>
      <c r="F1347" s="126"/>
      <c r="G1347" s="126"/>
      <c r="H1347" s="126"/>
      <c r="I1347" s="125"/>
    </row>
    <row r="1348">
      <c r="A1348" s="125"/>
      <c r="B1348" s="125"/>
      <c r="C1348" s="125"/>
      <c r="D1348" s="125"/>
      <c r="E1348" s="125"/>
      <c r="F1348" s="126"/>
      <c r="G1348" s="126"/>
      <c r="H1348" s="126"/>
      <c r="I1348" s="125"/>
    </row>
    <row r="1349">
      <c r="A1349" s="125"/>
      <c r="B1349" s="125"/>
      <c r="C1349" s="125"/>
      <c r="D1349" s="125"/>
      <c r="E1349" s="125"/>
      <c r="F1349" s="126"/>
      <c r="G1349" s="126"/>
      <c r="H1349" s="126"/>
      <c r="I1349" s="125"/>
    </row>
    <row r="1350">
      <c r="A1350" s="125"/>
      <c r="B1350" s="125"/>
      <c r="C1350" s="125"/>
      <c r="D1350" s="125"/>
      <c r="E1350" s="125"/>
      <c r="F1350" s="126"/>
      <c r="G1350" s="126"/>
      <c r="H1350" s="126"/>
      <c r="I1350" s="125"/>
    </row>
    <row r="1351">
      <c r="A1351" s="125"/>
      <c r="B1351" s="125"/>
      <c r="C1351" s="125"/>
      <c r="D1351" s="125"/>
      <c r="E1351" s="125"/>
      <c r="F1351" s="126"/>
      <c r="G1351" s="126"/>
      <c r="H1351" s="126"/>
      <c r="I1351" s="125"/>
    </row>
    <row r="1352">
      <c r="A1352" s="125"/>
      <c r="B1352" s="125"/>
      <c r="C1352" s="125"/>
      <c r="D1352" s="125"/>
      <c r="E1352" s="125"/>
      <c r="F1352" s="126"/>
      <c r="G1352" s="126"/>
      <c r="H1352" s="126"/>
      <c r="I1352" s="125"/>
    </row>
    <row r="1353">
      <c r="A1353" s="125"/>
      <c r="B1353" s="125"/>
      <c r="C1353" s="125"/>
      <c r="D1353" s="125"/>
      <c r="E1353" s="125"/>
      <c r="F1353" s="126"/>
      <c r="G1353" s="126"/>
      <c r="H1353" s="126"/>
      <c r="I1353" s="125"/>
    </row>
    <row r="1354">
      <c r="A1354" s="125"/>
      <c r="B1354" s="125"/>
      <c r="C1354" s="125"/>
      <c r="D1354" s="125"/>
      <c r="E1354" s="125"/>
      <c r="F1354" s="126"/>
      <c r="G1354" s="126"/>
      <c r="H1354" s="126"/>
      <c r="I1354" s="125"/>
    </row>
    <row r="1355">
      <c r="A1355" s="125"/>
      <c r="B1355" s="125"/>
      <c r="C1355" s="125"/>
      <c r="D1355" s="125"/>
      <c r="E1355" s="125"/>
      <c r="F1355" s="126"/>
      <c r="G1355" s="126"/>
      <c r="H1355" s="126"/>
      <c r="I1355" s="125"/>
    </row>
    <row r="1356">
      <c r="A1356" s="125"/>
      <c r="B1356" s="125"/>
      <c r="C1356" s="125"/>
      <c r="D1356" s="125"/>
      <c r="E1356" s="125"/>
      <c r="F1356" s="126"/>
      <c r="G1356" s="126"/>
      <c r="H1356" s="126"/>
      <c r="I1356" s="125"/>
    </row>
    <row r="1357">
      <c r="A1357" s="125"/>
      <c r="B1357" s="125"/>
      <c r="C1357" s="125"/>
      <c r="D1357" s="125"/>
      <c r="E1357" s="125"/>
      <c r="F1357" s="126"/>
      <c r="G1357" s="126"/>
      <c r="H1357" s="126"/>
      <c r="I1357" s="125"/>
    </row>
    <row r="1358">
      <c r="A1358" s="125"/>
      <c r="B1358" s="125"/>
      <c r="C1358" s="125"/>
      <c r="D1358" s="125"/>
      <c r="E1358" s="125"/>
      <c r="F1358" s="126"/>
      <c r="G1358" s="126"/>
      <c r="H1358" s="126"/>
      <c r="I1358" s="125"/>
    </row>
    <row r="1359">
      <c r="A1359" s="125"/>
      <c r="B1359" s="125"/>
      <c r="C1359" s="125"/>
      <c r="D1359" s="125"/>
      <c r="E1359" s="125"/>
      <c r="F1359" s="126"/>
      <c r="G1359" s="126"/>
      <c r="H1359" s="126"/>
      <c r="I1359" s="125"/>
    </row>
    <row r="1360">
      <c r="A1360" s="125"/>
      <c r="B1360" s="125"/>
      <c r="C1360" s="125"/>
      <c r="D1360" s="125"/>
      <c r="E1360" s="125"/>
      <c r="F1360" s="126"/>
      <c r="G1360" s="126"/>
      <c r="H1360" s="126"/>
      <c r="I1360" s="125"/>
    </row>
    <row r="1361">
      <c r="A1361" s="125"/>
      <c r="B1361" s="125"/>
      <c r="C1361" s="125"/>
      <c r="D1361" s="125"/>
      <c r="E1361" s="125"/>
      <c r="F1361" s="126"/>
      <c r="G1361" s="126"/>
      <c r="H1361" s="126"/>
      <c r="I1361" s="125"/>
    </row>
    <row r="1362">
      <c r="A1362" s="125"/>
      <c r="B1362" s="125"/>
      <c r="C1362" s="125"/>
      <c r="D1362" s="125"/>
      <c r="E1362" s="125"/>
      <c r="F1362" s="126"/>
      <c r="G1362" s="126"/>
      <c r="H1362" s="126"/>
      <c r="I1362" s="125"/>
    </row>
    <row r="1363">
      <c r="A1363" s="125"/>
      <c r="B1363" s="125"/>
      <c r="C1363" s="125"/>
      <c r="D1363" s="125"/>
      <c r="E1363" s="125"/>
      <c r="F1363" s="126"/>
      <c r="G1363" s="126"/>
      <c r="H1363" s="126"/>
      <c r="I1363" s="125"/>
    </row>
    <row r="1364">
      <c r="A1364" s="125"/>
      <c r="B1364" s="125"/>
      <c r="C1364" s="125"/>
      <c r="D1364" s="125"/>
      <c r="E1364" s="125"/>
      <c r="F1364" s="126"/>
      <c r="G1364" s="126"/>
      <c r="H1364" s="126"/>
      <c r="I1364" s="125"/>
    </row>
    <row r="1365">
      <c r="A1365" s="125"/>
      <c r="B1365" s="125"/>
      <c r="C1365" s="125"/>
      <c r="D1365" s="125"/>
      <c r="E1365" s="125"/>
      <c r="F1365" s="126"/>
      <c r="G1365" s="126"/>
      <c r="H1365" s="126"/>
      <c r="I1365" s="125"/>
    </row>
    <row r="1366">
      <c r="A1366" s="125"/>
      <c r="B1366" s="125"/>
      <c r="C1366" s="125"/>
      <c r="D1366" s="125"/>
      <c r="E1366" s="125"/>
      <c r="F1366" s="126"/>
      <c r="G1366" s="126"/>
      <c r="H1366" s="126"/>
      <c r="I1366" s="125"/>
    </row>
    <row r="1367">
      <c r="A1367" s="125"/>
      <c r="B1367" s="125"/>
      <c r="C1367" s="125"/>
      <c r="D1367" s="125"/>
      <c r="E1367" s="125"/>
      <c r="F1367" s="126"/>
      <c r="G1367" s="126"/>
      <c r="H1367" s="126"/>
      <c r="I1367" s="125"/>
    </row>
    <row r="1368">
      <c r="A1368" s="125"/>
      <c r="B1368" s="125"/>
      <c r="C1368" s="125"/>
      <c r="D1368" s="125"/>
      <c r="E1368" s="125"/>
      <c r="F1368" s="126"/>
      <c r="G1368" s="126"/>
      <c r="H1368" s="126"/>
      <c r="I1368" s="125"/>
    </row>
    <row r="1369">
      <c r="A1369" s="125"/>
      <c r="B1369" s="125"/>
      <c r="C1369" s="125"/>
      <c r="D1369" s="125"/>
      <c r="E1369" s="125"/>
      <c r="F1369" s="126"/>
      <c r="G1369" s="126"/>
      <c r="H1369" s="126"/>
      <c r="I1369" s="125"/>
    </row>
    <row r="1370">
      <c r="A1370" s="125"/>
      <c r="B1370" s="125"/>
      <c r="C1370" s="125"/>
      <c r="D1370" s="125"/>
      <c r="E1370" s="125"/>
      <c r="F1370" s="126"/>
      <c r="G1370" s="126"/>
      <c r="H1370" s="126"/>
      <c r="I1370" s="125"/>
    </row>
    <row r="1371">
      <c r="A1371" s="125"/>
      <c r="B1371" s="125"/>
      <c r="C1371" s="125"/>
      <c r="D1371" s="125"/>
      <c r="E1371" s="125"/>
      <c r="F1371" s="126"/>
      <c r="G1371" s="126"/>
      <c r="H1371" s="126"/>
      <c r="I1371" s="125"/>
    </row>
    <row r="1372">
      <c r="A1372" s="125"/>
      <c r="B1372" s="125"/>
      <c r="C1372" s="125"/>
      <c r="D1372" s="125"/>
      <c r="E1372" s="125"/>
      <c r="F1372" s="126"/>
      <c r="G1372" s="126"/>
      <c r="H1372" s="126"/>
      <c r="I1372" s="125"/>
    </row>
    <row r="1373">
      <c r="A1373" s="125"/>
      <c r="B1373" s="125"/>
      <c r="C1373" s="125"/>
      <c r="D1373" s="125"/>
      <c r="E1373" s="125"/>
      <c r="F1373" s="126"/>
      <c r="G1373" s="126"/>
      <c r="H1373" s="126"/>
      <c r="I1373" s="125"/>
    </row>
    <row r="1374">
      <c r="A1374" s="125"/>
      <c r="B1374" s="125"/>
      <c r="C1374" s="125"/>
      <c r="D1374" s="125"/>
      <c r="E1374" s="125"/>
      <c r="F1374" s="126"/>
      <c r="G1374" s="126"/>
      <c r="H1374" s="126"/>
      <c r="I1374" s="125"/>
    </row>
    <row r="1375">
      <c r="A1375" s="125"/>
      <c r="B1375" s="125"/>
      <c r="C1375" s="125"/>
      <c r="D1375" s="125"/>
      <c r="E1375" s="125"/>
      <c r="F1375" s="126"/>
      <c r="G1375" s="126"/>
      <c r="H1375" s="126"/>
      <c r="I1375" s="125"/>
    </row>
    <row r="1376">
      <c r="A1376" s="125"/>
      <c r="B1376" s="125"/>
      <c r="C1376" s="125"/>
      <c r="D1376" s="125"/>
      <c r="E1376" s="125"/>
      <c r="F1376" s="126"/>
      <c r="G1376" s="126"/>
      <c r="H1376" s="126"/>
      <c r="I1376" s="125"/>
    </row>
    <row r="1377">
      <c r="A1377" s="125"/>
      <c r="B1377" s="125"/>
      <c r="C1377" s="125"/>
      <c r="D1377" s="125"/>
      <c r="E1377" s="125"/>
      <c r="F1377" s="126"/>
      <c r="G1377" s="126"/>
      <c r="H1377" s="126"/>
      <c r="I1377" s="125"/>
    </row>
    <row r="1378">
      <c r="A1378" s="125"/>
      <c r="B1378" s="125"/>
      <c r="C1378" s="125"/>
      <c r="D1378" s="125"/>
      <c r="E1378" s="125"/>
      <c r="F1378" s="126"/>
      <c r="G1378" s="126"/>
      <c r="H1378" s="126"/>
      <c r="I1378" s="125"/>
    </row>
    <row r="1379">
      <c r="A1379" s="125"/>
      <c r="B1379" s="125"/>
      <c r="C1379" s="125"/>
      <c r="D1379" s="125"/>
      <c r="E1379" s="125"/>
      <c r="F1379" s="126"/>
      <c r="G1379" s="126"/>
      <c r="H1379" s="126"/>
      <c r="I1379" s="125"/>
    </row>
    <row r="1380">
      <c r="A1380" s="125"/>
      <c r="B1380" s="125"/>
      <c r="C1380" s="125"/>
      <c r="D1380" s="125"/>
      <c r="E1380" s="125"/>
      <c r="F1380" s="126"/>
      <c r="G1380" s="126"/>
      <c r="H1380" s="126"/>
      <c r="I1380" s="125"/>
    </row>
    <row r="1381">
      <c r="A1381" s="125"/>
      <c r="B1381" s="125"/>
      <c r="C1381" s="125"/>
      <c r="D1381" s="125"/>
      <c r="E1381" s="125"/>
      <c r="F1381" s="126"/>
      <c r="G1381" s="126"/>
      <c r="H1381" s="126"/>
      <c r="I1381" s="125"/>
    </row>
    <row r="1382">
      <c r="A1382" s="125"/>
      <c r="B1382" s="125"/>
      <c r="C1382" s="125"/>
      <c r="D1382" s="125"/>
      <c r="E1382" s="125"/>
      <c r="F1382" s="126"/>
      <c r="G1382" s="126"/>
      <c r="H1382" s="126"/>
      <c r="I1382" s="125"/>
    </row>
    <row r="1383">
      <c r="A1383" s="125"/>
      <c r="B1383" s="125"/>
      <c r="C1383" s="125"/>
      <c r="D1383" s="125"/>
      <c r="E1383" s="125"/>
      <c r="F1383" s="126"/>
      <c r="G1383" s="126"/>
      <c r="H1383" s="126"/>
      <c r="I1383" s="125"/>
    </row>
    <row r="1384">
      <c r="A1384" s="125"/>
      <c r="B1384" s="125"/>
      <c r="C1384" s="125"/>
      <c r="D1384" s="125"/>
      <c r="E1384" s="125"/>
      <c r="F1384" s="126"/>
      <c r="G1384" s="126"/>
      <c r="H1384" s="126"/>
      <c r="I1384" s="125"/>
    </row>
    <row r="1385">
      <c r="A1385" s="125"/>
      <c r="B1385" s="125"/>
      <c r="C1385" s="125"/>
      <c r="D1385" s="125"/>
      <c r="E1385" s="125"/>
      <c r="F1385" s="126"/>
      <c r="G1385" s="126"/>
      <c r="H1385" s="126"/>
      <c r="I1385" s="125"/>
    </row>
    <row r="1386">
      <c r="A1386" s="125"/>
      <c r="B1386" s="125"/>
      <c r="C1386" s="125"/>
      <c r="D1386" s="125"/>
      <c r="E1386" s="125"/>
      <c r="F1386" s="126"/>
      <c r="G1386" s="126"/>
      <c r="H1386" s="126"/>
      <c r="I1386" s="125"/>
    </row>
    <row r="1387">
      <c r="A1387" s="125"/>
      <c r="B1387" s="125"/>
      <c r="C1387" s="125"/>
      <c r="D1387" s="125"/>
      <c r="E1387" s="125"/>
      <c r="F1387" s="126"/>
      <c r="G1387" s="126"/>
      <c r="H1387" s="126"/>
      <c r="I1387" s="125"/>
    </row>
    <row r="1388">
      <c r="A1388" s="125"/>
      <c r="B1388" s="125"/>
      <c r="C1388" s="125"/>
      <c r="D1388" s="125"/>
      <c r="E1388" s="125"/>
      <c r="F1388" s="126"/>
      <c r="G1388" s="126"/>
      <c r="H1388" s="126"/>
      <c r="I1388" s="125"/>
    </row>
    <row r="1389">
      <c r="A1389" s="125"/>
      <c r="B1389" s="125"/>
      <c r="C1389" s="125"/>
      <c r="D1389" s="125"/>
      <c r="E1389" s="125"/>
      <c r="F1389" s="126"/>
      <c r="G1389" s="126"/>
      <c r="H1389" s="126"/>
      <c r="I1389" s="125"/>
    </row>
    <row r="1390">
      <c r="A1390" s="125"/>
      <c r="B1390" s="125"/>
      <c r="C1390" s="125"/>
      <c r="D1390" s="125"/>
      <c r="E1390" s="125"/>
      <c r="F1390" s="126"/>
      <c r="G1390" s="126"/>
      <c r="H1390" s="126"/>
      <c r="I1390" s="125"/>
    </row>
    <row r="1391">
      <c r="A1391" s="125"/>
      <c r="B1391" s="125"/>
      <c r="C1391" s="125"/>
      <c r="D1391" s="125"/>
      <c r="E1391" s="125"/>
      <c r="F1391" s="126"/>
      <c r="G1391" s="126"/>
      <c r="H1391" s="126"/>
      <c r="I1391" s="125"/>
    </row>
    <row r="1392">
      <c r="A1392" s="125"/>
      <c r="B1392" s="125"/>
      <c r="C1392" s="125"/>
      <c r="D1392" s="125"/>
      <c r="E1392" s="125"/>
      <c r="F1392" s="126"/>
      <c r="G1392" s="126"/>
      <c r="H1392" s="126"/>
      <c r="I1392" s="125"/>
    </row>
    <row r="1393">
      <c r="A1393" s="125"/>
      <c r="B1393" s="125"/>
      <c r="C1393" s="125"/>
      <c r="D1393" s="125"/>
      <c r="E1393" s="125"/>
      <c r="F1393" s="126"/>
      <c r="G1393" s="126"/>
      <c r="H1393" s="126"/>
      <c r="I1393" s="125"/>
    </row>
    <row r="1394">
      <c r="A1394" s="125"/>
      <c r="B1394" s="125"/>
      <c r="C1394" s="125"/>
      <c r="D1394" s="125"/>
      <c r="E1394" s="125"/>
      <c r="F1394" s="126"/>
      <c r="G1394" s="126"/>
      <c r="H1394" s="126"/>
      <c r="I1394" s="125"/>
    </row>
    <row r="1395">
      <c r="A1395" s="125"/>
      <c r="B1395" s="125"/>
      <c r="C1395" s="125"/>
      <c r="D1395" s="125"/>
      <c r="E1395" s="125"/>
      <c r="F1395" s="126"/>
      <c r="G1395" s="126"/>
      <c r="H1395" s="126"/>
      <c r="I1395" s="125"/>
    </row>
    <row r="1396">
      <c r="A1396" s="125"/>
      <c r="B1396" s="125"/>
      <c r="C1396" s="125"/>
      <c r="D1396" s="125"/>
      <c r="E1396" s="125"/>
      <c r="F1396" s="126"/>
      <c r="G1396" s="126"/>
      <c r="H1396" s="126"/>
      <c r="I1396" s="125"/>
    </row>
    <row r="1397">
      <c r="A1397" s="125"/>
      <c r="B1397" s="125"/>
      <c r="C1397" s="125"/>
      <c r="D1397" s="125"/>
      <c r="E1397" s="125"/>
      <c r="F1397" s="126"/>
      <c r="G1397" s="126"/>
      <c r="H1397" s="126"/>
      <c r="I1397" s="125"/>
    </row>
    <row r="1398">
      <c r="A1398" s="125"/>
      <c r="B1398" s="125"/>
      <c r="C1398" s="125"/>
      <c r="D1398" s="125"/>
      <c r="E1398" s="125"/>
      <c r="F1398" s="126"/>
      <c r="G1398" s="126"/>
      <c r="H1398" s="126"/>
      <c r="I1398" s="125"/>
    </row>
    <row r="1399">
      <c r="A1399" s="125"/>
      <c r="B1399" s="125"/>
      <c r="C1399" s="125"/>
      <c r="D1399" s="125"/>
      <c r="E1399" s="125"/>
      <c r="F1399" s="126"/>
      <c r="G1399" s="126"/>
      <c r="H1399" s="126"/>
      <c r="I1399" s="125"/>
    </row>
    <row r="1400">
      <c r="A1400" s="125"/>
      <c r="B1400" s="125"/>
      <c r="C1400" s="125"/>
      <c r="D1400" s="125"/>
      <c r="E1400" s="125"/>
      <c r="F1400" s="126"/>
      <c r="G1400" s="126"/>
      <c r="H1400" s="126"/>
      <c r="I1400" s="125"/>
    </row>
    <row r="1401">
      <c r="A1401" s="125"/>
      <c r="B1401" s="125"/>
      <c r="C1401" s="125"/>
      <c r="D1401" s="125"/>
      <c r="E1401" s="125"/>
      <c r="F1401" s="126"/>
      <c r="G1401" s="126"/>
      <c r="H1401" s="126"/>
      <c r="I1401" s="125"/>
    </row>
    <row r="1402">
      <c r="A1402" s="125"/>
      <c r="B1402" s="125"/>
      <c r="C1402" s="125"/>
      <c r="D1402" s="125"/>
      <c r="E1402" s="125"/>
      <c r="F1402" s="126"/>
      <c r="G1402" s="126"/>
      <c r="H1402" s="126"/>
      <c r="I1402" s="125"/>
    </row>
    <row r="1403">
      <c r="A1403" s="125"/>
      <c r="B1403" s="125"/>
      <c r="C1403" s="125"/>
      <c r="D1403" s="125"/>
      <c r="E1403" s="125"/>
      <c r="F1403" s="126"/>
      <c r="G1403" s="126"/>
      <c r="H1403" s="126"/>
      <c r="I1403" s="125"/>
    </row>
    <row r="1404">
      <c r="A1404" s="125"/>
      <c r="B1404" s="125"/>
      <c r="C1404" s="125"/>
      <c r="D1404" s="125"/>
      <c r="E1404" s="125"/>
      <c r="F1404" s="126"/>
      <c r="G1404" s="126"/>
      <c r="H1404" s="126"/>
      <c r="I1404" s="125"/>
    </row>
    <row r="1405">
      <c r="A1405" s="125"/>
      <c r="B1405" s="125"/>
      <c r="C1405" s="125"/>
      <c r="D1405" s="125"/>
      <c r="E1405" s="125"/>
      <c r="F1405" s="126"/>
      <c r="G1405" s="126"/>
      <c r="H1405" s="126"/>
      <c r="I1405" s="125"/>
    </row>
    <row r="1406">
      <c r="A1406" s="125"/>
      <c r="B1406" s="125"/>
      <c r="C1406" s="125"/>
      <c r="D1406" s="125"/>
      <c r="E1406" s="125"/>
      <c r="F1406" s="126"/>
      <c r="G1406" s="126"/>
      <c r="H1406" s="126"/>
      <c r="I1406" s="125"/>
    </row>
    <row r="1407">
      <c r="A1407" s="125"/>
      <c r="B1407" s="125"/>
      <c r="C1407" s="125"/>
      <c r="D1407" s="125"/>
      <c r="E1407" s="125"/>
      <c r="F1407" s="126"/>
      <c r="G1407" s="126"/>
      <c r="H1407" s="126"/>
      <c r="I1407" s="125"/>
    </row>
    <row r="1408">
      <c r="A1408" s="125"/>
      <c r="B1408" s="125"/>
      <c r="C1408" s="125"/>
      <c r="D1408" s="125"/>
      <c r="E1408" s="125"/>
      <c r="F1408" s="126"/>
      <c r="G1408" s="126"/>
      <c r="H1408" s="126"/>
      <c r="I1408" s="125"/>
    </row>
    <row r="1409">
      <c r="A1409" s="125"/>
      <c r="B1409" s="125"/>
      <c r="C1409" s="125"/>
      <c r="D1409" s="125"/>
      <c r="E1409" s="125"/>
      <c r="F1409" s="126"/>
      <c r="G1409" s="126"/>
      <c r="H1409" s="126"/>
      <c r="I1409" s="125"/>
    </row>
    <row r="1410">
      <c r="A1410" s="125"/>
      <c r="B1410" s="125"/>
      <c r="C1410" s="125"/>
      <c r="D1410" s="125"/>
      <c r="E1410" s="125"/>
      <c r="F1410" s="126"/>
      <c r="G1410" s="126"/>
      <c r="H1410" s="126"/>
      <c r="I1410" s="125"/>
    </row>
    <row r="1411">
      <c r="A1411" s="125"/>
      <c r="B1411" s="125"/>
      <c r="C1411" s="125"/>
      <c r="D1411" s="125"/>
      <c r="E1411" s="125"/>
      <c r="F1411" s="126"/>
      <c r="G1411" s="126"/>
      <c r="H1411" s="126"/>
      <c r="I1411" s="125"/>
    </row>
    <row r="1412">
      <c r="A1412" s="125"/>
      <c r="B1412" s="125"/>
      <c r="C1412" s="125"/>
      <c r="D1412" s="125"/>
      <c r="E1412" s="125"/>
      <c r="F1412" s="126"/>
      <c r="G1412" s="126"/>
      <c r="H1412" s="126"/>
      <c r="I1412" s="125"/>
    </row>
    <row r="1413">
      <c r="A1413" s="125"/>
      <c r="B1413" s="125"/>
      <c r="C1413" s="125"/>
      <c r="D1413" s="125"/>
      <c r="E1413" s="125"/>
      <c r="F1413" s="126"/>
      <c r="G1413" s="126"/>
      <c r="H1413" s="126"/>
      <c r="I1413" s="125"/>
    </row>
    <row r="1414">
      <c r="A1414" s="125"/>
      <c r="B1414" s="125"/>
      <c r="C1414" s="125"/>
      <c r="D1414" s="125"/>
      <c r="E1414" s="125"/>
      <c r="F1414" s="126"/>
      <c r="G1414" s="126"/>
      <c r="H1414" s="126"/>
      <c r="I1414" s="125"/>
    </row>
    <row r="1415">
      <c r="A1415" s="125"/>
      <c r="B1415" s="125"/>
      <c r="C1415" s="125"/>
      <c r="D1415" s="125"/>
      <c r="E1415" s="125"/>
      <c r="F1415" s="126"/>
      <c r="G1415" s="126"/>
      <c r="H1415" s="126"/>
      <c r="I1415" s="125"/>
    </row>
    <row r="1416">
      <c r="A1416" s="125"/>
      <c r="B1416" s="125"/>
      <c r="C1416" s="125"/>
      <c r="D1416" s="125"/>
      <c r="E1416" s="125"/>
      <c r="F1416" s="126"/>
      <c r="G1416" s="126"/>
      <c r="H1416" s="126"/>
      <c r="I1416" s="125"/>
    </row>
    <row r="1417">
      <c r="A1417" s="125"/>
      <c r="B1417" s="125"/>
      <c r="C1417" s="125"/>
      <c r="D1417" s="125"/>
      <c r="E1417" s="125"/>
      <c r="F1417" s="126"/>
      <c r="G1417" s="126"/>
      <c r="H1417" s="126"/>
      <c r="I1417" s="125"/>
    </row>
    <row r="1418">
      <c r="A1418" s="125"/>
      <c r="B1418" s="125"/>
      <c r="C1418" s="125"/>
      <c r="D1418" s="125"/>
      <c r="E1418" s="125"/>
      <c r="F1418" s="126"/>
      <c r="G1418" s="126"/>
      <c r="H1418" s="126"/>
      <c r="I1418" s="125"/>
    </row>
    <row r="1419">
      <c r="A1419" s="125"/>
      <c r="B1419" s="125"/>
      <c r="C1419" s="125"/>
      <c r="D1419" s="125"/>
      <c r="E1419" s="125"/>
      <c r="F1419" s="126"/>
      <c r="G1419" s="126"/>
      <c r="H1419" s="126"/>
      <c r="I1419" s="125"/>
    </row>
    <row r="1420">
      <c r="A1420" s="125"/>
      <c r="B1420" s="125"/>
      <c r="C1420" s="125"/>
      <c r="D1420" s="125"/>
      <c r="E1420" s="125"/>
      <c r="F1420" s="126"/>
      <c r="G1420" s="126"/>
      <c r="H1420" s="126"/>
      <c r="I1420" s="125"/>
    </row>
    <row r="1421">
      <c r="A1421" s="125"/>
      <c r="B1421" s="125"/>
      <c r="C1421" s="125"/>
      <c r="D1421" s="125"/>
      <c r="E1421" s="125"/>
      <c r="F1421" s="126"/>
      <c r="G1421" s="126"/>
      <c r="H1421" s="126"/>
      <c r="I1421" s="125"/>
    </row>
    <row r="1422">
      <c r="A1422" s="125"/>
      <c r="B1422" s="125"/>
      <c r="C1422" s="125"/>
      <c r="D1422" s="125"/>
      <c r="E1422" s="125"/>
      <c r="F1422" s="126"/>
      <c r="G1422" s="126"/>
      <c r="H1422" s="126"/>
      <c r="I1422" s="125"/>
    </row>
    <row r="1423">
      <c r="A1423" s="125"/>
      <c r="B1423" s="125"/>
      <c r="C1423" s="125"/>
      <c r="D1423" s="125"/>
      <c r="E1423" s="125"/>
      <c r="F1423" s="126"/>
      <c r="G1423" s="126"/>
      <c r="H1423" s="126"/>
      <c r="I1423" s="125"/>
    </row>
    <row r="1424">
      <c r="A1424" s="125"/>
      <c r="B1424" s="125"/>
      <c r="C1424" s="125"/>
      <c r="D1424" s="125"/>
      <c r="E1424" s="125"/>
      <c r="F1424" s="126"/>
      <c r="G1424" s="126"/>
      <c r="H1424" s="126"/>
      <c r="I1424" s="125"/>
    </row>
    <row r="1425">
      <c r="A1425" s="125"/>
      <c r="B1425" s="125"/>
      <c r="C1425" s="125"/>
      <c r="D1425" s="125"/>
      <c r="E1425" s="125"/>
      <c r="F1425" s="126"/>
      <c r="G1425" s="126"/>
      <c r="H1425" s="126"/>
      <c r="I1425" s="125"/>
    </row>
    <row r="1426">
      <c r="A1426" s="125"/>
      <c r="B1426" s="125"/>
      <c r="C1426" s="125"/>
      <c r="D1426" s="125"/>
      <c r="E1426" s="125"/>
      <c r="F1426" s="126"/>
      <c r="G1426" s="126"/>
      <c r="H1426" s="126"/>
      <c r="I1426" s="125"/>
    </row>
    <row r="1427">
      <c r="A1427" s="125"/>
      <c r="B1427" s="125"/>
      <c r="C1427" s="125"/>
      <c r="D1427" s="125"/>
      <c r="E1427" s="125"/>
      <c r="F1427" s="126"/>
      <c r="G1427" s="126"/>
      <c r="H1427" s="126"/>
      <c r="I1427" s="125"/>
    </row>
    <row r="1428">
      <c r="A1428" s="125"/>
      <c r="B1428" s="125"/>
      <c r="C1428" s="125"/>
      <c r="D1428" s="125"/>
      <c r="E1428" s="125"/>
      <c r="F1428" s="126"/>
      <c r="G1428" s="126"/>
      <c r="H1428" s="126"/>
      <c r="I1428" s="125"/>
    </row>
    <row r="1429">
      <c r="A1429" s="125"/>
      <c r="B1429" s="125"/>
      <c r="C1429" s="125"/>
      <c r="D1429" s="125"/>
      <c r="E1429" s="125"/>
      <c r="F1429" s="126"/>
      <c r="G1429" s="126"/>
      <c r="H1429" s="126"/>
      <c r="I1429" s="125"/>
    </row>
    <row r="1430">
      <c r="A1430" s="125"/>
      <c r="B1430" s="125"/>
      <c r="C1430" s="125"/>
      <c r="D1430" s="125"/>
      <c r="E1430" s="125"/>
      <c r="F1430" s="126"/>
      <c r="G1430" s="126"/>
      <c r="H1430" s="126"/>
      <c r="I1430" s="125"/>
    </row>
    <row r="1431">
      <c r="A1431" s="125"/>
      <c r="B1431" s="125"/>
      <c r="C1431" s="125"/>
      <c r="D1431" s="125"/>
      <c r="E1431" s="125"/>
      <c r="F1431" s="126"/>
      <c r="G1431" s="126"/>
      <c r="H1431" s="126"/>
      <c r="I1431" s="125"/>
    </row>
    <row r="1432">
      <c r="A1432" s="125"/>
      <c r="B1432" s="125"/>
      <c r="C1432" s="125"/>
      <c r="D1432" s="125"/>
      <c r="E1432" s="125"/>
      <c r="F1432" s="126"/>
      <c r="G1432" s="126"/>
      <c r="H1432" s="126"/>
      <c r="I1432" s="125"/>
    </row>
    <row r="1433">
      <c r="A1433" s="125"/>
      <c r="B1433" s="125"/>
      <c r="C1433" s="125"/>
      <c r="D1433" s="125"/>
      <c r="E1433" s="125"/>
      <c r="F1433" s="126"/>
      <c r="G1433" s="126"/>
      <c r="H1433" s="126"/>
      <c r="I1433" s="125"/>
    </row>
    <row r="1434">
      <c r="A1434" s="125"/>
      <c r="B1434" s="125"/>
      <c r="C1434" s="125"/>
      <c r="D1434" s="125"/>
      <c r="E1434" s="125"/>
      <c r="F1434" s="126"/>
      <c r="G1434" s="126"/>
      <c r="H1434" s="126"/>
      <c r="I1434" s="125"/>
    </row>
    <row r="1435">
      <c r="A1435" s="125"/>
      <c r="B1435" s="125"/>
      <c r="C1435" s="125"/>
      <c r="D1435" s="125"/>
      <c r="E1435" s="125"/>
      <c r="F1435" s="126"/>
      <c r="G1435" s="126"/>
      <c r="H1435" s="127"/>
      <c r="I1435" s="125"/>
    </row>
    <row r="1436">
      <c r="A1436" s="125"/>
      <c r="B1436" s="125"/>
      <c r="C1436" s="125"/>
      <c r="D1436" s="125"/>
      <c r="E1436" s="125"/>
      <c r="F1436" s="126"/>
      <c r="G1436" s="126"/>
      <c r="H1436" s="127"/>
      <c r="I1436" s="125"/>
    </row>
    <row r="1437">
      <c r="A1437" s="125"/>
      <c r="B1437" s="125"/>
      <c r="C1437" s="125"/>
      <c r="D1437" s="125"/>
      <c r="E1437" s="125"/>
      <c r="F1437" s="126"/>
      <c r="G1437" s="126"/>
      <c r="H1437" s="126"/>
      <c r="I1437" s="125"/>
    </row>
    <row r="1438">
      <c r="A1438" s="125"/>
      <c r="B1438" s="125"/>
      <c r="C1438" s="125"/>
      <c r="D1438" s="125"/>
      <c r="E1438" s="125"/>
      <c r="F1438" s="126"/>
      <c r="G1438" s="126"/>
      <c r="H1438" s="127"/>
      <c r="I1438" s="125"/>
    </row>
    <row r="1439">
      <c r="A1439" s="125"/>
      <c r="B1439" s="125"/>
      <c r="C1439" s="125"/>
      <c r="D1439" s="125"/>
      <c r="E1439" s="125"/>
      <c r="F1439" s="126"/>
      <c r="G1439" s="126"/>
      <c r="H1439" s="127"/>
      <c r="I1439" s="125"/>
    </row>
    <row r="1440">
      <c r="A1440" s="125"/>
      <c r="B1440" s="125"/>
      <c r="C1440" s="125"/>
      <c r="D1440" s="125"/>
      <c r="E1440" s="125"/>
      <c r="F1440" s="126"/>
      <c r="G1440" s="126"/>
      <c r="H1440" s="127"/>
      <c r="I1440" s="125"/>
    </row>
    <row r="1441">
      <c r="A1441" s="125"/>
      <c r="B1441" s="125"/>
      <c r="C1441" s="125"/>
      <c r="D1441" s="125"/>
      <c r="E1441" s="125"/>
      <c r="F1441" s="126"/>
      <c r="G1441" s="126"/>
      <c r="H1441" s="127"/>
      <c r="I1441" s="125"/>
    </row>
    <row r="1442">
      <c r="A1442" s="125"/>
      <c r="B1442" s="125"/>
      <c r="C1442" s="125"/>
      <c r="D1442" s="125"/>
      <c r="E1442" s="125"/>
      <c r="F1442" s="126"/>
      <c r="G1442" s="126"/>
      <c r="H1442" s="127"/>
      <c r="I1442" s="125"/>
    </row>
    <row r="1443">
      <c r="A1443" s="125"/>
      <c r="B1443" s="125"/>
      <c r="C1443" s="125"/>
      <c r="D1443" s="125"/>
      <c r="E1443" s="125"/>
      <c r="F1443" s="126"/>
      <c r="G1443" s="126"/>
      <c r="H1443" s="127"/>
      <c r="I1443" s="125"/>
    </row>
    <row r="1444">
      <c r="A1444" s="125"/>
      <c r="B1444" s="125"/>
      <c r="C1444" s="125"/>
      <c r="D1444" s="125"/>
      <c r="E1444" s="125"/>
      <c r="F1444" s="126"/>
      <c r="G1444" s="126"/>
      <c r="H1444" s="127"/>
      <c r="I1444" s="125"/>
    </row>
    <row r="1445">
      <c r="A1445" s="125"/>
      <c r="B1445" s="125"/>
      <c r="C1445" s="125"/>
      <c r="D1445" s="125"/>
      <c r="E1445" s="125"/>
      <c r="F1445" s="126"/>
      <c r="G1445" s="126"/>
      <c r="H1445" s="126"/>
      <c r="I1445" s="125"/>
    </row>
    <row r="1446">
      <c r="A1446" s="125"/>
      <c r="B1446" s="125"/>
      <c r="C1446" s="125"/>
      <c r="D1446" s="125"/>
      <c r="E1446" s="125"/>
      <c r="F1446" s="126"/>
      <c r="G1446" s="126"/>
      <c r="H1446" s="127"/>
      <c r="I1446" s="125"/>
    </row>
    <row r="1447">
      <c r="A1447" s="125"/>
      <c r="B1447" s="125"/>
      <c r="C1447" s="125"/>
      <c r="D1447" s="125"/>
      <c r="E1447" s="125"/>
      <c r="F1447" s="126"/>
      <c r="G1447" s="126"/>
      <c r="H1447" s="126"/>
      <c r="I1447" s="125"/>
    </row>
    <row r="1448">
      <c r="A1448" s="125"/>
      <c r="B1448" s="125"/>
      <c r="C1448" s="125"/>
      <c r="D1448" s="125"/>
      <c r="E1448" s="125"/>
      <c r="F1448" s="126"/>
      <c r="G1448" s="126"/>
      <c r="H1448" s="127"/>
      <c r="I1448" s="125"/>
    </row>
    <row r="1449">
      <c r="A1449" s="125"/>
      <c r="B1449" s="125"/>
      <c r="C1449" s="125"/>
      <c r="D1449" s="125"/>
      <c r="E1449" s="125"/>
      <c r="F1449" s="126"/>
      <c r="G1449" s="126"/>
      <c r="H1449" s="127"/>
      <c r="I1449" s="125"/>
    </row>
    <row r="1450">
      <c r="A1450" s="125"/>
      <c r="B1450" s="125"/>
      <c r="C1450" s="125"/>
      <c r="D1450" s="125"/>
      <c r="E1450" s="125"/>
      <c r="F1450" s="126"/>
      <c r="G1450" s="126"/>
      <c r="H1450" s="127"/>
      <c r="I1450" s="125"/>
    </row>
    <row r="1451">
      <c r="A1451" s="125"/>
      <c r="B1451" s="125"/>
      <c r="C1451" s="125"/>
      <c r="D1451" s="125"/>
      <c r="E1451" s="125"/>
      <c r="F1451" s="126"/>
      <c r="G1451" s="126"/>
      <c r="H1451" s="127"/>
      <c r="I1451" s="125"/>
    </row>
    <row r="1452">
      <c r="A1452" s="125"/>
      <c r="B1452" s="125"/>
      <c r="C1452" s="125"/>
      <c r="D1452" s="125"/>
      <c r="E1452" s="125"/>
      <c r="F1452" s="126"/>
      <c r="G1452" s="126"/>
      <c r="H1452" s="126"/>
      <c r="I1452" s="125"/>
    </row>
    <row r="1453">
      <c r="A1453" s="125"/>
      <c r="B1453" s="125"/>
      <c r="C1453" s="125"/>
      <c r="D1453" s="125"/>
      <c r="E1453" s="125"/>
      <c r="F1453" s="126"/>
      <c r="G1453" s="126"/>
      <c r="H1453" s="127"/>
      <c r="I1453" s="125"/>
    </row>
    <row r="1454">
      <c r="A1454" s="125"/>
      <c r="B1454" s="125"/>
      <c r="C1454" s="125"/>
      <c r="D1454" s="125"/>
      <c r="E1454" s="125"/>
      <c r="F1454" s="126"/>
      <c r="G1454" s="126"/>
      <c r="H1454" s="127"/>
      <c r="I1454" s="125"/>
    </row>
    <row r="1455">
      <c r="A1455" s="125"/>
      <c r="B1455" s="125"/>
      <c r="C1455" s="125"/>
      <c r="D1455" s="125"/>
      <c r="E1455" s="125"/>
      <c r="F1455" s="126"/>
      <c r="G1455" s="126"/>
      <c r="H1455" s="127"/>
      <c r="I1455" s="125"/>
    </row>
    <row r="1456">
      <c r="A1456" s="125"/>
      <c r="B1456" s="125"/>
      <c r="C1456" s="125"/>
      <c r="D1456" s="125"/>
      <c r="E1456" s="125"/>
      <c r="F1456" s="126"/>
      <c r="G1456" s="126"/>
      <c r="H1456" s="127"/>
      <c r="I1456" s="125"/>
    </row>
    <row r="1457">
      <c r="A1457" s="125"/>
      <c r="B1457" s="125"/>
      <c r="C1457" s="125"/>
      <c r="D1457" s="125"/>
      <c r="E1457" s="125"/>
      <c r="F1457" s="126"/>
      <c r="G1457" s="126"/>
      <c r="H1457" s="126"/>
      <c r="I1457" s="125"/>
    </row>
    <row r="1458">
      <c r="A1458" s="125"/>
      <c r="B1458" s="125"/>
      <c r="C1458" s="125"/>
      <c r="D1458" s="125"/>
      <c r="E1458" s="125"/>
      <c r="F1458" s="126"/>
      <c r="G1458" s="126"/>
      <c r="H1458" s="127"/>
      <c r="I1458" s="125"/>
    </row>
    <row r="1459">
      <c r="A1459" s="125"/>
      <c r="B1459" s="125"/>
      <c r="C1459" s="125"/>
      <c r="D1459" s="125"/>
      <c r="E1459" s="125"/>
      <c r="F1459" s="126"/>
      <c r="G1459" s="126"/>
      <c r="H1459" s="127"/>
      <c r="I1459" s="125"/>
    </row>
    <row r="1460">
      <c r="A1460" s="125"/>
      <c r="B1460" s="125"/>
      <c r="C1460" s="125"/>
      <c r="D1460" s="125"/>
      <c r="E1460" s="125"/>
      <c r="F1460" s="126"/>
      <c r="G1460" s="126"/>
      <c r="H1460" s="127"/>
      <c r="I1460" s="125"/>
    </row>
    <row r="1461">
      <c r="A1461" s="125"/>
      <c r="B1461" s="125"/>
      <c r="C1461" s="125"/>
      <c r="D1461" s="125"/>
      <c r="E1461" s="125"/>
      <c r="F1461" s="126"/>
      <c r="G1461" s="126"/>
      <c r="H1461" s="127"/>
      <c r="I1461" s="125"/>
    </row>
    <row r="1462">
      <c r="A1462" s="125"/>
      <c r="B1462" s="125"/>
      <c r="C1462" s="125"/>
      <c r="D1462" s="125"/>
      <c r="E1462" s="125"/>
      <c r="F1462" s="126"/>
      <c r="G1462" s="126"/>
      <c r="H1462" s="127"/>
      <c r="I1462" s="125"/>
    </row>
    <row r="1463">
      <c r="A1463" s="125"/>
      <c r="B1463" s="125"/>
      <c r="C1463" s="125"/>
      <c r="D1463" s="125"/>
      <c r="E1463" s="125"/>
      <c r="F1463" s="126"/>
      <c r="G1463" s="126"/>
      <c r="H1463" s="127"/>
      <c r="I1463" s="125"/>
    </row>
    <row r="1464">
      <c r="A1464" s="125"/>
      <c r="B1464" s="125"/>
      <c r="C1464" s="125"/>
      <c r="D1464" s="125"/>
      <c r="E1464" s="125"/>
      <c r="F1464" s="126"/>
      <c r="G1464" s="126"/>
      <c r="H1464" s="127"/>
      <c r="I1464" s="125"/>
    </row>
    <row r="1465">
      <c r="A1465" s="125"/>
      <c r="B1465" s="125"/>
      <c r="C1465" s="125"/>
      <c r="D1465" s="125"/>
      <c r="E1465" s="125"/>
      <c r="F1465" s="126"/>
      <c r="G1465" s="126"/>
      <c r="H1465" s="127"/>
      <c r="I1465" s="125"/>
    </row>
    <row r="1466">
      <c r="A1466" s="125"/>
      <c r="B1466" s="125"/>
      <c r="C1466" s="125"/>
      <c r="D1466" s="125"/>
      <c r="E1466" s="125"/>
      <c r="F1466" s="126"/>
      <c r="G1466" s="126"/>
      <c r="H1466" s="127"/>
      <c r="I1466" s="125"/>
    </row>
    <row r="1467">
      <c r="A1467" s="125"/>
      <c r="B1467" s="125"/>
      <c r="C1467" s="125"/>
      <c r="D1467" s="125"/>
      <c r="E1467" s="125"/>
      <c r="F1467" s="126"/>
      <c r="G1467" s="126"/>
      <c r="H1467" s="127"/>
      <c r="I1467" s="125"/>
    </row>
    <row r="1468">
      <c r="A1468" s="125"/>
      <c r="B1468" s="125"/>
      <c r="C1468" s="125"/>
      <c r="D1468" s="125"/>
      <c r="E1468" s="125"/>
      <c r="F1468" s="126"/>
      <c r="G1468" s="126"/>
      <c r="H1468" s="126"/>
      <c r="I1468" s="125"/>
    </row>
    <row r="1469">
      <c r="A1469" s="125"/>
      <c r="B1469" s="125"/>
      <c r="C1469" s="125"/>
      <c r="D1469" s="125"/>
      <c r="E1469" s="125"/>
      <c r="F1469" s="126"/>
      <c r="G1469" s="126"/>
      <c r="H1469" s="127"/>
      <c r="I1469" s="125"/>
    </row>
    <row r="1470">
      <c r="A1470" s="125"/>
      <c r="B1470" s="125"/>
      <c r="C1470" s="125"/>
      <c r="D1470" s="125"/>
      <c r="E1470" s="125"/>
      <c r="F1470" s="126"/>
      <c r="G1470" s="126"/>
      <c r="H1470" s="127"/>
      <c r="I1470" s="125"/>
    </row>
    <row r="1471">
      <c r="A1471" s="125"/>
      <c r="B1471" s="125"/>
      <c r="C1471" s="125"/>
      <c r="D1471" s="125"/>
      <c r="E1471" s="125"/>
      <c r="F1471" s="126"/>
      <c r="G1471" s="126"/>
      <c r="H1471" s="126"/>
      <c r="I1471" s="125"/>
    </row>
    <row r="1472">
      <c r="A1472" s="125"/>
      <c r="B1472" s="125"/>
      <c r="C1472" s="125"/>
      <c r="D1472" s="125"/>
      <c r="E1472" s="125"/>
      <c r="F1472" s="126"/>
      <c r="G1472" s="126"/>
      <c r="H1472" s="126"/>
      <c r="I1472" s="125"/>
    </row>
    <row r="1473">
      <c r="A1473" s="125"/>
      <c r="B1473" s="125"/>
      <c r="C1473" s="125"/>
      <c r="D1473" s="125"/>
      <c r="E1473" s="125"/>
      <c r="F1473" s="126"/>
      <c r="G1473" s="126"/>
      <c r="H1473" s="127"/>
      <c r="I1473" s="125"/>
    </row>
    <row r="1474">
      <c r="A1474" s="125"/>
      <c r="B1474" s="125"/>
      <c r="C1474" s="125"/>
      <c r="D1474" s="125"/>
      <c r="E1474" s="125"/>
      <c r="F1474" s="126"/>
      <c r="G1474" s="126"/>
      <c r="H1474" s="127"/>
      <c r="I1474" s="125"/>
    </row>
    <row r="1475">
      <c r="A1475" s="125"/>
      <c r="B1475" s="125"/>
      <c r="C1475" s="125"/>
      <c r="D1475" s="125"/>
      <c r="E1475" s="125"/>
      <c r="F1475" s="126"/>
      <c r="G1475" s="126"/>
      <c r="H1475" s="127"/>
      <c r="I1475" s="125"/>
    </row>
    <row r="1476">
      <c r="A1476" s="125"/>
      <c r="B1476" s="125"/>
      <c r="C1476" s="125"/>
      <c r="D1476" s="125"/>
      <c r="E1476" s="125"/>
      <c r="F1476" s="126"/>
      <c r="G1476" s="126"/>
      <c r="H1476" s="127"/>
      <c r="I1476" s="125"/>
    </row>
    <row r="1477">
      <c r="A1477" s="125"/>
      <c r="B1477" s="125"/>
      <c r="C1477" s="125"/>
      <c r="D1477" s="125"/>
      <c r="E1477" s="125"/>
      <c r="F1477" s="126"/>
      <c r="G1477" s="126"/>
      <c r="H1477" s="126"/>
      <c r="I1477" s="125"/>
    </row>
    <row r="1478">
      <c r="A1478" s="125"/>
      <c r="B1478" s="125"/>
      <c r="C1478" s="125"/>
      <c r="D1478" s="125"/>
      <c r="E1478" s="125"/>
      <c r="F1478" s="126"/>
      <c r="G1478" s="126"/>
      <c r="H1478" s="127"/>
      <c r="I1478" s="125"/>
    </row>
    <row r="1479">
      <c r="A1479" s="125"/>
      <c r="B1479" s="125"/>
      <c r="C1479" s="125"/>
      <c r="D1479" s="125"/>
      <c r="E1479" s="125"/>
      <c r="F1479" s="126"/>
      <c r="G1479" s="126"/>
      <c r="H1479" s="126"/>
      <c r="I1479" s="125"/>
    </row>
    <row r="1480">
      <c r="A1480" s="125"/>
      <c r="B1480" s="125"/>
      <c r="C1480" s="125"/>
      <c r="D1480" s="125"/>
      <c r="E1480" s="125"/>
      <c r="F1480" s="126"/>
      <c r="G1480" s="126"/>
      <c r="H1480" s="127"/>
      <c r="I1480" s="125"/>
    </row>
    <row r="1481">
      <c r="A1481" s="125"/>
      <c r="B1481" s="125"/>
      <c r="C1481" s="125"/>
      <c r="D1481" s="125"/>
      <c r="E1481" s="125"/>
      <c r="F1481" s="126"/>
      <c r="G1481" s="126"/>
      <c r="H1481" s="126"/>
      <c r="I1481" s="125"/>
    </row>
    <row r="1482">
      <c r="A1482" s="125"/>
      <c r="B1482" s="125"/>
      <c r="C1482" s="125"/>
      <c r="D1482" s="125"/>
      <c r="E1482" s="125"/>
      <c r="F1482" s="126"/>
      <c r="G1482" s="126"/>
      <c r="H1482" s="127"/>
      <c r="I1482" s="125"/>
    </row>
    <row r="1483">
      <c r="A1483" s="125"/>
      <c r="B1483" s="125"/>
      <c r="C1483" s="125"/>
      <c r="D1483" s="125"/>
      <c r="E1483" s="125"/>
      <c r="F1483" s="126"/>
      <c r="G1483" s="126"/>
      <c r="H1483" s="127"/>
      <c r="I1483" s="125"/>
    </row>
    <row r="1484">
      <c r="A1484" s="125"/>
      <c r="B1484" s="125"/>
      <c r="C1484" s="125"/>
      <c r="D1484" s="125"/>
      <c r="E1484" s="125"/>
      <c r="F1484" s="126"/>
      <c r="G1484" s="126"/>
      <c r="H1484" s="127"/>
      <c r="I1484" s="125"/>
    </row>
    <row r="1485">
      <c r="A1485" s="125"/>
      <c r="B1485" s="125"/>
      <c r="C1485" s="125"/>
      <c r="D1485" s="125"/>
      <c r="E1485" s="125"/>
      <c r="F1485" s="126"/>
      <c r="G1485" s="126"/>
      <c r="H1485" s="127"/>
      <c r="I1485" s="125"/>
    </row>
    <row r="1486">
      <c r="A1486" s="125"/>
      <c r="B1486" s="125"/>
      <c r="C1486" s="125"/>
      <c r="D1486" s="125"/>
      <c r="E1486" s="125"/>
      <c r="F1486" s="126"/>
      <c r="G1486" s="126"/>
      <c r="H1486" s="126"/>
      <c r="I1486" s="125"/>
    </row>
    <row r="1487">
      <c r="A1487" s="125"/>
      <c r="B1487" s="125"/>
      <c r="C1487" s="125"/>
      <c r="D1487" s="125"/>
      <c r="E1487" s="125"/>
      <c r="F1487" s="126"/>
      <c r="G1487" s="126"/>
      <c r="H1487" s="127"/>
      <c r="I1487" s="125"/>
    </row>
    <row r="1488">
      <c r="A1488" s="125"/>
      <c r="B1488" s="125"/>
      <c r="C1488" s="125"/>
      <c r="D1488" s="125"/>
      <c r="E1488" s="125"/>
      <c r="F1488" s="126"/>
      <c r="G1488" s="126"/>
      <c r="H1488" s="127"/>
      <c r="I1488" s="125"/>
    </row>
    <row r="1489">
      <c r="A1489" s="125"/>
      <c r="B1489" s="125"/>
      <c r="C1489" s="125"/>
      <c r="D1489" s="125"/>
      <c r="E1489" s="125"/>
      <c r="F1489" s="126"/>
      <c r="G1489" s="126"/>
      <c r="H1489" s="127"/>
      <c r="I1489" s="125"/>
    </row>
    <row r="1490">
      <c r="A1490" s="125"/>
      <c r="B1490" s="125"/>
      <c r="C1490" s="125"/>
      <c r="D1490" s="125"/>
      <c r="E1490" s="125"/>
      <c r="F1490" s="126"/>
      <c r="G1490" s="126"/>
      <c r="H1490" s="127"/>
      <c r="I1490" s="125"/>
    </row>
    <row r="1491">
      <c r="A1491" s="125"/>
      <c r="B1491" s="125"/>
      <c r="C1491" s="125"/>
      <c r="D1491" s="125"/>
      <c r="E1491" s="125"/>
      <c r="F1491" s="126"/>
      <c r="G1491" s="126"/>
      <c r="H1491" s="127"/>
      <c r="I1491" s="125"/>
    </row>
    <row r="1492">
      <c r="A1492" s="125"/>
      <c r="B1492" s="125"/>
      <c r="C1492" s="125"/>
      <c r="D1492" s="125"/>
      <c r="E1492" s="125"/>
      <c r="F1492" s="126"/>
      <c r="G1492" s="126"/>
      <c r="H1492" s="127"/>
      <c r="I1492" s="125"/>
    </row>
    <row r="1493">
      <c r="A1493" s="125"/>
      <c r="B1493" s="125"/>
      <c r="C1493" s="125"/>
      <c r="D1493" s="125"/>
      <c r="E1493" s="125"/>
      <c r="F1493" s="126"/>
      <c r="G1493" s="126"/>
      <c r="H1493" s="127"/>
      <c r="I1493" s="125"/>
    </row>
    <row r="1494">
      <c r="A1494" s="125"/>
      <c r="B1494" s="125"/>
      <c r="C1494" s="125"/>
      <c r="D1494" s="125"/>
      <c r="E1494" s="125"/>
      <c r="F1494" s="126"/>
      <c r="G1494" s="126"/>
      <c r="H1494" s="127"/>
      <c r="I1494" s="125"/>
    </row>
    <row r="1495">
      <c r="A1495" s="125"/>
      <c r="B1495" s="125"/>
      <c r="C1495" s="125"/>
      <c r="D1495" s="125"/>
      <c r="E1495" s="125"/>
      <c r="F1495" s="126"/>
      <c r="G1495" s="126"/>
      <c r="H1495" s="127"/>
      <c r="I1495" s="125"/>
    </row>
    <row r="1496">
      <c r="A1496" s="125"/>
      <c r="B1496" s="125"/>
      <c r="C1496" s="125"/>
      <c r="D1496" s="125"/>
      <c r="E1496" s="125"/>
      <c r="F1496" s="126"/>
      <c r="G1496" s="126"/>
      <c r="H1496" s="127"/>
      <c r="I1496" s="125"/>
    </row>
    <row r="1497">
      <c r="A1497" s="125"/>
      <c r="B1497" s="125"/>
      <c r="C1497" s="125"/>
      <c r="D1497" s="125"/>
      <c r="E1497" s="125"/>
      <c r="F1497" s="126"/>
      <c r="G1497" s="126"/>
      <c r="H1497" s="127"/>
      <c r="I1497" s="125"/>
    </row>
    <row r="1498">
      <c r="A1498" s="125"/>
      <c r="B1498" s="125"/>
      <c r="C1498" s="125"/>
      <c r="D1498" s="125"/>
      <c r="E1498" s="125"/>
      <c r="F1498" s="126"/>
      <c r="G1498" s="126"/>
      <c r="H1498" s="126"/>
      <c r="I1498" s="125"/>
    </row>
    <row r="1499">
      <c r="A1499" s="125"/>
      <c r="B1499" s="125"/>
      <c r="C1499" s="125"/>
      <c r="D1499" s="125"/>
      <c r="E1499" s="125"/>
      <c r="F1499" s="126"/>
      <c r="G1499" s="126"/>
      <c r="H1499" s="127"/>
      <c r="I1499" s="125"/>
    </row>
    <row r="1500">
      <c r="A1500" s="125"/>
      <c r="B1500" s="125"/>
      <c r="C1500" s="125"/>
      <c r="D1500" s="125"/>
      <c r="E1500" s="125"/>
      <c r="F1500" s="126"/>
      <c r="G1500" s="126"/>
      <c r="H1500" s="127"/>
      <c r="I1500" s="125"/>
    </row>
    <row r="1501">
      <c r="A1501" s="125"/>
      <c r="B1501" s="125"/>
      <c r="C1501" s="125"/>
      <c r="D1501" s="125"/>
      <c r="E1501" s="125"/>
      <c r="F1501" s="126"/>
      <c r="G1501" s="126"/>
      <c r="H1501" s="126"/>
      <c r="I1501" s="125"/>
    </row>
    <row r="1502">
      <c r="A1502" s="125"/>
      <c r="B1502" s="125"/>
      <c r="C1502" s="125"/>
      <c r="D1502" s="125"/>
      <c r="E1502" s="125"/>
      <c r="F1502" s="126"/>
      <c r="G1502" s="126"/>
      <c r="H1502" s="127"/>
      <c r="I1502" s="125"/>
    </row>
    <row r="1503">
      <c r="A1503" s="125"/>
      <c r="B1503" s="125"/>
      <c r="C1503" s="125"/>
      <c r="D1503" s="125"/>
      <c r="E1503" s="125"/>
      <c r="F1503" s="126"/>
      <c r="G1503" s="126"/>
      <c r="H1503" s="126"/>
      <c r="I1503" s="125"/>
    </row>
    <row r="1504">
      <c r="A1504" s="125"/>
      <c r="B1504" s="125"/>
      <c r="C1504" s="125"/>
      <c r="D1504" s="125"/>
      <c r="E1504" s="125"/>
      <c r="F1504" s="126"/>
      <c r="G1504" s="126"/>
      <c r="H1504" s="127"/>
      <c r="I1504" s="125"/>
    </row>
    <row r="1505">
      <c r="A1505" s="125"/>
      <c r="B1505" s="125"/>
      <c r="C1505" s="125"/>
      <c r="D1505" s="125"/>
      <c r="E1505" s="125"/>
      <c r="F1505" s="126"/>
      <c r="G1505" s="126"/>
      <c r="H1505" s="127"/>
      <c r="I1505" s="125"/>
    </row>
    <row r="1506">
      <c r="A1506" s="125"/>
      <c r="B1506" s="125"/>
      <c r="C1506" s="125"/>
      <c r="D1506" s="125"/>
      <c r="E1506" s="125"/>
      <c r="F1506" s="126"/>
      <c r="G1506" s="126"/>
      <c r="H1506" s="127"/>
      <c r="I1506" s="125"/>
    </row>
    <row r="1507">
      <c r="A1507" s="125"/>
      <c r="B1507" s="125"/>
      <c r="C1507" s="125"/>
      <c r="D1507" s="125"/>
      <c r="E1507" s="125"/>
      <c r="F1507" s="126"/>
      <c r="G1507" s="126"/>
      <c r="H1507" s="127"/>
      <c r="I1507" s="125"/>
    </row>
    <row r="1508">
      <c r="A1508" s="125"/>
      <c r="B1508" s="125"/>
      <c r="C1508" s="125"/>
      <c r="D1508" s="125"/>
      <c r="E1508" s="125"/>
      <c r="F1508" s="126"/>
      <c r="G1508" s="126"/>
      <c r="H1508" s="127"/>
      <c r="I1508" s="125"/>
    </row>
    <row r="1509">
      <c r="A1509" s="125"/>
      <c r="B1509" s="125"/>
      <c r="C1509" s="125"/>
      <c r="D1509" s="125"/>
      <c r="E1509" s="125"/>
      <c r="F1509" s="126"/>
      <c r="G1509" s="126"/>
      <c r="H1509" s="127"/>
      <c r="I1509" s="125"/>
    </row>
    <row r="1510">
      <c r="A1510" s="125"/>
      <c r="B1510" s="125"/>
      <c r="C1510" s="125"/>
      <c r="D1510" s="125"/>
      <c r="E1510" s="125"/>
      <c r="F1510" s="126"/>
      <c r="G1510" s="126"/>
      <c r="H1510" s="127"/>
      <c r="I1510" s="125"/>
    </row>
    <row r="1511">
      <c r="A1511" s="125"/>
      <c r="B1511" s="125"/>
      <c r="C1511" s="125"/>
      <c r="D1511" s="125"/>
      <c r="E1511" s="125"/>
      <c r="F1511" s="126"/>
      <c r="G1511" s="126"/>
      <c r="H1511" s="127"/>
      <c r="I1511" s="125"/>
    </row>
    <row r="1512">
      <c r="A1512" s="125"/>
      <c r="B1512" s="125"/>
      <c r="C1512" s="125"/>
      <c r="D1512" s="125"/>
      <c r="E1512" s="125"/>
      <c r="F1512" s="126"/>
      <c r="G1512" s="126"/>
      <c r="H1512" s="127"/>
      <c r="I1512" s="125"/>
    </row>
    <row r="1513">
      <c r="A1513" s="125"/>
      <c r="B1513" s="125"/>
      <c r="C1513" s="125"/>
      <c r="D1513" s="125"/>
      <c r="E1513" s="125"/>
      <c r="F1513" s="126"/>
      <c r="G1513" s="126"/>
      <c r="H1513" s="126"/>
      <c r="I1513" s="125"/>
    </row>
    <row r="1514">
      <c r="A1514" s="125"/>
      <c r="B1514" s="125"/>
      <c r="C1514" s="125"/>
      <c r="D1514" s="125"/>
      <c r="E1514" s="125"/>
      <c r="F1514" s="126"/>
      <c r="G1514" s="126"/>
      <c r="H1514" s="127"/>
      <c r="I1514" s="125"/>
    </row>
    <row r="1515">
      <c r="A1515" s="125"/>
      <c r="B1515" s="125"/>
      <c r="C1515" s="125"/>
      <c r="D1515" s="125"/>
      <c r="E1515" s="125"/>
      <c r="F1515" s="126"/>
      <c r="G1515" s="126"/>
      <c r="H1515" s="127"/>
      <c r="I1515" s="125"/>
    </row>
    <row r="1516">
      <c r="A1516" s="125"/>
      <c r="B1516" s="125"/>
      <c r="C1516" s="125"/>
      <c r="D1516" s="125"/>
      <c r="E1516" s="125"/>
      <c r="F1516" s="126"/>
      <c r="G1516" s="126"/>
      <c r="H1516" s="127"/>
      <c r="I1516" s="125"/>
    </row>
    <row r="1517">
      <c r="A1517" s="125"/>
      <c r="B1517" s="125"/>
      <c r="C1517" s="125"/>
      <c r="D1517" s="125"/>
      <c r="E1517" s="125"/>
      <c r="F1517" s="126"/>
      <c r="G1517" s="126"/>
      <c r="H1517" s="127"/>
      <c r="I1517" s="125"/>
    </row>
    <row r="1518">
      <c r="A1518" s="125"/>
      <c r="B1518" s="125"/>
      <c r="C1518" s="125"/>
      <c r="D1518" s="125"/>
      <c r="E1518" s="125"/>
      <c r="F1518" s="126"/>
      <c r="G1518" s="126"/>
      <c r="H1518" s="127"/>
      <c r="I1518" s="125"/>
    </row>
    <row r="1519">
      <c r="A1519" s="125"/>
      <c r="B1519" s="125"/>
      <c r="C1519" s="125"/>
      <c r="D1519" s="125"/>
      <c r="E1519" s="125"/>
      <c r="F1519" s="126"/>
      <c r="G1519" s="126"/>
      <c r="H1519" s="126"/>
      <c r="I1519" s="125"/>
    </row>
    <row r="1520">
      <c r="A1520" s="125"/>
      <c r="B1520" s="125"/>
      <c r="C1520" s="125"/>
      <c r="D1520" s="125"/>
      <c r="E1520" s="125"/>
      <c r="F1520" s="126"/>
      <c r="G1520" s="126"/>
      <c r="H1520" s="127"/>
      <c r="I1520" s="125"/>
    </row>
    <row r="1521">
      <c r="A1521" s="125"/>
      <c r="B1521" s="125"/>
      <c r="C1521" s="125"/>
      <c r="D1521" s="125"/>
      <c r="E1521" s="125"/>
      <c r="F1521" s="126"/>
      <c r="G1521" s="126"/>
      <c r="H1521" s="126"/>
      <c r="I1521" s="125"/>
    </row>
    <row r="1522">
      <c r="A1522" s="125"/>
      <c r="B1522" s="125"/>
      <c r="C1522" s="125"/>
      <c r="D1522" s="125"/>
      <c r="E1522" s="125"/>
      <c r="F1522" s="126"/>
      <c r="G1522" s="126"/>
      <c r="H1522" s="127"/>
      <c r="I1522" s="125"/>
    </row>
    <row r="1523">
      <c r="A1523" s="125"/>
      <c r="B1523" s="125"/>
      <c r="C1523" s="125"/>
      <c r="D1523" s="125"/>
      <c r="E1523" s="125"/>
      <c r="F1523" s="126"/>
      <c r="G1523" s="126"/>
      <c r="H1523" s="127"/>
      <c r="I1523" s="125"/>
    </row>
    <row r="1524">
      <c r="A1524" s="125"/>
      <c r="B1524" s="125"/>
      <c r="C1524" s="125"/>
      <c r="D1524" s="125"/>
      <c r="E1524" s="125"/>
      <c r="F1524" s="126"/>
      <c r="G1524" s="126"/>
      <c r="H1524" s="127"/>
      <c r="I1524" s="125"/>
    </row>
    <row r="1525">
      <c r="A1525" s="125"/>
      <c r="B1525" s="125"/>
      <c r="C1525" s="125"/>
      <c r="D1525" s="125"/>
      <c r="E1525" s="125"/>
      <c r="F1525" s="126"/>
      <c r="G1525" s="126"/>
      <c r="H1525" s="127"/>
      <c r="I1525" s="125"/>
    </row>
    <row r="1526">
      <c r="A1526" s="125"/>
      <c r="B1526" s="125"/>
      <c r="C1526" s="125"/>
      <c r="D1526" s="125"/>
      <c r="E1526" s="125"/>
      <c r="F1526" s="126"/>
      <c r="G1526" s="126"/>
      <c r="H1526" s="127"/>
      <c r="I1526" s="125"/>
    </row>
    <row r="1527">
      <c r="A1527" s="125"/>
      <c r="B1527" s="125"/>
      <c r="C1527" s="125"/>
      <c r="D1527" s="125"/>
      <c r="E1527" s="125"/>
      <c r="F1527" s="126"/>
      <c r="G1527" s="126"/>
      <c r="H1527" s="127"/>
      <c r="I1527" s="125"/>
    </row>
    <row r="1528">
      <c r="A1528" s="125"/>
      <c r="B1528" s="125"/>
      <c r="C1528" s="125"/>
      <c r="D1528" s="125"/>
      <c r="E1528" s="125"/>
      <c r="F1528" s="126"/>
      <c r="G1528" s="126"/>
      <c r="H1528" s="127"/>
      <c r="I1528" s="125"/>
    </row>
    <row r="1529">
      <c r="A1529" s="125"/>
      <c r="B1529" s="125"/>
      <c r="C1529" s="125"/>
      <c r="D1529" s="125"/>
      <c r="E1529" s="125"/>
      <c r="F1529" s="126"/>
      <c r="G1529" s="126"/>
      <c r="H1529" s="127"/>
      <c r="I1529" s="125"/>
    </row>
    <row r="1530">
      <c r="A1530" s="125"/>
      <c r="B1530" s="125"/>
      <c r="C1530" s="125"/>
      <c r="D1530" s="125"/>
      <c r="E1530" s="125"/>
      <c r="F1530" s="126"/>
      <c r="G1530" s="126"/>
      <c r="H1530" s="127"/>
      <c r="I1530" s="125"/>
    </row>
    <row r="1531">
      <c r="A1531" s="125"/>
      <c r="B1531" s="125"/>
      <c r="C1531" s="125"/>
      <c r="D1531" s="125"/>
      <c r="E1531" s="125"/>
      <c r="F1531" s="126"/>
      <c r="G1531" s="126"/>
      <c r="H1531" s="127"/>
      <c r="I1531" s="125"/>
    </row>
    <row r="1532">
      <c r="A1532" s="125"/>
      <c r="B1532" s="125"/>
      <c r="C1532" s="125"/>
      <c r="D1532" s="125"/>
      <c r="E1532" s="125"/>
      <c r="F1532" s="126"/>
      <c r="G1532" s="126"/>
      <c r="H1532" s="127"/>
      <c r="I1532" s="125"/>
    </row>
    <row r="1533">
      <c r="A1533" s="125"/>
      <c r="B1533" s="125"/>
      <c r="C1533" s="125"/>
      <c r="D1533" s="125"/>
      <c r="E1533" s="125"/>
      <c r="F1533" s="126"/>
      <c r="G1533" s="126"/>
      <c r="H1533" s="127"/>
      <c r="I1533" s="125"/>
    </row>
    <row r="1534">
      <c r="A1534" s="125"/>
      <c r="B1534" s="125"/>
      <c r="C1534" s="125"/>
      <c r="D1534" s="125"/>
      <c r="E1534" s="125"/>
      <c r="F1534" s="126"/>
      <c r="G1534" s="126"/>
      <c r="H1534" s="127"/>
      <c r="I1534" s="125"/>
    </row>
    <row r="1535">
      <c r="A1535" s="125"/>
      <c r="B1535" s="125"/>
      <c r="C1535" s="125"/>
      <c r="D1535" s="125"/>
      <c r="E1535" s="125"/>
      <c r="F1535" s="126"/>
      <c r="G1535" s="126"/>
      <c r="H1535" s="127"/>
      <c r="I1535" s="125"/>
    </row>
    <row r="1536">
      <c r="A1536" s="125"/>
      <c r="B1536" s="125"/>
      <c r="C1536" s="125"/>
      <c r="D1536" s="125"/>
      <c r="E1536" s="125"/>
      <c r="F1536" s="126"/>
      <c r="G1536" s="126"/>
      <c r="H1536" s="126"/>
      <c r="I1536" s="125"/>
    </row>
    <row r="1537">
      <c r="A1537" s="125"/>
      <c r="B1537" s="125"/>
      <c r="C1537" s="125"/>
      <c r="D1537" s="125"/>
      <c r="E1537" s="125"/>
      <c r="F1537" s="126"/>
      <c r="G1537" s="126"/>
      <c r="H1537" s="127"/>
      <c r="I1537" s="125"/>
    </row>
    <row r="1538">
      <c r="A1538" s="125"/>
      <c r="B1538" s="125"/>
      <c r="C1538" s="125"/>
      <c r="D1538" s="125"/>
      <c r="E1538" s="125"/>
      <c r="F1538" s="126"/>
      <c r="G1538" s="126"/>
      <c r="H1538" s="127"/>
      <c r="I1538" s="125"/>
    </row>
    <row r="1539">
      <c r="A1539" s="125"/>
      <c r="B1539" s="125"/>
      <c r="C1539" s="125"/>
      <c r="D1539" s="125"/>
      <c r="E1539" s="125"/>
      <c r="F1539" s="126"/>
      <c r="G1539" s="126"/>
      <c r="H1539" s="127"/>
      <c r="I1539" s="125"/>
    </row>
    <row r="1540">
      <c r="A1540" s="125"/>
      <c r="B1540" s="125"/>
      <c r="C1540" s="125"/>
      <c r="D1540" s="125"/>
      <c r="E1540" s="125"/>
      <c r="F1540" s="126"/>
      <c r="G1540" s="126"/>
      <c r="H1540" s="127"/>
      <c r="I1540" s="125"/>
    </row>
    <row r="1541">
      <c r="A1541" s="125"/>
      <c r="B1541" s="125"/>
      <c r="C1541" s="125"/>
      <c r="D1541" s="125"/>
      <c r="E1541" s="125"/>
      <c r="F1541" s="126"/>
      <c r="G1541" s="126"/>
      <c r="H1541" s="127"/>
      <c r="I1541" s="125"/>
    </row>
    <row r="1542">
      <c r="A1542" s="125"/>
      <c r="B1542" s="125"/>
      <c r="C1542" s="125"/>
      <c r="D1542" s="125"/>
      <c r="E1542" s="125"/>
      <c r="F1542" s="126"/>
      <c r="G1542" s="126"/>
      <c r="H1542" s="127"/>
      <c r="I1542" s="125"/>
    </row>
    <row r="1543">
      <c r="A1543" s="125"/>
      <c r="B1543" s="125"/>
      <c r="C1543" s="125"/>
      <c r="D1543" s="125"/>
      <c r="E1543" s="125"/>
      <c r="F1543" s="126"/>
      <c r="G1543" s="126"/>
      <c r="H1543" s="127"/>
      <c r="I1543" s="125"/>
    </row>
    <row r="1544">
      <c r="A1544" s="125"/>
      <c r="B1544" s="125"/>
      <c r="C1544" s="125"/>
      <c r="D1544" s="125"/>
      <c r="E1544" s="125"/>
      <c r="F1544" s="126"/>
      <c r="G1544" s="126"/>
      <c r="H1544" s="127"/>
      <c r="I1544" s="125"/>
    </row>
    <row r="1545">
      <c r="A1545" s="125"/>
      <c r="B1545" s="125"/>
      <c r="C1545" s="125"/>
      <c r="D1545" s="125"/>
      <c r="E1545" s="125"/>
      <c r="F1545" s="126"/>
      <c r="G1545" s="126"/>
      <c r="H1545" s="127"/>
      <c r="I1545" s="125"/>
    </row>
    <row r="1546">
      <c r="A1546" s="125"/>
      <c r="B1546" s="125"/>
      <c r="C1546" s="125"/>
      <c r="D1546" s="125"/>
      <c r="E1546" s="125"/>
      <c r="F1546" s="126"/>
      <c r="G1546" s="126"/>
      <c r="H1546" s="127"/>
      <c r="I1546" s="125"/>
    </row>
    <row r="1547">
      <c r="A1547" s="125"/>
      <c r="B1547" s="125"/>
      <c r="C1547" s="125"/>
      <c r="D1547" s="125"/>
      <c r="E1547" s="125"/>
      <c r="F1547" s="126"/>
      <c r="G1547" s="126"/>
      <c r="H1547" s="127"/>
      <c r="I1547" s="125"/>
    </row>
    <row r="1548">
      <c r="A1548" s="125"/>
      <c r="B1548" s="125"/>
      <c r="C1548" s="125"/>
      <c r="D1548" s="125"/>
      <c r="E1548" s="125"/>
      <c r="F1548" s="126"/>
      <c r="G1548" s="126"/>
      <c r="H1548" s="126"/>
      <c r="I1548" s="125"/>
    </row>
    <row r="1549">
      <c r="A1549" s="125"/>
      <c r="B1549" s="125"/>
      <c r="C1549" s="125"/>
      <c r="D1549" s="125"/>
      <c r="E1549" s="125"/>
      <c r="F1549" s="126"/>
      <c r="G1549" s="126"/>
      <c r="H1549" s="127"/>
      <c r="I1549" s="125"/>
    </row>
    <row r="1550">
      <c r="A1550" s="125"/>
      <c r="B1550" s="125"/>
      <c r="C1550" s="125"/>
      <c r="D1550" s="125"/>
      <c r="E1550" s="125"/>
      <c r="F1550" s="126"/>
      <c r="G1550" s="126"/>
      <c r="H1550" s="126"/>
      <c r="I1550" s="125"/>
    </row>
    <row r="1551">
      <c r="A1551" s="125"/>
      <c r="B1551" s="125"/>
      <c r="C1551" s="125"/>
      <c r="D1551" s="125"/>
      <c r="E1551" s="125"/>
      <c r="F1551" s="126"/>
      <c r="G1551" s="126"/>
      <c r="H1551" s="126"/>
      <c r="I1551" s="125"/>
    </row>
    <row r="1552">
      <c r="A1552" s="125"/>
      <c r="B1552" s="125"/>
      <c r="C1552" s="125"/>
      <c r="D1552" s="125"/>
      <c r="E1552" s="125"/>
      <c r="F1552" s="126"/>
      <c r="G1552" s="126"/>
      <c r="H1552" s="127"/>
      <c r="I1552" s="125"/>
    </row>
    <row r="1553">
      <c r="A1553" s="125"/>
      <c r="B1553" s="125"/>
      <c r="C1553" s="125"/>
      <c r="D1553" s="125"/>
      <c r="E1553" s="125"/>
      <c r="F1553" s="126"/>
      <c r="G1553" s="126"/>
      <c r="H1553" s="126"/>
      <c r="I1553" s="125"/>
    </row>
    <row r="1554">
      <c r="A1554" s="125"/>
      <c r="B1554" s="125"/>
      <c r="C1554" s="125"/>
      <c r="D1554" s="125"/>
      <c r="E1554" s="125"/>
      <c r="F1554" s="126"/>
      <c r="G1554" s="126"/>
      <c r="H1554" s="127"/>
      <c r="I1554" s="125"/>
    </row>
    <row r="1555">
      <c r="A1555" s="125"/>
      <c r="B1555" s="125"/>
      <c r="C1555" s="125"/>
      <c r="D1555" s="125"/>
      <c r="E1555" s="125"/>
      <c r="F1555" s="126"/>
      <c r="G1555" s="126"/>
      <c r="H1555" s="126"/>
      <c r="I1555" s="125"/>
    </row>
    <row r="1556">
      <c r="A1556" s="125"/>
      <c r="B1556" s="125"/>
      <c r="C1556" s="125"/>
      <c r="D1556" s="125"/>
      <c r="E1556" s="125"/>
      <c r="F1556" s="126"/>
      <c r="G1556" s="126"/>
      <c r="H1556" s="127"/>
      <c r="I1556" s="125"/>
    </row>
    <row r="1557">
      <c r="A1557" s="125"/>
      <c r="B1557" s="125"/>
      <c r="C1557" s="125"/>
      <c r="D1557" s="125"/>
      <c r="E1557" s="125"/>
      <c r="F1557" s="126"/>
      <c r="G1557" s="126"/>
      <c r="H1557" s="127"/>
      <c r="I1557" s="125"/>
    </row>
    <row r="1558">
      <c r="A1558" s="125"/>
      <c r="B1558" s="125"/>
      <c r="C1558" s="125"/>
      <c r="D1558" s="125"/>
      <c r="E1558" s="125"/>
      <c r="F1558" s="126"/>
      <c r="G1558" s="126"/>
      <c r="H1558" s="127"/>
      <c r="I1558" s="125"/>
    </row>
    <row r="1559">
      <c r="A1559" s="125"/>
      <c r="B1559" s="125"/>
      <c r="C1559" s="125"/>
      <c r="D1559" s="125"/>
      <c r="E1559" s="125"/>
      <c r="F1559" s="126"/>
      <c r="G1559" s="126"/>
      <c r="H1559" s="127"/>
      <c r="I1559" s="125"/>
    </row>
    <row r="1560">
      <c r="A1560" s="125"/>
      <c r="B1560" s="125"/>
      <c r="C1560" s="125"/>
      <c r="D1560" s="125"/>
      <c r="E1560" s="125"/>
      <c r="F1560" s="126"/>
      <c r="G1560" s="126"/>
      <c r="H1560" s="127"/>
      <c r="I1560" s="125"/>
    </row>
    <row r="1561">
      <c r="A1561" s="125"/>
      <c r="B1561" s="125"/>
      <c r="C1561" s="125"/>
      <c r="D1561" s="125"/>
      <c r="E1561" s="125"/>
      <c r="F1561" s="126"/>
      <c r="G1561" s="126"/>
      <c r="H1561" s="126"/>
      <c r="I1561" s="125"/>
    </row>
    <row r="1562">
      <c r="A1562" s="125"/>
      <c r="B1562" s="125"/>
      <c r="C1562" s="125"/>
      <c r="D1562" s="125"/>
      <c r="E1562" s="125"/>
      <c r="F1562" s="126"/>
      <c r="G1562" s="126"/>
      <c r="H1562" s="127"/>
      <c r="I1562" s="125"/>
    </row>
    <row r="1563">
      <c r="A1563" s="125"/>
      <c r="B1563" s="125"/>
      <c r="C1563" s="125"/>
      <c r="D1563" s="125"/>
      <c r="E1563" s="125"/>
      <c r="F1563" s="126"/>
      <c r="G1563" s="126"/>
      <c r="H1563" s="127"/>
      <c r="I1563" s="125"/>
    </row>
    <row r="1564">
      <c r="A1564" s="125"/>
      <c r="B1564" s="125"/>
      <c r="C1564" s="125"/>
      <c r="D1564" s="125"/>
      <c r="E1564" s="125"/>
      <c r="F1564" s="126"/>
      <c r="G1564" s="126"/>
      <c r="H1564" s="127"/>
      <c r="I1564" s="125"/>
    </row>
    <row r="1565">
      <c r="A1565" s="125"/>
      <c r="B1565" s="125"/>
      <c r="C1565" s="125"/>
      <c r="D1565" s="125"/>
      <c r="E1565" s="125"/>
      <c r="F1565" s="126"/>
      <c r="G1565" s="126"/>
      <c r="H1565" s="127"/>
      <c r="I1565" s="125"/>
    </row>
    <row r="1566">
      <c r="A1566" s="125"/>
      <c r="B1566" s="125"/>
      <c r="C1566" s="125"/>
      <c r="D1566" s="125"/>
      <c r="E1566" s="125"/>
      <c r="F1566" s="126"/>
      <c r="G1566" s="126"/>
      <c r="H1566" s="126"/>
      <c r="I1566" s="125"/>
    </row>
    <row r="1567">
      <c r="A1567" s="125"/>
      <c r="B1567" s="125"/>
      <c r="C1567" s="125"/>
      <c r="D1567" s="125"/>
      <c r="E1567" s="125"/>
      <c r="F1567" s="126"/>
      <c r="G1567" s="126"/>
      <c r="H1567" s="127"/>
      <c r="I1567" s="125"/>
    </row>
    <row r="1568">
      <c r="A1568" s="125"/>
      <c r="B1568" s="125"/>
      <c r="C1568" s="125"/>
      <c r="D1568" s="125"/>
      <c r="E1568" s="125"/>
      <c r="F1568" s="126"/>
      <c r="G1568" s="126"/>
      <c r="H1568" s="127"/>
      <c r="I1568" s="125"/>
    </row>
    <row r="1569">
      <c r="A1569" s="125"/>
      <c r="B1569" s="125"/>
      <c r="C1569" s="125"/>
      <c r="D1569" s="125"/>
      <c r="E1569" s="125"/>
      <c r="F1569" s="126"/>
      <c r="G1569" s="126"/>
      <c r="H1569" s="127"/>
      <c r="I1569" s="125"/>
    </row>
    <row r="1570">
      <c r="A1570" s="125"/>
      <c r="B1570" s="125"/>
      <c r="C1570" s="125"/>
      <c r="D1570" s="125"/>
      <c r="E1570" s="125"/>
      <c r="F1570" s="126"/>
      <c r="G1570" s="126"/>
      <c r="H1570" s="127"/>
      <c r="I1570" s="125"/>
    </row>
    <row r="1571">
      <c r="A1571" s="125"/>
      <c r="B1571" s="125"/>
      <c r="C1571" s="125"/>
      <c r="D1571" s="125"/>
      <c r="E1571" s="125"/>
      <c r="F1571" s="126"/>
      <c r="G1571" s="126"/>
      <c r="H1571" s="127"/>
      <c r="I1571" s="125"/>
    </row>
    <row r="1572">
      <c r="A1572" s="125"/>
      <c r="B1572" s="125"/>
      <c r="C1572" s="125"/>
      <c r="D1572" s="125"/>
      <c r="E1572" s="125"/>
      <c r="F1572" s="126"/>
      <c r="G1572" s="126"/>
      <c r="H1572" s="126"/>
      <c r="I1572" s="125"/>
    </row>
    <row r="1573">
      <c r="A1573" s="125"/>
      <c r="B1573" s="125"/>
      <c r="C1573" s="125"/>
      <c r="D1573" s="125"/>
      <c r="E1573" s="125"/>
      <c r="F1573" s="126"/>
      <c r="G1573" s="126"/>
      <c r="H1573" s="127"/>
      <c r="I1573" s="125"/>
    </row>
    <row r="1574">
      <c r="A1574" s="125"/>
      <c r="B1574" s="125"/>
      <c r="C1574" s="125"/>
      <c r="D1574" s="125"/>
      <c r="E1574" s="125"/>
      <c r="F1574" s="126"/>
      <c r="G1574" s="126"/>
      <c r="H1574" s="126"/>
      <c r="I1574" s="125"/>
    </row>
    <row r="1575">
      <c r="A1575" s="125"/>
      <c r="B1575" s="125"/>
      <c r="C1575" s="125"/>
      <c r="D1575" s="125"/>
      <c r="E1575" s="125"/>
      <c r="F1575" s="126"/>
      <c r="G1575" s="126"/>
      <c r="H1575" s="127"/>
      <c r="I1575" s="125"/>
    </row>
    <row r="1576">
      <c r="A1576" s="125"/>
      <c r="B1576" s="125"/>
      <c r="C1576" s="125"/>
      <c r="D1576" s="125"/>
      <c r="E1576" s="125"/>
      <c r="F1576" s="126"/>
      <c r="G1576" s="126"/>
      <c r="H1576" s="127"/>
      <c r="I1576" s="125"/>
    </row>
    <row r="1577">
      <c r="A1577" s="125"/>
      <c r="B1577" s="125"/>
      <c r="C1577" s="125"/>
      <c r="D1577" s="125"/>
      <c r="E1577" s="125"/>
      <c r="F1577" s="126"/>
      <c r="G1577" s="126"/>
      <c r="H1577" s="127"/>
      <c r="I1577" s="125"/>
    </row>
    <row r="1578">
      <c r="A1578" s="125"/>
      <c r="B1578" s="125"/>
      <c r="C1578" s="125"/>
      <c r="D1578" s="125"/>
      <c r="E1578" s="125"/>
      <c r="F1578" s="126"/>
      <c r="G1578" s="126"/>
      <c r="H1578" s="127"/>
      <c r="I1578" s="125"/>
    </row>
    <row r="1579">
      <c r="A1579" s="125"/>
      <c r="B1579" s="125"/>
      <c r="C1579" s="125"/>
      <c r="D1579" s="125"/>
      <c r="E1579" s="125"/>
      <c r="F1579" s="126"/>
      <c r="G1579" s="126"/>
      <c r="H1579" s="126"/>
      <c r="I1579" s="125"/>
    </row>
    <row r="1580">
      <c r="A1580" s="125"/>
      <c r="B1580" s="125"/>
      <c r="C1580" s="125"/>
      <c r="D1580" s="125"/>
      <c r="E1580" s="125"/>
      <c r="F1580" s="126"/>
      <c r="G1580" s="126"/>
      <c r="H1580" s="127"/>
      <c r="I1580" s="125"/>
    </row>
    <row r="1581">
      <c r="A1581" s="125"/>
      <c r="B1581" s="125"/>
      <c r="C1581" s="125"/>
      <c r="D1581" s="125"/>
      <c r="E1581" s="125"/>
      <c r="F1581" s="126"/>
      <c r="G1581" s="126"/>
      <c r="H1581" s="127"/>
      <c r="I1581" s="125"/>
    </row>
    <row r="1582">
      <c r="A1582" s="125"/>
      <c r="B1582" s="125"/>
      <c r="C1582" s="125"/>
      <c r="D1582" s="125"/>
      <c r="E1582" s="125"/>
      <c r="F1582" s="126"/>
      <c r="G1582" s="126"/>
      <c r="H1582" s="127"/>
      <c r="I1582" s="125"/>
    </row>
    <row r="1583">
      <c r="A1583" s="125"/>
      <c r="B1583" s="125"/>
      <c r="C1583" s="125"/>
      <c r="D1583" s="125"/>
      <c r="E1583" s="125"/>
      <c r="F1583" s="126"/>
      <c r="G1583" s="126"/>
      <c r="H1583" s="127"/>
      <c r="I1583" s="125"/>
    </row>
    <row r="1584">
      <c r="A1584" s="125"/>
      <c r="B1584" s="125"/>
      <c r="C1584" s="125"/>
      <c r="D1584" s="125"/>
      <c r="E1584" s="125"/>
      <c r="F1584" s="126"/>
      <c r="G1584" s="126"/>
      <c r="H1584" s="127"/>
      <c r="I1584" s="125"/>
    </row>
    <row r="1585">
      <c r="A1585" s="125"/>
      <c r="B1585" s="125"/>
      <c r="C1585" s="125"/>
      <c r="D1585" s="125"/>
      <c r="E1585" s="125"/>
      <c r="F1585" s="126"/>
      <c r="G1585" s="126"/>
      <c r="H1585" s="127"/>
      <c r="I1585" s="125"/>
    </row>
    <row r="1586">
      <c r="A1586" s="125"/>
      <c r="B1586" s="125"/>
      <c r="C1586" s="125"/>
      <c r="D1586" s="125"/>
      <c r="E1586" s="125"/>
      <c r="F1586" s="126"/>
      <c r="G1586" s="126"/>
      <c r="H1586" s="127"/>
      <c r="I1586" s="125"/>
    </row>
    <row r="1587">
      <c r="A1587" s="125"/>
      <c r="B1587" s="125"/>
      <c r="C1587" s="125"/>
      <c r="D1587" s="125"/>
      <c r="E1587" s="125"/>
      <c r="F1587" s="126"/>
      <c r="G1587" s="126"/>
      <c r="H1587" s="127"/>
      <c r="I1587" s="125"/>
    </row>
    <row r="1588">
      <c r="A1588" s="125"/>
      <c r="B1588" s="125"/>
      <c r="C1588" s="125"/>
      <c r="D1588" s="125"/>
      <c r="E1588" s="125"/>
      <c r="F1588" s="126"/>
      <c r="G1588" s="126"/>
      <c r="H1588" s="127"/>
      <c r="I1588" s="125"/>
    </row>
    <row r="1589">
      <c r="A1589" s="125"/>
      <c r="B1589" s="125"/>
      <c r="C1589" s="125"/>
      <c r="D1589" s="125"/>
      <c r="E1589" s="125"/>
      <c r="F1589" s="126"/>
      <c r="G1589" s="126"/>
      <c r="H1589" s="127"/>
      <c r="I1589" s="125"/>
    </row>
    <row r="1590">
      <c r="A1590" s="125"/>
      <c r="B1590" s="125"/>
      <c r="C1590" s="125"/>
      <c r="D1590" s="125"/>
      <c r="E1590" s="125"/>
      <c r="F1590" s="126"/>
      <c r="G1590" s="126"/>
      <c r="H1590" s="127"/>
      <c r="I1590" s="125"/>
    </row>
    <row r="1591">
      <c r="A1591" s="125"/>
      <c r="B1591" s="125"/>
      <c r="C1591" s="125"/>
      <c r="D1591" s="125"/>
      <c r="E1591" s="125"/>
      <c r="F1591" s="126"/>
      <c r="G1591" s="126"/>
      <c r="H1591" s="127"/>
      <c r="I1591" s="125"/>
    </row>
    <row r="1592">
      <c r="A1592" s="125"/>
      <c r="B1592" s="125"/>
      <c r="C1592" s="125"/>
      <c r="D1592" s="125"/>
      <c r="E1592" s="125"/>
      <c r="F1592" s="126"/>
      <c r="G1592" s="126"/>
      <c r="H1592" s="126"/>
      <c r="I1592" s="125"/>
    </row>
    <row r="1593">
      <c r="A1593" s="125"/>
      <c r="B1593" s="125"/>
      <c r="C1593" s="125"/>
      <c r="D1593" s="125"/>
      <c r="E1593" s="125"/>
      <c r="F1593" s="126"/>
      <c r="G1593" s="126"/>
      <c r="H1593" s="127"/>
      <c r="I1593" s="125"/>
    </row>
    <row r="1594">
      <c r="A1594" s="125"/>
      <c r="B1594" s="125"/>
      <c r="C1594" s="125"/>
      <c r="D1594" s="125"/>
      <c r="E1594" s="125"/>
      <c r="F1594" s="126"/>
      <c r="G1594" s="126"/>
      <c r="H1594" s="127"/>
      <c r="I1594" s="125"/>
    </row>
    <row r="1595">
      <c r="A1595" s="125"/>
      <c r="B1595" s="125"/>
      <c r="C1595" s="125"/>
      <c r="D1595" s="125"/>
      <c r="E1595" s="125"/>
      <c r="F1595" s="126"/>
      <c r="G1595" s="126"/>
      <c r="H1595" s="127"/>
      <c r="I1595" s="125"/>
    </row>
    <row r="1596">
      <c r="A1596" s="125"/>
      <c r="B1596" s="125"/>
      <c r="C1596" s="125"/>
      <c r="D1596" s="125"/>
      <c r="E1596" s="125"/>
      <c r="F1596" s="126"/>
      <c r="G1596" s="126"/>
      <c r="H1596" s="127"/>
      <c r="I1596" s="125"/>
    </row>
    <row r="1597">
      <c r="A1597" s="125"/>
      <c r="B1597" s="125"/>
      <c r="C1597" s="125"/>
      <c r="D1597" s="125"/>
      <c r="E1597" s="125"/>
      <c r="F1597" s="126"/>
      <c r="G1597" s="126"/>
      <c r="H1597" s="127"/>
      <c r="I1597" s="125"/>
    </row>
    <row r="1598">
      <c r="A1598" s="125"/>
      <c r="B1598" s="125"/>
      <c r="C1598" s="125"/>
      <c r="D1598" s="125"/>
      <c r="E1598" s="125"/>
      <c r="F1598" s="126"/>
      <c r="G1598" s="126"/>
      <c r="H1598" s="127"/>
      <c r="I1598" s="125"/>
    </row>
    <row r="1599">
      <c r="A1599" s="125"/>
      <c r="B1599" s="125"/>
      <c r="C1599" s="125"/>
      <c r="D1599" s="125"/>
      <c r="E1599" s="125"/>
      <c r="F1599" s="126"/>
      <c r="G1599" s="126"/>
      <c r="H1599" s="126"/>
      <c r="I1599" s="125"/>
    </row>
    <row r="1600">
      <c r="A1600" s="125"/>
      <c r="B1600" s="125"/>
      <c r="C1600" s="125"/>
      <c r="D1600" s="125"/>
      <c r="E1600" s="125"/>
      <c r="F1600" s="126"/>
      <c r="G1600" s="126"/>
      <c r="H1600" s="126"/>
      <c r="I1600" s="125"/>
    </row>
    <row r="1601">
      <c r="A1601" s="125"/>
      <c r="B1601" s="125"/>
      <c r="C1601" s="125"/>
      <c r="D1601" s="125"/>
      <c r="E1601" s="125"/>
      <c r="F1601" s="126"/>
      <c r="G1601" s="126"/>
      <c r="H1601" s="127"/>
      <c r="I1601" s="125"/>
    </row>
    <row r="1602">
      <c r="A1602" s="125"/>
      <c r="B1602" s="125"/>
      <c r="C1602" s="125"/>
      <c r="D1602" s="125"/>
      <c r="E1602" s="125"/>
      <c r="F1602" s="126"/>
      <c r="G1602" s="126"/>
      <c r="H1602" s="127"/>
      <c r="I1602" s="125"/>
    </row>
    <row r="1603">
      <c r="A1603" s="125"/>
      <c r="B1603" s="125"/>
      <c r="C1603" s="125"/>
      <c r="D1603" s="125"/>
      <c r="E1603" s="125"/>
      <c r="F1603" s="126"/>
      <c r="G1603" s="126"/>
      <c r="H1603" s="127"/>
      <c r="I1603" s="125"/>
    </row>
    <row r="1604">
      <c r="A1604" s="125"/>
      <c r="B1604" s="125"/>
      <c r="C1604" s="125"/>
      <c r="D1604" s="125"/>
      <c r="E1604" s="125"/>
      <c r="F1604" s="126"/>
      <c r="G1604" s="126"/>
      <c r="H1604" s="127"/>
      <c r="I1604" s="125"/>
    </row>
    <row r="1605">
      <c r="A1605" s="125"/>
      <c r="B1605" s="125"/>
      <c r="C1605" s="125"/>
      <c r="D1605" s="125"/>
      <c r="E1605" s="125"/>
      <c r="F1605" s="126"/>
      <c r="G1605" s="126"/>
      <c r="H1605" s="127"/>
      <c r="I1605" s="125"/>
    </row>
    <row r="1606">
      <c r="A1606" s="125"/>
      <c r="B1606" s="125"/>
      <c r="C1606" s="125"/>
      <c r="D1606" s="125"/>
      <c r="E1606" s="125"/>
      <c r="F1606" s="126"/>
      <c r="G1606" s="126"/>
      <c r="H1606" s="127"/>
      <c r="I1606" s="125"/>
    </row>
    <row r="1607">
      <c r="A1607" s="125"/>
      <c r="B1607" s="125"/>
      <c r="C1607" s="125"/>
      <c r="D1607" s="125"/>
      <c r="E1607" s="125"/>
      <c r="F1607" s="126"/>
      <c r="G1607" s="126"/>
      <c r="H1607" s="127"/>
      <c r="I1607" s="125"/>
    </row>
    <row r="1608">
      <c r="A1608" s="125"/>
      <c r="B1608" s="125"/>
      <c r="C1608" s="125"/>
      <c r="D1608" s="125"/>
      <c r="E1608" s="125"/>
      <c r="F1608" s="126"/>
      <c r="G1608" s="126"/>
      <c r="H1608" s="126"/>
      <c r="I1608" s="125"/>
    </row>
    <row r="1609">
      <c r="A1609" s="125"/>
      <c r="B1609" s="125"/>
      <c r="C1609" s="125"/>
      <c r="D1609" s="125"/>
      <c r="E1609" s="125"/>
      <c r="F1609" s="126"/>
      <c r="G1609" s="126"/>
      <c r="H1609" s="127"/>
      <c r="I1609" s="125"/>
    </row>
    <row r="1610">
      <c r="A1610" s="125"/>
      <c r="B1610" s="125"/>
      <c r="C1610" s="125"/>
      <c r="D1610" s="125"/>
      <c r="E1610" s="125"/>
      <c r="F1610" s="126"/>
      <c r="G1610" s="126"/>
      <c r="H1610" s="127"/>
      <c r="I1610" s="125"/>
    </row>
    <row r="1611">
      <c r="A1611" s="125"/>
      <c r="B1611" s="125"/>
      <c r="C1611" s="125"/>
      <c r="D1611" s="125"/>
      <c r="E1611" s="125"/>
      <c r="F1611" s="126"/>
      <c r="G1611" s="126"/>
      <c r="H1611" s="127"/>
      <c r="I1611" s="125"/>
    </row>
    <row r="1612">
      <c r="A1612" s="125"/>
      <c r="B1612" s="125"/>
      <c r="C1612" s="125"/>
      <c r="D1612" s="125"/>
      <c r="E1612" s="125"/>
      <c r="F1612" s="126"/>
      <c r="G1612" s="126"/>
      <c r="H1612" s="127"/>
      <c r="I1612" s="125"/>
    </row>
    <row r="1613">
      <c r="A1613" s="125"/>
      <c r="B1613" s="125"/>
      <c r="C1613" s="125"/>
      <c r="D1613" s="125"/>
      <c r="E1613" s="125"/>
      <c r="F1613" s="126"/>
      <c r="G1613" s="126"/>
      <c r="H1613" s="127"/>
      <c r="I1613" s="125"/>
    </row>
    <row r="1614">
      <c r="A1614" s="125"/>
      <c r="B1614" s="125"/>
      <c r="C1614" s="125"/>
      <c r="D1614" s="125"/>
      <c r="E1614" s="125"/>
      <c r="F1614" s="126"/>
      <c r="G1614" s="126"/>
      <c r="H1614" s="126"/>
      <c r="I1614" s="125"/>
    </row>
    <row r="1615">
      <c r="A1615" s="125"/>
      <c r="B1615" s="125"/>
      <c r="C1615" s="125"/>
      <c r="D1615" s="125"/>
      <c r="E1615" s="125"/>
      <c r="F1615" s="126"/>
      <c r="G1615" s="126"/>
      <c r="H1615" s="127"/>
      <c r="I1615" s="125"/>
    </row>
    <row r="1616">
      <c r="A1616" s="125"/>
      <c r="B1616" s="125"/>
      <c r="C1616" s="125"/>
      <c r="D1616" s="125"/>
      <c r="E1616" s="125"/>
      <c r="F1616" s="126"/>
      <c r="G1616" s="126"/>
      <c r="H1616" s="126"/>
      <c r="I1616" s="125"/>
    </row>
    <row r="1617">
      <c r="A1617" s="125"/>
      <c r="B1617" s="125"/>
      <c r="C1617" s="125"/>
      <c r="D1617" s="125"/>
      <c r="E1617" s="125"/>
      <c r="F1617" s="126"/>
      <c r="G1617" s="126"/>
      <c r="H1617" s="126"/>
      <c r="I1617" s="125"/>
    </row>
    <row r="1618">
      <c r="A1618" s="125"/>
      <c r="B1618" s="125"/>
      <c r="C1618" s="125"/>
      <c r="D1618" s="125"/>
      <c r="E1618" s="125"/>
      <c r="F1618" s="126"/>
      <c r="G1618" s="126"/>
      <c r="H1618" s="127"/>
      <c r="I1618" s="125"/>
    </row>
    <row r="1619">
      <c r="A1619" s="125"/>
      <c r="B1619" s="125"/>
      <c r="C1619" s="125"/>
      <c r="D1619" s="125"/>
      <c r="E1619" s="125"/>
      <c r="F1619" s="126"/>
      <c r="G1619" s="126"/>
      <c r="H1619" s="127"/>
      <c r="I1619" s="125"/>
    </row>
    <row r="1620">
      <c r="A1620" s="125"/>
      <c r="B1620" s="125"/>
      <c r="C1620" s="125"/>
      <c r="D1620" s="125"/>
      <c r="E1620" s="125"/>
      <c r="F1620" s="126"/>
      <c r="G1620" s="126"/>
      <c r="H1620" s="127"/>
      <c r="I1620" s="125"/>
    </row>
    <row r="1621">
      <c r="A1621" s="125"/>
      <c r="B1621" s="125"/>
      <c r="C1621" s="125"/>
      <c r="D1621" s="125"/>
      <c r="E1621" s="125"/>
      <c r="F1621" s="126"/>
      <c r="G1621" s="126"/>
      <c r="H1621" s="127"/>
      <c r="I1621" s="125"/>
    </row>
    <row r="1622">
      <c r="A1622" s="125"/>
      <c r="B1622" s="125"/>
      <c r="C1622" s="125"/>
      <c r="D1622" s="125"/>
      <c r="E1622" s="125"/>
      <c r="F1622" s="126"/>
      <c r="G1622" s="126"/>
      <c r="H1622" s="127"/>
      <c r="I1622" s="125"/>
    </row>
    <row r="1623">
      <c r="A1623" s="125"/>
      <c r="B1623" s="125"/>
      <c r="C1623" s="125"/>
      <c r="D1623" s="125"/>
      <c r="E1623" s="125"/>
      <c r="F1623" s="126"/>
      <c r="G1623" s="126"/>
      <c r="H1623" s="127"/>
      <c r="I1623" s="125"/>
    </row>
    <row r="1624">
      <c r="A1624" s="125"/>
      <c r="B1624" s="125"/>
      <c r="C1624" s="125"/>
      <c r="D1624" s="125"/>
      <c r="E1624" s="125"/>
      <c r="F1624" s="126"/>
      <c r="G1624" s="126"/>
      <c r="H1624" s="127"/>
      <c r="I1624" s="125"/>
    </row>
    <row r="1625">
      <c r="A1625" s="125"/>
      <c r="B1625" s="125"/>
      <c r="C1625" s="125"/>
      <c r="D1625" s="125"/>
      <c r="E1625" s="125"/>
      <c r="F1625" s="126"/>
      <c r="G1625" s="126"/>
      <c r="H1625" s="127"/>
      <c r="I1625" s="125"/>
    </row>
    <row r="1626">
      <c r="A1626" s="125"/>
      <c r="B1626" s="125"/>
      <c r="C1626" s="125"/>
      <c r="D1626" s="125"/>
      <c r="E1626" s="125"/>
      <c r="F1626" s="126"/>
      <c r="G1626" s="126"/>
      <c r="H1626" s="126"/>
      <c r="I1626" s="125"/>
    </row>
    <row r="1627">
      <c r="A1627" s="125"/>
      <c r="B1627" s="125"/>
      <c r="C1627" s="125"/>
      <c r="D1627" s="125"/>
      <c r="E1627" s="125"/>
      <c r="F1627" s="126"/>
      <c r="G1627" s="126"/>
      <c r="H1627" s="127"/>
      <c r="I1627" s="125"/>
    </row>
    <row r="1628">
      <c r="A1628" s="125"/>
      <c r="B1628" s="125"/>
      <c r="C1628" s="125"/>
      <c r="D1628" s="125"/>
      <c r="E1628" s="125"/>
      <c r="F1628" s="126"/>
      <c r="G1628" s="126"/>
      <c r="H1628" s="126"/>
      <c r="I1628" s="125"/>
    </row>
    <row r="1629">
      <c r="A1629" s="125"/>
      <c r="B1629" s="125"/>
      <c r="C1629" s="125"/>
      <c r="D1629" s="125"/>
      <c r="E1629" s="125"/>
      <c r="F1629" s="126"/>
      <c r="G1629" s="126"/>
      <c r="H1629" s="126"/>
      <c r="I1629" s="125"/>
    </row>
    <row r="1630">
      <c r="A1630" s="125"/>
      <c r="B1630" s="125"/>
      <c r="C1630" s="125"/>
      <c r="D1630" s="125"/>
      <c r="E1630" s="125"/>
      <c r="F1630" s="126"/>
      <c r="G1630" s="126"/>
      <c r="H1630" s="127"/>
      <c r="I1630" s="125"/>
    </row>
    <row r="1631">
      <c r="A1631" s="125"/>
      <c r="B1631" s="125"/>
      <c r="C1631" s="125"/>
      <c r="D1631" s="125"/>
      <c r="E1631" s="125"/>
      <c r="F1631" s="126"/>
      <c r="G1631" s="126"/>
      <c r="H1631" s="127"/>
      <c r="I1631" s="125"/>
    </row>
    <row r="1632">
      <c r="A1632" s="125"/>
      <c r="B1632" s="125"/>
      <c r="C1632" s="125"/>
      <c r="D1632" s="125"/>
      <c r="E1632" s="125"/>
      <c r="F1632" s="126"/>
      <c r="G1632" s="126"/>
      <c r="H1632" s="127"/>
      <c r="I1632" s="125"/>
    </row>
    <row r="1633">
      <c r="A1633" s="125"/>
      <c r="B1633" s="125"/>
      <c r="C1633" s="125"/>
      <c r="D1633" s="125"/>
      <c r="E1633" s="125"/>
      <c r="F1633" s="126"/>
      <c r="G1633" s="126"/>
      <c r="H1633" s="127"/>
      <c r="I1633" s="125"/>
    </row>
    <row r="1634">
      <c r="A1634" s="125"/>
      <c r="B1634" s="125"/>
      <c r="C1634" s="125"/>
      <c r="D1634" s="125"/>
      <c r="E1634" s="125"/>
      <c r="F1634" s="126"/>
      <c r="G1634" s="126"/>
      <c r="H1634" s="127"/>
      <c r="I1634" s="125"/>
    </row>
    <row r="1635">
      <c r="A1635" s="125"/>
      <c r="B1635" s="125"/>
      <c r="C1635" s="125"/>
      <c r="D1635" s="125"/>
      <c r="E1635" s="125"/>
      <c r="F1635" s="126"/>
      <c r="G1635" s="126"/>
      <c r="H1635" s="127"/>
      <c r="I1635" s="125"/>
    </row>
    <row r="1636">
      <c r="A1636" s="125"/>
      <c r="B1636" s="125"/>
      <c r="C1636" s="125"/>
      <c r="D1636" s="125"/>
      <c r="E1636" s="125"/>
      <c r="F1636" s="126"/>
      <c r="G1636" s="126"/>
      <c r="H1636" s="126"/>
      <c r="I1636" s="125"/>
    </row>
    <row r="1637">
      <c r="A1637" s="125"/>
      <c r="B1637" s="125"/>
      <c r="C1637" s="125"/>
      <c r="D1637" s="125"/>
      <c r="E1637" s="125"/>
      <c r="F1637" s="126"/>
      <c r="G1637" s="126"/>
      <c r="H1637" s="126"/>
      <c r="I1637" s="125"/>
    </row>
    <row r="1638">
      <c r="A1638" s="125"/>
      <c r="B1638" s="125"/>
      <c r="C1638" s="125"/>
      <c r="D1638" s="125"/>
      <c r="E1638" s="125"/>
      <c r="F1638" s="126"/>
      <c r="G1638" s="126"/>
      <c r="H1638" s="127"/>
      <c r="I1638" s="125"/>
    </row>
    <row r="1639">
      <c r="A1639" s="125"/>
      <c r="B1639" s="125"/>
      <c r="C1639" s="125"/>
      <c r="D1639" s="125"/>
      <c r="E1639" s="125"/>
      <c r="F1639" s="126"/>
      <c r="G1639" s="126"/>
      <c r="H1639" s="127"/>
      <c r="I1639" s="125"/>
    </row>
    <row r="1640">
      <c r="A1640" s="125"/>
      <c r="B1640" s="125"/>
      <c r="C1640" s="125"/>
      <c r="D1640" s="125"/>
      <c r="E1640" s="125"/>
      <c r="F1640" s="126"/>
      <c r="G1640" s="126"/>
      <c r="H1640" s="127"/>
      <c r="I1640" s="125"/>
    </row>
    <row r="1641">
      <c r="A1641" s="125"/>
      <c r="B1641" s="125"/>
      <c r="C1641" s="125"/>
      <c r="D1641" s="125"/>
      <c r="E1641" s="125"/>
      <c r="F1641" s="126"/>
      <c r="G1641" s="126"/>
      <c r="H1641" s="127"/>
      <c r="I1641" s="125"/>
    </row>
    <row r="1642">
      <c r="A1642" s="125"/>
      <c r="B1642" s="125"/>
      <c r="C1642" s="125"/>
      <c r="D1642" s="125"/>
      <c r="E1642" s="125"/>
      <c r="F1642" s="126"/>
      <c r="G1642" s="126"/>
      <c r="H1642" s="127"/>
      <c r="I1642" s="125"/>
    </row>
    <row r="1643">
      <c r="A1643" s="125"/>
      <c r="B1643" s="125"/>
      <c r="C1643" s="125"/>
      <c r="D1643" s="125"/>
      <c r="E1643" s="125"/>
      <c r="F1643" s="126"/>
      <c r="G1643" s="126"/>
      <c r="H1643" s="127"/>
      <c r="I1643" s="125"/>
    </row>
    <row r="1644">
      <c r="A1644" s="125"/>
      <c r="B1644" s="125"/>
      <c r="C1644" s="125"/>
      <c r="D1644" s="125"/>
      <c r="E1644" s="125"/>
      <c r="F1644" s="126"/>
      <c r="G1644" s="126"/>
      <c r="H1644" s="127"/>
      <c r="I1644" s="125"/>
    </row>
    <row r="1645">
      <c r="A1645" s="125"/>
      <c r="B1645" s="125"/>
      <c r="C1645" s="125"/>
      <c r="D1645" s="125"/>
      <c r="E1645" s="125"/>
      <c r="F1645" s="126"/>
      <c r="G1645" s="126"/>
      <c r="H1645" s="127"/>
      <c r="I1645" s="125"/>
    </row>
    <row r="1646">
      <c r="A1646" s="125"/>
      <c r="B1646" s="125"/>
      <c r="C1646" s="125"/>
      <c r="D1646" s="125"/>
      <c r="E1646" s="125"/>
      <c r="F1646" s="126"/>
      <c r="G1646" s="126"/>
      <c r="H1646" s="127"/>
      <c r="I1646" s="125"/>
    </row>
    <row r="1647">
      <c r="A1647" s="125"/>
      <c r="B1647" s="125"/>
      <c r="C1647" s="125"/>
      <c r="D1647" s="125"/>
      <c r="E1647" s="125"/>
      <c r="F1647" s="126"/>
      <c r="G1647" s="126"/>
      <c r="H1647" s="127"/>
      <c r="I1647" s="125"/>
    </row>
    <row r="1648">
      <c r="A1648" s="125"/>
      <c r="B1648" s="125"/>
      <c r="C1648" s="125"/>
      <c r="D1648" s="125"/>
      <c r="E1648" s="125"/>
      <c r="F1648" s="126"/>
      <c r="G1648" s="126"/>
      <c r="H1648" s="127"/>
      <c r="I1648" s="125"/>
    </row>
    <row r="1649">
      <c r="A1649" s="125"/>
      <c r="B1649" s="125"/>
      <c r="C1649" s="125"/>
      <c r="D1649" s="125"/>
      <c r="E1649" s="125"/>
      <c r="F1649" s="126"/>
      <c r="G1649" s="126"/>
      <c r="H1649" s="127"/>
      <c r="I1649" s="125"/>
    </row>
    <row r="1650">
      <c r="A1650" s="125"/>
      <c r="B1650" s="125"/>
      <c r="C1650" s="125"/>
      <c r="D1650" s="125"/>
      <c r="E1650" s="125"/>
      <c r="F1650" s="126"/>
      <c r="G1650" s="126"/>
      <c r="H1650" s="127"/>
      <c r="I1650" s="125"/>
    </row>
    <row r="1651">
      <c r="A1651" s="125"/>
      <c r="B1651" s="125"/>
      <c r="C1651" s="125"/>
      <c r="D1651" s="125"/>
      <c r="E1651" s="125"/>
      <c r="F1651" s="126"/>
      <c r="G1651" s="126"/>
      <c r="H1651" s="127"/>
      <c r="I1651" s="125"/>
    </row>
    <row r="1652">
      <c r="A1652" s="125"/>
      <c r="B1652" s="125"/>
      <c r="C1652" s="125"/>
      <c r="D1652" s="125"/>
      <c r="E1652" s="125"/>
      <c r="F1652" s="126"/>
      <c r="G1652" s="126"/>
      <c r="H1652" s="127"/>
      <c r="I1652" s="125"/>
    </row>
    <row r="1653">
      <c r="A1653" s="125"/>
      <c r="B1653" s="125"/>
      <c r="C1653" s="125"/>
      <c r="D1653" s="125"/>
      <c r="E1653" s="125"/>
      <c r="F1653" s="126"/>
      <c r="G1653" s="126"/>
      <c r="H1653" s="127"/>
      <c r="I1653" s="125"/>
    </row>
    <row r="1654">
      <c r="A1654" s="125"/>
      <c r="B1654" s="125"/>
      <c r="C1654" s="125"/>
      <c r="D1654" s="125"/>
      <c r="E1654" s="125"/>
      <c r="F1654" s="126"/>
      <c r="G1654" s="126"/>
      <c r="H1654" s="127"/>
      <c r="I1654" s="125"/>
    </row>
    <row r="1655">
      <c r="A1655" s="125"/>
      <c r="B1655" s="125"/>
      <c r="C1655" s="125"/>
      <c r="D1655" s="125"/>
      <c r="E1655" s="125"/>
      <c r="F1655" s="126"/>
      <c r="G1655" s="126"/>
      <c r="H1655" s="127"/>
      <c r="I1655" s="125"/>
    </row>
    <row r="1656">
      <c r="A1656" s="125"/>
      <c r="B1656" s="125"/>
      <c r="C1656" s="125"/>
      <c r="D1656" s="125"/>
      <c r="E1656" s="125"/>
      <c r="F1656" s="126"/>
      <c r="G1656" s="126"/>
      <c r="H1656" s="126"/>
      <c r="I1656" s="125"/>
    </row>
    <row r="1657">
      <c r="A1657" s="125"/>
      <c r="B1657" s="125"/>
      <c r="C1657" s="125"/>
      <c r="D1657" s="125"/>
      <c r="E1657" s="125"/>
      <c r="F1657" s="126"/>
      <c r="G1657" s="126"/>
      <c r="H1657" s="126"/>
      <c r="I1657" s="125"/>
    </row>
    <row r="1658">
      <c r="A1658" s="125"/>
      <c r="B1658" s="125"/>
      <c r="C1658" s="125"/>
      <c r="D1658" s="125"/>
      <c r="E1658" s="125"/>
      <c r="F1658" s="126"/>
      <c r="G1658" s="126"/>
      <c r="H1658" s="127"/>
      <c r="I1658" s="125"/>
    </row>
    <row r="1659">
      <c r="A1659" s="125"/>
      <c r="B1659" s="125"/>
      <c r="C1659" s="125"/>
      <c r="D1659" s="125"/>
      <c r="E1659" s="125"/>
      <c r="F1659" s="126"/>
      <c r="G1659" s="126"/>
      <c r="H1659" s="127"/>
      <c r="I1659" s="125"/>
    </row>
    <row r="1660">
      <c r="A1660" s="125"/>
      <c r="B1660" s="125"/>
      <c r="C1660" s="125"/>
      <c r="D1660" s="125"/>
      <c r="E1660" s="125"/>
      <c r="F1660" s="126"/>
      <c r="G1660" s="126"/>
      <c r="H1660" s="127"/>
      <c r="I1660" s="125"/>
    </row>
    <row r="1661">
      <c r="A1661" s="125"/>
      <c r="B1661" s="125"/>
      <c r="C1661" s="125"/>
      <c r="D1661" s="125"/>
      <c r="E1661" s="125"/>
      <c r="F1661" s="126"/>
      <c r="G1661" s="126"/>
      <c r="H1661" s="127"/>
      <c r="I1661" s="125"/>
    </row>
    <row r="1662">
      <c r="A1662" s="125"/>
      <c r="B1662" s="125"/>
      <c r="C1662" s="125"/>
      <c r="D1662" s="125"/>
      <c r="E1662" s="125"/>
      <c r="F1662" s="126"/>
      <c r="G1662" s="126"/>
      <c r="H1662" s="127"/>
      <c r="I1662" s="125"/>
    </row>
    <row r="1663">
      <c r="A1663" s="125"/>
      <c r="B1663" s="125"/>
      <c r="C1663" s="125"/>
      <c r="D1663" s="125"/>
      <c r="E1663" s="125"/>
      <c r="F1663" s="126"/>
      <c r="G1663" s="126"/>
      <c r="H1663" s="126"/>
      <c r="I1663" s="125"/>
    </row>
    <row r="1664">
      <c r="A1664" s="125"/>
      <c r="B1664" s="125"/>
      <c r="C1664" s="125"/>
      <c r="D1664" s="125"/>
      <c r="E1664" s="125"/>
      <c r="F1664" s="126"/>
      <c r="G1664" s="126"/>
      <c r="H1664" s="127"/>
      <c r="I1664" s="125"/>
    </row>
    <row r="1665">
      <c r="A1665" s="125"/>
      <c r="B1665" s="125"/>
      <c r="C1665" s="125"/>
      <c r="D1665" s="125"/>
      <c r="E1665" s="125"/>
      <c r="F1665" s="126"/>
      <c r="G1665" s="126"/>
      <c r="H1665" s="127"/>
      <c r="I1665" s="125"/>
    </row>
    <row r="1666">
      <c r="A1666" s="125"/>
      <c r="B1666" s="125"/>
      <c r="C1666" s="125"/>
      <c r="D1666" s="125"/>
      <c r="E1666" s="125"/>
      <c r="F1666" s="126"/>
      <c r="G1666" s="126"/>
      <c r="H1666" s="126"/>
      <c r="I1666" s="125"/>
    </row>
    <row r="1667">
      <c r="A1667" s="125"/>
      <c r="B1667" s="125"/>
      <c r="C1667" s="125"/>
      <c r="D1667" s="125"/>
      <c r="E1667" s="125"/>
      <c r="F1667" s="126"/>
      <c r="G1667" s="126"/>
      <c r="H1667" s="126"/>
      <c r="I1667" s="125"/>
    </row>
    <row r="1668">
      <c r="A1668" s="125"/>
      <c r="B1668" s="125"/>
      <c r="C1668" s="125"/>
      <c r="D1668" s="125"/>
      <c r="E1668" s="125"/>
      <c r="F1668" s="126"/>
      <c r="G1668" s="126"/>
      <c r="H1668" s="127"/>
      <c r="I1668" s="125"/>
    </row>
    <row r="1669">
      <c r="A1669" s="125"/>
      <c r="B1669" s="125"/>
      <c r="C1669" s="125"/>
      <c r="D1669" s="125"/>
      <c r="E1669" s="125"/>
      <c r="F1669" s="126"/>
      <c r="G1669" s="126"/>
      <c r="H1669" s="126"/>
      <c r="I1669" s="125"/>
    </row>
    <row r="1670">
      <c r="A1670" s="125"/>
      <c r="B1670" s="125"/>
      <c r="C1670" s="125"/>
      <c r="D1670" s="125"/>
      <c r="E1670" s="125"/>
      <c r="F1670" s="126"/>
      <c r="G1670" s="126"/>
      <c r="H1670" s="127"/>
      <c r="I1670" s="125"/>
    </row>
    <row r="1671">
      <c r="A1671" s="125"/>
      <c r="B1671" s="125"/>
      <c r="C1671" s="125"/>
      <c r="D1671" s="125"/>
      <c r="E1671" s="125"/>
      <c r="F1671" s="126"/>
      <c r="G1671" s="126"/>
      <c r="H1671" s="127"/>
      <c r="I1671" s="125"/>
    </row>
    <row r="1672">
      <c r="A1672" s="125"/>
      <c r="B1672" s="125"/>
      <c r="C1672" s="125"/>
      <c r="D1672" s="125"/>
      <c r="E1672" s="125"/>
      <c r="F1672" s="126"/>
      <c r="G1672" s="126"/>
      <c r="H1672" s="127"/>
      <c r="I1672" s="125"/>
    </row>
    <row r="1673">
      <c r="A1673" s="125"/>
      <c r="B1673" s="125"/>
      <c r="C1673" s="125"/>
      <c r="D1673" s="125"/>
      <c r="E1673" s="125"/>
      <c r="F1673" s="126"/>
      <c r="G1673" s="126"/>
      <c r="H1673" s="126"/>
      <c r="I1673" s="125"/>
    </row>
    <row r="1674">
      <c r="A1674" s="125"/>
      <c r="B1674" s="125"/>
      <c r="C1674" s="125"/>
      <c r="D1674" s="125"/>
      <c r="E1674" s="125"/>
      <c r="F1674" s="126"/>
      <c r="G1674" s="126"/>
      <c r="H1674" s="127"/>
      <c r="I1674" s="125"/>
    </row>
    <row r="1675">
      <c r="A1675" s="125"/>
      <c r="B1675" s="125"/>
      <c r="C1675" s="125"/>
      <c r="D1675" s="125"/>
      <c r="E1675" s="125"/>
      <c r="F1675" s="126"/>
      <c r="G1675" s="126"/>
      <c r="H1675" s="127"/>
      <c r="I1675" s="125"/>
    </row>
    <row r="1676">
      <c r="A1676" s="125"/>
      <c r="B1676" s="125"/>
      <c r="C1676" s="125"/>
      <c r="D1676" s="125"/>
      <c r="E1676" s="125"/>
      <c r="F1676" s="126"/>
      <c r="G1676" s="126"/>
      <c r="H1676" s="127"/>
      <c r="I1676" s="125"/>
    </row>
    <row r="1677">
      <c r="A1677" s="125"/>
      <c r="B1677" s="125"/>
      <c r="C1677" s="125"/>
      <c r="D1677" s="125"/>
      <c r="E1677" s="125"/>
      <c r="F1677" s="126"/>
      <c r="G1677" s="126"/>
      <c r="H1677" s="127"/>
      <c r="I1677" s="125"/>
    </row>
    <row r="1678">
      <c r="A1678" s="125"/>
      <c r="B1678" s="125"/>
      <c r="C1678" s="125"/>
      <c r="D1678" s="125"/>
      <c r="E1678" s="125"/>
      <c r="F1678" s="126"/>
      <c r="G1678" s="126"/>
      <c r="H1678" s="127"/>
      <c r="I1678" s="125"/>
    </row>
    <row r="1679">
      <c r="A1679" s="125"/>
      <c r="B1679" s="125"/>
      <c r="C1679" s="125"/>
      <c r="D1679" s="125"/>
      <c r="E1679" s="125"/>
      <c r="F1679" s="126"/>
      <c r="G1679" s="126"/>
      <c r="H1679" s="126"/>
      <c r="I1679" s="125"/>
    </row>
    <row r="1680">
      <c r="A1680" s="125"/>
      <c r="B1680" s="125"/>
      <c r="C1680" s="125"/>
      <c r="D1680" s="125"/>
      <c r="E1680" s="125"/>
      <c r="F1680" s="126"/>
      <c r="G1680" s="126"/>
      <c r="H1680" s="127"/>
      <c r="I1680" s="125"/>
    </row>
    <row r="1681">
      <c r="A1681" s="125"/>
      <c r="B1681" s="125"/>
      <c r="C1681" s="125"/>
      <c r="D1681" s="125"/>
      <c r="E1681" s="125"/>
      <c r="F1681" s="126"/>
      <c r="G1681" s="126"/>
      <c r="H1681" s="127"/>
      <c r="I1681" s="125"/>
    </row>
    <row r="1682">
      <c r="A1682" s="125"/>
      <c r="B1682" s="125"/>
      <c r="C1682" s="125"/>
      <c r="D1682" s="125"/>
      <c r="E1682" s="125"/>
      <c r="F1682" s="126"/>
      <c r="G1682" s="126"/>
      <c r="H1682" s="127"/>
      <c r="I1682" s="125"/>
    </row>
    <row r="1683">
      <c r="A1683" s="125"/>
      <c r="B1683" s="125"/>
      <c r="C1683" s="125"/>
      <c r="D1683" s="125"/>
      <c r="E1683" s="125"/>
      <c r="F1683" s="126"/>
      <c r="G1683" s="126"/>
      <c r="H1683" s="127"/>
      <c r="I1683" s="125"/>
    </row>
    <row r="1684">
      <c r="A1684" s="125"/>
      <c r="B1684" s="125"/>
      <c r="C1684" s="125"/>
      <c r="D1684" s="125"/>
      <c r="E1684" s="125"/>
      <c r="F1684" s="126"/>
      <c r="G1684" s="126"/>
      <c r="H1684" s="127"/>
      <c r="I1684" s="125"/>
    </row>
    <row r="1685">
      <c r="A1685" s="125"/>
      <c r="B1685" s="125"/>
      <c r="C1685" s="125"/>
      <c r="D1685" s="125"/>
      <c r="E1685" s="125"/>
      <c r="F1685" s="126"/>
      <c r="G1685" s="126"/>
      <c r="H1685" s="127"/>
      <c r="I1685" s="125"/>
    </row>
    <row r="1686">
      <c r="A1686" s="125"/>
      <c r="B1686" s="125"/>
      <c r="C1686" s="125"/>
      <c r="D1686" s="125"/>
      <c r="E1686" s="125"/>
      <c r="F1686" s="126"/>
      <c r="G1686" s="126"/>
      <c r="H1686" s="126"/>
      <c r="I1686" s="125"/>
    </row>
    <row r="1687">
      <c r="A1687" s="125"/>
      <c r="B1687" s="125"/>
      <c r="C1687" s="125"/>
      <c r="D1687" s="125"/>
      <c r="E1687" s="125"/>
      <c r="F1687" s="126"/>
      <c r="G1687" s="126"/>
      <c r="H1687" s="127"/>
      <c r="I1687" s="125"/>
    </row>
    <row r="1688">
      <c r="A1688" s="125"/>
      <c r="B1688" s="125"/>
      <c r="C1688" s="125"/>
      <c r="D1688" s="125"/>
      <c r="E1688" s="125"/>
      <c r="F1688" s="126"/>
      <c r="G1688" s="126"/>
      <c r="H1688" s="127"/>
      <c r="I1688" s="125"/>
    </row>
    <row r="1689">
      <c r="A1689" s="125"/>
      <c r="B1689" s="125"/>
      <c r="C1689" s="125"/>
      <c r="D1689" s="125"/>
      <c r="E1689" s="125"/>
      <c r="F1689" s="126"/>
      <c r="G1689" s="126"/>
      <c r="H1689" s="127"/>
      <c r="I1689" s="125"/>
    </row>
    <row r="1690">
      <c r="A1690" s="125"/>
      <c r="B1690" s="125"/>
      <c r="C1690" s="125"/>
      <c r="D1690" s="125"/>
      <c r="E1690" s="125"/>
      <c r="F1690" s="126"/>
      <c r="G1690" s="126"/>
      <c r="H1690" s="127"/>
      <c r="I1690" s="125"/>
    </row>
    <row r="1691">
      <c r="A1691" s="125"/>
      <c r="B1691" s="125"/>
      <c r="C1691" s="125"/>
      <c r="D1691" s="125"/>
      <c r="E1691" s="125"/>
      <c r="F1691" s="126"/>
      <c r="G1691" s="126"/>
      <c r="H1691" s="126"/>
      <c r="I1691" s="125"/>
    </row>
    <row r="1692">
      <c r="A1692" s="125"/>
      <c r="B1692" s="125"/>
      <c r="C1692" s="125"/>
      <c r="D1692" s="125"/>
      <c r="E1692" s="125"/>
      <c r="F1692" s="126"/>
      <c r="G1692" s="126"/>
      <c r="H1692" s="127"/>
      <c r="I1692" s="125"/>
    </row>
    <row r="1693">
      <c r="A1693" s="125"/>
      <c r="B1693" s="125"/>
      <c r="C1693" s="125"/>
      <c r="D1693" s="125"/>
      <c r="E1693" s="125"/>
      <c r="F1693" s="126"/>
      <c r="G1693" s="126"/>
      <c r="H1693" s="127"/>
      <c r="I1693" s="125"/>
    </row>
    <row r="1694">
      <c r="A1694" s="125"/>
      <c r="B1694" s="125"/>
      <c r="C1694" s="125"/>
      <c r="D1694" s="125"/>
      <c r="E1694" s="125"/>
      <c r="F1694" s="126"/>
      <c r="G1694" s="126"/>
      <c r="H1694" s="127"/>
      <c r="I1694" s="125"/>
    </row>
    <row r="1695">
      <c r="A1695" s="125"/>
      <c r="B1695" s="125"/>
      <c r="C1695" s="125"/>
      <c r="D1695" s="125"/>
      <c r="E1695" s="125"/>
      <c r="F1695" s="126"/>
      <c r="G1695" s="126"/>
      <c r="H1695" s="127"/>
      <c r="I1695" s="125"/>
    </row>
    <row r="1696">
      <c r="A1696" s="125"/>
      <c r="B1696" s="125"/>
      <c r="C1696" s="125"/>
      <c r="D1696" s="125"/>
      <c r="E1696" s="125"/>
      <c r="F1696" s="126"/>
      <c r="G1696" s="126"/>
      <c r="H1696" s="127"/>
      <c r="I1696" s="125"/>
    </row>
    <row r="1697">
      <c r="A1697" s="125"/>
      <c r="B1697" s="125"/>
      <c r="C1697" s="125"/>
      <c r="D1697" s="125"/>
      <c r="E1697" s="125"/>
      <c r="F1697" s="126"/>
      <c r="G1697" s="126"/>
      <c r="H1697" s="127"/>
      <c r="I1697" s="125"/>
    </row>
    <row r="1698">
      <c r="A1698" s="125"/>
      <c r="B1698" s="125"/>
      <c r="C1698" s="125"/>
      <c r="D1698" s="125"/>
      <c r="E1698" s="125"/>
      <c r="F1698" s="126"/>
      <c r="G1698" s="126"/>
      <c r="H1698" s="127"/>
      <c r="I1698" s="125"/>
    </row>
    <row r="1699">
      <c r="A1699" s="125"/>
      <c r="B1699" s="125"/>
      <c r="C1699" s="125"/>
      <c r="D1699" s="125"/>
      <c r="E1699" s="125"/>
      <c r="F1699" s="126"/>
      <c r="G1699" s="126"/>
      <c r="H1699" s="127"/>
      <c r="I1699" s="125"/>
    </row>
    <row r="1700">
      <c r="A1700" s="125"/>
      <c r="B1700" s="125"/>
      <c r="C1700" s="125"/>
      <c r="D1700" s="125"/>
      <c r="E1700" s="125"/>
      <c r="F1700" s="126"/>
      <c r="G1700" s="126"/>
      <c r="H1700" s="127"/>
      <c r="I1700" s="125"/>
    </row>
    <row r="1701">
      <c r="A1701" s="125"/>
      <c r="B1701" s="125"/>
      <c r="C1701" s="125"/>
      <c r="D1701" s="125"/>
      <c r="E1701" s="125"/>
      <c r="F1701" s="126"/>
      <c r="G1701" s="126"/>
      <c r="H1701" s="127"/>
      <c r="I1701" s="125"/>
    </row>
    <row r="1702">
      <c r="A1702" s="125"/>
      <c r="B1702" s="125"/>
      <c r="C1702" s="125"/>
      <c r="D1702" s="125"/>
      <c r="E1702" s="125"/>
      <c r="F1702" s="126"/>
      <c r="G1702" s="126"/>
      <c r="H1702" s="127"/>
      <c r="I1702" s="125"/>
    </row>
    <row r="1703">
      <c r="A1703" s="125"/>
      <c r="B1703" s="125"/>
      <c r="C1703" s="125"/>
      <c r="D1703" s="125"/>
      <c r="E1703" s="125"/>
      <c r="F1703" s="126"/>
      <c r="G1703" s="126"/>
      <c r="H1703" s="127"/>
      <c r="I1703" s="125"/>
    </row>
    <row r="1704">
      <c r="A1704" s="125"/>
      <c r="B1704" s="125"/>
      <c r="C1704" s="125"/>
      <c r="D1704" s="125"/>
      <c r="E1704" s="125"/>
      <c r="F1704" s="126"/>
      <c r="G1704" s="126"/>
      <c r="H1704" s="127"/>
      <c r="I1704" s="125"/>
    </row>
    <row r="1705">
      <c r="A1705" s="125"/>
      <c r="B1705" s="125"/>
      <c r="C1705" s="125"/>
      <c r="D1705" s="125"/>
      <c r="E1705" s="125"/>
      <c r="F1705" s="126"/>
      <c r="G1705" s="126"/>
      <c r="H1705" s="126"/>
      <c r="I1705" s="125"/>
    </row>
    <row r="1706">
      <c r="A1706" s="125"/>
      <c r="B1706" s="125"/>
      <c r="C1706" s="125"/>
      <c r="D1706" s="125"/>
      <c r="E1706" s="125"/>
      <c r="F1706" s="126"/>
      <c r="G1706" s="126"/>
      <c r="H1706" s="126"/>
      <c r="I1706" s="125"/>
    </row>
    <row r="1707">
      <c r="A1707" s="125"/>
      <c r="B1707" s="125"/>
      <c r="C1707" s="125"/>
      <c r="D1707" s="125"/>
      <c r="E1707" s="125"/>
      <c r="F1707" s="126"/>
      <c r="G1707" s="126"/>
      <c r="H1707" s="127"/>
      <c r="I1707" s="125"/>
    </row>
    <row r="1708">
      <c r="A1708" s="125"/>
      <c r="B1708" s="125"/>
      <c r="C1708" s="125"/>
      <c r="D1708" s="125"/>
      <c r="E1708" s="125"/>
      <c r="F1708" s="126"/>
      <c r="G1708" s="126"/>
      <c r="H1708" s="127"/>
      <c r="I1708" s="125"/>
    </row>
    <row r="1709">
      <c r="A1709" s="125"/>
      <c r="B1709" s="125"/>
      <c r="C1709" s="125"/>
      <c r="D1709" s="125"/>
      <c r="E1709" s="125"/>
      <c r="F1709" s="126"/>
      <c r="G1709" s="126"/>
      <c r="H1709" s="127"/>
      <c r="I1709" s="125"/>
    </row>
    <row r="1710">
      <c r="A1710" s="125"/>
      <c r="B1710" s="125"/>
      <c r="C1710" s="125"/>
      <c r="D1710" s="125"/>
      <c r="E1710" s="125"/>
      <c r="F1710" s="126"/>
      <c r="G1710" s="126"/>
      <c r="H1710" s="126"/>
      <c r="I1710" s="125"/>
    </row>
    <row r="1711">
      <c r="A1711" s="125"/>
      <c r="B1711" s="125"/>
      <c r="C1711" s="125"/>
      <c r="D1711" s="125"/>
      <c r="E1711" s="125"/>
      <c r="F1711" s="126"/>
      <c r="G1711" s="126"/>
      <c r="H1711" s="127"/>
      <c r="I1711" s="125"/>
    </row>
    <row r="1712">
      <c r="A1712" s="125"/>
      <c r="B1712" s="125"/>
      <c r="C1712" s="125"/>
      <c r="D1712" s="125"/>
      <c r="E1712" s="125"/>
      <c r="F1712" s="126"/>
      <c r="G1712" s="126"/>
      <c r="H1712" s="127"/>
      <c r="I1712" s="125"/>
    </row>
    <row r="1713">
      <c r="A1713" s="125"/>
      <c r="B1713" s="125"/>
      <c r="C1713" s="125"/>
      <c r="D1713" s="125"/>
      <c r="E1713" s="125"/>
      <c r="F1713" s="126"/>
      <c r="G1713" s="126"/>
      <c r="H1713" s="126"/>
      <c r="I1713" s="125"/>
    </row>
    <row r="1714">
      <c r="A1714" s="125"/>
      <c r="B1714" s="125"/>
      <c r="C1714" s="125"/>
      <c r="D1714" s="125"/>
      <c r="E1714" s="125"/>
      <c r="F1714" s="126"/>
      <c r="G1714" s="126"/>
      <c r="H1714" s="127"/>
      <c r="I1714" s="125"/>
    </row>
    <row r="1715">
      <c r="A1715" s="125"/>
      <c r="B1715" s="125"/>
      <c r="C1715" s="125"/>
      <c r="D1715" s="125"/>
      <c r="E1715" s="125"/>
      <c r="F1715" s="126"/>
      <c r="G1715" s="126"/>
      <c r="H1715" s="127"/>
      <c r="I1715" s="125"/>
    </row>
    <row r="1716">
      <c r="A1716" s="125"/>
      <c r="B1716" s="125"/>
      <c r="C1716" s="125"/>
      <c r="D1716" s="125"/>
      <c r="E1716" s="125"/>
      <c r="F1716" s="126"/>
      <c r="G1716" s="126"/>
      <c r="H1716" s="127"/>
      <c r="I1716" s="125"/>
    </row>
    <row r="1717">
      <c r="A1717" s="125"/>
      <c r="B1717" s="125"/>
      <c r="C1717" s="125"/>
      <c r="D1717" s="125"/>
      <c r="E1717" s="125"/>
      <c r="F1717" s="126"/>
      <c r="G1717" s="126"/>
      <c r="H1717" s="127"/>
      <c r="I1717" s="125"/>
    </row>
    <row r="1718">
      <c r="A1718" s="125"/>
      <c r="B1718" s="125"/>
      <c r="C1718" s="125"/>
      <c r="D1718" s="125"/>
      <c r="E1718" s="125"/>
      <c r="F1718" s="126"/>
      <c r="G1718" s="126"/>
      <c r="H1718" s="127"/>
      <c r="I1718" s="125"/>
    </row>
    <row r="1719">
      <c r="A1719" s="125"/>
      <c r="B1719" s="125"/>
      <c r="C1719" s="125"/>
      <c r="D1719" s="125"/>
      <c r="E1719" s="125"/>
      <c r="F1719" s="126"/>
      <c r="G1719" s="126"/>
      <c r="H1719" s="127"/>
      <c r="I1719" s="125"/>
    </row>
    <row r="1720">
      <c r="A1720" s="125"/>
      <c r="B1720" s="125"/>
      <c r="C1720" s="125"/>
      <c r="D1720" s="125"/>
      <c r="E1720" s="125"/>
      <c r="F1720" s="126"/>
      <c r="G1720" s="126"/>
      <c r="H1720" s="127"/>
      <c r="I1720" s="125"/>
    </row>
    <row r="1721">
      <c r="A1721" s="125"/>
      <c r="B1721" s="125"/>
      <c r="C1721" s="125"/>
      <c r="D1721" s="125"/>
      <c r="E1721" s="125"/>
      <c r="F1721" s="126"/>
      <c r="G1721" s="126"/>
      <c r="H1721" s="126"/>
      <c r="I1721" s="125"/>
    </row>
    <row r="1722">
      <c r="A1722" s="125"/>
      <c r="B1722" s="125"/>
      <c r="C1722" s="125"/>
      <c r="D1722" s="125"/>
      <c r="E1722" s="125"/>
      <c r="F1722" s="126"/>
      <c r="G1722" s="126"/>
      <c r="H1722" s="127"/>
      <c r="I1722" s="125"/>
    </row>
    <row r="1723">
      <c r="A1723" s="125"/>
      <c r="B1723" s="125"/>
      <c r="C1723" s="125"/>
      <c r="D1723" s="125"/>
      <c r="E1723" s="125"/>
      <c r="F1723" s="126"/>
      <c r="G1723" s="126"/>
      <c r="H1723" s="127"/>
      <c r="I1723" s="125"/>
    </row>
    <row r="1724">
      <c r="A1724" s="125"/>
      <c r="B1724" s="125"/>
      <c r="C1724" s="125"/>
      <c r="D1724" s="125"/>
      <c r="E1724" s="125"/>
      <c r="F1724" s="126"/>
      <c r="G1724" s="126"/>
      <c r="H1724" s="127"/>
      <c r="I1724" s="125"/>
    </row>
    <row r="1725">
      <c r="A1725" s="125"/>
      <c r="B1725" s="125"/>
      <c r="C1725" s="125"/>
      <c r="D1725" s="125"/>
      <c r="E1725" s="125"/>
      <c r="F1725" s="126"/>
      <c r="G1725" s="126"/>
      <c r="H1725" s="127"/>
      <c r="I1725" s="125"/>
    </row>
    <row r="1726">
      <c r="A1726" s="125"/>
      <c r="B1726" s="125"/>
      <c r="C1726" s="125"/>
      <c r="D1726" s="125"/>
      <c r="E1726" s="125"/>
      <c r="F1726" s="126"/>
      <c r="G1726" s="126"/>
      <c r="H1726" s="127"/>
      <c r="I1726" s="125"/>
    </row>
    <row r="1727">
      <c r="A1727" s="125"/>
      <c r="B1727" s="125"/>
      <c r="C1727" s="125"/>
      <c r="D1727" s="125"/>
      <c r="E1727" s="125"/>
      <c r="F1727" s="126"/>
      <c r="G1727" s="126"/>
      <c r="H1727" s="127"/>
      <c r="I1727" s="125"/>
    </row>
    <row r="1728">
      <c r="A1728" s="125"/>
      <c r="B1728" s="125"/>
      <c r="C1728" s="125"/>
      <c r="D1728" s="125"/>
      <c r="E1728" s="125"/>
      <c r="F1728" s="126"/>
      <c r="G1728" s="126"/>
      <c r="H1728" s="126"/>
      <c r="I1728" s="125"/>
    </row>
    <row r="1729">
      <c r="A1729" s="125"/>
      <c r="B1729" s="125"/>
      <c r="C1729" s="125"/>
      <c r="D1729" s="125"/>
      <c r="E1729" s="125"/>
      <c r="F1729" s="126"/>
      <c r="G1729" s="126"/>
      <c r="H1729" s="127"/>
      <c r="I1729" s="125"/>
    </row>
    <row r="1730">
      <c r="A1730" s="125"/>
      <c r="B1730" s="125"/>
      <c r="C1730" s="125"/>
      <c r="D1730" s="125"/>
      <c r="E1730" s="125"/>
      <c r="F1730" s="126"/>
      <c r="G1730" s="126"/>
      <c r="H1730" s="127"/>
      <c r="I1730" s="125"/>
    </row>
    <row r="1731">
      <c r="A1731" s="125"/>
      <c r="B1731" s="125"/>
      <c r="C1731" s="125"/>
      <c r="D1731" s="125"/>
      <c r="E1731" s="125"/>
      <c r="F1731" s="126"/>
      <c r="G1731" s="126"/>
      <c r="H1731" s="127"/>
      <c r="I1731" s="125"/>
    </row>
    <row r="1732">
      <c r="A1732" s="125"/>
      <c r="B1732" s="125"/>
      <c r="C1732" s="125"/>
      <c r="D1732" s="125"/>
      <c r="E1732" s="125"/>
      <c r="F1732" s="126"/>
      <c r="G1732" s="126"/>
      <c r="H1732" s="127"/>
      <c r="I1732" s="125"/>
    </row>
    <row r="1733">
      <c r="A1733" s="125"/>
      <c r="B1733" s="125"/>
      <c r="C1733" s="125"/>
      <c r="D1733" s="125"/>
      <c r="E1733" s="125"/>
      <c r="F1733" s="126"/>
      <c r="G1733" s="126"/>
      <c r="H1733" s="126"/>
      <c r="I1733" s="125"/>
    </row>
    <row r="1734">
      <c r="A1734" s="125"/>
      <c r="B1734" s="125"/>
      <c r="C1734" s="125"/>
      <c r="D1734" s="125"/>
      <c r="E1734" s="125"/>
      <c r="F1734" s="126"/>
      <c r="G1734" s="126"/>
      <c r="H1734" s="126"/>
      <c r="I1734" s="125"/>
    </row>
    <row r="1735">
      <c r="A1735" s="125"/>
      <c r="B1735" s="125"/>
      <c r="C1735" s="125"/>
      <c r="D1735" s="125"/>
      <c r="E1735" s="125"/>
      <c r="F1735" s="126"/>
      <c r="G1735" s="126"/>
      <c r="H1735" s="127"/>
      <c r="I1735" s="125"/>
    </row>
    <row r="1736">
      <c r="A1736" s="125"/>
      <c r="B1736" s="125"/>
      <c r="C1736" s="125"/>
      <c r="D1736" s="125"/>
      <c r="E1736" s="125"/>
      <c r="F1736" s="126"/>
      <c r="G1736" s="126"/>
      <c r="H1736" s="126"/>
      <c r="I1736" s="125"/>
    </row>
    <row r="1737">
      <c r="A1737" s="125"/>
      <c r="B1737" s="125"/>
      <c r="C1737" s="125"/>
      <c r="D1737" s="125"/>
      <c r="E1737" s="125"/>
      <c r="F1737" s="126"/>
      <c r="G1737" s="126"/>
      <c r="H1737" s="127"/>
      <c r="I1737" s="125"/>
    </row>
    <row r="1738">
      <c r="A1738" s="125"/>
      <c r="B1738" s="125"/>
      <c r="C1738" s="125"/>
      <c r="D1738" s="125"/>
      <c r="E1738" s="125"/>
      <c r="F1738" s="126"/>
      <c r="G1738" s="126"/>
      <c r="H1738" s="127"/>
      <c r="I1738" s="125"/>
    </row>
    <row r="1739">
      <c r="A1739" s="125"/>
      <c r="B1739" s="125"/>
      <c r="C1739" s="125"/>
      <c r="D1739" s="125"/>
      <c r="E1739" s="125"/>
      <c r="F1739" s="126"/>
      <c r="G1739" s="126"/>
      <c r="H1739" s="127"/>
      <c r="I1739" s="125"/>
    </row>
    <row r="1740">
      <c r="A1740" s="125"/>
      <c r="B1740" s="125"/>
      <c r="C1740" s="125"/>
      <c r="D1740" s="125"/>
      <c r="E1740" s="125"/>
      <c r="F1740" s="126"/>
      <c r="G1740" s="126"/>
      <c r="H1740" s="127"/>
      <c r="I1740" s="125"/>
    </row>
    <row r="1741">
      <c r="A1741" s="125"/>
      <c r="B1741" s="125"/>
      <c r="C1741" s="125"/>
      <c r="D1741" s="125"/>
      <c r="E1741" s="125"/>
      <c r="F1741" s="126"/>
      <c r="G1741" s="126"/>
      <c r="H1741" s="126"/>
      <c r="I1741" s="125"/>
    </row>
    <row r="1742">
      <c r="A1742" s="125"/>
      <c r="B1742" s="125"/>
      <c r="C1742" s="125"/>
      <c r="D1742" s="125"/>
      <c r="E1742" s="125"/>
      <c r="F1742" s="126"/>
      <c r="G1742" s="126"/>
      <c r="H1742" s="127"/>
      <c r="I1742" s="125"/>
    </row>
    <row r="1743">
      <c r="A1743" s="125"/>
      <c r="B1743" s="125"/>
      <c r="C1743" s="125"/>
      <c r="D1743" s="125"/>
      <c r="E1743" s="125"/>
      <c r="F1743" s="126"/>
      <c r="G1743" s="126"/>
      <c r="H1743" s="127"/>
      <c r="I1743" s="125"/>
    </row>
    <row r="1744">
      <c r="A1744" s="125"/>
      <c r="B1744" s="125"/>
      <c r="C1744" s="125"/>
      <c r="D1744" s="125"/>
      <c r="E1744" s="125"/>
      <c r="F1744" s="126"/>
      <c r="G1744" s="126"/>
      <c r="H1744" s="127"/>
      <c r="I1744" s="125"/>
    </row>
    <row r="1745">
      <c r="A1745" s="125"/>
      <c r="B1745" s="125"/>
      <c r="C1745" s="125"/>
      <c r="D1745" s="125"/>
      <c r="E1745" s="125"/>
      <c r="F1745" s="126"/>
      <c r="G1745" s="126"/>
      <c r="H1745" s="127"/>
      <c r="I1745" s="125"/>
    </row>
    <row r="1746">
      <c r="A1746" s="125"/>
      <c r="B1746" s="125"/>
      <c r="C1746" s="125"/>
      <c r="D1746" s="125"/>
      <c r="E1746" s="125"/>
      <c r="F1746" s="126"/>
      <c r="G1746" s="126"/>
      <c r="H1746" s="127"/>
      <c r="I1746" s="125"/>
    </row>
    <row r="1747">
      <c r="A1747" s="125"/>
      <c r="B1747" s="125"/>
      <c r="C1747" s="125"/>
      <c r="D1747" s="125"/>
      <c r="E1747" s="125"/>
      <c r="F1747" s="126"/>
      <c r="G1747" s="126"/>
      <c r="H1747" s="127"/>
      <c r="I1747" s="125"/>
    </row>
    <row r="1748">
      <c r="A1748" s="125"/>
      <c r="B1748" s="125"/>
      <c r="C1748" s="125"/>
      <c r="D1748" s="125"/>
      <c r="E1748" s="125"/>
      <c r="F1748" s="126"/>
      <c r="G1748" s="126"/>
      <c r="H1748" s="127"/>
      <c r="I1748" s="125"/>
    </row>
    <row r="1749">
      <c r="A1749" s="125"/>
      <c r="B1749" s="125"/>
      <c r="C1749" s="125"/>
      <c r="D1749" s="125"/>
      <c r="E1749" s="125"/>
      <c r="F1749" s="126"/>
      <c r="G1749" s="126"/>
      <c r="H1749" s="126"/>
      <c r="I1749" s="125"/>
    </row>
    <row r="1750">
      <c r="A1750" s="125"/>
      <c r="B1750" s="125"/>
      <c r="C1750" s="125"/>
      <c r="D1750" s="125"/>
      <c r="E1750" s="125"/>
      <c r="F1750" s="126"/>
      <c r="G1750" s="126"/>
      <c r="H1750" s="126"/>
      <c r="I1750" s="125"/>
    </row>
    <row r="1751">
      <c r="A1751" s="125"/>
      <c r="B1751" s="125"/>
      <c r="C1751" s="125"/>
      <c r="D1751" s="125"/>
      <c r="E1751" s="125"/>
      <c r="F1751" s="126"/>
      <c r="G1751" s="126"/>
      <c r="H1751" s="127"/>
      <c r="I1751" s="125"/>
    </row>
    <row r="1752">
      <c r="A1752" s="125"/>
      <c r="B1752" s="125"/>
      <c r="C1752" s="125"/>
      <c r="D1752" s="125"/>
      <c r="E1752" s="125"/>
      <c r="F1752" s="126"/>
      <c r="G1752" s="126"/>
      <c r="H1752" s="127"/>
      <c r="I1752" s="125"/>
    </row>
    <row r="1753">
      <c r="A1753" s="125"/>
      <c r="B1753" s="125"/>
      <c r="C1753" s="125"/>
      <c r="D1753" s="125"/>
      <c r="E1753" s="125"/>
      <c r="F1753" s="126"/>
      <c r="G1753" s="126"/>
      <c r="H1753" s="127"/>
      <c r="I1753" s="125"/>
    </row>
    <row r="1754">
      <c r="A1754" s="125"/>
      <c r="B1754" s="125"/>
      <c r="C1754" s="125"/>
      <c r="D1754" s="125"/>
      <c r="E1754" s="125"/>
      <c r="F1754" s="126"/>
      <c r="G1754" s="126"/>
      <c r="H1754" s="127"/>
      <c r="I1754" s="125"/>
    </row>
    <row r="1755">
      <c r="A1755" s="125"/>
      <c r="B1755" s="125"/>
      <c r="C1755" s="125"/>
      <c r="D1755" s="125"/>
      <c r="E1755" s="125"/>
      <c r="F1755" s="126"/>
      <c r="G1755" s="126"/>
      <c r="H1755" s="127"/>
      <c r="I1755" s="125"/>
    </row>
    <row r="1756">
      <c r="A1756" s="125"/>
      <c r="B1756" s="125"/>
      <c r="C1756" s="125"/>
      <c r="D1756" s="125"/>
      <c r="E1756" s="125"/>
      <c r="F1756" s="126"/>
      <c r="G1756" s="126"/>
      <c r="H1756" s="127"/>
      <c r="I1756" s="125"/>
    </row>
    <row r="1757">
      <c r="A1757" s="125"/>
      <c r="B1757" s="125"/>
      <c r="C1757" s="125"/>
      <c r="D1757" s="125"/>
      <c r="E1757" s="125"/>
      <c r="F1757" s="126"/>
      <c r="G1757" s="126"/>
      <c r="H1757" s="127"/>
      <c r="I1757" s="125"/>
    </row>
    <row r="1758">
      <c r="A1758" s="125"/>
      <c r="B1758" s="125"/>
      <c r="C1758" s="125"/>
      <c r="D1758" s="125"/>
      <c r="E1758" s="125"/>
      <c r="F1758" s="126"/>
      <c r="G1758" s="126"/>
      <c r="H1758" s="127"/>
      <c r="I1758" s="125"/>
    </row>
    <row r="1759">
      <c r="A1759" s="125"/>
      <c r="B1759" s="125"/>
      <c r="C1759" s="125"/>
      <c r="D1759" s="125"/>
      <c r="E1759" s="125"/>
      <c r="F1759" s="126"/>
      <c r="G1759" s="126"/>
      <c r="H1759" s="127"/>
      <c r="I1759" s="125"/>
    </row>
    <row r="1760">
      <c r="A1760" s="125"/>
      <c r="B1760" s="125"/>
      <c r="C1760" s="125"/>
      <c r="D1760" s="125"/>
      <c r="E1760" s="125"/>
      <c r="F1760" s="126"/>
      <c r="G1760" s="126"/>
      <c r="H1760" s="126"/>
      <c r="I1760" s="125"/>
    </row>
    <row r="1761">
      <c r="A1761" s="125"/>
      <c r="B1761" s="125"/>
      <c r="C1761" s="125"/>
      <c r="D1761" s="125"/>
      <c r="E1761" s="125"/>
      <c r="F1761" s="126"/>
      <c r="G1761" s="126"/>
      <c r="H1761" s="127"/>
      <c r="I1761" s="125"/>
    </row>
    <row r="1762">
      <c r="A1762" s="125"/>
      <c r="B1762" s="125"/>
      <c r="C1762" s="125"/>
      <c r="D1762" s="125"/>
      <c r="E1762" s="125"/>
      <c r="F1762" s="126"/>
      <c r="G1762" s="126"/>
      <c r="H1762" s="127"/>
      <c r="I1762" s="125"/>
    </row>
    <row r="1763">
      <c r="A1763" s="125"/>
      <c r="B1763" s="125"/>
      <c r="C1763" s="125"/>
      <c r="D1763" s="125"/>
      <c r="E1763" s="125"/>
      <c r="F1763" s="126"/>
      <c r="G1763" s="126"/>
      <c r="H1763" s="127"/>
      <c r="I1763" s="125"/>
    </row>
    <row r="1764">
      <c r="A1764" s="125"/>
      <c r="B1764" s="125"/>
      <c r="C1764" s="125"/>
      <c r="D1764" s="125"/>
      <c r="E1764" s="125"/>
      <c r="F1764" s="126"/>
      <c r="G1764" s="126"/>
      <c r="H1764" s="127"/>
      <c r="I1764" s="125"/>
    </row>
    <row r="1765">
      <c r="A1765" s="125"/>
      <c r="B1765" s="125"/>
      <c r="C1765" s="125"/>
      <c r="D1765" s="125"/>
      <c r="E1765" s="125"/>
      <c r="F1765" s="126"/>
      <c r="G1765" s="126"/>
      <c r="H1765" s="127"/>
      <c r="I1765" s="125"/>
    </row>
    <row r="1766">
      <c r="A1766" s="125"/>
      <c r="B1766" s="125"/>
      <c r="C1766" s="125"/>
      <c r="D1766" s="125"/>
      <c r="E1766" s="125"/>
      <c r="F1766" s="126"/>
      <c r="G1766" s="126"/>
      <c r="H1766" s="127"/>
      <c r="I1766" s="125"/>
    </row>
    <row r="1767">
      <c r="A1767" s="125"/>
      <c r="B1767" s="125"/>
      <c r="C1767" s="125"/>
      <c r="D1767" s="125"/>
      <c r="E1767" s="125"/>
      <c r="F1767" s="126"/>
      <c r="G1767" s="126"/>
      <c r="H1767" s="127"/>
      <c r="I1767" s="125"/>
    </row>
    <row r="1768">
      <c r="A1768" s="125"/>
      <c r="B1768" s="125"/>
      <c r="C1768" s="125"/>
      <c r="D1768" s="125"/>
      <c r="E1768" s="125"/>
      <c r="F1768" s="126"/>
      <c r="G1768" s="126"/>
      <c r="H1768" s="127"/>
      <c r="I1768" s="125"/>
    </row>
    <row r="1769">
      <c r="A1769" s="125"/>
      <c r="B1769" s="125"/>
      <c r="C1769" s="125"/>
      <c r="D1769" s="125"/>
      <c r="E1769" s="125"/>
      <c r="F1769" s="126"/>
      <c r="G1769" s="126"/>
      <c r="H1769" s="127"/>
      <c r="I1769" s="125"/>
    </row>
    <row r="1770">
      <c r="A1770" s="125"/>
      <c r="B1770" s="125"/>
      <c r="C1770" s="125"/>
      <c r="D1770" s="125"/>
      <c r="E1770" s="125"/>
      <c r="F1770" s="126"/>
      <c r="G1770" s="126"/>
      <c r="H1770" s="126"/>
      <c r="I1770" s="125"/>
    </row>
    <row r="1771">
      <c r="A1771" s="125"/>
      <c r="B1771" s="125"/>
      <c r="C1771" s="125"/>
      <c r="D1771" s="125"/>
      <c r="E1771" s="125"/>
      <c r="F1771" s="126"/>
      <c r="G1771" s="126"/>
      <c r="H1771" s="127"/>
      <c r="I1771" s="125"/>
    </row>
    <row r="1772">
      <c r="A1772" s="125"/>
      <c r="B1772" s="125"/>
      <c r="C1772" s="125"/>
      <c r="D1772" s="125"/>
      <c r="E1772" s="125"/>
      <c r="F1772" s="126"/>
      <c r="G1772" s="126"/>
      <c r="H1772" s="126"/>
      <c r="I1772" s="125"/>
    </row>
    <row r="1773">
      <c r="A1773" s="125"/>
      <c r="B1773" s="125"/>
      <c r="C1773" s="125"/>
      <c r="D1773" s="125"/>
      <c r="E1773" s="125"/>
      <c r="F1773" s="126"/>
      <c r="G1773" s="126"/>
      <c r="H1773" s="127"/>
      <c r="I1773" s="125"/>
    </row>
    <row r="1774">
      <c r="A1774" s="125"/>
      <c r="B1774" s="125"/>
      <c r="C1774" s="125"/>
      <c r="D1774" s="125"/>
      <c r="E1774" s="125"/>
      <c r="F1774" s="126"/>
      <c r="G1774" s="126"/>
      <c r="H1774" s="127"/>
      <c r="I1774" s="125"/>
    </row>
    <row r="1775">
      <c r="A1775" s="125"/>
      <c r="B1775" s="125"/>
      <c r="C1775" s="125"/>
      <c r="D1775" s="125"/>
      <c r="E1775" s="125"/>
      <c r="F1775" s="126"/>
      <c r="G1775" s="126"/>
      <c r="H1775" s="126"/>
      <c r="I1775" s="125"/>
    </row>
    <row r="1776">
      <c r="A1776" s="125"/>
      <c r="B1776" s="125"/>
      <c r="C1776" s="125"/>
      <c r="D1776" s="125"/>
      <c r="E1776" s="125"/>
      <c r="F1776" s="126"/>
      <c r="G1776" s="126"/>
      <c r="H1776" s="127"/>
      <c r="I1776" s="125"/>
    </row>
    <row r="1777">
      <c r="A1777" s="125"/>
      <c r="B1777" s="125"/>
      <c r="C1777" s="125"/>
      <c r="D1777" s="125"/>
      <c r="E1777" s="125"/>
      <c r="F1777" s="126"/>
      <c r="G1777" s="126"/>
      <c r="H1777" s="127"/>
      <c r="I1777" s="125"/>
    </row>
    <row r="1778">
      <c r="A1778" s="125"/>
      <c r="B1778" s="125"/>
      <c r="C1778" s="125"/>
      <c r="D1778" s="125"/>
      <c r="E1778" s="125"/>
      <c r="F1778" s="126"/>
      <c r="G1778" s="126"/>
      <c r="H1778" s="127"/>
      <c r="I1778" s="125"/>
    </row>
    <row r="1779">
      <c r="A1779" s="125"/>
      <c r="B1779" s="125"/>
      <c r="C1779" s="125"/>
      <c r="D1779" s="125"/>
      <c r="E1779" s="125"/>
      <c r="F1779" s="126"/>
      <c r="G1779" s="126"/>
      <c r="H1779" s="127"/>
      <c r="I1779" s="125"/>
    </row>
    <row r="1780">
      <c r="A1780" s="125"/>
      <c r="B1780" s="125"/>
      <c r="C1780" s="125"/>
      <c r="D1780" s="125"/>
      <c r="E1780" s="125"/>
      <c r="F1780" s="126"/>
      <c r="G1780" s="126"/>
      <c r="H1780" s="127"/>
      <c r="I1780" s="125"/>
    </row>
    <row r="1781">
      <c r="A1781" s="125"/>
      <c r="B1781" s="125"/>
      <c r="C1781" s="125"/>
      <c r="D1781" s="125"/>
      <c r="E1781" s="125"/>
      <c r="F1781" s="126"/>
      <c r="G1781" s="126"/>
      <c r="H1781" s="127"/>
      <c r="I1781" s="125"/>
    </row>
    <row r="1782">
      <c r="A1782" s="125"/>
      <c r="B1782" s="125"/>
      <c r="C1782" s="125"/>
      <c r="D1782" s="125"/>
      <c r="E1782" s="125"/>
      <c r="F1782" s="126"/>
      <c r="G1782" s="126"/>
      <c r="H1782" s="126"/>
      <c r="I1782" s="125"/>
    </row>
    <row r="1783">
      <c r="A1783" s="125"/>
      <c r="B1783" s="125"/>
      <c r="C1783" s="125"/>
      <c r="D1783" s="125"/>
      <c r="E1783" s="125"/>
      <c r="F1783" s="126"/>
      <c r="G1783" s="126"/>
      <c r="H1783" s="127"/>
      <c r="I1783" s="125"/>
    </row>
    <row r="1784">
      <c r="A1784" s="125"/>
      <c r="B1784" s="125"/>
      <c r="C1784" s="125"/>
      <c r="D1784" s="125"/>
      <c r="E1784" s="125"/>
      <c r="F1784" s="126"/>
      <c r="G1784" s="126"/>
      <c r="H1784" s="127"/>
      <c r="I1784" s="125"/>
    </row>
    <row r="1785">
      <c r="A1785" s="125"/>
      <c r="B1785" s="125"/>
      <c r="C1785" s="125"/>
      <c r="D1785" s="125"/>
      <c r="E1785" s="125"/>
      <c r="F1785" s="126"/>
      <c r="G1785" s="126"/>
      <c r="H1785" s="127"/>
      <c r="I1785" s="125"/>
    </row>
    <row r="1786">
      <c r="A1786" s="125"/>
      <c r="B1786" s="125"/>
      <c r="C1786" s="125"/>
      <c r="D1786" s="125"/>
      <c r="E1786" s="125"/>
      <c r="F1786" s="126"/>
      <c r="G1786" s="126"/>
      <c r="H1786" s="127"/>
      <c r="I1786" s="125"/>
    </row>
    <row r="1787">
      <c r="A1787" s="125"/>
      <c r="B1787" s="125"/>
      <c r="C1787" s="125"/>
      <c r="D1787" s="125"/>
      <c r="E1787" s="125"/>
      <c r="F1787" s="126"/>
      <c r="G1787" s="126"/>
      <c r="H1787" s="127"/>
      <c r="I1787" s="125"/>
    </row>
    <row r="1788">
      <c r="A1788" s="125"/>
      <c r="B1788" s="125"/>
      <c r="C1788" s="125"/>
      <c r="D1788" s="125"/>
      <c r="E1788" s="125"/>
      <c r="F1788" s="126"/>
      <c r="G1788" s="126"/>
      <c r="H1788" s="127"/>
      <c r="I1788" s="125"/>
    </row>
    <row r="1789">
      <c r="A1789" s="125"/>
      <c r="B1789" s="125"/>
      <c r="C1789" s="125"/>
      <c r="D1789" s="125"/>
      <c r="E1789" s="125"/>
      <c r="F1789" s="126"/>
      <c r="G1789" s="126"/>
      <c r="H1789" s="127"/>
      <c r="I1789" s="125"/>
    </row>
    <row r="1790">
      <c r="A1790" s="125"/>
      <c r="B1790" s="125"/>
      <c r="C1790" s="125"/>
      <c r="D1790" s="125"/>
      <c r="E1790" s="125"/>
      <c r="F1790" s="126"/>
      <c r="G1790" s="126"/>
      <c r="H1790" s="127"/>
      <c r="I1790" s="125"/>
    </row>
    <row r="1791">
      <c r="A1791" s="125"/>
      <c r="B1791" s="125"/>
      <c r="C1791" s="125"/>
      <c r="D1791" s="125"/>
      <c r="E1791" s="125"/>
      <c r="F1791" s="126"/>
      <c r="G1791" s="126"/>
      <c r="H1791" s="127"/>
      <c r="I1791" s="125"/>
    </row>
    <row r="1792">
      <c r="A1792" s="125"/>
      <c r="B1792" s="125"/>
      <c r="C1792" s="125"/>
      <c r="D1792" s="125"/>
      <c r="E1792" s="125"/>
      <c r="F1792" s="126"/>
      <c r="G1792" s="126"/>
      <c r="H1792" s="127"/>
      <c r="I1792" s="125"/>
    </row>
    <row r="1793">
      <c r="A1793" s="125"/>
      <c r="B1793" s="125"/>
      <c r="C1793" s="125"/>
      <c r="D1793" s="125"/>
      <c r="E1793" s="125"/>
      <c r="F1793" s="126"/>
      <c r="G1793" s="126"/>
      <c r="H1793" s="127"/>
      <c r="I1793" s="125"/>
    </row>
    <row r="1794">
      <c r="A1794" s="125"/>
      <c r="B1794" s="125"/>
      <c r="C1794" s="125"/>
      <c r="D1794" s="125"/>
      <c r="E1794" s="125"/>
      <c r="F1794" s="126"/>
      <c r="G1794" s="126"/>
      <c r="H1794" s="127"/>
      <c r="I1794" s="125"/>
    </row>
    <row r="1795">
      <c r="A1795" s="125"/>
      <c r="B1795" s="125"/>
      <c r="C1795" s="125"/>
      <c r="D1795" s="125"/>
      <c r="E1795" s="125"/>
      <c r="F1795" s="126"/>
      <c r="G1795" s="126"/>
      <c r="H1795" s="126"/>
      <c r="I1795" s="125"/>
    </row>
    <row r="1796">
      <c r="A1796" s="125"/>
      <c r="B1796" s="125"/>
      <c r="C1796" s="125"/>
      <c r="D1796" s="125"/>
      <c r="E1796" s="125"/>
      <c r="F1796" s="126"/>
      <c r="G1796" s="126"/>
      <c r="H1796" s="127"/>
      <c r="I1796" s="125"/>
    </row>
    <row r="1797">
      <c r="A1797" s="125"/>
      <c r="B1797" s="125"/>
      <c r="C1797" s="125"/>
      <c r="D1797" s="125"/>
      <c r="E1797" s="125"/>
      <c r="F1797" s="126"/>
      <c r="G1797" s="126"/>
      <c r="H1797" s="127"/>
      <c r="I1797" s="125"/>
    </row>
    <row r="1798">
      <c r="A1798" s="125"/>
      <c r="B1798" s="125"/>
      <c r="C1798" s="125"/>
      <c r="D1798" s="125"/>
      <c r="E1798" s="125"/>
      <c r="F1798" s="126"/>
      <c r="G1798" s="126"/>
      <c r="H1798" s="126"/>
      <c r="I1798" s="125"/>
    </row>
    <row r="1799">
      <c r="A1799" s="125"/>
      <c r="B1799" s="125"/>
      <c r="C1799" s="125"/>
      <c r="D1799" s="125"/>
      <c r="E1799" s="125"/>
      <c r="F1799" s="126"/>
      <c r="G1799" s="126"/>
      <c r="H1799" s="127"/>
      <c r="I1799" s="125"/>
    </row>
    <row r="1800">
      <c r="A1800" s="125"/>
      <c r="B1800" s="125"/>
      <c r="C1800" s="125"/>
      <c r="D1800" s="125"/>
      <c r="E1800" s="125"/>
      <c r="F1800" s="126"/>
      <c r="G1800" s="126"/>
      <c r="H1800" s="126"/>
      <c r="I1800" s="125"/>
    </row>
    <row r="1801">
      <c r="A1801" s="125"/>
      <c r="B1801" s="125"/>
      <c r="C1801" s="125"/>
      <c r="D1801" s="125"/>
      <c r="E1801" s="125"/>
      <c r="F1801" s="126"/>
      <c r="G1801" s="126"/>
      <c r="H1801" s="127"/>
      <c r="I1801" s="125"/>
    </row>
    <row r="1802">
      <c r="A1802" s="125"/>
      <c r="B1802" s="125"/>
      <c r="C1802" s="125"/>
      <c r="D1802" s="125"/>
      <c r="E1802" s="125"/>
      <c r="F1802" s="126"/>
      <c r="G1802" s="126"/>
      <c r="H1802" s="127"/>
      <c r="I1802" s="125"/>
    </row>
    <row r="1803">
      <c r="A1803" s="125"/>
      <c r="B1803" s="125"/>
      <c r="C1803" s="125"/>
      <c r="D1803" s="125"/>
      <c r="E1803" s="125"/>
      <c r="F1803" s="126"/>
      <c r="G1803" s="126"/>
      <c r="H1803" s="127"/>
      <c r="I1803" s="125"/>
    </row>
    <row r="1804">
      <c r="A1804" s="125"/>
      <c r="B1804" s="125"/>
      <c r="C1804" s="125"/>
      <c r="D1804" s="125"/>
      <c r="E1804" s="125"/>
      <c r="F1804" s="126"/>
      <c r="G1804" s="126"/>
      <c r="H1804" s="127"/>
      <c r="I1804" s="125"/>
    </row>
    <row r="1805">
      <c r="A1805" s="125"/>
      <c r="B1805" s="125"/>
      <c r="C1805" s="125"/>
      <c r="D1805" s="125"/>
      <c r="E1805" s="125"/>
      <c r="F1805" s="126"/>
      <c r="G1805" s="126"/>
      <c r="H1805" s="127"/>
      <c r="I1805" s="125"/>
    </row>
    <row r="1806">
      <c r="A1806" s="125"/>
      <c r="B1806" s="125"/>
      <c r="C1806" s="125"/>
      <c r="D1806" s="125"/>
      <c r="E1806" s="125"/>
      <c r="F1806" s="126"/>
      <c r="G1806" s="126"/>
      <c r="H1806" s="127"/>
      <c r="I1806" s="125"/>
    </row>
    <row r="1807">
      <c r="A1807" s="125"/>
      <c r="B1807" s="125"/>
      <c r="C1807" s="125"/>
      <c r="D1807" s="125"/>
      <c r="E1807" s="125"/>
      <c r="F1807" s="126"/>
      <c r="G1807" s="126"/>
      <c r="H1807" s="127"/>
      <c r="I1807" s="125"/>
    </row>
    <row r="1808">
      <c r="A1808" s="125"/>
      <c r="B1808" s="125"/>
      <c r="C1808" s="125"/>
      <c r="D1808" s="125"/>
      <c r="E1808" s="125"/>
      <c r="F1808" s="126"/>
      <c r="G1808" s="126"/>
      <c r="H1808" s="126"/>
      <c r="I1808" s="125"/>
    </row>
    <row r="1809">
      <c r="A1809" s="125"/>
      <c r="B1809" s="125"/>
      <c r="C1809" s="125"/>
      <c r="D1809" s="125"/>
      <c r="E1809" s="125"/>
      <c r="F1809" s="126"/>
      <c r="G1809" s="126"/>
      <c r="H1809" s="127"/>
      <c r="I1809" s="125"/>
    </row>
    <row r="1810">
      <c r="A1810" s="125"/>
      <c r="B1810" s="125"/>
      <c r="C1810" s="125"/>
      <c r="D1810" s="125"/>
      <c r="E1810" s="125"/>
      <c r="F1810" s="126"/>
      <c r="G1810" s="126"/>
      <c r="H1810" s="127"/>
      <c r="I1810" s="125"/>
    </row>
    <row r="1811">
      <c r="A1811" s="125"/>
      <c r="B1811" s="125"/>
      <c r="C1811" s="125"/>
      <c r="D1811" s="125"/>
      <c r="E1811" s="125"/>
      <c r="F1811" s="126"/>
      <c r="G1811" s="126"/>
      <c r="H1811" s="127"/>
      <c r="I1811" s="125"/>
    </row>
    <row r="1812">
      <c r="A1812" s="125"/>
      <c r="B1812" s="125"/>
      <c r="C1812" s="125"/>
      <c r="D1812" s="125"/>
      <c r="E1812" s="125"/>
      <c r="F1812" s="126"/>
      <c r="G1812" s="126"/>
      <c r="H1812" s="127"/>
      <c r="I1812" s="125"/>
    </row>
    <row r="1813">
      <c r="A1813" s="125"/>
      <c r="B1813" s="125"/>
      <c r="C1813" s="125"/>
      <c r="D1813" s="125"/>
      <c r="E1813" s="125"/>
      <c r="F1813" s="126"/>
      <c r="G1813" s="126"/>
      <c r="H1813" s="127"/>
      <c r="I1813" s="125"/>
    </row>
    <row r="1814">
      <c r="A1814" s="125"/>
      <c r="B1814" s="125"/>
      <c r="C1814" s="125"/>
      <c r="D1814" s="125"/>
      <c r="E1814" s="125"/>
      <c r="F1814" s="126"/>
      <c r="G1814" s="126"/>
      <c r="H1814" s="126"/>
      <c r="I1814" s="125"/>
    </row>
    <row r="1815">
      <c r="A1815" s="125"/>
      <c r="B1815" s="125"/>
      <c r="C1815" s="125"/>
      <c r="D1815" s="125"/>
      <c r="E1815" s="125"/>
      <c r="F1815" s="126"/>
      <c r="G1815" s="126"/>
      <c r="H1815" s="126"/>
      <c r="I1815" s="125"/>
    </row>
    <row r="1816">
      <c r="A1816" s="125"/>
      <c r="B1816" s="125"/>
      <c r="C1816" s="125"/>
      <c r="D1816" s="125"/>
      <c r="E1816" s="125"/>
      <c r="F1816" s="126"/>
      <c r="G1816" s="126"/>
      <c r="H1816" s="127"/>
      <c r="I1816" s="125"/>
    </row>
    <row r="1817">
      <c r="A1817" s="125"/>
      <c r="B1817" s="125"/>
      <c r="C1817" s="125"/>
      <c r="D1817" s="125"/>
      <c r="E1817" s="125"/>
      <c r="F1817" s="126"/>
      <c r="G1817" s="126"/>
      <c r="H1817" s="127"/>
      <c r="I1817" s="125"/>
    </row>
    <row r="1818">
      <c r="A1818" s="125"/>
      <c r="B1818" s="125"/>
      <c r="C1818" s="125"/>
      <c r="D1818" s="125"/>
      <c r="E1818" s="125"/>
      <c r="F1818" s="126"/>
      <c r="G1818" s="126"/>
      <c r="H1818" s="127"/>
      <c r="I1818" s="125"/>
    </row>
    <row r="1819">
      <c r="A1819" s="125"/>
      <c r="B1819" s="125"/>
      <c r="C1819" s="125"/>
      <c r="D1819" s="125"/>
      <c r="E1819" s="125"/>
      <c r="F1819" s="126"/>
      <c r="G1819" s="126"/>
      <c r="H1819" s="127"/>
      <c r="I1819" s="125"/>
    </row>
    <row r="1820">
      <c r="A1820" s="125"/>
      <c r="B1820" s="125"/>
      <c r="C1820" s="125"/>
      <c r="D1820" s="125"/>
      <c r="E1820" s="125"/>
      <c r="F1820" s="126"/>
      <c r="G1820" s="126"/>
      <c r="H1820" s="127"/>
      <c r="I1820" s="125"/>
    </row>
    <row r="1821">
      <c r="A1821" s="125"/>
      <c r="B1821" s="125"/>
      <c r="C1821" s="125"/>
      <c r="D1821" s="125"/>
      <c r="E1821" s="125"/>
      <c r="F1821" s="126"/>
      <c r="G1821" s="126"/>
      <c r="H1821" s="127"/>
      <c r="I1821" s="125"/>
    </row>
    <row r="1822">
      <c r="A1822" s="125"/>
      <c r="B1822" s="125"/>
      <c r="C1822" s="125"/>
      <c r="D1822" s="125"/>
      <c r="E1822" s="125"/>
      <c r="F1822" s="126"/>
      <c r="G1822" s="126"/>
      <c r="H1822" s="126"/>
      <c r="I1822" s="125"/>
    </row>
    <row r="1823">
      <c r="A1823" s="125"/>
      <c r="B1823" s="125"/>
      <c r="C1823" s="125"/>
      <c r="D1823" s="125"/>
      <c r="E1823" s="125"/>
      <c r="F1823" s="126"/>
      <c r="G1823" s="126"/>
      <c r="H1823" s="127"/>
      <c r="I1823" s="125"/>
    </row>
    <row r="1824">
      <c r="A1824" s="125"/>
      <c r="B1824" s="125"/>
      <c r="C1824" s="125"/>
      <c r="D1824" s="125"/>
      <c r="E1824" s="125"/>
      <c r="F1824" s="126"/>
      <c r="G1824" s="126"/>
      <c r="H1824" s="127"/>
      <c r="I1824" s="125"/>
    </row>
    <row r="1825">
      <c r="A1825" s="125"/>
      <c r="B1825" s="125"/>
      <c r="C1825" s="125"/>
      <c r="D1825" s="125"/>
      <c r="E1825" s="125"/>
      <c r="F1825" s="126"/>
      <c r="G1825" s="126"/>
      <c r="H1825" s="127"/>
      <c r="I1825" s="125"/>
    </row>
    <row r="1826">
      <c r="A1826" s="125"/>
      <c r="B1826" s="125"/>
      <c r="C1826" s="125"/>
      <c r="D1826" s="125"/>
      <c r="E1826" s="125"/>
      <c r="F1826" s="126"/>
      <c r="G1826" s="126"/>
      <c r="H1826" s="127"/>
      <c r="I1826" s="125"/>
    </row>
    <row r="1827">
      <c r="A1827" s="125"/>
      <c r="B1827" s="125"/>
      <c r="C1827" s="125"/>
      <c r="D1827" s="125"/>
      <c r="E1827" s="125"/>
      <c r="F1827" s="126"/>
      <c r="G1827" s="126"/>
      <c r="H1827" s="127"/>
      <c r="I1827" s="125"/>
    </row>
    <row r="1828">
      <c r="A1828" s="125"/>
      <c r="B1828" s="125"/>
      <c r="C1828" s="125"/>
      <c r="D1828" s="125"/>
      <c r="E1828" s="125"/>
      <c r="F1828" s="126"/>
      <c r="G1828" s="126"/>
      <c r="H1828" s="126"/>
      <c r="I1828" s="125"/>
    </row>
    <row r="1829">
      <c r="A1829" s="125"/>
      <c r="B1829" s="125"/>
      <c r="C1829" s="125"/>
      <c r="D1829" s="125"/>
      <c r="E1829" s="125"/>
      <c r="F1829" s="126"/>
      <c r="G1829" s="126"/>
      <c r="H1829" s="127"/>
      <c r="I1829" s="125"/>
    </row>
    <row r="1830">
      <c r="A1830" s="125"/>
      <c r="B1830" s="125"/>
      <c r="C1830" s="125"/>
      <c r="D1830" s="125"/>
      <c r="E1830" s="125"/>
      <c r="F1830" s="126"/>
      <c r="G1830" s="126"/>
      <c r="H1830" s="127"/>
      <c r="I1830" s="125"/>
    </row>
    <row r="1831">
      <c r="A1831" s="125"/>
      <c r="B1831" s="125"/>
      <c r="C1831" s="125"/>
      <c r="D1831" s="125"/>
      <c r="E1831" s="125"/>
      <c r="F1831" s="126"/>
      <c r="G1831" s="126"/>
      <c r="H1831" s="127"/>
      <c r="I1831" s="125"/>
    </row>
    <row r="1832">
      <c r="A1832" s="125"/>
      <c r="B1832" s="125"/>
      <c r="C1832" s="125"/>
      <c r="D1832" s="125"/>
      <c r="E1832" s="125"/>
      <c r="F1832" s="126"/>
      <c r="G1832" s="126"/>
      <c r="H1832" s="127"/>
      <c r="I1832" s="125"/>
    </row>
    <row r="1833">
      <c r="A1833" s="125"/>
      <c r="B1833" s="125"/>
      <c r="C1833" s="125"/>
      <c r="D1833" s="125"/>
      <c r="E1833" s="125"/>
      <c r="F1833" s="126"/>
      <c r="G1833" s="126"/>
      <c r="H1833" s="127"/>
      <c r="I1833" s="125"/>
    </row>
    <row r="1834">
      <c r="A1834" s="125"/>
      <c r="B1834" s="125"/>
      <c r="C1834" s="125"/>
      <c r="D1834" s="125"/>
      <c r="E1834" s="125"/>
      <c r="F1834" s="126"/>
      <c r="G1834" s="126"/>
      <c r="H1834" s="127"/>
      <c r="I1834" s="125"/>
    </row>
    <row r="1835">
      <c r="A1835" s="125"/>
      <c r="B1835" s="125"/>
      <c r="C1835" s="125"/>
      <c r="D1835" s="125"/>
      <c r="E1835" s="125"/>
      <c r="F1835" s="126"/>
      <c r="G1835" s="126"/>
      <c r="H1835" s="127"/>
      <c r="I1835" s="125"/>
    </row>
    <row r="1836">
      <c r="A1836" s="125"/>
      <c r="B1836" s="125"/>
      <c r="C1836" s="125"/>
      <c r="D1836" s="125"/>
      <c r="E1836" s="125"/>
      <c r="F1836" s="126"/>
      <c r="G1836" s="126"/>
      <c r="H1836" s="127"/>
      <c r="I1836" s="125"/>
    </row>
    <row r="1837">
      <c r="A1837" s="125"/>
      <c r="B1837" s="125"/>
      <c r="C1837" s="125"/>
      <c r="D1837" s="125"/>
      <c r="E1837" s="125"/>
      <c r="F1837" s="126"/>
      <c r="G1837" s="126"/>
      <c r="H1837" s="127"/>
      <c r="I1837" s="125"/>
    </row>
    <row r="1838">
      <c r="A1838" s="125"/>
      <c r="B1838" s="125"/>
      <c r="C1838" s="125"/>
      <c r="D1838" s="125"/>
      <c r="E1838" s="125"/>
      <c r="F1838" s="126"/>
      <c r="G1838" s="126"/>
      <c r="H1838" s="126"/>
      <c r="I1838" s="125"/>
    </row>
    <row r="1839">
      <c r="A1839" s="125"/>
      <c r="B1839" s="125"/>
      <c r="C1839" s="125"/>
      <c r="D1839" s="125"/>
      <c r="E1839" s="125"/>
      <c r="F1839" s="126"/>
      <c r="G1839" s="126"/>
      <c r="H1839" s="127"/>
      <c r="I1839" s="125"/>
    </row>
    <row r="1840">
      <c r="A1840" s="125"/>
      <c r="B1840" s="125"/>
      <c r="C1840" s="125"/>
      <c r="D1840" s="125"/>
      <c r="E1840" s="125"/>
      <c r="F1840" s="126"/>
      <c r="G1840" s="126"/>
      <c r="H1840" s="127"/>
      <c r="I1840" s="125"/>
    </row>
    <row r="1841">
      <c r="A1841" s="125"/>
      <c r="B1841" s="125"/>
      <c r="C1841" s="125"/>
      <c r="D1841" s="125"/>
      <c r="E1841" s="125"/>
      <c r="F1841" s="126"/>
      <c r="G1841" s="126"/>
      <c r="H1841" s="127"/>
      <c r="I1841" s="125"/>
    </row>
    <row r="1842">
      <c r="A1842" s="125"/>
      <c r="B1842" s="125"/>
      <c r="C1842" s="125"/>
      <c r="D1842" s="125"/>
      <c r="E1842" s="125"/>
      <c r="F1842" s="126"/>
      <c r="G1842" s="126"/>
      <c r="H1842" s="126"/>
      <c r="I1842" s="125"/>
    </row>
    <row r="1843">
      <c r="A1843" s="125"/>
      <c r="B1843" s="125"/>
      <c r="C1843" s="125"/>
      <c r="D1843" s="125"/>
      <c r="E1843" s="125"/>
      <c r="F1843" s="126"/>
      <c r="G1843" s="126"/>
      <c r="H1843" s="127"/>
      <c r="I1843" s="125"/>
    </row>
    <row r="1844">
      <c r="A1844" s="125"/>
      <c r="B1844" s="125"/>
      <c r="C1844" s="125"/>
      <c r="D1844" s="125"/>
      <c r="E1844" s="125"/>
      <c r="F1844" s="126"/>
      <c r="G1844" s="126"/>
      <c r="H1844" s="127"/>
      <c r="I1844" s="125"/>
    </row>
    <row r="1845">
      <c r="A1845" s="125"/>
      <c r="B1845" s="125"/>
      <c r="C1845" s="125"/>
      <c r="D1845" s="125"/>
      <c r="E1845" s="125"/>
      <c r="F1845" s="126"/>
      <c r="G1845" s="126"/>
      <c r="H1845" s="127"/>
      <c r="I1845" s="125"/>
    </row>
    <row r="1846">
      <c r="A1846" s="125"/>
      <c r="B1846" s="125"/>
      <c r="C1846" s="125"/>
      <c r="D1846" s="125"/>
      <c r="E1846" s="125"/>
      <c r="F1846" s="126"/>
      <c r="G1846" s="126"/>
      <c r="H1846" s="127"/>
      <c r="I1846" s="125"/>
    </row>
    <row r="1847">
      <c r="A1847" s="125"/>
      <c r="B1847" s="125"/>
      <c r="C1847" s="125"/>
      <c r="D1847" s="125"/>
      <c r="E1847" s="125"/>
      <c r="F1847" s="126"/>
      <c r="G1847" s="126"/>
      <c r="H1847" s="127"/>
      <c r="I1847" s="125"/>
    </row>
    <row r="1848">
      <c r="A1848" s="125"/>
      <c r="B1848" s="125"/>
      <c r="C1848" s="125"/>
      <c r="D1848" s="125"/>
      <c r="E1848" s="125"/>
      <c r="F1848" s="126"/>
      <c r="G1848" s="126"/>
      <c r="H1848" s="127"/>
      <c r="I1848" s="125"/>
    </row>
    <row r="1849">
      <c r="A1849" s="125"/>
      <c r="B1849" s="125"/>
      <c r="C1849" s="125"/>
      <c r="D1849" s="125"/>
      <c r="E1849" s="125"/>
      <c r="F1849" s="126"/>
      <c r="G1849" s="126"/>
      <c r="H1849" s="127"/>
      <c r="I1849" s="125"/>
    </row>
    <row r="1850">
      <c r="A1850" s="125"/>
      <c r="B1850" s="125"/>
      <c r="C1850" s="125"/>
      <c r="D1850" s="125"/>
      <c r="E1850" s="125"/>
      <c r="F1850" s="126"/>
      <c r="G1850" s="126"/>
      <c r="H1850" s="127"/>
      <c r="I1850" s="125"/>
    </row>
    <row r="1851">
      <c r="A1851" s="125"/>
      <c r="B1851" s="125"/>
      <c r="C1851" s="125"/>
      <c r="D1851" s="125"/>
      <c r="E1851" s="125"/>
      <c r="F1851" s="126"/>
      <c r="G1851" s="126"/>
      <c r="H1851" s="126"/>
      <c r="I1851" s="125"/>
    </row>
    <row r="1852">
      <c r="A1852" s="125"/>
      <c r="B1852" s="125"/>
      <c r="C1852" s="125"/>
      <c r="D1852" s="125"/>
      <c r="E1852" s="125"/>
      <c r="F1852" s="126"/>
      <c r="G1852" s="126"/>
      <c r="H1852" s="127"/>
      <c r="I1852" s="125"/>
    </row>
    <row r="1853">
      <c r="A1853" s="125"/>
      <c r="B1853" s="125"/>
      <c r="C1853" s="125"/>
      <c r="D1853" s="125"/>
      <c r="E1853" s="125"/>
      <c r="F1853" s="126"/>
      <c r="G1853" s="126"/>
      <c r="H1853" s="127"/>
      <c r="I1853" s="125"/>
    </row>
    <row r="1854">
      <c r="A1854" s="125"/>
      <c r="B1854" s="125"/>
      <c r="C1854" s="125"/>
      <c r="D1854" s="125"/>
      <c r="E1854" s="125"/>
      <c r="F1854" s="126"/>
      <c r="G1854" s="126"/>
      <c r="H1854" s="126"/>
      <c r="I1854" s="125"/>
    </row>
    <row r="1855">
      <c r="A1855" s="125"/>
      <c r="B1855" s="125"/>
      <c r="C1855" s="125"/>
      <c r="D1855" s="125"/>
      <c r="E1855" s="125"/>
      <c r="F1855" s="126"/>
      <c r="G1855" s="126"/>
      <c r="H1855" s="127"/>
      <c r="I1855" s="125"/>
    </row>
    <row r="1856">
      <c r="A1856" s="125"/>
      <c r="B1856" s="125"/>
      <c r="C1856" s="125"/>
      <c r="D1856" s="125"/>
      <c r="E1856" s="125"/>
      <c r="F1856" s="126"/>
      <c r="G1856" s="126"/>
      <c r="H1856" s="127"/>
      <c r="I1856" s="125"/>
    </row>
    <row r="1857">
      <c r="A1857" s="125"/>
      <c r="B1857" s="125"/>
      <c r="C1857" s="125"/>
      <c r="D1857" s="125"/>
      <c r="E1857" s="125"/>
      <c r="F1857" s="126"/>
      <c r="G1857" s="126"/>
      <c r="H1857" s="127"/>
      <c r="I1857" s="125"/>
    </row>
    <row r="1858">
      <c r="A1858" s="125"/>
      <c r="B1858" s="125"/>
      <c r="C1858" s="125"/>
      <c r="D1858" s="125"/>
      <c r="E1858" s="125"/>
      <c r="F1858" s="126"/>
      <c r="G1858" s="126"/>
      <c r="H1858" s="127"/>
      <c r="I1858" s="125"/>
    </row>
    <row r="1859">
      <c r="A1859" s="125"/>
      <c r="B1859" s="125"/>
      <c r="C1859" s="125"/>
      <c r="D1859" s="125"/>
      <c r="E1859" s="125"/>
      <c r="F1859" s="126"/>
      <c r="G1859" s="126"/>
      <c r="H1859" s="127"/>
      <c r="I1859" s="125"/>
    </row>
    <row r="1860">
      <c r="A1860" s="125"/>
      <c r="B1860" s="125"/>
      <c r="C1860" s="125"/>
      <c r="D1860" s="125"/>
      <c r="E1860" s="125"/>
      <c r="F1860" s="126"/>
      <c r="G1860" s="126"/>
      <c r="H1860" s="126"/>
      <c r="I1860" s="125"/>
    </row>
    <row r="1861">
      <c r="A1861" s="125"/>
      <c r="B1861" s="125"/>
      <c r="C1861" s="125"/>
      <c r="D1861" s="125"/>
      <c r="E1861" s="125"/>
      <c r="F1861" s="126"/>
      <c r="G1861" s="126"/>
      <c r="H1861" s="126"/>
      <c r="I1861" s="125"/>
    </row>
    <row r="1862">
      <c r="A1862" s="125"/>
      <c r="B1862" s="125"/>
      <c r="C1862" s="125"/>
      <c r="D1862" s="125"/>
      <c r="E1862" s="125"/>
      <c r="F1862" s="126"/>
      <c r="G1862" s="126"/>
      <c r="H1862" s="127"/>
      <c r="I1862" s="125"/>
    </row>
    <row r="1863">
      <c r="A1863" s="125"/>
      <c r="B1863" s="125"/>
      <c r="C1863" s="125"/>
      <c r="D1863" s="125"/>
      <c r="E1863" s="125"/>
      <c r="F1863" s="126"/>
      <c r="G1863" s="126"/>
      <c r="H1863" s="126"/>
      <c r="I1863" s="125"/>
    </row>
    <row r="1864">
      <c r="A1864" s="125"/>
      <c r="B1864" s="125"/>
      <c r="C1864" s="125"/>
      <c r="D1864" s="125"/>
      <c r="E1864" s="125"/>
      <c r="F1864" s="126"/>
      <c r="G1864" s="126"/>
      <c r="H1864" s="127"/>
      <c r="I1864" s="125"/>
    </row>
    <row r="1865">
      <c r="A1865" s="125"/>
      <c r="B1865" s="125"/>
      <c r="C1865" s="125"/>
      <c r="D1865" s="125"/>
      <c r="E1865" s="125"/>
      <c r="F1865" s="126"/>
      <c r="G1865" s="126"/>
      <c r="H1865" s="127"/>
      <c r="I1865" s="125"/>
    </row>
    <row r="1866">
      <c r="A1866" s="125"/>
      <c r="B1866" s="125"/>
      <c r="C1866" s="125"/>
      <c r="D1866" s="125"/>
      <c r="E1866" s="125"/>
      <c r="F1866" s="126"/>
      <c r="G1866" s="126"/>
      <c r="H1866" s="127"/>
      <c r="I1866" s="125"/>
    </row>
    <row r="1867">
      <c r="A1867" s="125"/>
      <c r="B1867" s="125"/>
      <c r="C1867" s="125"/>
      <c r="D1867" s="125"/>
      <c r="E1867" s="125"/>
      <c r="F1867" s="126"/>
      <c r="G1867" s="126"/>
      <c r="H1867" s="126"/>
      <c r="I1867" s="125"/>
    </row>
    <row r="1868">
      <c r="A1868" s="125"/>
      <c r="B1868" s="125"/>
      <c r="C1868" s="125"/>
      <c r="D1868" s="125"/>
      <c r="E1868" s="125"/>
      <c r="F1868" s="126"/>
      <c r="G1868" s="126"/>
      <c r="H1868" s="127"/>
      <c r="I1868" s="125"/>
    </row>
    <row r="1869">
      <c r="A1869" s="125"/>
      <c r="B1869" s="125"/>
      <c r="C1869" s="125"/>
      <c r="D1869" s="125"/>
      <c r="E1869" s="125"/>
      <c r="F1869" s="126"/>
      <c r="G1869" s="126"/>
      <c r="H1869" s="127"/>
      <c r="I1869" s="125"/>
    </row>
    <row r="1870">
      <c r="A1870" s="125"/>
      <c r="B1870" s="125"/>
      <c r="C1870" s="125"/>
      <c r="D1870" s="125"/>
      <c r="E1870" s="125"/>
      <c r="F1870" s="126"/>
      <c r="G1870" s="126"/>
      <c r="H1870" s="127"/>
      <c r="I1870" s="125"/>
    </row>
    <row r="1871">
      <c r="A1871" s="125"/>
      <c r="B1871" s="125"/>
      <c r="C1871" s="125"/>
      <c r="D1871" s="125"/>
      <c r="E1871" s="125"/>
      <c r="F1871" s="126"/>
      <c r="G1871" s="126"/>
      <c r="H1871" s="127"/>
      <c r="I1871" s="125"/>
    </row>
    <row r="1872">
      <c r="A1872" s="125"/>
      <c r="B1872" s="125"/>
      <c r="C1872" s="125"/>
      <c r="D1872" s="125"/>
      <c r="E1872" s="125"/>
      <c r="F1872" s="126"/>
      <c r="G1872" s="126"/>
      <c r="H1872" s="127"/>
      <c r="I1872" s="125"/>
    </row>
    <row r="1873">
      <c r="A1873" s="125"/>
      <c r="B1873" s="125"/>
      <c r="C1873" s="125"/>
      <c r="D1873" s="125"/>
      <c r="E1873" s="125"/>
      <c r="F1873" s="126"/>
      <c r="G1873" s="126"/>
      <c r="H1873" s="126"/>
      <c r="I1873" s="125"/>
    </row>
    <row r="1874">
      <c r="A1874" s="125"/>
      <c r="B1874" s="125"/>
      <c r="C1874" s="125"/>
      <c r="D1874" s="125"/>
      <c r="E1874" s="125"/>
      <c r="F1874" s="126"/>
      <c r="G1874" s="126"/>
      <c r="H1874" s="127"/>
      <c r="I1874" s="125"/>
    </row>
    <row r="1875">
      <c r="A1875" s="125"/>
      <c r="B1875" s="125"/>
      <c r="C1875" s="125"/>
      <c r="D1875" s="125"/>
      <c r="E1875" s="125"/>
      <c r="F1875" s="126"/>
      <c r="G1875" s="126"/>
      <c r="H1875" s="127"/>
      <c r="I1875" s="125"/>
    </row>
    <row r="1876">
      <c r="A1876" s="125"/>
      <c r="B1876" s="125"/>
      <c r="C1876" s="125"/>
      <c r="D1876" s="125"/>
      <c r="E1876" s="125"/>
      <c r="F1876" s="126"/>
      <c r="G1876" s="126"/>
      <c r="H1876" s="127"/>
      <c r="I1876" s="125"/>
    </row>
    <row r="1877">
      <c r="A1877" s="125"/>
      <c r="B1877" s="125"/>
      <c r="C1877" s="125"/>
      <c r="D1877" s="125"/>
      <c r="E1877" s="125"/>
      <c r="F1877" s="126"/>
      <c r="G1877" s="126"/>
      <c r="H1877" s="127"/>
      <c r="I1877" s="125"/>
    </row>
    <row r="1878">
      <c r="A1878" s="125"/>
      <c r="B1878" s="125"/>
      <c r="C1878" s="125"/>
      <c r="D1878" s="125"/>
      <c r="E1878" s="125"/>
      <c r="F1878" s="126"/>
      <c r="G1878" s="126"/>
      <c r="H1878" s="127"/>
      <c r="I1878" s="125"/>
    </row>
    <row r="1879">
      <c r="A1879" s="125"/>
      <c r="B1879" s="125"/>
      <c r="C1879" s="125"/>
      <c r="D1879" s="125"/>
      <c r="E1879" s="125"/>
      <c r="F1879" s="126"/>
      <c r="G1879" s="126"/>
      <c r="H1879" s="127"/>
      <c r="I1879" s="125"/>
    </row>
    <row r="1880">
      <c r="A1880" s="125"/>
      <c r="B1880" s="125"/>
      <c r="C1880" s="125"/>
      <c r="D1880" s="125"/>
      <c r="E1880" s="125"/>
      <c r="F1880" s="126"/>
      <c r="G1880" s="126"/>
      <c r="H1880" s="127"/>
      <c r="I1880" s="125"/>
    </row>
    <row r="1881">
      <c r="A1881" s="125"/>
      <c r="B1881" s="125"/>
      <c r="C1881" s="125"/>
      <c r="D1881" s="125"/>
      <c r="E1881" s="125"/>
      <c r="F1881" s="126"/>
      <c r="G1881" s="126"/>
      <c r="H1881" s="127"/>
      <c r="I1881" s="125"/>
    </row>
    <row r="1882">
      <c r="A1882" s="125"/>
      <c r="B1882" s="125"/>
      <c r="C1882" s="125"/>
      <c r="D1882" s="125"/>
      <c r="E1882" s="125"/>
      <c r="F1882" s="126"/>
      <c r="G1882" s="126"/>
      <c r="H1882" s="126"/>
      <c r="I1882" s="125"/>
    </row>
    <row r="1883">
      <c r="A1883" s="125"/>
      <c r="B1883" s="125"/>
      <c r="C1883" s="125"/>
      <c r="D1883" s="125"/>
      <c r="E1883" s="125"/>
      <c r="F1883" s="126"/>
      <c r="G1883" s="126"/>
      <c r="H1883" s="127"/>
      <c r="I1883" s="125"/>
    </row>
    <row r="1884">
      <c r="A1884" s="125"/>
      <c r="B1884" s="125"/>
      <c r="C1884" s="125"/>
      <c r="D1884" s="125"/>
      <c r="E1884" s="125"/>
      <c r="F1884" s="126"/>
      <c r="G1884" s="126"/>
      <c r="H1884" s="127"/>
      <c r="I1884" s="125"/>
    </row>
    <row r="1885">
      <c r="A1885" s="125"/>
      <c r="B1885" s="125"/>
      <c r="C1885" s="125"/>
      <c r="D1885" s="125"/>
      <c r="E1885" s="125"/>
      <c r="F1885" s="126"/>
      <c r="G1885" s="126"/>
      <c r="H1885" s="127"/>
      <c r="I1885" s="125"/>
    </row>
    <row r="1886">
      <c r="A1886" s="125"/>
      <c r="B1886" s="125"/>
      <c r="C1886" s="125"/>
      <c r="D1886" s="125"/>
      <c r="E1886" s="125"/>
      <c r="F1886" s="126"/>
      <c r="G1886" s="126"/>
      <c r="H1886" s="127"/>
      <c r="I1886" s="125"/>
    </row>
    <row r="1887">
      <c r="A1887" s="125"/>
      <c r="B1887" s="125"/>
      <c r="C1887" s="125"/>
      <c r="D1887" s="125"/>
      <c r="E1887" s="125"/>
      <c r="F1887" s="126"/>
      <c r="G1887" s="126"/>
      <c r="H1887" s="127"/>
      <c r="I1887" s="125"/>
    </row>
    <row r="1888">
      <c r="A1888" s="125"/>
      <c r="B1888" s="125"/>
      <c r="C1888" s="125"/>
      <c r="D1888" s="125"/>
      <c r="E1888" s="125"/>
      <c r="F1888" s="126"/>
      <c r="G1888" s="126"/>
      <c r="H1888" s="127"/>
      <c r="I1888" s="125"/>
    </row>
    <row r="1889">
      <c r="A1889" s="125"/>
      <c r="B1889" s="125"/>
      <c r="C1889" s="125"/>
      <c r="D1889" s="125"/>
      <c r="E1889" s="125"/>
      <c r="F1889" s="126"/>
      <c r="G1889" s="126"/>
      <c r="H1889" s="126"/>
      <c r="I1889" s="125"/>
    </row>
    <row r="1890">
      <c r="A1890" s="125"/>
      <c r="B1890" s="125"/>
      <c r="C1890" s="125"/>
      <c r="D1890" s="125"/>
      <c r="E1890" s="125"/>
      <c r="F1890" s="126"/>
      <c r="G1890" s="126"/>
      <c r="H1890" s="127"/>
      <c r="I1890" s="125"/>
    </row>
    <row r="1891">
      <c r="A1891" s="125"/>
      <c r="B1891" s="125"/>
      <c r="C1891" s="125"/>
      <c r="D1891" s="125"/>
      <c r="E1891" s="125"/>
      <c r="F1891" s="126"/>
      <c r="G1891" s="126"/>
      <c r="H1891" s="126"/>
      <c r="I1891" s="125"/>
    </row>
    <row r="1892">
      <c r="A1892" s="125"/>
      <c r="B1892" s="125"/>
      <c r="C1892" s="125"/>
      <c r="D1892" s="125"/>
      <c r="E1892" s="125"/>
      <c r="F1892" s="126"/>
      <c r="G1892" s="126"/>
      <c r="H1892" s="127"/>
      <c r="I1892" s="125"/>
    </row>
    <row r="1893">
      <c r="A1893" s="125"/>
      <c r="B1893" s="125"/>
      <c r="C1893" s="125"/>
      <c r="D1893" s="125"/>
      <c r="E1893" s="125"/>
      <c r="F1893" s="126"/>
      <c r="G1893" s="126"/>
      <c r="H1893" s="126"/>
      <c r="I1893" s="125"/>
    </row>
    <row r="1894">
      <c r="A1894" s="125"/>
      <c r="B1894" s="125"/>
      <c r="C1894" s="125"/>
      <c r="D1894" s="125"/>
      <c r="E1894" s="125"/>
      <c r="F1894" s="126"/>
      <c r="G1894" s="126"/>
      <c r="H1894" s="126"/>
      <c r="I1894" s="125"/>
    </row>
    <row r="1895">
      <c r="A1895" s="125"/>
      <c r="B1895" s="125"/>
      <c r="C1895" s="125"/>
      <c r="D1895" s="125"/>
      <c r="E1895" s="125"/>
      <c r="F1895" s="126"/>
      <c r="G1895" s="126"/>
      <c r="H1895" s="126"/>
      <c r="I1895" s="125"/>
    </row>
    <row r="1896">
      <c r="A1896" s="125"/>
      <c r="B1896" s="125"/>
      <c r="C1896" s="125"/>
      <c r="D1896" s="125"/>
      <c r="E1896" s="125"/>
      <c r="F1896" s="126"/>
      <c r="G1896" s="126"/>
      <c r="H1896" s="127"/>
      <c r="I1896" s="125"/>
    </row>
    <row r="1897">
      <c r="A1897" s="125"/>
      <c r="B1897" s="125"/>
      <c r="C1897" s="125"/>
      <c r="D1897" s="125"/>
      <c r="E1897" s="125"/>
      <c r="F1897" s="126"/>
      <c r="G1897" s="126"/>
      <c r="H1897" s="126"/>
      <c r="I1897" s="125"/>
    </row>
    <row r="1898">
      <c r="A1898" s="125"/>
      <c r="B1898" s="125"/>
      <c r="C1898" s="125"/>
      <c r="D1898" s="125"/>
      <c r="E1898" s="125"/>
      <c r="F1898" s="126"/>
      <c r="G1898" s="126"/>
      <c r="H1898" s="127"/>
      <c r="I1898" s="125"/>
    </row>
    <row r="1899">
      <c r="A1899" s="125"/>
      <c r="B1899" s="125"/>
      <c r="C1899" s="125"/>
      <c r="D1899" s="125"/>
      <c r="E1899" s="125"/>
      <c r="F1899" s="126"/>
      <c r="G1899" s="126"/>
      <c r="H1899" s="127"/>
      <c r="I1899" s="125"/>
    </row>
    <row r="1900">
      <c r="A1900" s="125"/>
      <c r="B1900" s="125"/>
      <c r="C1900" s="125"/>
      <c r="D1900" s="125"/>
      <c r="E1900" s="125"/>
      <c r="F1900" s="126"/>
      <c r="G1900" s="126"/>
      <c r="H1900" s="127"/>
      <c r="I1900" s="125"/>
    </row>
    <row r="1901">
      <c r="A1901" s="125"/>
      <c r="B1901" s="125"/>
      <c r="C1901" s="125"/>
      <c r="D1901" s="125"/>
      <c r="E1901" s="125"/>
      <c r="F1901" s="126"/>
      <c r="G1901" s="126"/>
      <c r="H1901" s="127"/>
      <c r="I1901" s="125"/>
    </row>
    <row r="1902">
      <c r="A1902" s="125"/>
      <c r="B1902" s="125"/>
      <c r="C1902" s="125"/>
      <c r="D1902" s="125"/>
      <c r="E1902" s="125"/>
      <c r="F1902" s="126"/>
      <c r="G1902" s="126"/>
      <c r="H1902" s="126"/>
      <c r="I1902" s="125"/>
    </row>
    <row r="1903">
      <c r="A1903" s="125"/>
      <c r="B1903" s="125"/>
      <c r="C1903" s="125"/>
      <c r="D1903" s="125"/>
      <c r="E1903" s="125"/>
      <c r="F1903" s="126"/>
      <c r="G1903" s="126"/>
      <c r="H1903" s="127"/>
      <c r="I1903" s="125"/>
    </row>
    <row r="1904">
      <c r="A1904" s="125"/>
      <c r="B1904" s="125"/>
      <c r="C1904" s="125"/>
      <c r="D1904" s="125"/>
      <c r="E1904" s="125"/>
      <c r="F1904" s="126"/>
      <c r="G1904" s="126"/>
      <c r="H1904" s="126"/>
      <c r="I1904" s="125"/>
    </row>
    <row r="1905">
      <c r="A1905" s="125"/>
      <c r="B1905" s="125"/>
      <c r="C1905" s="125"/>
      <c r="D1905" s="125"/>
      <c r="E1905" s="125"/>
      <c r="F1905" s="126"/>
      <c r="G1905" s="126"/>
      <c r="H1905" s="126"/>
      <c r="I1905" s="125"/>
    </row>
    <row r="1906">
      <c r="A1906" s="125"/>
      <c r="B1906" s="125"/>
      <c r="C1906" s="125"/>
      <c r="D1906" s="125"/>
      <c r="E1906" s="125"/>
      <c r="F1906" s="126"/>
      <c r="G1906" s="126"/>
      <c r="H1906" s="127"/>
      <c r="I1906" s="125"/>
    </row>
    <row r="1907">
      <c r="A1907" s="125"/>
      <c r="B1907" s="125"/>
      <c r="C1907" s="125"/>
      <c r="D1907" s="125"/>
      <c r="E1907" s="125"/>
      <c r="F1907" s="126"/>
      <c r="G1907" s="126"/>
      <c r="H1907" s="127"/>
      <c r="I1907" s="125"/>
    </row>
    <row r="1908">
      <c r="A1908" s="125"/>
      <c r="B1908" s="125"/>
      <c r="C1908" s="125"/>
      <c r="D1908" s="125"/>
      <c r="E1908" s="125"/>
      <c r="F1908" s="126"/>
      <c r="G1908" s="126"/>
      <c r="H1908" s="126"/>
      <c r="I1908" s="125"/>
    </row>
    <row r="1909">
      <c r="A1909" s="125"/>
      <c r="B1909" s="125"/>
      <c r="C1909" s="125"/>
      <c r="D1909" s="125"/>
      <c r="E1909" s="125"/>
      <c r="F1909" s="126"/>
      <c r="G1909" s="126"/>
      <c r="H1909" s="127"/>
      <c r="I1909" s="125"/>
    </row>
    <row r="1910">
      <c r="A1910" s="125"/>
      <c r="B1910" s="125"/>
      <c r="C1910" s="125"/>
      <c r="D1910" s="125"/>
      <c r="E1910" s="125"/>
      <c r="F1910" s="126"/>
      <c r="G1910" s="126"/>
      <c r="H1910" s="127"/>
      <c r="I1910" s="125"/>
    </row>
    <row r="1911">
      <c r="A1911" s="125"/>
      <c r="B1911" s="125"/>
      <c r="C1911" s="125"/>
      <c r="D1911" s="125"/>
      <c r="E1911" s="125"/>
      <c r="F1911" s="126"/>
      <c r="G1911" s="126"/>
      <c r="H1911" s="127"/>
      <c r="I1911" s="125"/>
    </row>
    <row r="1912">
      <c r="A1912" s="125"/>
      <c r="B1912" s="125"/>
      <c r="C1912" s="125"/>
      <c r="D1912" s="125"/>
      <c r="E1912" s="125"/>
      <c r="F1912" s="126"/>
      <c r="G1912" s="126"/>
      <c r="H1912" s="127"/>
      <c r="I1912" s="125"/>
    </row>
    <row r="1913">
      <c r="A1913" s="125"/>
      <c r="B1913" s="125"/>
      <c r="C1913" s="125"/>
      <c r="D1913" s="125"/>
      <c r="E1913" s="125"/>
      <c r="F1913" s="126"/>
      <c r="G1913" s="126"/>
      <c r="H1913" s="127"/>
      <c r="I1913" s="125"/>
    </row>
    <row r="1914">
      <c r="A1914" s="125"/>
      <c r="B1914" s="125"/>
      <c r="C1914" s="125"/>
      <c r="D1914" s="125"/>
      <c r="E1914" s="125"/>
      <c r="F1914" s="126"/>
      <c r="G1914" s="126"/>
      <c r="H1914" s="127"/>
      <c r="I1914" s="125"/>
    </row>
    <row r="1915">
      <c r="A1915" s="125"/>
      <c r="B1915" s="125"/>
      <c r="C1915" s="125"/>
      <c r="D1915" s="125"/>
      <c r="E1915" s="125"/>
      <c r="F1915" s="126"/>
      <c r="G1915" s="126"/>
      <c r="H1915" s="127"/>
      <c r="I1915" s="125"/>
    </row>
    <row r="1916">
      <c r="A1916" s="125"/>
      <c r="B1916" s="125"/>
      <c r="C1916" s="125"/>
      <c r="D1916" s="125"/>
      <c r="E1916" s="125"/>
      <c r="F1916" s="126"/>
      <c r="G1916" s="126"/>
      <c r="H1916" s="127"/>
      <c r="I1916" s="125"/>
    </row>
    <row r="1917">
      <c r="A1917" s="125"/>
      <c r="B1917" s="125"/>
      <c r="C1917" s="125"/>
      <c r="D1917" s="125"/>
      <c r="E1917" s="125"/>
      <c r="F1917" s="126"/>
      <c r="G1917" s="126"/>
      <c r="H1917" s="127"/>
      <c r="I1917" s="125"/>
    </row>
    <row r="1918">
      <c r="A1918" s="125"/>
      <c r="B1918" s="125"/>
      <c r="C1918" s="125"/>
      <c r="D1918" s="125"/>
      <c r="E1918" s="125"/>
      <c r="F1918" s="126"/>
      <c r="G1918" s="126"/>
      <c r="H1918" s="127"/>
      <c r="I1918" s="125"/>
    </row>
    <row r="1919">
      <c r="A1919" s="125"/>
      <c r="B1919" s="125"/>
      <c r="C1919" s="125"/>
      <c r="D1919" s="125"/>
      <c r="E1919" s="125"/>
      <c r="F1919" s="126"/>
      <c r="G1919" s="126"/>
      <c r="H1919" s="126"/>
      <c r="I1919" s="125"/>
    </row>
    <row r="1920">
      <c r="A1920" s="125"/>
      <c r="B1920" s="125"/>
      <c r="C1920" s="125"/>
      <c r="D1920" s="125"/>
      <c r="E1920" s="125"/>
      <c r="F1920" s="126"/>
      <c r="G1920" s="126"/>
      <c r="H1920" s="127"/>
      <c r="I1920" s="125"/>
    </row>
    <row r="1921">
      <c r="A1921" s="125"/>
      <c r="B1921" s="125"/>
      <c r="C1921" s="125"/>
      <c r="D1921" s="125"/>
      <c r="E1921" s="125"/>
      <c r="F1921" s="126"/>
      <c r="G1921" s="126"/>
      <c r="H1921" s="127"/>
      <c r="I1921" s="125"/>
    </row>
    <row r="1922">
      <c r="A1922" s="125"/>
      <c r="B1922" s="125"/>
      <c r="C1922" s="125"/>
      <c r="D1922" s="125"/>
      <c r="E1922" s="125"/>
      <c r="F1922" s="126"/>
      <c r="G1922" s="126"/>
      <c r="H1922" s="127"/>
      <c r="I1922" s="125"/>
    </row>
    <row r="1923">
      <c r="A1923" s="125"/>
      <c r="B1923" s="125"/>
      <c r="C1923" s="125"/>
      <c r="D1923" s="125"/>
      <c r="E1923" s="125"/>
      <c r="F1923" s="126"/>
      <c r="G1923" s="126"/>
      <c r="H1923" s="127"/>
      <c r="I1923" s="125"/>
    </row>
    <row r="1924">
      <c r="A1924" s="125"/>
      <c r="B1924" s="125"/>
      <c r="C1924" s="125"/>
      <c r="D1924" s="125"/>
      <c r="E1924" s="125"/>
      <c r="F1924" s="126"/>
      <c r="G1924" s="126"/>
      <c r="H1924" s="127"/>
      <c r="I1924" s="125"/>
    </row>
    <row r="1925">
      <c r="A1925" s="125"/>
      <c r="B1925" s="125"/>
      <c r="C1925" s="125"/>
      <c r="D1925" s="125"/>
      <c r="E1925" s="125"/>
      <c r="F1925" s="126"/>
      <c r="G1925" s="126"/>
      <c r="H1925" s="126"/>
      <c r="I1925" s="125"/>
    </row>
    <row r="1926">
      <c r="A1926" s="125"/>
      <c r="B1926" s="125"/>
      <c r="C1926" s="125"/>
      <c r="D1926" s="125"/>
      <c r="E1926" s="125"/>
      <c r="F1926" s="126"/>
      <c r="G1926" s="126"/>
      <c r="H1926" s="126"/>
      <c r="I1926" s="125"/>
    </row>
    <row r="1927">
      <c r="A1927" s="125"/>
      <c r="B1927" s="125"/>
      <c r="C1927" s="125"/>
      <c r="D1927" s="125"/>
      <c r="E1927" s="125"/>
      <c r="F1927" s="126"/>
      <c r="G1927" s="126"/>
      <c r="H1927" s="127"/>
      <c r="I1927" s="125"/>
    </row>
    <row r="1928">
      <c r="A1928" s="125"/>
      <c r="B1928" s="125"/>
      <c r="C1928" s="125"/>
      <c r="D1928" s="125"/>
      <c r="E1928" s="125"/>
      <c r="F1928" s="126"/>
      <c r="G1928" s="126"/>
      <c r="H1928" s="127"/>
      <c r="I1928" s="125"/>
    </row>
    <row r="1929">
      <c r="A1929" s="125"/>
      <c r="B1929" s="125"/>
      <c r="C1929" s="125"/>
      <c r="D1929" s="125"/>
      <c r="E1929" s="125"/>
      <c r="F1929" s="126"/>
      <c r="G1929" s="126"/>
      <c r="H1929" s="126"/>
      <c r="I1929" s="125"/>
    </row>
    <row r="1930">
      <c r="A1930" s="125"/>
      <c r="B1930" s="125"/>
      <c r="C1930" s="125"/>
      <c r="D1930" s="125"/>
      <c r="E1930" s="125"/>
      <c r="F1930" s="126"/>
      <c r="G1930" s="126"/>
      <c r="H1930" s="127"/>
      <c r="I1930" s="125"/>
    </row>
    <row r="1931">
      <c r="A1931" s="125"/>
      <c r="B1931" s="125"/>
      <c r="C1931" s="125"/>
      <c r="D1931" s="125"/>
      <c r="E1931" s="125"/>
      <c r="F1931" s="126"/>
      <c r="G1931" s="126"/>
      <c r="H1931" s="127"/>
      <c r="I1931" s="125"/>
    </row>
    <row r="1932">
      <c r="A1932" s="125"/>
      <c r="B1932" s="125"/>
      <c r="C1932" s="125"/>
      <c r="D1932" s="125"/>
      <c r="E1932" s="125"/>
      <c r="F1932" s="126"/>
      <c r="G1932" s="126"/>
      <c r="H1932" s="127"/>
      <c r="I1932" s="125"/>
    </row>
    <row r="1933">
      <c r="A1933" s="125"/>
      <c r="B1933" s="125"/>
      <c r="C1933" s="125"/>
      <c r="D1933" s="125"/>
      <c r="E1933" s="125"/>
      <c r="F1933" s="126"/>
      <c r="G1933" s="126"/>
      <c r="H1933" s="127"/>
      <c r="I1933" s="125"/>
    </row>
    <row r="1934">
      <c r="A1934" s="125"/>
      <c r="B1934" s="125"/>
      <c r="C1934" s="125"/>
      <c r="D1934" s="125"/>
      <c r="E1934" s="125"/>
      <c r="F1934" s="126"/>
      <c r="G1934" s="126"/>
      <c r="H1934" s="126"/>
      <c r="I1934" s="125"/>
    </row>
    <row r="1935">
      <c r="A1935" s="125"/>
      <c r="B1935" s="125"/>
      <c r="C1935" s="125"/>
      <c r="D1935" s="125"/>
      <c r="E1935" s="125"/>
      <c r="F1935" s="126"/>
      <c r="G1935" s="126"/>
      <c r="H1935" s="127"/>
      <c r="I1935" s="125"/>
    </row>
    <row r="1936">
      <c r="A1936" s="125"/>
      <c r="B1936" s="125"/>
      <c r="C1936" s="125"/>
      <c r="D1936" s="125"/>
      <c r="E1936" s="125"/>
      <c r="F1936" s="126"/>
      <c r="G1936" s="126"/>
      <c r="H1936" s="127"/>
      <c r="I1936" s="125"/>
    </row>
    <row r="1937">
      <c r="A1937" s="125"/>
      <c r="B1937" s="125"/>
      <c r="C1937" s="125"/>
      <c r="D1937" s="125"/>
      <c r="E1937" s="125"/>
      <c r="F1937" s="126"/>
      <c r="G1937" s="126"/>
      <c r="H1937" s="126"/>
      <c r="I1937" s="125"/>
    </row>
    <row r="1938">
      <c r="A1938" s="125"/>
      <c r="B1938" s="125"/>
      <c r="C1938" s="125"/>
      <c r="D1938" s="125"/>
      <c r="E1938" s="125"/>
      <c r="F1938" s="126"/>
      <c r="G1938" s="126"/>
      <c r="H1938" s="127"/>
      <c r="I1938" s="125"/>
    </row>
    <row r="1939">
      <c r="A1939" s="125"/>
      <c r="B1939" s="125"/>
      <c r="C1939" s="125"/>
      <c r="D1939" s="125"/>
      <c r="E1939" s="125"/>
      <c r="F1939" s="126"/>
      <c r="G1939" s="126"/>
      <c r="H1939" s="127"/>
      <c r="I1939" s="125"/>
    </row>
    <row r="1940">
      <c r="A1940" s="125"/>
      <c r="B1940" s="125"/>
      <c r="C1940" s="125"/>
      <c r="D1940" s="125"/>
      <c r="E1940" s="125"/>
      <c r="F1940" s="126"/>
      <c r="G1940" s="126"/>
      <c r="H1940" s="127"/>
      <c r="I1940" s="125"/>
    </row>
    <row r="1941">
      <c r="A1941" s="125"/>
      <c r="B1941" s="125"/>
      <c r="C1941" s="125"/>
      <c r="D1941" s="125"/>
      <c r="E1941" s="125"/>
      <c r="F1941" s="126"/>
      <c r="G1941" s="126"/>
      <c r="H1941" s="127"/>
      <c r="I1941" s="125"/>
    </row>
    <row r="1942">
      <c r="A1942" s="125"/>
      <c r="B1942" s="125"/>
      <c r="C1942" s="125"/>
      <c r="D1942" s="125"/>
      <c r="E1942" s="125"/>
      <c r="F1942" s="126"/>
      <c r="G1942" s="126"/>
      <c r="H1942" s="126"/>
      <c r="I1942" s="125"/>
    </row>
    <row r="1943">
      <c r="A1943" s="125"/>
      <c r="B1943" s="125"/>
      <c r="C1943" s="125"/>
      <c r="D1943" s="125"/>
      <c r="E1943" s="125"/>
      <c r="F1943" s="126"/>
      <c r="G1943" s="126"/>
      <c r="H1943" s="127"/>
      <c r="I1943" s="125"/>
    </row>
    <row r="1944">
      <c r="A1944" s="125"/>
      <c r="B1944" s="125"/>
      <c r="C1944" s="125"/>
      <c r="D1944" s="125"/>
      <c r="E1944" s="125"/>
      <c r="F1944" s="126"/>
      <c r="G1944" s="126"/>
      <c r="H1944" s="127"/>
      <c r="I1944" s="125"/>
    </row>
    <row r="1945">
      <c r="A1945" s="125"/>
      <c r="B1945" s="125"/>
      <c r="C1945" s="125"/>
      <c r="D1945" s="125"/>
      <c r="E1945" s="125"/>
      <c r="F1945" s="126"/>
      <c r="G1945" s="126"/>
      <c r="H1945" s="127"/>
      <c r="I1945" s="125"/>
    </row>
    <row r="1946">
      <c r="A1946" s="125"/>
      <c r="B1946" s="125"/>
      <c r="C1946" s="125"/>
      <c r="D1946" s="125"/>
      <c r="E1946" s="125"/>
      <c r="F1946" s="126"/>
      <c r="G1946" s="126"/>
      <c r="H1946" s="127"/>
      <c r="I1946" s="125"/>
    </row>
    <row r="1947">
      <c r="A1947" s="125"/>
      <c r="B1947" s="125"/>
      <c r="C1947" s="125"/>
      <c r="D1947" s="125"/>
      <c r="E1947" s="125"/>
      <c r="F1947" s="126"/>
      <c r="G1947" s="126"/>
      <c r="H1947" s="127"/>
      <c r="I1947" s="125"/>
    </row>
    <row r="1948">
      <c r="A1948" s="125"/>
      <c r="B1948" s="125"/>
      <c r="C1948" s="125"/>
      <c r="D1948" s="125"/>
      <c r="E1948" s="125"/>
      <c r="F1948" s="126"/>
      <c r="G1948" s="126"/>
      <c r="H1948" s="127"/>
      <c r="I1948" s="125"/>
    </row>
    <row r="1949">
      <c r="A1949" s="125"/>
      <c r="B1949" s="125"/>
      <c r="C1949" s="125"/>
      <c r="D1949" s="125"/>
      <c r="E1949" s="125"/>
      <c r="F1949" s="126"/>
      <c r="G1949" s="126"/>
      <c r="H1949" s="127"/>
      <c r="I1949" s="125"/>
    </row>
    <row r="1950">
      <c r="A1950" s="125"/>
      <c r="B1950" s="125"/>
      <c r="C1950" s="125"/>
      <c r="D1950" s="125"/>
      <c r="E1950" s="125"/>
      <c r="F1950" s="126"/>
      <c r="G1950" s="126"/>
      <c r="H1950" s="127"/>
      <c r="I1950" s="125"/>
    </row>
    <row r="1951">
      <c r="A1951" s="125"/>
      <c r="B1951" s="125"/>
      <c r="C1951" s="125"/>
      <c r="D1951" s="125"/>
      <c r="E1951" s="125"/>
      <c r="F1951" s="126"/>
      <c r="G1951" s="126"/>
      <c r="H1951" s="127"/>
      <c r="I1951" s="125"/>
    </row>
    <row r="1952">
      <c r="A1952" s="125"/>
      <c r="B1952" s="125"/>
      <c r="C1952" s="125"/>
      <c r="D1952" s="125"/>
      <c r="E1952" s="125"/>
      <c r="F1952" s="126"/>
      <c r="G1952" s="126"/>
      <c r="H1952" s="126"/>
      <c r="I1952" s="125"/>
    </row>
    <row r="1953">
      <c r="A1953" s="125"/>
      <c r="B1953" s="125"/>
      <c r="C1953" s="125"/>
      <c r="D1953" s="125"/>
      <c r="E1953" s="125"/>
      <c r="F1953" s="126"/>
      <c r="G1953" s="126"/>
      <c r="H1953" s="126"/>
      <c r="I1953" s="125"/>
    </row>
    <row r="1954">
      <c r="A1954" s="125"/>
      <c r="B1954" s="125"/>
      <c r="C1954" s="125"/>
      <c r="D1954" s="125"/>
      <c r="E1954" s="125"/>
      <c r="F1954" s="126"/>
      <c r="G1954" s="126"/>
      <c r="H1954" s="126"/>
      <c r="I1954" s="125"/>
    </row>
    <row r="1955">
      <c r="A1955" s="125"/>
      <c r="B1955" s="125"/>
      <c r="C1955" s="125"/>
      <c r="D1955" s="125"/>
      <c r="E1955" s="125"/>
      <c r="F1955" s="126"/>
      <c r="G1955" s="126"/>
      <c r="H1955" s="127"/>
      <c r="I1955" s="125"/>
    </row>
    <row r="1956">
      <c r="A1956" s="125"/>
      <c r="B1956" s="125"/>
      <c r="C1956" s="125"/>
      <c r="D1956" s="125"/>
      <c r="E1956" s="125"/>
      <c r="F1956" s="126"/>
      <c r="G1956" s="126"/>
      <c r="H1956" s="127"/>
      <c r="I1956" s="125"/>
    </row>
    <row r="1957">
      <c r="A1957" s="125"/>
      <c r="B1957" s="125"/>
      <c r="C1957" s="125"/>
      <c r="D1957" s="125"/>
      <c r="E1957" s="125"/>
      <c r="F1957" s="126"/>
      <c r="G1957" s="126"/>
      <c r="H1957" s="127"/>
      <c r="I1957" s="125"/>
    </row>
    <row r="1958">
      <c r="A1958" s="125"/>
      <c r="B1958" s="125"/>
      <c r="C1958" s="125"/>
      <c r="D1958" s="125"/>
      <c r="E1958" s="125"/>
      <c r="F1958" s="126"/>
      <c r="G1958" s="126"/>
      <c r="H1958" s="127"/>
      <c r="I1958" s="125"/>
    </row>
    <row r="1959">
      <c r="A1959" s="125"/>
      <c r="B1959" s="125"/>
      <c r="C1959" s="125"/>
      <c r="D1959" s="125"/>
      <c r="E1959" s="125"/>
      <c r="F1959" s="126"/>
      <c r="G1959" s="126"/>
      <c r="H1959" s="127"/>
      <c r="I1959" s="125"/>
    </row>
    <row r="1960">
      <c r="A1960" s="125"/>
      <c r="B1960" s="125"/>
      <c r="C1960" s="125"/>
      <c r="D1960" s="125"/>
      <c r="E1960" s="125"/>
      <c r="F1960" s="126"/>
      <c r="G1960" s="126"/>
      <c r="H1960" s="127"/>
      <c r="I1960" s="125"/>
    </row>
    <row r="1961">
      <c r="A1961" s="125"/>
      <c r="B1961" s="125"/>
      <c r="C1961" s="125"/>
      <c r="D1961" s="125"/>
      <c r="E1961" s="125"/>
      <c r="F1961" s="126"/>
      <c r="G1961" s="126"/>
      <c r="H1961" s="127"/>
      <c r="I1961" s="125"/>
    </row>
    <row r="1962">
      <c r="A1962" s="125"/>
      <c r="B1962" s="125"/>
      <c r="C1962" s="125"/>
      <c r="D1962" s="125"/>
      <c r="E1962" s="125"/>
      <c r="F1962" s="126"/>
      <c r="G1962" s="126"/>
      <c r="H1962" s="127"/>
      <c r="I1962" s="125"/>
    </row>
    <row r="1963">
      <c r="A1963" s="125"/>
      <c r="B1963" s="125"/>
      <c r="C1963" s="125"/>
      <c r="D1963" s="125"/>
      <c r="E1963" s="125"/>
      <c r="F1963" s="126"/>
      <c r="G1963" s="126"/>
      <c r="H1963" s="127"/>
      <c r="I1963" s="125"/>
    </row>
    <row r="1964">
      <c r="A1964" s="125"/>
      <c r="B1964" s="125"/>
      <c r="C1964" s="125"/>
      <c r="D1964" s="125"/>
      <c r="E1964" s="125"/>
      <c r="F1964" s="126"/>
      <c r="G1964" s="126"/>
      <c r="H1964" s="126"/>
      <c r="I1964" s="125"/>
    </row>
    <row r="1965">
      <c r="A1965" s="125"/>
      <c r="B1965" s="125"/>
      <c r="C1965" s="125"/>
      <c r="D1965" s="125"/>
      <c r="E1965" s="125"/>
      <c r="F1965" s="126"/>
      <c r="G1965" s="126"/>
      <c r="H1965" s="127"/>
      <c r="I1965" s="125"/>
    </row>
    <row r="1966">
      <c r="A1966" s="125"/>
      <c r="B1966" s="125"/>
      <c r="C1966" s="125"/>
      <c r="D1966" s="125"/>
      <c r="E1966" s="125"/>
      <c r="F1966" s="126"/>
      <c r="G1966" s="126"/>
      <c r="H1966" s="126"/>
      <c r="I1966" s="125"/>
    </row>
    <row r="1967">
      <c r="A1967" s="125"/>
      <c r="B1967" s="125"/>
      <c r="C1967" s="125"/>
      <c r="D1967" s="125"/>
      <c r="E1967" s="125"/>
      <c r="F1967" s="126"/>
      <c r="G1967" s="126"/>
      <c r="H1967" s="127"/>
      <c r="I1967" s="125"/>
    </row>
    <row r="1968">
      <c r="A1968" s="125"/>
      <c r="B1968" s="125"/>
      <c r="C1968" s="125"/>
      <c r="D1968" s="125"/>
      <c r="E1968" s="125"/>
      <c r="F1968" s="126"/>
      <c r="G1968" s="126"/>
      <c r="H1968" s="127"/>
      <c r="I1968" s="125"/>
    </row>
    <row r="1969">
      <c r="A1969" s="125"/>
      <c r="B1969" s="125"/>
      <c r="C1969" s="125"/>
      <c r="D1969" s="125"/>
      <c r="E1969" s="125"/>
      <c r="F1969" s="126"/>
      <c r="G1969" s="126"/>
      <c r="H1969" s="127"/>
      <c r="I1969" s="125"/>
    </row>
    <row r="1970">
      <c r="A1970" s="125"/>
      <c r="B1970" s="125"/>
      <c r="C1970" s="125"/>
      <c r="D1970" s="125"/>
      <c r="E1970" s="125"/>
      <c r="F1970" s="126"/>
      <c r="G1970" s="126"/>
      <c r="H1970" s="127"/>
      <c r="I1970" s="125"/>
    </row>
    <row r="1971">
      <c r="A1971" s="125"/>
      <c r="B1971" s="125"/>
      <c r="C1971" s="125"/>
      <c r="D1971" s="125"/>
      <c r="E1971" s="125"/>
      <c r="F1971" s="126"/>
      <c r="G1971" s="126"/>
      <c r="H1971" s="127"/>
      <c r="I1971" s="125"/>
    </row>
    <row r="1972">
      <c r="A1972" s="125"/>
      <c r="B1972" s="125"/>
      <c r="C1972" s="125"/>
      <c r="D1972" s="125"/>
      <c r="E1972" s="125"/>
      <c r="F1972" s="126"/>
      <c r="G1972" s="126"/>
      <c r="H1972" s="126"/>
      <c r="I1972" s="125"/>
    </row>
    <row r="1973">
      <c r="A1973" s="125"/>
      <c r="B1973" s="125"/>
      <c r="C1973" s="125"/>
      <c r="D1973" s="125"/>
      <c r="E1973" s="125"/>
      <c r="F1973" s="126"/>
      <c r="G1973" s="126"/>
      <c r="H1973" s="126"/>
      <c r="I1973" s="125"/>
    </row>
    <row r="1974">
      <c r="A1974" s="125"/>
      <c r="B1974" s="125"/>
      <c r="C1974" s="125"/>
      <c r="D1974" s="125"/>
      <c r="E1974" s="125"/>
      <c r="F1974" s="126"/>
      <c r="G1974" s="126"/>
      <c r="H1974" s="127"/>
      <c r="I1974" s="125"/>
    </row>
    <row r="1975">
      <c r="A1975" s="125"/>
      <c r="B1975" s="125"/>
      <c r="C1975" s="125"/>
      <c r="D1975" s="125"/>
      <c r="E1975" s="125"/>
      <c r="F1975" s="126"/>
      <c r="G1975" s="126"/>
      <c r="H1975" s="127"/>
      <c r="I1975" s="125"/>
    </row>
    <row r="1976">
      <c r="A1976" s="125"/>
      <c r="B1976" s="125"/>
      <c r="C1976" s="125"/>
      <c r="D1976" s="125"/>
      <c r="E1976" s="125"/>
      <c r="F1976" s="126"/>
      <c r="G1976" s="126"/>
      <c r="H1976" s="127"/>
      <c r="I1976" s="125"/>
    </row>
    <row r="1977">
      <c r="A1977" s="125"/>
      <c r="B1977" s="125"/>
      <c r="C1977" s="125"/>
      <c r="D1977" s="125"/>
      <c r="E1977" s="125"/>
      <c r="F1977" s="126"/>
      <c r="G1977" s="126"/>
      <c r="H1977" s="127"/>
      <c r="I1977" s="125"/>
    </row>
    <row r="1978">
      <c r="A1978" s="125"/>
      <c r="B1978" s="125"/>
      <c r="C1978" s="125"/>
      <c r="D1978" s="125"/>
      <c r="E1978" s="125"/>
      <c r="F1978" s="126"/>
      <c r="G1978" s="126"/>
      <c r="H1978" s="127"/>
      <c r="I1978" s="125"/>
    </row>
    <row r="1979">
      <c r="A1979" s="125"/>
      <c r="B1979" s="125"/>
      <c r="C1979" s="125"/>
      <c r="D1979" s="125"/>
      <c r="E1979" s="125"/>
      <c r="F1979" s="126"/>
      <c r="G1979" s="126"/>
      <c r="H1979" s="127"/>
      <c r="I1979" s="125"/>
    </row>
    <row r="1980">
      <c r="A1980" s="125"/>
      <c r="B1980" s="125"/>
      <c r="C1980" s="125"/>
      <c r="D1980" s="125"/>
      <c r="E1980" s="125"/>
      <c r="F1980" s="126"/>
      <c r="G1980" s="126"/>
      <c r="H1980" s="126"/>
      <c r="I1980" s="125"/>
    </row>
    <row r="1981">
      <c r="A1981" s="125"/>
      <c r="B1981" s="125"/>
      <c r="C1981" s="125"/>
      <c r="D1981" s="125"/>
      <c r="E1981" s="125"/>
      <c r="F1981" s="126"/>
      <c r="G1981" s="126"/>
      <c r="H1981" s="127"/>
      <c r="I1981" s="125"/>
    </row>
    <row r="1982">
      <c r="A1982" s="125"/>
      <c r="B1982" s="125"/>
      <c r="C1982" s="125"/>
      <c r="D1982" s="125"/>
      <c r="E1982" s="125"/>
      <c r="F1982" s="126"/>
      <c r="G1982" s="126"/>
      <c r="H1982" s="126"/>
      <c r="I1982" s="125"/>
    </row>
    <row r="1983">
      <c r="A1983" s="125"/>
      <c r="B1983" s="125"/>
      <c r="C1983" s="125"/>
      <c r="D1983" s="125"/>
      <c r="E1983" s="125"/>
      <c r="F1983" s="126"/>
      <c r="G1983" s="126"/>
      <c r="H1983" s="127"/>
      <c r="I1983" s="125"/>
    </row>
    <row r="1984">
      <c r="A1984" s="125"/>
      <c r="B1984" s="125"/>
      <c r="C1984" s="125"/>
      <c r="D1984" s="125"/>
      <c r="E1984" s="125"/>
      <c r="F1984" s="126"/>
      <c r="G1984" s="126"/>
      <c r="H1984" s="127"/>
      <c r="I1984" s="125"/>
    </row>
    <row r="1985">
      <c r="A1985" s="125"/>
      <c r="B1985" s="125"/>
      <c r="C1985" s="125"/>
      <c r="D1985" s="125"/>
      <c r="E1985" s="125"/>
      <c r="F1985" s="126"/>
      <c r="G1985" s="126"/>
      <c r="H1985" s="126"/>
      <c r="I1985" s="125"/>
    </row>
    <row r="1986">
      <c r="A1986" s="125"/>
      <c r="B1986" s="125"/>
      <c r="C1986" s="125"/>
      <c r="D1986" s="125"/>
      <c r="E1986" s="125"/>
      <c r="F1986" s="126"/>
      <c r="G1986" s="126"/>
      <c r="H1986" s="127"/>
      <c r="I1986" s="125"/>
    </row>
    <row r="1987">
      <c r="A1987" s="125"/>
      <c r="B1987" s="125"/>
      <c r="C1987" s="125"/>
      <c r="D1987" s="125"/>
      <c r="E1987" s="125"/>
      <c r="F1987" s="126"/>
      <c r="G1987" s="126"/>
      <c r="H1987" s="127"/>
      <c r="I1987" s="125"/>
    </row>
    <row r="1988">
      <c r="A1988" s="125"/>
      <c r="B1988" s="125"/>
      <c r="C1988" s="125"/>
      <c r="D1988" s="125"/>
      <c r="E1988" s="125"/>
      <c r="F1988" s="126"/>
      <c r="G1988" s="126"/>
      <c r="H1988" s="127"/>
      <c r="I1988" s="125"/>
    </row>
    <row r="1989">
      <c r="A1989" s="125"/>
      <c r="B1989" s="125"/>
      <c r="C1989" s="125"/>
      <c r="D1989" s="125"/>
      <c r="E1989" s="125"/>
      <c r="F1989" s="126"/>
      <c r="G1989" s="126"/>
      <c r="H1989" s="127"/>
      <c r="I1989" s="125"/>
    </row>
    <row r="1990">
      <c r="A1990" s="125"/>
      <c r="B1990" s="125"/>
      <c r="C1990" s="125"/>
      <c r="D1990" s="125"/>
      <c r="E1990" s="125"/>
      <c r="F1990" s="126"/>
      <c r="G1990" s="126"/>
      <c r="H1990" s="127"/>
      <c r="I1990" s="125"/>
    </row>
    <row r="1991">
      <c r="A1991" s="125"/>
      <c r="B1991" s="125"/>
      <c r="C1991" s="125"/>
      <c r="D1991" s="125"/>
      <c r="E1991" s="125"/>
      <c r="F1991" s="126"/>
      <c r="G1991" s="126"/>
      <c r="H1991" s="126"/>
      <c r="I1991" s="125"/>
    </row>
    <row r="1992">
      <c r="A1992" s="125"/>
      <c r="B1992" s="125"/>
      <c r="C1992" s="125"/>
      <c r="D1992" s="125"/>
      <c r="E1992" s="125"/>
      <c r="F1992" s="126"/>
      <c r="G1992" s="126"/>
      <c r="H1992" s="127"/>
      <c r="I1992" s="125"/>
    </row>
    <row r="1993">
      <c r="A1993" s="125"/>
      <c r="B1993" s="125"/>
      <c r="C1993" s="125"/>
      <c r="D1993" s="125"/>
      <c r="E1993" s="125"/>
      <c r="F1993" s="126"/>
      <c r="G1993" s="126"/>
      <c r="H1993" s="127"/>
      <c r="I1993" s="125"/>
    </row>
    <row r="1994">
      <c r="A1994" s="125"/>
      <c r="B1994" s="125"/>
      <c r="C1994" s="125"/>
      <c r="D1994" s="125"/>
      <c r="E1994" s="125"/>
      <c r="F1994" s="126"/>
      <c r="G1994" s="126"/>
      <c r="H1994" s="127"/>
      <c r="I1994" s="125"/>
    </row>
    <row r="1995">
      <c r="A1995" s="125"/>
      <c r="B1995" s="125"/>
      <c r="C1995" s="125"/>
      <c r="D1995" s="125"/>
      <c r="E1995" s="125"/>
      <c r="F1995" s="126"/>
      <c r="G1995" s="126"/>
      <c r="H1995" s="127"/>
      <c r="I1995" s="125"/>
    </row>
    <row r="1996">
      <c r="A1996" s="125"/>
      <c r="B1996" s="125"/>
      <c r="C1996" s="125"/>
      <c r="D1996" s="125"/>
      <c r="E1996" s="125"/>
      <c r="F1996" s="126"/>
      <c r="G1996" s="126"/>
      <c r="H1996" s="126"/>
      <c r="I1996" s="125"/>
    </row>
    <row r="1997">
      <c r="A1997" s="125"/>
      <c r="B1997" s="125"/>
      <c r="C1997" s="125"/>
      <c r="D1997" s="125"/>
      <c r="E1997" s="125"/>
      <c r="F1997" s="126"/>
      <c r="G1997" s="126"/>
      <c r="H1997" s="127"/>
      <c r="I1997" s="125"/>
    </row>
    <row r="1998">
      <c r="A1998" s="125"/>
      <c r="B1998" s="125"/>
      <c r="C1998" s="125"/>
      <c r="D1998" s="125"/>
      <c r="E1998" s="125"/>
      <c r="F1998" s="126"/>
      <c r="G1998" s="126"/>
      <c r="H1998" s="127"/>
      <c r="I1998" s="125"/>
    </row>
    <row r="1999">
      <c r="A1999" s="125"/>
      <c r="B1999" s="125"/>
      <c r="C1999" s="125"/>
      <c r="D1999" s="125"/>
      <c r="E1999" s="125"/>
      <c r="F1999" s="126"/>
      <c r="G1999" s="126"/>
      <c r="H1999" s="127"/>
      <c r="I1999" s="125"/>
    </row>
    <row r="2000">
      <c r="A2000" s="125"/>
      <c r="B2000" s="125"/>
      <c r="C2000" s="125"/>
      <c r="D2000" s="125"/>
      <c r="E2000" s="125"/>
      <c r="F2000" s="126"/>
      <c r="G2000" s="126"/>
      <c r="H2000" s="127"/>
      <c r="I2000" s="125"/>
    </row>
    <row r="2001">
      <c r="A2001" s="125"/>
      <c r="B2001" s="125"/>
      <c r="C2001" s="125"/>
      <c r="D2001" s="125"/>
      <c r="E2001" s="125"/>
      <c r="F2001" s="126"/>
      <c r="G2001" s="126"/>
      <c r="H2001" s="127"/>
      <c r="I2001" s="125"/>
    </row>
    <row r="2002">
      <c r="A2002" s="125"/>
      <c r="B2002" s="125"/>
      <c r="C2002" s="125"/>
      <c r="D2002" s="125"/>
      <c r="E2002" s="125"/>
      <c r="F2002" s="126"/>
      <c r="G2002" s="126"/>
      <c r="H2002" s="127"/>
      <c r="I2002" s="125"/>
    </row>
    <row r="2003">
      <c r="A2003" s="125"/>
      <c r="B2003" s="125"/>
      <c r="C2003" s="125"/>
      <c r="D2003" s="125"/>
      <c r="E2003" s="125"/>
      <c r="F2003" s="126"/>
      <c r="G2003" s="126"/>
      <c r="H2003" s="127"/>
      <c r="I2003" s="125"/>
    </row>
    <row r="2004">
      <c r="A2004" s="125"/>
      <c r="B2004" s="125"/>
      <c r="C2004" s="125"/>
      <c r="D2004" s="125"/>
      <c r="E2004" s="125"/>
      <c r="F2004" s="126"/>
      <c r="G2004" s="126"/>
      <c r="H2004" s="127"/>
      <c r="I2004" s="125"/>
    </row>
    <row r="2005">
      <c r="A2005" s="125"/>
      <c r="B2005" s="125"/>
      <c r="C2005" s="125"/>
      <c r="D2005" s="125"/>
      <c r="E2005" s="125"/>
      <c r="F2005" s="126"/>
      <c r="G2005" s="126"/>
      <c r="H2005" s="127"/>
      <c r="I2005" s="125"/>
    </row>
    <row r="2006">
      <c r="A2006" s="125"/>
      <c r="B2006" s="125"/>
      <c r="C2006" s="125"/>
      <c r="D2006" s="125"/>
      <c r="E2006" s="125"/>
      <c r="F2006" s="126"/>
      <c r="G2006" s="126"/>
      <c r="H2006" s="127"/>
      <c r="I2006" s="125"/>
    </row>
    <row r="2007">
      <c r="A2007" s="125"/>
      <c r="B2007" s="125"/>
      <c r="C2007" s="125"/>
      <c r="D2007" s="125"/>
      <c r="E2007" s="125"/>
      <c r="F2007" s="126"/>
      <c r="G2007" s="126"/>
      <c r="H2007" s="127"/>
      <c r="I2007" s="125"/>
    </row>
    <row r="2008">
      <c r="A2008" s="125"/>
      <c r="B2008" s="125"/>
      <c r="C2008" s="125"/>
      <c r="D2008" s="125"/>
      <c r="E2008" s="125"/>
      <c r="F2008" s="126"/>
      <c r="G2008" s="126"/>
      <c r="H2008" s="127"/>
      <c r="I2008" s="125"/>
    </row>
    <row r="2009">
      <c r="A2009" s="125"/>
      <c r="B2009" s="125"/>
      <c r="C2009" s="125"/>
      <c r="D2009" s="125"/>
      <c r="E2009" s="125"/>
      <c r="F2009" s="126"/>
      <c r="G2009" s="126"/>
      <c r="H2009" s="127"/>
      <c r="I2009" s="125"/>
    </row>
    <row r="2010">
      <c r="A2010" s="125"/>
      <c r="B2010" s="125"/>
      <c r="C2010" s="125"/>
      <c r="D2010" s="125"/>
      <c r="E2010" s="125"/>
      <c r="F2010" s="126"/>
      <c r="G2010" s="126"/>
      <c r="H2010" s="127"/>
      <c r="I2010" s="125"/>
    </row>
    <row r="2011">
      <c r="A2011" s="125"/>
      <c r="B2011" s="125"/>
      <c r="C2011" s="125"/>
      <c r="D2011" s="125"/>
      <c r="E2011" s="125"/>
      <c r="F2011" s="126"/>
      <c r="G2011" s="126"/>
      <c r="H2011" s="127"/>
      <c r="I2011" s="125"/>
    </row>
    <row r="2012">
      <c r="A2012" s="125"/>
      <c r="B2012" s="125"/>
      <c r="C2012" s="125"/>
      <c r="D2012" s="125"/>
      <c r="E2012" s="125"/>
      <c r="F2012" s="126"/>
      <c r="G2012" s="126"/>
      <c r="H2012" s="127"/>
      <c r="I2012" s="125"/>
    </row>
    <row r="2013">
      <c r="A2013" s="125"/>
      <c r="B2013" s="125"/>
      <c r="C2013" s="125"/>
      <c r="D2013" s="125"/>
      <c r="E2013" s="125"/>
      <c r="F2013" s="126"/>
      <c r="G2013" s="126"/>
      <c r="H2013" s="126"/>
      <c r="I2013" s="125"/>
    </row>
    <row r="2014">
      <c r="A2014" s="125"/>
      <c r="B2014" s="125"/>
      <c r="C2014" s="125"/>
      <c r="D2014" s="125"/>
      <c r="E2014" s="125"/>
      <c r="F2014" s="126"/>
      <c r="G2014" s="126"/>
      <c r="H2014" s="126"/>
      <c r="I2014" s="125"/>
    </row>
    <row r="2015">
      <c r="A2015" s="125"/>
      <c r="B2015" s="125"/>
      <c r="C2015" s="125"/>
      <c r="D2015" s="125"/>
      <c r="E2015" s="125"/>
      <c r="F2015" s="126"/>
      <c r="G2015" s="126"/>
      <c r="H2015" s="127"/>
      <c r="I2015" s="125"/>
    </row>
    <row r="2016">
      <c r="A2016" s="125"/>
      <c r="B2016" s="125"/>
      <c r="C2016" s="125"/>
      <c r="D2016" s="125"/>
      <c r="E2016" s="125"/>
      <c r="F2016" s="126"/>
      <c r="G2016" s="126"/>
      <c r="H2016" s="127"/>
      <c r="I2016" s="125"/>
    </row>
    <row r="2017">
      <c r="A2017" s="125"/>
      <c r="B2017" s="125"/>
      <c r="C2017" s="125"/>
      <c r="D2017" s="125"/>
      <c r="E2017" s="125"/>
      <c r="F2017" s="126"/>
      <c r="G2017" s="126"/>
      <c r="H2017" s="126"/>
      <c r="I2017" s="125"/>
    </row>
    <row r="2018">
      <c r="A2018" s="125"/>
      <c r="B2018" s="125"/>
      <c r="C2018" s="125"/>
      <c r="D2018" s="125"/>
      <c r="E2018" s="125"/>
      <c r="F2018" s="126"/>
      <c r="G2018" s="126"/>
      <c r="H2018" s="127"/>
      <c r="I2018" s="125"/>
    </row>
    <row r="2019">
      <c r="A2019" s="125"/>
      <c r="B2019" s="125"/>
      <c r="C2019" s="125"/>
      <c r="D2019" s="125"/>
      <c r="E2019" s="125"/>
      <c r="F2019" s="126"/>
      <c r="G2019" s="126"/>
      <c r="H2019" s="127"/>
      <c r="I2019" s="125"/>
    </row>
    <row r="2020">
      <c r="A2020" s="125"/>
      <c r="B2020" s="125"/>
      <c r="C2020" s="125"/>
      <c r="D2020" s="125"/>
      <c r="E2020" s="125"/>
      <c r="F2020" s="126"/>
      <c r="G2020" s="126"/>
      <c r="H2020" s="127"/>
      <c r="I2020" s="125"/>
    </row>
    <row r="2021">
      <c r="A2021" s="125"/>
      <c r="B2021" s="125"/>
      <c r="C2021" s="125"/>
      <c r="D2021" s="125"/>
      <c r="E2021" s="125"/>
      <c r="F2021" s="126"/>
      <c r="G2021" s="126"/>
      <c r="H2021" s="127"/>
      <c r="I2021" s="125"/>
    </row>
    <row r="2022">
      <c r="A2022" s="125"/>
      <c r="B2022" s="125"/>
      <c r="C2022" s="125"/>
      <c r="D2022" s="125"/>
      <c r="E2022" s="125"/>
      <c r="F2022" s="126"/>
      <c r="G2022" s="126"/>
      <c r="H2022" s="126"/>
      <c r="I2022" s="125"/>
    </row>
    <row r="2023">
      <c r="A2023" s="125"/>
      <c r="B2023" s="125"/>
      <c r="C2023" s="125"/>
      <c r="D2023" s="125"/>
      <c r="E2023" s="125"/>
      <c r="F2023" s="126"/>
      <c r="G2023" s="126"/>
      <c r="H2023" s="127"/>
      <c r="I2023" s="125"/>
    </row>
    <row r="2024">
      <c r="A2024" s="125"/>
      <c r="B2024" s="125"/>
      <c r="C2024" s="125"/>
      <c r="D2024" s="125"/>
      <c r="E2024" s="125"/>
      <c r="F2024" s="126"/>
      <c r="G2024" s="126"/>
      <c r="H2024" s="126"/>
      <c r="I2024" s="125"/>
    </row>
    <row r="2025">
      <c r="A2025" s="125"/>
      <c r="B2025" s="125"/>
      <c r="C2025" s="125"/>
      <c r="D2025" s="125"/>
      <c r="E2025" s="125"/>
      <c r="F2025" s="126"/>
      <c r="G2025" s="126"/>
      <c r="H2025" s="127"/>
      <c r="I2025" s="125"/>
    </row>
    <row r="2026">
      <c r="A2026" s="125"/>
      <c r="B2026" s="125"/>
      <c r="C2026" s="125"/>
      <c r="D2026" s="125"/>
      <c r="E2026" s="125"/>
      <c r="F2026" s="126"/>
      <c r="G2026" s="126"/>
      <c r="H2026" s="127"/>
      <c r="I2026" s="125"/>
    </row>
    <row r="2027">
      <c r="A2027" s="125"/>
      <c r="B2027" s="125"/>
      <c r="C2027" s="125"/>
      <c r="D2027" s="125"/>
      <c r="E2027" s="125"/>
      <c r="F2027" s="126"/>
      <c r="G2027" s="126"/>
      <c r="H2027" s="127"/>
      <c r="I2027" s="125"/>
    </row>
    <row r="2028">
      <c r="A2028" s="125"/>
      <c r="B2028" s="125"/>
      <c r="C2028" s="125"/>
      <c r="D2028" s="125"/>
      <c r="E2028" s="125"/>
      <c r="F2028" s="126"/>
      <c r="G2028" s="126"/>
      <c r="H2028" s="126"/>
      <c r="I2028" s="125"/>
    </row>
    <row r="2029">
      <c r="A2029" s="125"/>
      <c r="B2029" s="125"/>
      <c r="C2029" s="125"/>
      <c r="D2029" s="125"/>
      <c r="E2029" s="125"/>
      <c r="F2029" s="126"/>
      <c r="G2029" s="126"/>
      <c r="H2029" s="126"/>
      <c r="I2029" s="125"/>
    </row>
    <row r="2030">
      <c r="A2030" s="125"/>
      <c r="B2030" s="125"/>
      <c r="C2030" s="125"/>
      <c r="D2030" s="125"/>
      <c r="E2030" s="125"/>
      <c r="F2030" s="126"/>
      <c r="G2030" s="126"/>
      <c r="H2030" s="127"/>
      <c r="I2030" s="125"/>
    </row>
    <row r="2031">
      <c r="A2031" s="125"/>
      <c r="B2031" s="125"/>
      <c r="C2031" s="125"/>
      <c r="D2031" s="125"/>
      <c r="E2031" s="125"/>
      <c r="F2031" s="126"/>
      <c r="G2031" s="126"/>
      <c r="H2031" s="127"/>
      <c r="I2031" s="125"/>
    </row>
    <row r="2032">
      <c r="A2032" s="125"/>
      <c r="B2032" s="125"/>
      <c r="C2032" s="125"/>
      <c r="D2032" s="125"/>
      <c r="E2032" s="125"/>
      <c r="F2032" s="126"/>
      <c r="G2032" s="126"/>
      <c r="H2032" s="127"/>
      <c r="I2032" s="125"/>
    </row>
    <row r="2033">
      <c r="A2033" s="125"/>
      <c r="B2033" s="125"/>
      <c r="C2033" s="125"/>
      <c r="D2033" s="125"/>
      <c r="E2033" s="125"/>
      <c r="F2033" s="126"/>
      <c r="G2033" s="126"/>
      <c r="H2033" s="127"/>
      <c r="I2033" s="125"/>
    </row>
    <row r="2034">
      <c r="A2034" s="125"/>
      <c r="B2034" s="125"/>
      <c r="C2034" s="125"/>
      <c r="D2034" s="125"/>
      <c r="E2034" s="125"/>
      <c r="F2034" s="126"/>
      <c r="G2034" s="126"/>
      <c r="H2034" s="127"/>
      <c r="I2034" s="125"/>
    </row>
    <row r="2035">
      <c r="A2035" s="125"/>
      <c r="B2035" s="125"/>
      <c r="C2035" s="125"/>
      <c r="D2035" s="125"/>
      <c r="E2035" s="125"/>
      <c r="F2035" s="126"/>
      <c r="G2035" s="126"/>
      <c r="H2035" s="127"/>
      <c r="I2035" s="125"/>
    </row>
    <row r="2036">
      <c r="A2036" s="125"/>
      <c r="B2036" s="125"/>
      <c r="C2036" s="125"/>
      <c r="D2036" s="125"/>
      <c r="E2036" s="125"/>
      <c r="F2036" s="126"/>
      <c r="G2036" s="126"/>
      <c r="H2036" s="126"/>
      <c r="I2036" s="125"/>
    </row>
    <row r="2037">
      <c r="A2037" s="125"/>
      <c r="B2037" s="125"/>
      <c r="C2037" s="125"/>
      <c r="D2037" s="125"/>
      <c r="E2037" s="125"/>
      <c r="F2037" s="126"/>
      <c r="G2037" s="126"/>
      <c r="H2037" s="127"/>
      <c r="I2037" s="125"/>
    </row>
    <row r="2038">
      <c r="A2038" s="125"/>
      <c r="B2038" s="125"/>
      <c r="C2038" s="125"/>
      <c r="D2038" s="125"/>
      <c r="E2038" s="125"/>
      <c r="F2038" s="126"/>
      <c r="G2038" s="126"/>
      <c r="H2038" s="127"/>
      <c r="I2038" s="125"/>
    </row>
    <row r="2039">
      <c r="A2039" s="125"/>
      <c r="B2039" s="125"/>
      <c r="C2039" s="125"/>
      <c r="D2039" s="125"/>
      <c r="E2039" s="125"/>
      <c r="F2039" s="126"/>
      <c r="G2039" s="126"/>
      <c r="H2039" s="127"/>
      <c r="I2039" s="125"/>
    </row>
    <row r="2040">
      <c r="A2040" s="125"/>
      <c r="B2040" s="125"/>
      <c r="C2040" s="125"/>
      <c r="D2040" s="125"/>
      <c r="E2040" s="125"/>
      <c r="F2040" s="126"/>
      <c r="G2040" s="126"/>
      <c r="H2040" s="127"/>
      <c r="I2040" s="125"/>
    </row>
    <row r="2041">
      <c r="A2041" s="125"/>
      <c r="B2041" s="125"/>
      <c r="C2041" s="125"/>
      <c r="D2041" s="125"/>
      <c r="E2041" s="125"/>
      <c r="F2041" s="126"/>
      <c r="G2041" s="126"/>
      <c r="H2041" s="127"/>
      <c r="I2041" s="125"/>
    </row>
    <row r="2042">
      <c r="A2042" s="125"/>
      <c r="B2042" s="125"/>
      <c r="C2042" s="125"/>
      <c r="D2042" s="125"/>
      <c r="E2042" s="125"/>
      <c r="F2042" s="126"/>
      <c r="G2042" s="126"/>
      <c r="H2042" s="127"/>
      <c r="I2042" s="125"/>
    </row>
    <row r="2043">
      <c r="A2043" s="125"/>
      <c r="B2043" s="125"/>
      <c r="C2043" s="125"/>
      <c r="D2043" s="125"/>
      <c r="E2043" s="125"/>
      <c r="F2043" s="126"/>
      <c r="G2043" s="126"/>
      <c r="H2043" s="127"/>
      <c r="I2043" s="125"/>
    </row>
    <row r="2044">
      <c r="A2044" s="125"/>
      <c r="B2044" s="125"/>
      <c r="C2044" s="125"/>
      <c r="D2044" s="125"/>
      <c r="E2044" s="125"/>
      <c r="F2044" s="126"/>
      <c r="G2044" s="126"/>
      <c r="H2044" s="127"/>
      <c r="I2044" s="125"/>
    </row>
    <row r="2045">
      <c r="A2045" s="125"/>
      <c r="B2045" s="125"/>
      <c r="C2045" s="125"/>
      <c r="D2045" s="125"/>
      <c r="E2045" s="125"/>
      <c r="F2045" s="126"/>
      <c r="G2045" s="126"/>
      <c r="H2045" s="126"/>
      <c r="I2045" s="125"/>
    </row>
    <row r="2046">
      <c r="A2046" s="125"/>
      <c r="B2046" s="125"/>
      <c r="C2046" s="125"/>
      <c r="D2046" s="125"/>
      <c r="E2046" s="125"/>
      <c r="F2046" s="126"/>
      <c r="G2046" s="126"/>
      <c r="H2046" s="127"/>
      <c r="I2046" s="125"/>
    </row>
    <row r="2047">
      <c r="A2047" s="125"/>
      <c r="B2047" s="125"/>
      <c r="C2047" s="125"/>
      <c r="D2047" s="125"/>
      <c r="E2047" s="125"/>
      <c r="F2047" s="126"/>
      <c r="G2047" s="126"/>
      <c r="H2047" s="127"/>
      <c r="I2047" s="125"/>
    </row>
    <row r="2048">
      <c r="A2048" s="125"/>
      <c r="B2048" s="125"/>
      <c r="C2048" s="125"/>
      <c r="D2048" s="125"/>
      <c r="E2048" s="125"/>
      <c r="F2048" s="126"/>
      <c r="G2048" s="126"/>
      <c r="H2048" s="127"/>
      <c r="I2048" s="125"/>
    </row>
    <row r="2049">
      <c r="A2049" s="125"/>
      <c r="B2049" s="125"/>
      <c r="C2049" s="125"/>
      <c r="D2049" s="125"/>
      <c r="E2049" s="125"/>
      <c r="F2049" s="126"/>
      <c r="G2049" s="126"/>
      <c r="H2049" s="127"/>
      <c r="I2049" s="125"/>
    </row>
    <row r="2050">
      <c r="A2050" s="125"/>
      <c r="B2050" s="125"/>
      <c r="C2050" s="125"/>
      <c r="D2050" s="125"/>
      <c r="E2050" s="125"/>
      <c r="F2050" s="126"/>
      <c r="G2050" s="126"/>
      <c r="H2050" s="127"/>
      <c r="I2050" s="125"/>
    </row>
    <row r="2051">
      <c r="A2051" s="125"/>
      <c r="B2051" s="125"/>
      <c r="C2051" s="125"/>
      <c r="D2051" s="125"/>
      <c r="E2051" s="125"/>
      <c r="F2051" s="126"/>
      <c r="G2051" s="126"/>
      <c r="H2051" s="127"/>
      <c r="I2051" s="125"/>
    </row>
    <row r="2052">
      <c r="A2052" s="125"/>
      <c r="B2052" s="125"/>
      <c r="C2052" s="125"/>
      <c r="D2052" s="125"/>
      <c r="E2052" s="125"/>
      <c r="F2052" s="126"/>
      <c r="G2052" s="126"/>
      <c r="H2052" s="127"/>
      <c r="I2052" s="125"/>
    </row>
    <row r="2053">
      <c r="A2053" s="125"/>
      <c r="B2053" s="125"/>
      <c r="C2053" s="125"/>
      <c r="D2053" s="125"/>
      <c r="E2053" s="125"/>
      <c r="F2053" s="126"/>
      <c r="G2053" s="126"/>
      <c r="H2053" s="126"/>
      <c r="I2053" s="125"/>
    </row>
    <row r="2054">
      <c r="A2054" s="125"/>
      <c r="B2054" s="125"/>
      <c r="C2054" s="125"/>
      <c r="D2054" s="125"/>
      <c r="E2054" s="125"/>
      <c r="F2054" s="126"/>
      <c r="G2054" s="126"/>
      <c r="H2054" s="127"/>
      <c r="I2054" s="125"/>
    </row>
    <row r="2055">
      <c r="A2055" s="125"/>
      <c r="B2055" s="125"/>
      <c r="C2055" s="125"/>
      <c r="D2055" s="125"/>
      <c r="E2055" s="125"/>
      <c r="F2055" s="126"/>
      <c r="G2055" s="126"/>
      <c r="H2055" s="127"/>
      <c r="I2055" s="125"/>
    </row>
    <row r="2056">
      <c r="A2056" s="125"/>
      <c r="B2056" s="125"/>
      <c r="C2056" s="125"/>
      <c r="D2056" s="125"/>
      <c r="E2056" s="125"/>
      <c r="F2056" s="126"/>
      <c r="G2056" s="126"/>
      <c r="H2056" s="127"/>
      <c r="I2056" s="125"/>
    </row>
    <row r="2057">
      <c r="A2057" s="125"/>
      <c r="B2057" s="125"/>
      <c r="C2057" s="125"/>
      <c r="D2057" s="125"/>
      <c r="E2057" s="125"/>
      <c r="F2057" s="126"/>
      <c r="G2057" s="126"/>
      <c r="H2057" s="127"/>
      <c r="I2057" s="125"/>
    </row>
    <row r="2058">
      <c r="A2058" s="125"/>
      <c r="B2058" s="125"/>
      <c r="C2058" s="125"/>
      <c r="D2058" s="125"/>
      <c r="E2058" s="125"/>
      <c r="F2058" s="126"/>
      <c r="G2058" s="126"/>
      <c r="H2058" s="126"/>
      <c r="I2058" s="125"/>
    </row>
    <row r="2059">
      <c r="A2059" s="125"/>
      <c r="B2059" s="125"/>
      <c r="C2059" s="125"/>
      <c r="D2059" s="125"/>
      <c r="E2059" s="125"/>
      <c r="F2059" s="126"/>
      <c r="G2059" s="126"/>
      <c r="H2059" s="127"/>
      <c r="I2059" s="125"/>
    </row>
    <row r="2060">
      <c r="A2060" s="125"/>
      <c r="B2060" s="125"/>
      <c r="C2060" s="125"/>
      <c r="D2060" s="125"/>
      <c r="E2060" s="125"/>
      <c r="F2060" s="126"/>
      <c r="G2060" s="126"/>
      <c r="H2060" s="127"/>
      <c r="I2060" s="125"/>
    </row>
    <row r="2061">
      <c r="A2061" s="125"/>
      <c r="B2061" s="125"/>
      <c r="C2061" s="125"/>
      <c r="D2061" s="125"/>
      <c r="E2061" s="125"/>
      <c r="F2061" s="126"/>
      <c r="G2061" s="126"/>
      <c r="H2061" s="126"/>
      <c r="I2061" s="125"/>
    </row>
    <row r="2062">
      <c r="A2062" s="125"/>
      <c r="B2062" s="125"/>
      <c r="C2062" s="125"/>
      <c r="D2062" s="125"/>
      <c r="E2062" s="125"/>
      <c r="F2062" s="126"/>
      <c r="G2062" s="126"/>
      <c r="H2062" s="127"/>
      <c r="I2062" s="125"/>
    </row>
    <row r="2063">
      <c r="A2063" s="125"/>
      <c r="B2063" s="125"/>
      <c r="C2063" s="125"/>
      <c r="D2063" s="125"/>
      <c r="E2063" s="125"/>
      <c r="F2063" s="126"/>
      <c r="G2063" s="126"/>
      <c r="H2063" s="127"/>
      <c r="I2063" s="125"/>
    </row>
    <row r="2064">
      <c r="A2064" s="125"/>
      <c r="B2064" s="125"/>
      <c r="C2064" s="125"/>
      <c r="D2064" s="125"/>
      <c r="E2064" s="125"/>
      <c r="F2064" s="126"/>
      <c r="G2064" s="126"/>
      <c r="H2064" s="127"/>
      <c r="I2064" s="125"/>
    </row>
    <row r="2065">
      <c r="A2065" s="125"/>
      <c r="B2065" s="125"/>
      <c r="C2065" s="125"/>
      <c r="D2065" s="125"/>
      <c r="E2065" s="125"/>
      <c r="F2065" s="126"/>
      <c r="G2065" s="126"/>
      <c r="H2065" s="126"/>
      <c r="I2065" s="125"/>
    </row>
    <row r="2066">
      <c r="A2066" s="125"/>
      <c r="B2066" s="125"/>
      <c r="C2066" s="125"/>
      <c r="D2066" s="125"/>
      <c r="E2066" s="125"/>
      <c r="F2066" s="126"/>
      <c r="G2066" s="126"/>
      <c r="H2066" s="127"/>
      <c r="I2066" s="125"/>
    </row>
    <row r="2067">
      <c r="A2067" s="125"/>
      <c r="B2067" s="125"/>
      <c r="C2067" s="125"/>
      <c r="D2067" s="125"/>
      <c r="E2067" s="125"/>
      <c r="F2067" s="126"/>
      <c r="G2067" s="126"/>
      <c r="H2067" s="127"/>
      <c r="I2067" s="125"/>
    </row>
    <row r="2068">
      <c r="A2068" s="125"/>
      <c r="B2068" s="125"/>
      <c r="C2068" s="125"/>
      <c r="D2068" s="125"/>
      <c r="E2068" s="125"/>
      <c r="F2068" s="126"/>
      <c r="G2068" s="126"/>
      <c r="H2068" s="127"/>
      <c r="I2068" s="125"/>
    </row>
    <row r="2069">
      <c r="A2069" s="125"/>
      <c r="B2069" s="125"/>
      <c r="C2069" s="125"/>
      <c r="D2069" s="125"/>
      <c r="E2069" s="125"/>
      <c r="F2069" s="126"/>
      <c r="G2069" s="126"/>
      <c r="H2069" s="127"/>
      <c r="I2069" s="125"/>
    </row>
    <row r="2070">
      <c r="A2070" s="125"/>
      <c r="B2070" s="125"/>
      <c r="C2070" s="125"/>
      <c r="D2070" s="125"/>
      <c r="E2070" s="125"/>
      <c r="F2070" s="126"/>
      <c r="G2070" s="126"/>
      <c r="H2070" s="127"/>
      <c r="I2070" s="125"/>
    </row>
    <row r="2071">
      <c r="A2071" s="125"/>
      <c r="B2071" s="125"/>
      <c r="C2071" s="125"/>
      <c r="D2071" s="125"/>
      <c r="E2071" s="125"/>
      <c r="F2071" s="126"/>
      <c r="G2071" s="126"/>
      <c r="H2071" s="127"/>
      <c r="I2071" s="125"/>
    </row>
    <row r="2072">
      <c r="A2072" s="125"/>
      <c r="B2072" s="125"/>
      <c r="C2072" s="125"/>
      <c r="D2072" s="125"/>
      <c r="E2072" s="125"/>
      <c r="F2072" s="126"/>
      <c r="G2072" s="126"/>
      <c r="H2072" s="127"/>
      <c r="I2072" s="125"/>
    </row>
    <row r="2073">
      <c r="A2073" s="125"/>
      <c r="B2073" s="125"/>
      <c r="C2073" s="125"/>
      <c r="D2073" s="125"/>
      <c r="E2073" s="125"/>
      <c r="F2073" s="126"/>
      <c r="G2073" s="126"/>
      <c r="H2073" s="127"/>
      <c r="I2073" s="125"/>
    </row>
    <row r="2074">
      <c r="A2074" s="125"/>
      <c r="B2074" s="125"/>
      <c r="C2074" s="125"/>
      <c r="D2074" s="125"/>
      <c r="E2074" s="125"/>
      <c r="F2074" s="126"/>
      <c r="G2074" s="126"/>
      <c r="H2074" s="126"/>
      <c r="I2074" s="125"/>
    </row>
    <row r="2075">
      <c r="A2075" s="125"/>
      <c r="B2075" s="125"/>
      <c r="C2075" s="125"/>
      <c r="D2075" s="125"/>
      <c r="E2075" s="125"/>
      <c r="F2075" s="126"/>
      <c r="G2075" s="126"/>
      <c r="H2075" s="127"/>
      <c r="I2075" s="125"/>
    </row>
    <row r="2076">
      <c r="A2076" s="125"/>
      <c r="B2076" s="125"/>
      <c r="C2076" s="125"/>
      <c r="D2076" s="125"/>
      <c r="E2076" s="125"/>
      <c r="F2076" s="126"/>
      <c r="G2076" s="126"/>
      <c r="H2076" s="127"/>
      <c r="I2076" s="125"/>
    </row>
    <row r="2077">
      <c r="A2077" s="125"/>
      <c r="B2077" s="125"/>
      <c r="C2077" s="125"/>
      <c r="D2077" s="125"/>
      <c r="E2077" s="125"/>
      <c r="F2077" s="126"/>
      <c r="G2077" s="126"/>
      <c r="H2077" s="127"/>
      <c r="I2077" s="125"/>
    </row>
    <row r="2078">
      <c r="A2078" s="125"/>
      <c r="B2078" s="125"/>
      <c r="C2078" s="125"/>
      <c r="D2078" s="125"/>
      <c r="E2078" s="125"/>
      <c r="F2078" s="126"/>
      <c r="G2078" s="126"/>
      <c r="H2078" s="127"/>
      <c r="I2078" s="125"/>
    </row>
    <row r="2079">
      <c r="A2079" s="125"/>
      <c r="B2079" s="125"/>
      <c r="C2079" s="125"/>
      <c r="D2079" s="125"/>
      <c r="E2079" s="125"/>
      <c r="F2079" s="126"/>
      <c r="G2079" s="126"/>
      <c r="H2079" s="127"/>
      <c r="I2079" s="125"/>
    </row>
    <row r="2080">
      <c r="A2080" s="125"/>
      <c r="B2080" s="125"/>
      <c r="C2080" s="125"/>
      <c r="D2080" s="125"/>
      <c r="E2080" s="125"/>
      <c r="F2080" s="126"/>
      <c r="G2080" s="126"/>
      <c r="H2080" s="127"/>
      <c r="I2080" s="125"/>
    </row>
    <row r="2081">
      <c r="A2081" s="125"/>
      <c r="B2081" s="125"/>
      <c r="C2081" s="125"/>
      <c r="D2081" s="125"/>
      <c r="E2081" s="125"/>
      <c r="F2081" s="126"/>
      <c r="G2081" s="126"/>
      <c r="H2081" s="127"/>
      <c r="I2081" s="125"/>
    </row>
    <row r="2082">
      <c r="A2082" s="125"/>
      <c r="B2082" s="125"/>
      <c r="C2082" s="125"/>
      <c r="D2082" s="125"/>
      <c r="E2082" s="125"/>
      <c r="F2082" s="126"/>
      <c r="G2082" s="126"/>
      <c r="H2082" s="127"/>
      <c r="I2082" s="125"/>
    </row>
    <row r="2083">
      <c r="A2083" s="125"/>
      <c r="B2083" s="125"/>
      <c r="C2083" s="125"/>
      <c r="D2083" s="125"/>
      <c r="E2083" s="125"/>
      <c r="F2083" s="126"/>
      <c r="G2083" s="126"/>
      <c r="H2083" s="127"/>
      <c r="I2083" s="125"/>
    </row>
    <row r="2084">
      <c r="A2084" s="125"/>
      <c r="B2084" s="125"/>
      <c r="C2084" s="125"/>
      <c r="D2084" s="125"/>
      <c r="E2084" s="125"/>
      <c r="F2084" s="126"/>
      <c r="G2084" s="126"/>
      <c r="H2084" s="127"/>
      <c r="I2084" s="125"/>
    </row>
    <row r="2085">
      <c r="A2085" s="125"/>
      <c r="B2085" s="125"/>
      <c r="C2085" s="125"/>
      <c r="D2085" s="125"/>
      <c r="E2085" s="125"/>
      <c r="F2085" s="126"/>
      <c r="G2085" s="126"/>
      <c r="H2085" s="127"/>
      <c r="I2085" s="125"/>
    </row>
    <row r="2086">
      <c r="A2086" s="125"/>
      <c r="B2086" s="125"/>
      <c r="C2086" s="125"/>
      <c r="D2086" s="125"/>
      <c r="E2086" s="125"/>
      <c r="F2086" s="126"/>
      <c r="G2086" s="126"/>
      <c r="H2086" s="127"/>
      <c r="I2086" s="125"/>
    </row>
    <row r="2087">
      <c r="A2087" s="125"/>
      <c r="B2087" s="125"/>
      <c r="C2087" s="125"/>
      <c r="D2087" s="125"/>
      <c r="E2087" s="125"/>
      <c r="F2087" s="126"/>
      <c r="G2087" s="126"/>
      <c r="H2087" s="126"/>
      <c r="I2087" s="125"/>
    </row>
    <row r="2088">
      <c r="A2088" s="125"/>
      <c r="B2088" s="125"/>
      <c r="C2088" s="125"/>
      <c r="D2088" s="125"/>
      <c r="E2088" s="125"/>
      <c r="F2088" s="126"/>
      <c r="G2088" s="126"/>
      <c r="H2088" s="126"/>
      <c r="I2088" s="125"/>
    </row>
    <row r="2089">
      <c r="A2089" s="125"/>
      <c r="B2089" s="125"/>
      <c r="C2089" s="125"/>
      <c r="D2089" s="125"/>
      <c r="E2089" s="125"/>
      <c r="F2089" s="126"/>
      <c r="G2089" s="126"/>
      <c r="H2089" s="127"/>
      <c r="I2089" s="125"/>
    </row>
    <row r="2090">
      <c r="A2090" s="125"/>
      <c r="B2090" s="125"/>
      <c r="C2090" s="125"/>
      <c r="D2090" s="125"/>
      <c r="E2090" s="125"/>
      <c r="F2090" s="126"/>
      <c r="G2090" s="126"/>
      <c r="H2090" s="127"/>
      <c r="I2090" s="125"/>
    </row>
    <row r="2091">
      <c r="A2091" s="125"/>
      <c r="B2091" s="125"/>
      <c r="C2091" s="125"/>
      <c r="D2091" s="125"/>
      <c r="E2091" s="125"/>
      <c r="F2091" s="126"/>
      <c r="G2091" s="126"/>
      <c r="H2091" s="127"/>
      <c r="I2091" s="125"/>
    </row>
    <row r="2092">
      <c r="A2092" s="125"/>
      <c r="B2092" s="125"/>
      <c r="C2092" s="125"/>
      <c r="D2092" s="125"/>
      <c r="E2092" s="125"/>
      <c r="F2092" s="126"/>
      <c r="G2092" s="126"/>
      <c r="H2092" s="127"/>
      <c r="I2092" s="125"/>
    </row>
    <row r="2093">
      <c r="A2093" s="125"/>
      <c r="B2093" s="125"/>
      <c r="C2093" s="125"/>
      <c r="D2093" s="125"/>
      <c r="E2093" s="125"/>
      <c r="F2093" s="126"/>
      <c r="G2093" s="126"/>
      <c r="H2093" s="127"/>
      <c r="I2093" s="125"/>
    </row>
    <row r="2094">
      <c r="A2094" s="125"/>
      <c r="B2094" s="125"/>
      <c r="C2094" s="125"/>
      <c r="D2094" s="125"/>
      <c r="E2094" s="125"/>
      <c r="F2094" s="126"/>
      <c r="G2094" s="126"/>
      <c r="H2094" s="127"/>
      <c r="I2094" s="125"/>
    </row>
    <row r="2095">
      <c r="A2095" s="125"/>
      <c r="B2095" s="125"/>
      <c r="C2095" s="125"/>
      <c r="D2095" s="125"/>
      <c r="E2095" s="125"/>
      <c r="F2095" s="126"/>
      <c r="G2095" s="126"/>
      <c r="H2095" s="127"/>
      <c r="I2095" s="125"/>
    </row>
    <row r="2096">
      <c r="A2096" s="125"/>
      <c r="B2096" s="125"/>
      <c r="C2096" s="125"/>
      <c r="D2096" s="125"/>
      <c r="E2096" s="125"/>
      <c r="F2096" s="126"/>
      <c r="G2096" s="126"/>
      <c r="H2096" s="127"/>
      <c r="I2096" s="125"/>
    </row>
    <row r="2097">
      <c r="A2097" s="125"/>
      <c r="B2097" s="125"/>
      <c r="C2097" s="125"/>
      <c r="D2097" s="125"/>
      <c r="E2097" s="125"/>
      <c r="F2097" s="126"/>
      <c r="G2097" s="126"/>
      <c r="H2097" s="127"/>
      <c r="I2097" s="125"/>
    </row>
    <row r="2098">
      <c r="A2098" s="125"/>
      <c r="B2098" s="125"/>
      <c r="C2098" s="125"/>
      <c r="D2098" s="125"/>
      <c r="E2098" s="125"/>
      <c r="F2098" s="126"/>
      <c r="G2098" s="126"/>
      <c r="H2098" s="127"/>
      <c r="I2098" s="125"/>
    </row>
    <row r="2099">
      <c r="A2099" s="125"/>
      <c r="B2099" s="125"/>
      <c r="C2099" s="125"/>
      <c r="D2099" s="125"/>
      <c r="E2099" s="125"/>
      <c r="F2099" s="126"/>
      <c r="G2099" s="126"/>
      <c r="H2099" s="127"/>
      <c r="I2099" s="125"/>
    </row>
    <row r="2100">
      <c r="A2100" s="125"/>
      <c r="B2100" s="125"/>
      <c r="C2100" s="125"/>
      <c r="D2100" s="125"/>
      <c r="E2100" s="125"/>
      <c r="F2100" s="126"/>
      <c r="G2100" s="126"/>
      <c r="H2100" s="127"/>
      <c r="I2100" s="125"/>
    </row>
    <row r="2101">
      <c r="A2101" s="125"/>
      <c r="B2101" s="125"/>
      <c r="C2101" s="125"/>
      <c r="D2101" s="125"/>
      <c r="E2101" s="125"/>
      <c r="F2101" s="126"/>
      <c r="G2101" s="126"/>
      <c r="H2101" s="127"/>
      <c r="I2101" s="125"/>
    </row>
    <row r="2102">
      <c r="A2102" s="125"/>
      <c r="B2102" s="125"/>
      <c r="C2102" s="125"/>
      <c r="D2102" s="125"/>
      <c r="E2102" s="125"/>
      <c r="F2102" s="126"/>
      <c r="G2102" s="126"/>
      <c r="H2102" s="127"/>
      <c r="I2102" s="125"/>
    </row>
    <row r="2103">
      <c r="A2103" s="125"/>
      <c r="B2103" s="125"/>
      <c r="C2103" s="125"/>
      <c r="D2103" s="125"/>
      <c r="E2103" s="125"/>
      <c r="F2103" s="126"/>
      <c r="G2103" s="126"/>
      <c r="H2103" s="126"/>
      <c r="I2103" s="125"/>
    </row>
    <row r="2104">
      <c r="A2104" s="125"/>
      <c r="B2104" s="125"/>
      <c r="C2104" s="125"/>
      <c r="D2104" s="125"/>
      <c r="E2104" s="125"/>
      <c r="F2104" s="126"/>
      <c r="G2104" s="126"/>
      <c r="H2104" s="127"/>
      <c r="I2104" s="125"/>
    </row>
    <row r="2105">
      <c r="A2105" s="125"/>
      <c r="B2105" s="125"/>
      <c r="C2105" s="125"/>
      <c r="D2105" s="125"/>
      <c r="E2105" s="125"/>
      <c r="F2105" s="126"/>
      <c r="G2105" s="126"/>
      <c r="H2105" s="127"/>
      <c r="I2105" s="125"/>
    </row>
    <row r="2106">
      <c r="A2106" s="125"/>
      <c r="B2106" s="125"/>
      <c r="C2106" s="125"/>
      <c r="D2106" s="125"/>
      <c r="E2106" s="125"/>
      <c r="F2106" s="126"/>
      <c r="G2106" s="126"/>
      <c r="H2106" s="127"/>
      <c r="I2106" s="125"/>
    </row>
    <row r="2107">
      <c r="A2107" s="125"/>
      <c r="B2107" s="125"/>
      <c r="C2107" s="125"/>
      <c r="D2107" s="125"/>
      <c r="E2107" s="125"/>
      <c r="F2107" s="126"/>
      <c r="G2107" s="126"/>
      <c r="H2107" s="127"/>
      <c r="I2107" s="125"/>
    </row>
    <row r="2108">
      <c r="A2108" s="125"/>
      <c r="B2108" s="125"/>
      <c r="C2108" s="125"/>
      <c r="D2108" s="125"/>
      <c r="E2108" s="125"/>
      <c r="F2108" s="126"/>
      <c r="G2108" s="126"/>
      <c r="H2108" s="127"/>
      <c r="I2108" s="125"/>
    </row>
    <row r="2109">
      <c r="A2109" s="125"/>
      <c r="B2109" s="125"/>
      <c r="C2109" s="125"/>
      <c r="D2109" s="125"/>
      <c r="E2109" s="125"/>
      <c r="F2109" s="126"/>
      <c r="G2109" s="126"/>
      <c r="H2109" s="127"/>
      <c r="I2109" s="125"/>
    </row>
    <row r="2110">
      <c r="A2110" s="125"/>
      <c r="B2110" s="125"/>
      <c r="C2110" s="125"/>
      <c r="D2110" s="125"/>
      <c r="E2110" s="125"/>
      <c r="F2110" s="126"/>
      <c r="G2110" s="126"/>
      <c r="H2110" s="127"/>
      <c r="I2110" s="125"/>
    </row>
    <row r="2111">
      <c r="A2111" s="125"/>
      <c r="B2111" s="125"/>
      <c r="C2111" s="125"/>
      <c r="D2111" s="125"/>
      <c r="E2111" s="125"/>
      <c r="F2111" s="126"/>
      <c r="G2111" s="126"/>
      <c r="H2111" s="126"/>
      <c r="I2111" s="125"/>
    </row>
    <row r="2112">
      <c r="A2112" s="125"/>
      <c r="B2112" s="125"/>
      <c r="C2112" s="125"/>
      <c r="D2112" s="125"/>
      <c r="E2112" s="125"/>
      <c r="F2112" s="126"/>
      <c r="G2112" s="126"/>
      <c r="H2112" s="127"/>
      <c r="I2112" s="125"/>
    </row>
    <row r="2113">
      <c r="A2113" s="125"/>
      <c r="B2113" s="125"/>
      <c r="C2113" s="125"/>
      <c r="D2113" s="125"/>
      <c r="E2113" s="125"/>
      <c r="F2113" s="126"/>
      <c r="G2113" s="126"/>
      <c r="H2113" s="127"/>
      <c r="I2113" s="125"/>
    </row>
    <row r="2114">
      <c r="A2114" s="125"/>
      <c r="B2114" s="125"/>
      <c r="C2114" s="125"/>
      <c r="D2114" s="125"/>
      <c r="E2114" s="125"/>
      <c r="F2114" s="126"/>
      <c r="G2114" s="126"/>
      <c r="H2114" s="126"/>
      <c r="I2114" s="125"/>
    </row>
    <row r="2115">
      <c r="A2115" s="125"/>
      <c r="B2115" s="125"/>
      <c r="C2115" s="125"/>
      <c r="D2115" s="125"/>
      <c r="E2115" s="125"/>
      <c r="F2115" s="126"/>
      <c r="G2115" s="126"/>
      <c r="H2115" s="127"/>
      <c r="I2115" s="125"/>
    </row>
    <row r="2116">
      <c r="A2116" s="125"/>
      <c r="B2116" s="125"/>
      <c r="C2116" s="125"/>
      <c r="D2116" s="125"/>
      <c r="E2116" s="125"/>
      <c r="F2116" s="126"/>
      <c r="G2116" s="126"/>
      <c r="H2116" s="126"/>
      <c r="I2116" s="125"/>
    </row>
    <row r="2117">
      <c r="A2117" s="125"/>
      <c r="B2117" s="125"/>
      <c r="C2117" s="125"/>
      <c r="D2117" s="125"/>
      <c r="E2117" s="125"/>
      <c r="F2117" s="126"/>
      <c r="G2117" s="126"/>
      <c r="H2117" s="127"/>
      <c r="I2117" s="125"/>
    </row>
    <row r="2118">
      <c r="A2118" s="125"/>
      <c r="B2118" s="125"/>
      <c r="C2118" s="125"/>
      <c r="D2118" s="125"/>
      <c r="E2118" s="125"/>
      <c r="F2118" s="126"/>
      <c r="G2118" s="126"/>
      <c r="H2118" s="127"/>
      <c r="I2118" s="125"/>
    </row>
    <row r="2119">
      <c r="A2119" s="125"/>
      <c r="B2119" s="125"/>
      <c r="C2119" s="125"/>
      <c r="D2119" s="125"/>
      <c r="E2119" s="125"/>
      <c r="F2119" s="126"/>
      <c r="G2119" s="126"/>
      <c r="H2119" s="126"/>
      <c r="I2119" s="125"/>
    </row>
    <row r="2120">
      <c r="A2120" s="125"/>
      <c r="B2120" s="125"/>
      <c r="C2120" s="125"/>
      <c r="D2120" s="125"/>
      <c r="E2120" s="125"/>
      <c r="F2120" s="126"/>
      <c r="G2120" s="126"/>
      <c r="H2120" s="127"/>
      <c r="I2120" s="125"/>
    </row>
    <row r="2121">
      <c r="A2121" s="125"/>
      <c r="B2121" s="125"/>
      <c r="C2121" s="125"/>
      <c r="D2121" s="125"/>
      <c r="E2121" s="125"/>
      <c r="F2121" s="126"/>
      <c r="G2121" s="126"/>
      <c r="H2121" s="126"/>
      <c r="I2121" s="125"/>
    </row>
    <row r="2122">
      <c r="A2122" s="125"/>
      <c r="B2122" s="125"/>
      <c r="C2122" s="125"/>
      <c r="D2122" s="125"/>
      <c r="E2122" s="125"/>
      <c r="F2122" s="126"/>
      <c r="G2122" s="126"/>
      <c r="H2122" s="127"/>
      <c r="I2122" s="125"/>
    </row>
    <row r="2123">
      <c r="A2123" s="125"/>
      <c r="B2123" s="125"/>
      <c r="C2123" s="125"/>
      <c r="D2123" s="125"/>
      <c r="E2123" s="125"/>
      <c r="F2123" s="126"/>
      <c r="G2123" s="126"/>
      <c r="H2123" s="127"/>
      <c r="I2123" s="125"/>
    </row>
    <row r="2124">
      <c r="A2124" s="125"/>
      <c r="B2124" s="125"/>
      <c r="C2124" s="125"/>
      <c r="D2124" s="125"/>
      <c r="E2124" s="125"/>
      <c r="F2124" s="126"/>
      <c r="G2124" s="126"/>
      <c r="H2124" s="127"/>
      <c r="I2124" s="125"/>
    </row>
    <row r="2125">
      <c r="A2125" s="125"/>
      <c r="B2125" s="125"/>
      <c r="C2125" s="125"/>
      <c r="D2125" s="125"/>
      <c r="E2125" s="125"/>
      <c r="F2125" s="126"/>
      <c r="G2125" s="126"/>
      <c r="H2125" s="127"/>
      <c r="I2125" s="125"/>
    </row>
    <row r="2126">
      <c r="A2126" s="125"/>
      <c r="B2126" s="125"/>
      <c r="C2126" s="125"/>
      <c r="D2126" s="125"/>
      <c r="E2126" s="125"/>
      <c r="F2126" s="126"/>
      <c r="G2126" s="126"/>
      <c r="H2126" s="127"/>
      <c r="I2126" s="125"/>
    </row>
    <row r="2127">
      <c r="A2127" s="125"/>
      <c r="B2127" s="125"/>
      <c r="C2127" s="125"/>
      <c r="D2127" s="125"/>
      <c r="E2127" s="125"/>
      <c r="F2127" s="126"/>
      <c r="G2127" s="126"/>
      <c r="H2127" s="127"/>
      <c r="I2127" s="125"/>
    </row>
    <row r="2128">
      <c r="A2128" s="125"/>
      <c r="B2128" s="125"/>
      <c r="C2128" s="125"/>
      <c r="D2128" s="125"/>
      <c r="E2128" s="125"/>
      <c r="F2128" s="126"/>
      <c r="G2128" s="126"/>
      <c r="H2128" s="127"/>
      <c r="I2128" s="125"/>
    </row>
    <row r="2129">
      <c r="A2129" s="125"/>
      <c r="B2129" s="125"/>
      <c r="C2129" s="125"/>
      <c r="D2129" s="125"/>
      <c r="E2129" s="125"/>
      <c r="F2129" s="126"/>
      <c r="G2129" s="126"/>
      <c r="H2129" s="127"/>
      <c r="I2129" s="125"/>
    </row>
    <row r="2130">
      <c r="A2130" s="125"/>
      <c r="B2130" s="125"/>
      <c r="C2130" s="125"/>
      <c r="D2130" s="125"/>
      <c r="E2130" s="125"/>
      <c r="F2130" s="126"/>
      <c r="G2130" s="126"/>
      <c r="H2130" s="127"/>
      <c r="I2130" s="125"/>
    </row>
    <row r="2131">
      <c r="A2131" s="125"/>
      <c r="B2131" s="125"/>
      <c r="C2131" s="125"/>
      <c r="D2131" s="125"/>
      <c r="E2131" s="125"/>
      <c r="F2131" s="126"/>
      <c r="G2131" s="126"/>
      <c r="H2131" s="127"/>
      <c r="I2131" s="125"/>
    </row>
    <row r="2132">
      <c r="A2132" s="125"/>
      <c r="B2132" s="125"/>
      <c r="C2132" s="125"/>
      <c r="D2132" s="125"/>
      <c r="E2132" s="125"/>
      <c r="F2132" s="126"/>
      <c r="G2132" s="126"/>
      <c r="H2132" s="127"/>
      <c r="I2132" s="125"/>
    </row>
    <row r="2133">
      <c r="A2133" s="125"/>
      <c r="B2133" s="125"/>
      <c r="C2133" s="125"/>
      <c r="D2133" s="125"/>
      <c r="E2133" s="125"/>
      <c r="F2133" s="126"/>
      <c r="G2133" s="126"/>
      <c r="H2133" s="127"/>
      <c r="I2133" s="125"/>
    </row>
    <row r="2134">
      <c r="A2134" s="125"/>
      <c r="B2134" s="125"/>
      <c r="C2134" s="125"/>
      <c r="D2134" s="125"/>
      <c r="E2134" s="125"/>
      <c r="F2134" s="126"/>
      <c r="G2134" s="126"/>
      <c r="H2134" s="127"/>
      <c r="I2134" s="125"/>
    </row>
    <row r="2135">
      <c r="A2135" s="125"/>
      <c r="B2135" s="125"/>
      <c r="C2135" s="125"/>
      <c r="D2135" s="125"/>
      <c r="E2135" s="125"/>
      <c r="F2135" s="126"/>
      <c r="G2135" s="126"/>
      <c r="H2135" s="127"/>
      <c r="I2135" s="125"/>
    </row>
    <row r="2136">
      <c r="A2136" s="125"/>
      <c r="B2136" s="125"/>
      <c r="C2136" s="125"/>
      <c r="D2136" s="125"/>
      <c r="E2136" s="125"/>
      <c r="F2136" s="126"/>
      <c r="G2136" s="126"/>
      <c r="H2136" s="127"/>
      <c r="I2136" s="125"/>
    </row>
    <row r="2137">
      <c r="A2137" s="125"/>
      <c r="B2137" s="125"/>
      <c r="C2137" s="125"/>
      <c r="D2137" s="125"/>
      <c r="E2137" s="125"/>
      <c r="F2137" s="126"/>
      <c r="G2137" s="126"/>
      <c r="H2137" s="127"/>
      <c r="I2137" s="125"/>
    </row>
    <row r="2138">
      <c r="A2138" s="125"/>
      <c r="B2138" s="125"/>
      <c r="C2138" s="125"/>
      <c r="D2138" s="125"/>
      <c r="E2138" s="125"/>
      <c r="F2138" s="126"/>
      <c r="G2138" s="126"/>
      <c r="H2138" s="127"/>
      <c r="I2138" s="125"/>
    </row>
    <row r="2139">
      <c r="A2139" s="125"/>
      <c r="B2139" s="125"/>
      <c r="C2139" s="125"/>
      <c r="D2139" s="125"/>
      <c r="E2139" s="125"/>
      <c r="F2139" s="126"/>
      <c r="G2139" s="126"/>
      <c r="H2139" s="127"/>
      <c r="I2139" s="125"/>
    </row>
    <row r="2140">
      <c r="A2140" s="125"/>
      <c r="B2140" s="125"/>
      <c r="C2140" s="125"/>
      <c r="D2140" s="125"/>
      <c r="E2140" s="125"/>
      <c r="F2140" s="126"/>
      <c r="G2140" s="126"/>
      <c r="H2140" s="127"/>
      <c r="I2140" s="125"/>
    </row>
    <row r="2141">
      <c r="A2141" s="125"/>
      <c r="B2141" s="125"/>
      <c r="C2141" s="125"/>
      <c r="D2141" s="125"/>
      <c r="E2141" s="125"/>
      <c r="F2141" s="126"/>
      <c r="G2141" s="126"/>
      <c r="H2141" s="127"/>
      <c r="I2141" s="125"/>
    </row>
    <row r="2142">
      <c r="A2142" s="125"/>
      <c r="B2142" s="125"/>
      <c r="C2142" s="125"/>
      <c r="D2142" s="125"/>
      <c r="E2142" s="125"/>
      <c r="F2142" s="126"/>
      <c r="G2142" s="126"/>
      <c r="H2142" s="127"/>
      <c r="I2142" s="125"/>
    </row>
    <row r="2143">
      <c r="A2143" s="125"/>
      <c r="B2143" s="125"/>
      <c r="C2143" s="125"/>
      <c r="D2143" s="125"/>
      <c r="E2143" s="125"/>
      <c r="F2143" s="126"/>
      <c r="G2143" s="126"/>
      <c r="H2143" s="127"/>
      <c r="I2143" s="125"/>
    </row>
    <row r="2144">
      <c r="A2144" s="125"/>
      <c r="B2144" s="125"/>
      <c r="C2144" s="125"/>
      <c r="D2144" s="125"/>
      <c r="E2144" s="125"/>
      <c r="F2144" s="126"/>
      <c r="G2144" s="126"/>
      <c r="H2144" s="127"/>
      <c r="I2144" s="125"/>
    </row>
    <row r="2145">
      <c r="A2145" s="125"/>
      <c r="B2145" s="125"/>
      <c r="C2145" s="125"/>
      <c r="D2145" s="125"/>
      <c r="E2145" s="125"/>
      <c r="F2145" s="126"/>
      <c r="G2145" s="126"/>
      <c r="H2145" s="127"/>
      <c r="I2145" s="125"/>
    </row>
    <row r="2146">
      <c r="A2146" s="125"/>
      <c r="B2146" s="125"/>
      <c r="C2146" s="125"/>
      <c r="D2146" s="125"/>
      <c r="E2146" s="125"/>
      <c r="F2146" s="126"/>
      <c r="G2146" s="126"/>
      <c r="H2146" s="127"/>
      <c r="I2146" s="125"/>
    </row>
    <row r="2147">
      <c r="A2147" s="125"/>
      <c r="B2147" s="125"/>
      <c r="C2147" s="125"/>
      <c r="D2147" s="125"/>
      <c r="E2147" s="125"/>
      <c r="F2147" s="126"/>
      <c r="G2147" s="126"/>
      <c r="H2147" s="127"/>
      <c r="I2147" s="125"/>
    </row>
    <row r="2148">
      <c r="A2148" s="125"/>
      <c r="B2148" s="125"/>
      <c r="C2148" s="125"/>
      <c r="D2148" s="125"/>
      <c r="E2148" s="125"/>
      <c r="F2148" s="126"/>
      <c r="G2148" s="126"/>
      <c r="H2148" s="127"/>
      <c r="I2148" s="125"/>
    </row>
    <row r="2149">
      <c r="A2149" s="125"/>
      <c r="B2149" s="125"/>
      <c r="C2149" s="125"/>
      <c r="D2149" s="125"/>
      <c r="E2149" s="125"/>
      <c r="F2149" s="126"/>
      <c r="G2149" s="126"/>
      <c r="H2149" s="127"/>
      <c r="I2149" s="125"/>
    </row>
    <row r="2150">
      <c r="A2150" s="125"/>
      <c r="B2150" s="125"/>
      <c r="C2150" s="125"/>
      <c r="D2150" s="125"/>
      <c r="E2150" s="125"/>
      <c r="F2150" s="126"/>
      <c r="G2150" s="126"/>
      <c r="H2150" s="127"/>
      <c r="I2150" s="125"/>
    </row>
    <row r="2151">
      <c r="A2151" s="125"/>
      <c r="B2151" s="125"/>
      <c r="C2151" s="125"/>
      <c r="D2151" s="125"/>
      <c r="E2151" s="125"/>
      <c r="F2151" s="126"/>
      <c r="G2151" s="126"/>
      <c r="H2151" s="127"/>
      <c r="I2151" s="125"/>
    </row>
    <row r="2152">
      <c r="A2152" s="125"/>
      <c r="B2152" s="125"/>
      <c r="C2152" s="125"/>
      <c r="D2152" s="125"/>
      <c r="E2152" s="125"/>
      <c r="F2152" s="126"/>
      <c r="G2152" s="126"/>
      <c r="H2152" s="127"/>
      <c r="I2152" s="125"/>
    </row>
    <row r="2153">
      <c r="A2153" s="125"/>
      <c r="B2153" s="125"/>
      <c r="C2153" s="125"/>
      <c r="D2153" s="125"/>
      <c r="E2153" s="125"/>
      <c r="F2153" s="126"/>
      <c r="G2153" s="126"/>
      <c r="H2153" s="127"/>
      <c r="I2153" s="125"/>
    </row>
    <row r="2154">
      <c r="A2154" s="125"/>
      <c r="B2154" s="125"/>
      <c r="C2154" s="125"/>
      <c r="D2154" s="125"/>
      <c r="E2154" s="125"/>
      <c r="F2154" s="126"/>
      <c r="G2154" s="126"/>
      <c r="H2154" s="126"/>
      <c r="I2154" s="125"/>
    </row>
    <row r="2155">
      <c r="A2155" s="125"/>
      <c r="B2155" s="125"/>
      <c r="C2155" s="125"/>
      <c r="D2155" s="125"/>
      <c r="E2155" s="125"/>
      <c r="F2155" s="126"/>
      <c r="G2155" s="126"/>
      <c r="H2155" s="126"/>
      <c r="I2155" s="125"/>
    </row>
    <row r="2156">
      <c r="A2156" s="125"/>
      <c r="B2156" s="125"/>
      <c r="C2156" s="125"/>
      <c r="D2156" s="125"/>
      <c r="E2156" s="125"/>
      <c r="F2156" s="126"/>
      <c r="G2156" s="126"/>
      <c r="H2156" s="127"/>
      <c r="I2156" s="125"/>
    </row>
    <row r="2157">
      <c r="A2157" s="125"/>
      <c r="B2157" s="125"/>
      <c r="C2157" s="125"/>
      <c r="D2157" s="125"/>
      <c r="E2157" s="125"/>
      <c r="F2157" s="126"/>
      <c r="G2157" s="126"/>
      <c r="H2157" s="127"/>
      <c r="I2157" s="125"/>
    </row>
    <row r="2158">
      <c r="A2158" s="125"/>
      <c r="B2158" s="125"/>
      <c r="C2158" s="125"/>
      <c r="D2158" s="125"/>
      <c r="E2158" s="125"/>
      <c r="F2158" s="126"/>
      <c r="G2158" s="126"/>
      <c r="H2158" s="126"/>
      <c r="I2158" s="125"/>
    </row>
    <row r="2159">
      <c r="A2159" s="125"/>
      <c r="B2159" s="125"/>
      <c r="C2159" s="125"/>
      <c r="D2159" s="125"/>
      <c r="E2159" s="125"/>
      <c r="F2159" s="126"/>
      <c r="G2159" s="126"/>
      <c r="H2159" s="126"/>
      <c r="I2159" s="125"/>
    </row>
    <row r="2160">
      <c r="A2160" s="125"/>
      <c r="B2160" s="125"/>
      <c r="C2160" s="125"/>
      <c r="D2160" s="125"/>
      <c r="E2160" s="125"/>
      <c r="F2160" s="126"/>
      <c r="G2160" s="126"/>
      <c r="H2160" s="127"/>
      <c r="I2160" s="125"/>
    </row>
    <row r="2161">
      <c r="A2161" s="125"/>
      <c r="B2161" s="125"/>
      <c r="C2161" s="125"/>
      <c r="D2161" s="125"/>
      <c r="E2161" s="125"/>
      <c r="F2161" s="126"/>
      <c r="G2161" s="126"/>
      <c r="H2161" s="127"/>
      <c r="I2161" s="125"/>
    </row>
    <row r="2162">
      <c r="A2162" s="125"/>
      <c r="B2162" s="125"/>
      <c r="C2162" s="125"/>
      <c r="D2162" s="125"/>
      <c r="E2162" s="125"/>
      <c r="F2162" s="126"/>
      <c r="G2162" s="126"/>
      <c r="H2162" s="126"/>
      <c r="I2162" s="125"/>
    </row>
    <row r="2163">
      <c r="A2163" s="125"/>
      <c r="B2163" s="125"/>
      <c r="C2163" s="125"/>
      <c r="D2163" s="125"/>
      <c r="E2163" s="125"/>
      <c r="F2163" s="126"/>
      <c r="G2163" s="126"/>
      <c r="H2163" s="127"/>
      <c r="I2163" s="125"/>
    </row>
    <row r="2164">
      <c r="A2164" s="125"/>
      <c r="B2164" s="125"/>
      <c r="C2164" s="125"/>
      <c r="D2164" s="125"/>
      <c r="E2164" s="125"/>
      <c r="F2164" s="126"/>
      <c r="G2164" s="126"/>
      <c r="H2164" s="127"/>
      <c r="I2164" s="125"/>
    </row>
    <row r="2165">
      <c r="A2165" s="125"/>
      <c r="B2165" s="125"/>
      <c r="C2165" s="125"/>
      <c r="D2165" s="125"/>
      <c r="E2165" s="125"/>
      <c r="F2165" s="126"/>
      <c r="G2165" s="126"/>
      <c r="H2165" s="127"/>
      <c r="I2165" s="125"/>
    </row>
    <row r="2166">
      <c r="A2166" s="125"/>
      <c r="B2166" s="125"/>
      <c r="C2166" s="125"/>
      <c r="D2166" s="125"/>
      <c r="E2166" s="125"/>
      <c r="F2166" s="126"/>
      <c r="G2166" s="126"/>
      <c r="H2166" s="127"/>
      <c r="I2166" s="125"/>
    </row>
    <row r="2167">
      <c r="A2167" s="125"/>
      <c r="B2167" s="125"/>
      <c r="C2167" s="125"/>
      <c r="D2167" s="125"/>
      <c r="E2167" s="125"/>
      <c r="F2167" s="126"/>
      <c r="G2167" s="126"/>
      <c r="H2167" s="127"/>
      <c r="I2167" s="125"/>
    </row>
    <row r="2168">
      <c r="A2168" s="125"/>
      <c r="B2168" s="125"/>
      <c r="C2168" s="125"/>
      <c r="D2168" s="125"/>
      <c r="E2168" s="125"/>
      <c r="F2168" s="126"/>
      <c r="G2168" s="126"/>
      <c r="H2168" s="127"/>
      <c r="I2168" s="125"/>
    </row>
    <row r="2169">
      <c r="A2169" s="125"/>
      <c r="B2169" s="125"/>
      <c r="C2169" s="125"/>
      <c r="D2169" s="125"/>
      <c r="E2169" s="125"/>
      <c r="F2169" s="126"/>
      <c r="G2169" s="126"/>
      <c r="H2169" s="126"/>
      <c r="I2169" s="125"/>
    </row>
    <row r="2170">
      <c r="A2170" s="125"/>
      <c r="B2170" s="125"/>
      <c r="C2170" s="125"/>
      <c r="D2170" s="125"/>
      <c r="E2170" s="125"/>
      <c r="F2170" s="126"/>
      <c r="G2170" s="126"/>
      <c r="H2170" s="127"/>
      <c r="I2170" s="125"/>
    </row>
    <row r="2171">
      <c r="A2171" s="125"/>
      <c r="B2171" s="125"/>
      <c r="C2171" s="125"/>
      <c r="D2171" s="125"/>
      <c r="E2171" s="125"/>
      <c r="F2171" s="126"/>
      <c r="G2171" s="126"/>
      <c r="H2171" s="127"/>
      <c r="I2171" s="125"/>
    </row>
    <row r="2172">
      <c r="A2172" s="125"/>
      <c r="B2172" s="125"/>
      <c r="C2172" s="125"/>
      <c r="D2172" s="125"/>
      <c r="E2172" s="125"/>
      <c r="F2172" s="126"/>
      <c r="G2172" s="126"/>
      <c r="H2172" s="126"/>
      <c r="I2172" s="125"/>
    </row>
    <row r="2173">
      <c r="A2173" s="125"/>
      <c r="B2173" s="125"/>
      <c r="C2173" s="125"/>
      <c r="D2173" s="125"/>
      <c r="E2173" s="125"/>
      <c r="F2173" s="126"/>
      <c r="G2173" s="126"/>
      <c r="H2173" s="127"/>
      <c r="I2173" s="125"/>
    </row>
    <row r="2174">
      <c r="A2174" s="125"/>
      <c r="B2174" s="125"/>
      <c r="C2174" s="125"/>
      <c r="D2174" s="125"/>
      <c r="E2174" s="125"/>
      <c r="F2174" s="126"/>
      <c r="G2174" s="126"/>
      <c r="H2174" s="127"/>
      <c r="I2174" s="125"/>
    </row>
    <row r="2175">
      <c r="A2175" s="125"/>
      <c r="B2175" s="125"/>
      <c r="C2175" s="125"/>
      <c r="D2175" s="125"/>
      <c r="E2175" s="125"/>
      <c r="F2175" s="126"/>
      <c r="G2175" s="126"/>
      <c r="H2175" s="126"/>
      <c r="I2175" s="125"/>
    </row>
    <row r="2176">
      <c r="A2176" s="125"/>
      <c r="B2176" s="125"/>
      <c r="C2176" s="125"/>
      <c r="D2176" s="125"/>
      <c r="E2176" s="125"/>
      <c r="F2176" s="126"/>
      <c r="G2176" s="126"/>
      <c r="H2176" s="127"/>
      <c r="I2176" s="125"/>
    </row>
    <row r="2177">
      <c r="A2177" s="125"/>
      <c r="B2177" s="125"/>
      <c r="C2177" s="125"/>
      <c r="D2177" s="125"/>
      <c r="E2177" s="125"/>
      <c r="F2177" s="126"/>
      <c r="G2177" s="126"/>
      <c r="H2177" s="127"/>
      <c r="I2177" s="125"/>
    </row>
    <row r="2178">
      <c r="A2178" s="125"/>
      <c r="B2178" s="125"/>
      <c r="C2178" s="125"/>
      <c r="D2178" s="125"/>
      <c r="E2178" s="125"/>
      <c r="F2178" s="126"/>
      <c r="G2178" s="126"/>
      <c r="H2178" s="127"/>
      <c r="I2178" s="125"/>
    </row>
    <row r="2179">
      <c r="A2179" s="125"/>
      <c r="B2179" s="125"/>
      <c r="C2179" s="125"/>
      <c r="D2179" s="125"/>
      <c r="E2179" s="125"/>
      <c r="F2179" s="126"/>
      <c r="G2179" s="126"/>
      <c r="H2179" s="127"/>
      <c r="I2179" s="125"/>
    </row>
    <row r="2180">
      <c r="A2180" s="125"/>
      <c r="B2180" s="125"/>
      <c r="C2180" s="125"/>
      <c r="D2180" s="125"/>
      <c r="E2180" s="125"/>
      <c r="F2180" s="126"/>
      <c r="G2180" s="126"/>
      <c r="H2180" s="126"/>
      <c r="I2180" s="125"/>
    </row>
    <row r="2181">
      <c r="A2181" s="125"/>
      <c r="B2181" s="125"/>
      <c r="C2181" s="125"/>
      <c r="D2181" s="125"/>
      <c r="E2181" s="125"/>
      <c r="F2181" s="126"/>
      <c r="G2181" s="126"/>
      <c r="H2181" s="126"/>
      <c r="I2181" s="125"/>
    </row>
    <row r="2182">
      <c r="A2182" s="125"/>
      <c r="B2182" s="125"/>
      <c r="C2182" s="125"/>
      <c r="D2182" s="125"/>
      <c r="E2182" s="125"/>
      <c r="F2182" s="126"/>
      <c r="G2182" s="126"/>
      <c r="H2182" s="127"/>
      <c r="I2182" s="125"/>
    </row>
    <row r="2183">
      <c r="A2183" s="125"/>
      <c r="B2183" s="125"/>
      <c r="C2183" s="125"/>
      <c r="D2183" s="125"/>
      <c r="E2183" s="125"/>
      <c r="F2183" s="126"/>
      <c r="G2183" s="126"/>
      <c r="H2183" s="127"/>
      <c r="I2183" s="125"/>
    </row>
    <row r="2184">
      <c r="A2184" s="125"/>
      <c r="B2184" s="125"/>
      <c r="C2184" s="125"/>
      <c r="D2184" s="125"/>
      <c r="E2184" s="125"/>
      <c r="F2184" s="126"/>
      <c r="G2184" s="126"/>
      <c r="H2184" s="127"/>
      <c r="I2184" s="125"/>
    </row>
    <row r="2185">
      <c r="A2185" s="125"/>
      <c r="B2185" s="125"/>
      <c r="C2185" s="125"/>
      <c r="D2185" s="125"/>
      <c r="E2185" s="125"/>
      <c r="F2185" s="126"/>
      <c r="G2185" s="126"/>
      <c r="H2185" s="127"/>
      <c r="I2185" s="125"/>
    </row>
    <row r="2186">
      <c r="A2186" s="125"/>
      <c r="B2186" s="125"/>
      <c r="C2186" s="125"/>
      <c r="D2186" s="125"/>
      <c r="E2186" s="125"/>
      <c r="F2186" s="126"/>
      <c r="G2186" s="126"/>
      <c r="H2186" s="127"/>
      <c r="I2186" s="125"/>
    </row>
    <row r="2187">
      <c r="A2187" s="125"/>
      <c r="B2187" s="125"/>
      <c r="C2187" s="125"/>
      <c r="D2187" s="125"/>
      <c r="E2187" s="125"/>
      <c r="F2187" s="126"/>
      <c r="G2187" s="126"/>
      <c r="H2187" s="127"/>
      <c r="I2187" s="125"/>
    </row>
    <row r="2188">
      <c r="A2188" s="125"/>
      <c r="B2188" s="125"/>
      <c r="C2188" s="125"/>
      <c r="D2188" s="125"/>
      <c r="E2188" s="125"/>
      <c r="F2188" s="126"/>
      <c r="G2188" s="126"/>
      <c r="H2188" s="126"/>
      <c r="I2188" s="125"/>
    </row>
    <row r="2189">
      <c r="A2189" s="125"/>
      <c r="B2189" s="125"/>
      <c r="C2189" s="125"/>
      <c r="D2189" s="125"/>
      <c r="E2189" s="125"/>
      <c r="F2189" s="126"/>
      <c r="G2189" s="126"/>
      <c r="H2189" s="127"/>
      <c r="I2189" s="125"/>
    </row>
    <row r="2190">
      <c r="A2190" s="125"/>
      <c r="B2190" s="125"/>
      <c r="C2190" s="125"/>
      <c r="D2190" s="125"/>
      <c r="E2190" s="125"/>
      <c r="F2190" s="126"/>
      <c r="G2190" s="126"/>
      <c r="H2190" s="126"/>
      <c r="I2190" s="125"/>
    </row>
    <row r="2191">
      <c r="A2191" s="125"/>
      <c r="B2191" s="125"/>
      <c r="C2191" s="125"/>
      <c r="D2191" s="125"/>
      <c r="E2191" s="125"/>
      <c r="F2191" s="126"/>
      <c r="G2191" s="126"/>
      <c r="H2191" s="127"/>
      <c r="I2191" s="125"/>
    </row>
    <row r="2192">
      <c r="A2192" s="125"/>
      <c r="B2192" s="125"/>
      <c r="C2192" s="125"/>
      <c r="D2192" s="125"/>
      <c r="E2192" s="125"/>
      <c r="F2192" s="126"/>
      <c r="G2192" s="126"/>
      <c r="H2192" s="127"/>
      <c r="I2192" s="125"/>
    </row>
    <row r="2193">
      <c r="A2193" s="125"/>
      <c r="B2193" s="125"/>
      <c r="C2193" s="125"/>
      <c r="D2193" s="125"/>
      <c r="E2193" s="125"/>
      <c r="F2193" s="126"/>
      <c r="G2193" s="126"/>
      <c r="H2193" s="127"/>
      <c r="I2193" s="125"/>
    </row>
    <row r="2194">
      <c r="A2194" s="125"/>
      <c r="B2194" s="125"/>
      <c r="C2194" s="125"/>
      <c r="D2194" s="125"/>
      <c r="E2194" s="125"/>
      <c r="F2194" s="126"/>
      <c r="G2194" s="126"/>
      <c r="H2194" s="127"/>
      <c r="I2194" s="125"/>
    </row>
    <row r="2195">
      <c r="A2195" s="125"/>
      <c r="B2195" s="125"/>
      <c r="C2195" s="125"/>
      <c r="D2195" s="125"/>
      <c r="E2195" s="125"/>
      <c r="F2195" s="126"/>
      <c r="G2195" s="126"/>
      <c r="H2195" s="127"/>
      <c r="I2195" s="125"/>
    </row>
    <row r="2196">
      <c r="A2196" s="125"/>
      <c r="B2196" s="125"/>
      <c r="C2196" s="125"/>
      <c r="D2196" s="125"/>
      <c r="E2196" s="125"/>
      <c r="F2196" s="126"/>
      <c r="G2196" s="126"/>
      <c r="H2196" s="127"/>
      <c r="I2196" s="125"/>
    </row>
    <row r="2197">
      <c r="A2197" s="125"/>
      <c r="B2197" s="125"/>
      <c r="C2197" s="125"/>
      <c r="D2197" s="125"/>
      <c r="E2197" s="125"/>
      <c r="F2197" s="126"/>
      <c r="G2197" s="126"/>
      <c r="H2197" s="126"/>
      <c r="I2197" s="125"/>
    </row>
    <row r="2198">
      <c r="A2198" s="125"/>
      <c r="B2198" s="125"/>
      <c r="C2198" s="125"/>
      <c r="D2198" s="125"/>
      <c r="E2198" s="125"/>
      <c r="F2198" s="126"/>
      <c r="G2198" s="126"/>
      <c r="H2198" s="127"/>
      <c r="I2198" s="125"/>
    </row>
    <row r="2199">
      <c r="A2199" s="125"/>
      <c r="B2199" s="125"/>
      <c r="C2199" s="125"/>
      <c r="D2199" s="125"/>
      <c r="E2199" s="125"/>
      <c r="F2199" s="126"/>
      <c r="G2199" s="126"/>
      <c r="H2199" s="127"/>
      <c r="I2199" s="125"/>
    </row>
    <row r="2200">
      <c r="A2200" s="125"/>
      <c r="B2200" s="125"/>
      <c r="C2200" s="125"/>
      <c r="D2200" s="125"/>
      <c r="E2200" s="125"/>
      <c r="F2200" s="126"/>
      <c r="G2200" s="126"/>
      <c r="H2200" s="126"/>
      <c r="I2200" s="125"/>
    </row>
    <row r="2201">
      <c r="A2201" s="125"/>
      <c r="B2201" s="125"/>
      <c r="C2201" s="125"/>
      <c r="D2201" s="125"/>
      <c r="E2201" s="125"/>
      <c r="F2201" s="126"/>
      <c r="G2201" s="126"/>
      <c r="H2201" s="127"/>
      <c r="I2201" s="125"/>
    </row>
    <row r="2202">
      <c r="A2202" s="125"/>
      <c r="B2202" s="125"/>
      <c r="C2202" s="125"/>
      <c r="D2202" s="125"/>
      <c r="E2202" s="125"/>
      <c r="F2202" s="126"/>
      <c r="G2202" s="126"/>
      <c r="H2202" s="127"/>
      <c r="I2202" s="125"/>
    </row>
    <row r="2203">
      <c r="A2203" s="125"/>
      <c r="B2203" s="125"/>
      <c r="C2203" s="125"/>
      <c r="D2203" s="125"/>
      <c r="E2203" s="125"/>
      <c r="F2203" s="126"/>
      <c r="G2203" s="126"/>
      <c r="H2203" s="127"/>
      <c r="I2203" s="125"/>
    </row>
    <row r="2204">
      <c r="A2204" s="125"/>
      <c r="B2204" s="125"/>
      <c r="C2204" s="125"/>
      <c r="D2204" s="125"/>
      <c r="E2204" s="125"/>
      <c r="F2204" s="126"/>
      <c r="G2204" s="126"/>
      <c r="H2204" s="127"/>
      <c r="I2204" s="125"/>
    </row>
    <row r="2205">
      <c r="A2205" s="125"/>
      <c r="B2205" s="125"/>
      <c r="C2205" s="125"/>
      <c r="D2205" s="125"/>
      <c r="E2205" s="125"/>
      <c r="F2205" s="126"/>
      <c r="G2205" s="126"/>
      <c r="H2205" s="126"/>
      <c r="I2205" s="125"/>
    </row>
    <row r="2206">
      <c r="A2206" s="125"/>
      <c r="B2206" s="125"/>
      <c r="C2206" s="125"/>
      <c r="D2206" s="125"/>
      <c r="E2206" s="125"/>
      <c r="F2206" s="126"/>
      <c r="G2206" s="126"/>
      <c r="H2206" s="127"/>
      <c r="I2206" s="125"/>
    </row>
    <row r="2207">
      <c r="A2207" s="125"/>
      <c r="B2207" s="125"/>
      <c r="C2207" s="125"/>
      <c r="D2207" s="125"/>
      <c r="E2207" s="125"/>
      <c r="F2207" s="126"/>
      <c r="G2207" s="126"/>
      <c r="H2207" s="127"/>
      <c r="I2207" s="125"/>
    </row>
    <row r="2208">
      <c r="A2208" s="125"/>
      <c r="B2208" s="125"/>
      <c r="C2208" s="125"/>
      <c r="D2208" s="125"/>
      <c r="E2208" s="125"/>
      <c r="F2208" s="126"/>
      <c r="G2208" s="126"/>
      <c r="H2208" s="127"/>
      <c r="I2208" s="125"/>
    </row>
    <row r="2209">
      <c r="A2209" s="125"/>
      <c r="B2209" s="125"/>
      <c r="C2209" s="125"/>
      <c r="D2209" s="125"/>
      <c r="E2209" s="125"/>
      <c r="F2209" s="126"/>
      <c r="G2209" s="126"/>
      <c r="H2209" s="127"/>
      <c r="I2209" s="125"/>
    </row>
    <row r="2210">
      <c r="A2210" s="125"/>
      <c r="B2210" s="125"/>
      <c r="C2210" s="125"/>
      <c r="D2210" s="125"/>
      <c r="E2210" s="125"/>
      <c r="F2210" s="126"/>
      <c r="G2210" s="126"/>
      <c r="H2210" s="127"/>
      <c r="I2210" s="125"/>
    </row>
    <row r="2211">
      <c r="A2211" s="125"/>
      <c r="B2211" s="125"/>
      <c r="C2211" s="125"/>
      <c r="D2211" s="125"/>
      <c r="E2211" s="125"/>
      <c r="F2211" s="126"/>
      <c r="G2211" s="126"/>
      <c r="H2211" s="127"/>
      <c r="I2211" s="125"/>
    </row>
    <row r="2212">
      <c r="A2212" s="125"/>
      <c r="B2212" s="125"/>
      <c r="C2212" s="125"/>
      <c r="D2212" s="125"/>
      <c r="E2212" s="125"/>
      <c r="F2212" s="126"/>
      <c r="G2212" s="126"/>
      <c r="H2212" s="126"/>
      <c r="I2212" s="125"/>
    </row>
    <row r="2213">
      <c r="A2213" s="125"/>
      <c r="B2213" s="125"/>
      <c r="C2213" s="125"/>
      <c r="D2213" s="125"/>
      <c r="E2213" s="125"/>
      <c r="F2213" s="126"/>
      <c r="G2213" s="126"/>
      <c r="H2213" s="127"/>
      <c r="I2213" s="125"/>
    </row>
    <row r="2214">
      <c r="A2214" s="125"/>
      <c r="B2214" s="125"/>
      <c r="C2214" s="125"/>
      <c r="D2214" s="125"/>
      <c r="E2214" s="125"/>
      <c r="F2214" s="126"/>
      <c r="G2214" s="126"/>
      <c r="H2214" s="127"/>
      <c r="I2214" s="125"/>
    </row>
    <row r="2215">
      <c r="A2215" s="125"/>
      <c r="B2215" s="125"/>
      <c r="C2215" s="125"/>
      <c r="D2215" s="125"/>
      <c r="E2215" s="125"/>
      <c r="F2215" s="126"/>
      <c r="G2215" s="126"/>
      <c r="H2215" s="127"/>
      <c r="I2215" s="125"/>
    </row>
    <row r="2216">
      <c r="A2216" s="125"/>
      <c r="B2216" s="125"/>
      <c r="C2216" s="125"/>
      <c r="D2216" s="125"/>
      <c r="E2216" s="125"/>
      <c r="F2216" s="126"/>
      <c r="G2216" s="126"/>
      <c r="H2216" s="127"/>
      <c r="I2216" s="125"/>
    </row>
    <row r="2217">
      <c r="A2217" s="125"/>
      <c r="B2217" s="125"/>
      <c r="C2217" s="125"/>
      <c r="D2217" s="125"/>
      <c r="E2217" s="125"/>
      <c r="F2217" s="126"/>
      <c r="G2217" s="126"/>
      <c r="H2217" s="127"/>
      <c r="I2217" s="125"/>
    </row>
    <row r="2218">
      <c r="A2218" s="125"/>
      <c r="B2218" s="125"/>
      <c r="C2218" s="125"/>
      <c r="D2218" s="125"/>
      <c r="E2218" s="125"/>
      <c r="F2218" s="126"/>
      <c r="G2218" s="126"/>
      <c r="H2218" s="127"/>
      <c r="I2218" s="125"/>
    </row>
    <row r="2219">
      <c r="A2219" s="125"/>
      <c r="B2219" s="125"/>
      <c r="C2219" s="125"/>
      <c r="D2219" s="125"/>
      <c r="E2219" s="125"/>
      <c r="F2219" s="126"/>
      <c r="G2219" s="126"/>
      <c r="H2219" s="127"/>
      <c r="I2219" s="125"/>
    </row>
    <row r="2220">
      <c r="A2220" s="125"/>
      <c r="B2220" s="125"/>
      <c r="C2220" s="125"/>
      <c r="D2220" s="125"/>
      <c r="E2220" s="125"/>
      <c r="F2220" s="126"/>
      <c r="G2220" s="126"/>
      <c r="H2220" s="127"/>
      <c r="I2220" s="125"/>
    </row>
    <row r="2221">
      <c r="A2221" s="125"/>
      <c r="B2221" s="125"/>
      <c r="C2221" s="125"/>
      <c r="D2221" s="125"/>
      <c r="E2221" s="125"/>
      <c r="F2221" s="126"/>
      <c r="G2221" s="126"/>
      <c r="H2221" s="127"/>
      <c r="I2221" s="125"/>
    </row>
    <row r="2222">
      <c r="A2222" s="125"/>
      <c r="B2222" s="125"/>
      <c r="C2222" s="125"/>
      <c r="D2222" s="125"/>
      <c r="E2222" s="125"/>
      <c r="F2222" s="126"/>
      <c r="G2222" s="126"/>
      <c r="H2222" s="127"/>
      <c r="I2222" s="125"/>
    </row>
    <row r="2223">
      <c r="A2223" s="125"/>
      <c r="B2223" s="125"/>
      <c r="C2223" s="125"/>
      <c r="D2223" s="125"/>
      <c r="E2223" s="125"/>
      <c r="F2223" s="126"/>
      <c r="G2223" s="126"/>
      <c r="H2223" s="127"/>
      <c r="I2223" s="125"/>
    </row>
    <row r="2224">
      <c r="A2224" s="125"/>
      <c r="B2224" s="125"/>
      <c r="C2224" s="125"/>
      <c r="D2224" s="125"/>
      <c r="E2224" s="125"/>
      <c r="F2224" s="126"/>
      <c r="G2224" s="126"/>
      <c r="H2224" s="127"/>
      <c r="I2224" s="125"/>
    </row>
    <row r="2225">
      <c r="A2225" s="125"/>
      <c r="B2225" s="125"/>
      <c r="C2225" s="125"/>
      <c r="D2225" s="125"/>
      <c r="E2225" s="125"/>
      <c r="F2225" s="126"/>
      <c r="G2225" s="126"/>
      <c r="H2225" s="127"/>
      <c r="I2225" s="125"/>
    </row>
    <row r="2226">
      <c r="A2226" s="125"/>
      <c r="B2226" s="125"/>
      <c r="C2226" s="125"/>
      <c r="D2226" s="125"/>
      <c r="E2226" s="125"/>
      <c r="F2226" s="126"/>
      <c r="G2226" s="126"/>
      <c r="H2226" s="126"/>
      <c r="I2226" s="125"/>
    </row>
    <row r="2227">
      <c r="A2227" s="125"/>
      <c r="B2227" s="125"/>
      <c r="C2227" s="125"/>
      <c r="D2227" s="125"/>
      <c r="E2227" s="125"/>
      <c r="F2227" s="126"/>
      <c r="G2227" s="126"/>
      <c r="H2227" s="127"/>
      <c r="I2227" s="125"/>
    </row>
    <row r="2228">
      <c r="A2228" s="125"/>
      <c r="B2228" s="125"/>
      <c r="C2228" s="125"/>
      <c r="D2228" s="125"/>
      <c r="E2228" s="125"/>
      <c r="F2228" s="126"/>
      <c r="G2228" s="126"/>
      <c r="H2228" s="127"/>
      <c r="I2228" s="125"/>
    </row>
    <row r="2229">
      <c r="A2229" s="125"/>
      <c r="B2229" s="125"/>
      <c r="C2229" s="125"/>
      <c r="D2229" s="125"/>
      <c r="E2229" s="125"/>
      <c r="F2229" s="126"/>
      <c r="G2229" s="126"/>
      <c r="H2229" s="127"/>
      <c r="I2229" s="125"/>
    </row>
    <row r="2230">
      <c r="A2230" s="125"/>
      <c r="B2230" s="125"/>
      <c r="C2230" s="125"/>
      <c r="D2230" s="125"/>
      <c r="E2230" s="125"/>
      <c r="F2230" s="126"/>
      <c r="G2230" s="126"/>
      <c r="H2230" s="127"/>
      <c r="I2230" s="125"/>
    </row>
    <row r="2231">
      <c r="A2231" s="125"/>
      <c r="B2231" s="125"/>
      <c r="C2231" s="125"/>
      <c r="D2231" s="125"/>
      <c r="E2231" s="125"/>
      <c r="F2231" s="126"/>
      <c r="G2231" s="126"/>
      <c r="H2231" s="126"/>
      <c r="I2231" s="125"/>
    </row>
    <row r="2232">
      <c r="A2232" s="125"/>
      <c r="B2232" s="125"/>
      <c r="C2232" s="125"/>
      <c r="D2232" s="125"/>
      <c r="E2232" s="125"/>
      <c r="F2232" s="126"/>
      <c r="G2232" s="126"/>
      <c r="H2232" s="127"/>
      <c r="I2232" s="125"/>
    </row>
    <row r="2233">
      <c r="A2233" s="125"/>
      <c r="B2233" s="125"/>
      <c r="C2233" s="125"/>
      <c r="D2233" s="125"/>
      <c r="E2233" s="125"/>
      <c r="F2233" s="126"/>
      <c r="G2233" s="126"/>
      <c r="H2233" s="126"/>
      <c r="I2233" s="125"/>
    </row>
    <row r="2234">
      <c r="A2234" s="125"/>
      <c r="B2234" s="125"/>
      <c r="C2234" s="125"/>
      <c r="D2234" s="125"/>
      <c r="E2234" s="125"/>
      <c r="F2234" s="126"/>
      <c r="G2234" s="126"/>
      <c r="H2234" s="127"/>
      <c r="I2234" s="125"/>
    </row>
    <row r="2235">
      <c r="A2235" s="125"/>
      <c r="B2235" s="125"/>
      <c r="C2235" s="125"/>
      <c r="D2235" s="125"/>
      <c r="E2235" s="125"/>
      <c r="F2235" s="126"/>
      <c r="G2235" s="126"/>
      <c r="H2235" s="127"/>
      <c r="I2235" s="125"/>
    </row>
    <row r="2236">
      <c r="A2236" s="125"/>
      <c r="B2236" s="125"/>
      <c r="C2236" s="125"/>
      <c r="D2236" s="125"/>
      <c r="E2236" s="125"/>
      <c r="F2236" s="126"/>
      <c r="G2236" s="126"/>
      <c r="H2236" s="127"/>
      <c r="I2236" s="125"/>
    </row>
    <row r="2237">
      <c r="A2237" s="125"/>
      <c r="B2237" s="125"/>
      <c r="C2237" s="125"/>
      <c r="D2237" s="125"/>
      <c r="E2237" s="125"/>
      <c r="F2237" s="126"/>
      <c r="G2237" s="126"/>
      <c r="H2237" s="126"/>
      <c r="I2237" s="125"/>
    </row>
    <row r="2238">
      <c r="A2238" s="125"/>
      <c r="B2238" s="125"/>
      <c r="C2238" s="125"/>
      <c r="D2238" s="125"/>
      <c r="E2238" s="125"/>
      <c r="F2238" s="126"/>
      <c r="G2238" s="126"/>
      <c r="H2238" s="126"/>
      <c r="I2238" s="125"/>
    </row>
    <row r="2239">
      <c r="A2239" s="125"/>
      <c r="B2239" s="125"/>
      <c r="C2239" s="125"/>
      <c r="D2239" s="125"/>
      <c r="E2239" s="125"/>
      <c r="F2239" s="126"/>
      <c r="G2239" s="126"/>
      <c r="H2239" s="127"/>
      <c r="I2239" s="125"/>
    </row>
    <row r="2240">
      <c r="A2240" s="125"/>
      <c r="B2240" s="125"/>
      <c r="C2240" s="125"/>
      <c r="D2240" s="125"/>
      <c r="E2240" s="125"/>
      <c r="F2240" s="126"/>
      <c r="G2240" s="126"/>
      <c r="H2240" s="126"/>
      <c r="I2240" s="125"/>
    </row>
    <row r="2241">
      <c r="A2241" s="125"/>
      <c r="B2241" s="125"/>
      <c r="C2241" s="125"/>
      <c r="D2241" s="125"/>
      <c r="E2241" s="125"/>
      <c r="F2241" s="126"/>
      <c r="G2241" s="126"/>
      <c r="H2241" s="126"/>
      <c r="I2241" s="125"/>
    </row>
    <row r="2242">
      <c r="A2242" s="125"/>
      <c r="B2242" s="125"/>
      <c r="C2242" s="125"/>
      <c r="D2242" s="125"/>
      <c r="E2242" s="125"/>
      <c r="F2242" s="126"/>
      <c r="G2242" s="126"/>
      <c r="H2242" s="127"/>
      <c r="I2242" s="125"/>
    </row>
    <row r="2243">
      <c r="A2243" s="125"/>
      <c r="B2243" s="125"/>
      <c r="C2243" s="125"/>
      <c r="D2243" s="125"/>
      <c r="E2243" s="125"/>
      <c r="F2243" s="126"/>
      <c r="G2243" s="126"/>
      <c r="H2243" s="126"/>
      <c r="I2243" s="125"/>
    </row>
    <row r="2244">
      <c r="A2244" s="125"/>
      <c r="B2244" s="125"/>
      <c r="C2244" s="125"/>
      <c r="D2244" s="125"/>
      <c r="E2244" s="125"/>
      <c r="F2244" s="126"/>
      <c r="G2244" s="126"/>
      <c r="H2244" s="126"/>
      <c r="I2244" s="125"/>
    </row>
    <row r="2245">
      <c r="A2245" s="125"/>
      <c r="B2245" s="125"/>
      <c r="C2245" s="125"/>
      <c r="D2245" s="125"/>
      <c r="E2245" s="125"/>
      <c r="F2245" s="126"/>
      <c r="G2245" s="126"/>
      <c r="H2245" s="127"/>
      <c r="I2245" s="125"/>
    </row>
    <row r="2246">
      <c r="A2246" s="125"/>
      <c r="B2246" s="125"/>
      <c r="C2246" s="125"/>
      <c r="D2246" s="125"/>
      <c r="E2246" s="125"/>
      <c r="F2246" s="126"/>
      <c r="G2246" s="126"/>
      <c r="H2246" s="127"/>
      <c r="I2246" s="125"/>
    </row>
    <row r="2247">
      <c r="A2247" s="125"/>
      <c r="B2247" s="125"/>
      <c r="C2247" s="125"/>
      <c r="D2247" s="125"/>
      <c r="E2247" s="125"/>
      <c r="F2247" s="126"/>
      <c r="G2247" s="126"/>
      <c r="H2247" s="127"/>
      <c r="I2247" s="125"/>
    </row>
    <row r="2248">
      <c r="A2248" s="125"/>
      <c r="B2248" s="125"/>
      <c r="C2248" s="125"/>
      <c r="D2248" s="125"/>
      <c r="E2248" s="125"/>
      <c r="F2248" s="126"/>
      <c r="G2248" s="126"/>
      <c r="H2248" s="127"/>
      <c r="I2248" s="125"/>
    </row>
    <row r="2249">
      <c r="A2249" s="125"/>
      <c r="B2249" s="125"/>
      <c r="C2249" s="125"/>
      <c r="D2249" s="125"/>
      <c r="E2249" s="125"/>
      <c r="F2249" s="126"/>
      <c r="G2249" s="126"/>
      <c r="H2249" s="127"/>
      <c r="I2249" s="125"/>
    </row>
    <row r="2250">
      <c r="A2250" s="125"/>
      <c r="B2250" s="125"/>
      <c r="C2250" s="125"/>
      <c r="D2250" s="125"/>
      <c r="E2250" s="125"/>
      <c r="F2250" s="126"/>
      <c r="G2250" s="126"/>
      <c r="H2250" s="126"/>
      <c r="I2250" s="125"/>
    </row>
    <row r="2251">
      <c r="A2251" s="125"/>
      <c r="B2251" s="125"/>
      <c r="C2251" s="125"/>
      <c r="D2251" s="125"/>
      <c r="E2251" s="125"/>
      <c r="F2251" s="126"/>
      <c r="G2251" s="126"/>
      <c r="H2251" s="127"/>
      <c r="I2251" s="125"/>
    </row>
    <row r="2252">
      <c r="A2252" s="125"/>
      <c r="B2252" s="125"/>
      <c r="C2252" s="125"/>
      <c r="D2252" s="125"/>
      <c r="E2252" s="125"/>
      <c r="F2252" s="126"/>
      <c r="G2252" s="126"/>
      <c r="H2252" s="127"/>
      <c r="I2252" s="125"/>
    </row>
    <row r="2253">
      <c r="A2253" s="125"/>
      <c r="B2253" s="125"/>
      <c r="C2253" s="125"/>
      <c r="D2253" s="125"/>
      <c r="E2253" s="125"/>
      <c r="F2253" s="126"/>
      <c r="G2253" s="126"/>
      <c r="H2253" s="127"/>
      <c r="I2253" s="125"/>
    </row>
    <row r="2254">
      <c r="A2254" s="125"/>
      <c r="B2254" s="125"/>
      <c r="C2254" s="125"/>
      <c r="D2254" s="125"/>
      <c r="E2254" s="125"/>
      <c r="F2254" s="126"/>
      <c r="G2254" s="126"/>
      <c r="H2254" s="127"/>
      <c r="I2254" s="125"/>
    </row>
    <row r="2255">
      <c r="A2255" s="125"/>
      <c r="B2255" s="125"/>
      <c r="C2255" s="125"/>
      <c r="D2255" s="125"/>
      <c r="E2255" s="125"/>
      <c r="F2255" s="126"/>
      <c r="G2255" s="126"/>
      <c r="H2255" s="126"/>
      <c r="I2255" s="125"/>
    </row>
    <row r="2256">
      <c r="A2256" s="125"/>
      <c r="B2256" s="125"/>
      <c r="C2256" s="125"/>
      <c r="D2256" s="125"/>
      <c r="E2256" s="125"/>
      <c r="F2256" s="126"/>
      <c r="G2256" s="126"/>
      <c r="H2256" s="127"/>
      <c r="I2256" s="125"/>
    </row>
    <row r="2257">
      <c r="A2257" s="125"/>
      <c r="B2257" s="125"/>
      <c r="C2257" s="125"/>
      <c r="D2257" s="125"/>
      <c r="E2257" s="125"/>
      <c r="F2257" s="126"/>
      <c r="G2257" s="126"/>
      <c r="H2257" s="127"/>
      <c r="I2257" s="125"/>
    </row>
    <row r="2258">
      <c r="A2258" s="125"/>
      <c r="B2258" s="125"/>
      <c r="C2258" s="125"/>
      <c r="D2258" s="125"/>
      <c r="E2258" s="125"/>
      <c r="F2258" s="126"/>
      <c r="G2258" s="126"/>
      <c r="H2258" s="127"/>
      <c r="I2258" s="125"/>
    </row>
    <row r="2259">
      <c r="A2259" s="125"/>
      <c r="B2259" s="125"/>
      <c r="C2259" s="125"/>
      <c r="D2259" s="125"/>
      <c r="E2259" s="125"/>
      <c r="F2259" s="126"/>
      <c r="G2259" s="126"/>
      <c r="H2259" s="127"/>
      <c r="I2259" s="125"/>
    </row>
    <row r="2260">
      <c r="A2260" s="125"/>
      <c r="B2260" s="125"/>
      <c r="C2260" s="125"/>
      <c r="D2260" s="125"/>
      <c r="E2260" s="125"/>
      <c r="F2260" s="126"/>
      <c r="G2260" s="126"/>
      <c r="H2260" s="127"/>
      <c r="I2260" s="125"/>
    </row>
    <row r="2261">
      <c r="A2261" s="125"/>
      <c r="B2261" s="125"/>
      <c r="C2261" s="125"/>
      <c r="D2261" s="125"/>
      <c r="E2261" s="125"/>
      <c r="F2261" s="126"/>
      <c r="G2261" s="126"/>
      <c r="H2261" s="126"/>
      <c r="I2261" s="125"/>
    </row>
    <row r="2262">
      <c r="A2262" s="125"/>
      <c r="B2262" s="125"/>
      <c r="C2262" s="125"/>
      <c r="D2262" s="125"/>
      <c r="E2262" s="125"/>
      <c r="F2262" s="126"/>
      <c r="G2262" s="126"/>
      <c r="H2262" s="127"/>
      <c r="I2262" s="125"/>
    </row>
    <row r="2263">
      <c r="A2263" s="125"/>
      <c r="B2263" s="125"/>
      <c r="C2263" s="125"/>
      <c r="D2263" s="125"/>
      <c r="E2263" s="125"/>
      <c r="F2263" s="126"/>
      <c r="G2263" s="126"/>
      <c r="H2263" s="126"/>
      <c r="I2263" s="125"/>
    </row>
    <row r="2264">
      <c r="A2264" s="125"/>
      <c r="B2264" s="125"/>
      <c r="C2264" s="125"/>
      <c r="D2264" s="125"/>
      <c r="E2264" s="125"/>
      <c r="F2264" s="126"/>
      <c r="G2264" s="126"/>
      <c r="H2264" s="127"/>
      <c r="I2264" s="125"/>
    </row>
    <row r="2265">
      <c r="A2265" s="125"/>
      <c r="B2265" s="125"/>
      <c r="C2265" s="125"/>
      <c r="D2265" s="125"/>
      <c r="E2265" s="125"/>
      <c r="F2265" s="126"/>
      <c r="G2265" s="126"/>
      <c r="H2265" s="127"/>
      <c r="I2265" s="125"/>
    </row>
    <row r="2266">
      <c r="A2266" s="125"/>
      <c r="B2266" s="125"/>
      <c r="C2266" s="125"/>
      <c r="D2266" s="125"/>
      <c r="E2266" s="125"/>
      <c r="F2266" s="126"/>
      <c r="G2266" s="126"/>
      <c r="H2266" s="127"/>
      <c r="I2266" s="125"/>
    </row>
    <row r="2267">
      <c r="A2267" s="125"/>
      <c r="B2267" s="125"/>
      <c r="C2267" s="125"/>
      <c r="D2267" s="125"/>
      <c r="E2267" s="125"/>
      <c r="F2267" s="126"/>
      <c r="G2267" s="126"/>
      <c r="H2267" s="127"/>
      <c r="I2267" s="125"/>
    </row>
    <row r="2268">
      <c r="A2268" s="125"/>
      <c r="B2268" s="125"/>
      <c r="C2268" s="125"/>
      <c r="D2268" s="125"/>
      <c r="E2268" s="125"/>
      <c r="F2268" s="126"/>
      <c r="G2268" s="126"/>
      <c r="H2268" s="127"/>
      <c r="I2268" s="125"/>
    </row>
    <row r="2269">
      <c r="A2269" s="125"/>
      <c r="B2269" s="125"/>
      <c r="C2269" s="125"/>
      <c r="D2269" s="125"/>
      <c r="E2269" s="125"/>
      <c r="F2269" s="126"/>
      <c r="G2269" s="126"/>
      <c r="H2269" s="126"/>
      <c r="I2269" s="125"/>
    </row>
    <row r="2270">
      <c r="A2270" s="125"/>
      <c r="B2270" s="125"/>
      <c r="C2270" s="125"/>
      <c r="D2270" s="125"/>
      <c r="E2270" s="125"/>
      <c r="F2270" s="126"/>
      <c r="G2270" s="126"/>
      <c r="H2270" s="126"/>
      <c r="I2270" s="125"/>
    </row>
    <row r="2271">
      <c r="A2271" s="125"/>
      <c r="B2271" s="125"/>
      <c r="C2271" s="125"/>
      <c r="D2271" s="125"/>
      <c r="E2271" s="125"/>
      <c r="F2271" s="126"/>
      <c r="G2271" s="126"/>
      <c r="H2271" s="127"/>
      <c r="I2271" s="125"/>
    </row>
    <row r="2272">
      <c r="A2272" s="125"/>
      <c r="B2272" s="125"/>
      <c r="C2272" s="125"/>
      <c r="D2272" s="125"/>
      <c r="E2272" s="125"/>
      <c r="F2272" s="126"/>
      <c r="G2272" s="126"/>
      <c r="H2272" s="127"/>
      <c r="I2272" s="125"/>
    </row>
    <row r="2273">
      <c r="A2273" s="125"/>
      <c r="B2273" s="125"/>
      <c r="C2273" s="125"/>
      <c r="D2273" s="125"/>
      <c r="E2273" s="125"/>
      <c r="F2273" s="126"/>
      <c r="G2273" s="126"/>
      <c r="H2273" s="126"/>
      <c r="I2273" s="125"/>
    </row>
    <row r="2274">
      <c r="A2274" s="125"/>
      <c r="B2274" s="125"/>
      <c r="C2274" s="125"/>
      <c r="D2274" s="125"/>
      <c r="E2274" s="125"/>
      <c r="F2274" s="126"/>
      <c r="G2274" s="126"/>
      <c r="H2274" s="127"/>
      <c r="I2274" s="125"/>
    </row>
    <row r="2275">
      <c r="A2275" s="125"/>
      <c r="B2275" s="125"/>
      <c r="C2275" s="125"/>
      <c r="D2275" s="125"/>
      <c r="E2275" s="125"/>
      <c r="F2275" s="126"/>
      <c r="G2275" s="126"/>
      <c r="H2275" s="126"/>
      <c r="I2275" s="125"/>
    </row>
    <row r="2276">
      <c r="A2276" s="125"/>
      <c r="B2276" s="125"/>
      <c r="C2276" s="125"/>
      <c r="D2276" s="125"/>
      <c r="E2276" s="125"/>
      <c r="F2276" s="126"/>
      <c r="G2276" s="126"/>
      <c r="H2276" s="127"/>
      <c r="I2276" s="125"/>
    </row>
    <row r="2277">
      <c r="A2277" s="125"/>
      <c r="B2277" s="125"/>
      <c r="C2277" s="125"/>
      <c r="D2277" s="125"/>
      <c r="E2277" s="125"/>
      <c r="F2277" s="126"/>
      <c r="G2277" s="126"/>
      <c r="H2277" s="127"/>
      <c r="I2277" s="125"/>
    </row>
    <row r="2278">
      <c r="A2278" s="125"/>
      <c r="B2278" s="125"/>
      <c r="C2278" s="125"/>
      <c r="D2278" s="125"/>
      <c r="E2278" s="125"/>
      <c r="F2278" s="126"/>
      <c r="G2278" s="126"/>
      <c r="H2278" s="127"/>
      <c r="I2278" s="125"/>
    </row>
    <row r="2279">
      <c r="A2279" s="125"/>
      <c r="B2279" s="125"/>
      <c r="C2279" s="125"/>
      <c r="D2279" s="125"/>
      <c r="E2279" s="125"/>
      <c r="F2279" s="126"/>
      <c r="G2279" s="126"/>
      <c r="H2279" s="127"/>
      <c r="I2279" s="125"/>
    </row>
    <row r="2280">
      <c r="A2280" s="125"/>
      <c r="B2280" s="125"/>
      <c r="C2280" s="125"/>
      <c r="D2280" s="125"/>
      <c r="E2280" s="125"/>
      <c r="F2280" s="126"/>
      <c r="G2280" s="126"/>
      <c r="H2280" s="127"/>
      <c r="I2280" s="125"/>
    </row>
    <row r="2281">
      <c r="A2281" s="125"/>
      <c r="B2281" s="125"/>
      <c r="C2281" s="125"/>
      <c r="D2281" s="125"/>
      <c r="E2281" s="125"/>
      <c r="F2281" s="126"/>
      <c r="G2281" s="126"/>
      <c r="H2281" s="127"/>
      <c r="I2281" s="125"/>
    </row>
    <row r="2282">
      <c r="A2282" s="125"/>
      <c r="B2282" s="125"/>
      <c r="C2282" s="125"/>
      <c r="D2282" s="125"/>
      <c r="E2282" s="125"/>
      <c r="F2282" s="126"/>
      <c r="G2282" s="126"/>
      <c r="H2282" s="127"/>
      <c r="I2282" s="125"/>
    </row>
    <row r="2283">
      <c r="A2283" s="125"/>
      <c r="B2283" s="125"/>
      <c r="C2283" s="125"/>
      <c r="D2283" s="125"/>
      <c r="E2283" s="125"/>
      <c r="F2283" s="126"/>
      <c r="G2283" s="126"/>
      <c r="H2283" s="127"/>
      <c r="I2283" s="125"/>
    </row>
    <row r="2284">
      <c r="A2284" s="125"/>
      <c r="B2284" s="125"/>
      <c r="C2284" s="125"/>
      <c r="D2284" s="125"/>
      <c r="E2284" s="125"/>
      <c r="F2284" s="126"/>
      <c r="G2284" s="126"/>
      <c r="H2284" s="127"/>
      <c r="I2284" s="125"/>
    </row>
    <row r="2285">
      <c r="A2285" s="125"/>
      <c r="B2285" s="125"/>
      <c r="C2285" s="125"/>
      <c r="D2285" s="125"/>
      <c r="E2285" s="125"/>
      <c r="F2285" s="126"/>
      <c r="G2285" s="126"/>
      <c r="H2285" s="127"/>
      <c r="I2285" s="125"/>
    </row>
    <row r="2286">
      <c r="A2286" s="125"/>
      <c r="B2286" s="125"/>
      <c r="C2286" s="125"/>
      <c r="D2286" s="125"/>
      <c r="E2286" s="125"/>
      <c r="F2286" s="126"/>
      <c r="G2286" s="126"/>
      <c r="H2286" s="127"/>
      <c r="I2286" s="125"/>
    </row>
    <row r="2287">
      <c r="A2287" s="125"/>
      <c r="B2287" s="125"/>
      <c r="C2287" s="125"/>
      <c r="D2287" s="125"/>
      <c r="E2287" s="125"/>
      <c r="F2287" s="126"/>
      <c r="G2287" s="126"/>
      <c r="H2287" s="127"/>
      <c r="I2287" s="125"/>
    </row>
    <row r="2288">
      <c r="A2288" s="125"/>
      <c r="B2288" s="125"/>
      <c r="C2288" s="125"/>
      <c r="D2288" s="125"/>
      <c r="E2288" s="125"/>
      <c r="F2288" s="126"/>
      <c r="G2288" s="126"/>
      <c r="H2288" s="127"/>
      <c r="I2288" s="125"/>
    </row>
    <row r="2289">
      <c r="A2289" s="125"/>
      <c r="B2289" s="125"/>
      <c r="C2289" s="125"/>
      <c r="D2289" s="125"/>
      <c r="E2289" s="125"/>
      <c r="F2289" s="126"/>
      <c r="G2289" s="126"/>
      <c r="H2289" s="127"/>
      <c r="I2289" s="125"/>
    </row>
    <row r="2290">
      <c r="A2290" s="125"/>
      <c r="B2290" s="125"/>
      <c r="C2290" s="125"/>
      <c r="D2290" s="125"/>
      <c r="E2290" s="125"/>
      <c r="F2290" s="126"/>
      <c r="G2290" s="126"/>
      <c r="H2290" s="127"/>
      <c r="I2290" s="125"/>
    </row>
    <row r="2291">
      <c r="A2291" s="125"/>
      <c r="B2291" s="125"/>
      <c r="C2291" s="125"/>
      <c r="D2291" s="125"/>
      <c r="E2291" s="125"/>
      <c r="F2291" s="126"/>
      <c r="G2291" s="126"/>
      <c r="H2291" s="126"/>
      <c r="I2291" s="125"/>
    </row>
    <row r="2292">
      <c r="A2292" s="125"/>
      <c r="B2292" s="125"/>
      <c r="C2292" s="125"/>
      <c r="D2292" s="125"/>
      <c r="E2292" s="125"/>
      <c r="F2292" s="126"/>
      <c r="G2292" s="126"/>
      <c r="H2292" s="127"/>
      <c r="I2292" s="125"/>
    </row>
    <row r="2293">
      <c r="A2293" s="125"/>
      <c r="B2293" s="125"/>
      <c r="C2293" s="125"/>
      <c r="D2293" s="125"/>
      <c r="E2293" s="125"/>
      <c r="F2293" s="126"/>
      <c r="G2293" s="126"/>
      <c r="H2293" s="127"/>
      <c r="I2293" s="125"/>
    </row>
    <row r="2294">
      <c r="A2294" s="125"/>
      <c r="B2294" s="125"/>
      <c r="C2294" s="125"/>
      <c r="D2294" s="125"/>
      <c r="E2294" s="125"/>
      <c r="F2294" s="126"/>
      <c r="G2294" s="126"/>
      <c r="H2294" s="127"/>
      <c r="I2294" s="125"/>
    </row>
    <row r="2295">
      <c r="A2295" s="125"/>
      <c r="B2295" s="125"/>
      <c r="C2295" s="125"/>
      <c r="D2295" s="125"/>
      <c r="E2295" s="125"/>
      <c r="F2295" s="126"/>
      <c r="G2295" s="126"/>
      <c r="H2295" s="126"/>
      <c r="I2295" s="125"/>
    </row>
    <row r="2296">
      <c r="A2296" s="125"/>
      <c r="B2296" s="125"/>
      <c r="C2296" s="125"/>
      <c r="D2296" s="125"/>
      <c r="E2296" s="125"/>
      <c r="F2296" s="126"/>
      <c r="G2296" s="126"/>
      <c r="H2296" s="127"/>
      <c r="I2296" s="125"/>
    </row>
    <row r="2297">
      <c r="A2297" s="125"/>
      <c r="B2297" s="125"/>
      <c r="C2297" s="125"/>
      <c r="D2297" s="125"/>
      <c r="E2297" s="125"/>
      <c r="F2297" s="126"/>
      <c r="G2297" s="126"/>
      <c r="H2297" s="127"/>
      <c r="I2297" s="125"/>
    </row>
    <row r="2298">
      <c r="A2298" s="125"/>
      <c r="B2298" s="125"/>
      <c r="C2298" s="125"/>
      <c r="D2298" s="125"/>
      <c r="E2298" s="125"/>
      <c r="F2298" s="126"/>
      <c r="G2298" s="126"/>
      <c r="H2298" s="127"/>
      <c r="I2298" s="125"/>
    </row>
    <row r="2299">
      <c r="A2299" s="125"/>
      <c r="B2299" s="125"/>
      <c r="C2299" s="125"/>
      <c r="D2299" s="125"/>
      <c r="E2299" s="125"/>
      <c r="F2299" s="126"/>
      <c r="G2299" s="126"/>
      <c r="H2299" s="127"/>
      <c r="I2299" s="125"/>
    </row>
    <row r="2300">
      <c r="A2300" s="125"/>
      <c r="B2300" s="125"/>
      <c r="C2300" s="125"/>
      <c r="D2300" s="125"/>
      <c r="E2300" s="125"/>
      <c r="F2300" s="126"/>
      <c r="G2300" s="126"/>
      <c r="H2300" s="127"/>
      <c r="I2300" s="125"/>
    </row>
    <row r="2301">
      <c r="A2301" s="125"/>
      <c r="B2301" s="125"/>
      <c r="C2301" s="125"/>
      <c r="D2301" s="125"/>
      <c r="E2301" s="125"/>
      <c r="F2301" s="126"/>
      <c r="G2301" s="126"/>
      <c r="H2301" s="127"/>
      <c r="I2301" s="125"/>
    </row>
    <row r="2302">
      <c r="A2302" s="125"/>
      <c r="B2302" s="125"/>
      <c r="C2302" s="125"/>
      <c r="D2302" s="125"/>
      <c r="E2302" s="125"/>
      <c r="F2302" s="126"/>
      <c r="G2302" s="126"/>
      <c r="H2302" s="127"/>
      <c r="I2302" s="125"/>
    </row>
    <row r="2303">
      <c r="A2303" s="125"/>
      <c r="B2303" s="125"/>
      <c r="C2303" s="125"/>
      <c r="D2303" s="125"/>
      <c r="E2303" s="125"/>
      <c r="F2303" s="126"/>
      <c r="G2303" s="126"/>
      <c r="H2303" s="127"/>
      <c r="I2303" s="125"/>
    </row>
    <row r="2304">
      <c r="A2304" s="125"/>
      <c r="B2304" s="125"/>
      <c r="C2304" s="125"/>
      <c r="D2304" s="125"/>
      <c r="E2304" s="125"/>
      <c r="F2304" s="126"/>
      <c r="G2304" s="126"/>
      <c r="H2304" s="127"/>
      <c r="I2304" s="125"/>
    </row>
    <row r="2305">
      <c r="A2305" s="125"/>
      <c r="B2305" s="125"/>
      <c r="C2305" s="125"/>
      <c r="D2305" s="125"/>
      <c r="E2305" s="125"/>
      <c r="F2305" s="126"/>
      <c r="G2305" s="126"/>
      <c r="H2305" s="127"/>
      <c r="I2305" s="125"/>
    </row>
    <row r="2306">
      <c r="A2306" s="125"/>
      <c r="B2306" s="125"/>
      <c r="C2306" s="125"/>
      <c r="D2306" s="125"/>
      <c r="E2306" s="125"/>
      <c r="F2306" s="126"/>
      <c r="G2306" s="126"/>
      <c r="H2306" s="126"/>
      <c r="I2306" s="125"/>
    </row>
    <row r="2307">
      <c r="A2307" s="125"/>
      <c r="B2307" s="125"/>
      <c r="C2307" s="125"/>
      <c r="D2307" s="125"/>
      <c r="E2307" s="125"/>
      <c r="F2307" s="126"/>
      <c r="G2307" s="126"/>
      <c r="H2307" s="127"/>
      <c r="I2307" s="125"/>
    </row>
    <row r="2308">
      <c r="A2308" s="125"/>
      <c r="B2308" s="125"/>
      <c r="C2308" s="125"/>
      <c r="D2308" s="125"/>
      <c r="E2308" s="125"/>
      <c r="F2308" s="126"/>
      <c r="G2308" s="126"/>
      <c r="H2308" s="127"/>
      <c r="I2308" s="125"/>
    </row>
    <row r="2309">
      <c r="A2309" s="125"/>
      <c r="B2309" s="125"/>
      <c r="C2309" s="125"/>
      <c r="D2309" s="125"/>
      <c r="E2309" s="125"/>
      <c r="F2309" s="126"/>
      <c r="G2309" s="126"/>
      <c r="H2309" s="127"/>
      <c r="I2309" s="125"/>
    </row>
    <row r="2310">
      <c r="A2310" s="125"/>
      <c r="B2310" s="125"/>
      <c r="C2310" s="125"/>
      <c r="D2310" s="125"/>
      <c r="E2310" s="125"/>
      <c r="F2310" s="126"/>
      <c r="G2310" s="126"/>
      <c r="H2310" s="127"/>
      <c r="I2310" s="125"/>
    </row>
    <row r="2311">
      <c r="A2311" s="125"/>
      <c r="B2311" s="125"/>
      <c r="C2311" s="125"/>
      <c r="D2311" s="125"/>
      <c r="E2311" s="125"/>
      <c r="F2311" s="126"/>
      <c r="G2311" s="126"/>
      <c r="H2311" s="127"/>
      <c r="I2311" s="125"/>
    </row>
    <row r="2312">
      <c r="A2312" s="125"/>
      <c r="B2312" s="125"/>
      <c r="C2312" s="125"/>
      <c r="D2312" s="125"/>
      <c r="E2312" s="125"/>
      <c r="F2312" s="126"/>
      <c r="G2312" s="126"/>
      <c r="H2312" s="127"/>
      <c r="I2312" s="125"/>
    </row>
    <row r="2313">
      <c r="A2313" s="125"/>
      <c r="B2313" s="125"/>
      <c r="C2313" s="125"/>
      <c r="D2313" s="125"/>
      <c r="E2313" s="125"/>
      <c r="F2313" s="126"/>
      <c r="G2313" s="126"/>
      <c r="H2313" s="127"/>
      <c r="I2313" s="125"/>
    </row>
    <row r="2314">
      <c r="A2314" s="125"/>
      <c r="B2314" s="125"/>
      <c r="C2314" s="125"/>
      <c r="D2314" s="125"/>
      <c r="E2314" s="125"/>
      <c r="F2314" s="126"/>
      <c r="G2314" s="126"/>
      <c r="H2314" s="127"/>
      <c r="I2314" s="125"/>
    </row>
    <row r="2315">
      <c r="A2315" s="125"/>
      <c r="B2315" s="125"/>
      <c r="C2315" s="125"/>
      <c r="D2315" s="125"/>
      <c r="E2315" s="125"/>
      <c r="F2315" s="126"/>
      <c r="G2315" s="126"/>
      <c r="H2315" s="127"/>
      <c r="I2315" s="125"/>
    </row>
    <row r="2316">
      <c r="A2316" s="125"/>
      <c r="B2316" s="125"/>
      <c r="C2316" s="125"/>
      <c r="D2316" s="125"/>
      <c r="E2316" s="125"/>
      <c r="F2316" s="126"/>
      <c r="G2316" s="126"/>
      <c r="H2316" s="126"/>
      <c r="I2316" s="125"/>
    </row>
    <row r="2317">
      <c r="A2317" s="125"/>
      <c r="B2317" s="125"/>
      <c r="C2317" s="125"/>
      <c r="D2317" s="125"/>
      <c r="E2317" s="125"/>
      <c r="F2317" s="126"/>
      <c r="G2317" s="126"/>
      <c r="H2317" s="127"/>
      <c r="I2317" s="125"/>
    </row>
    <row r="2318">
      <c r="A2318" s="125"/>
      <c r="B2318" s="125"/>
      <c r="C2318" s="125"/>
      <c r="D2318" s="125"/>
      <c r="E2318" s="125"/>
      <c r="F2318" s="126"/>
      <c r="G2318" s="126"/>
      <c r="H2318" s="127"/>
      <c r="I2318" s="125"/>
    </row>
    <row r="2319">
      <c r="A2319" s="125"/>
      <c r="B2319" s="125"/>
      <c r="C2319" s="125"/>
      <c r="D2319" s="125"/>
      <c r="E2319" s="125"/>
      <c r="F2319" s="126"/>
      <c r="G2319" s="126"/>
      <c r="H2319" s="127"/>
      <c r="I2319" s="125"/>
    </row>
    <row r="2320">
      <c r="A2320" s="125"/>
      <c r="B2320" s="125"/>
      <c r="C2320" s="125"/>
      <c r="D2320" s="125"/>
      <c r="E2320" s="125"/>
      <c r="F2320" s="126"/>
      <c r="G2320" s="126"/>
      <c r="H2320" s="127"/>
      <c r="I2320" s="125"/>
    </row>
    <row r="2321">
      <c r="A2321" s="125"/>
      <c r="B2321" s="125"/>
      <c r="C2321" s="125"/>
      <c r="D2321" s="125"/>
      <c r="E2321" s="125"/>
      <c r="F2321" s="126"/>
      <c r="G2321" s="126"/>
      <c r="H2321" s="127"/>
      <c r="I2321" s="125"/>
    </row>
    <row r="2322">
      <c r="A2322" s="125"/>
      <c r="B2322" s="125"/>
      <c r="C2322" s="125"/>
      <c r="D2322" s="125"/>
      <c r="E2322" s="125"/>
      <c r="F2322" s="126"/>
      <c r="G2322" s="126"/>
      <c r="H2322" s="127"/>
      <c r="I2322" s="125"/>
    </row>
    <row r="2323">
      <c r="A2323" s="125"/>
      <c r="B2323" s="125"/>
      <c r="C2323" s="125"/>
      <c r="D2323" s="125"/>
      <c r="E2323" s="125"/>
      <c r="F2323" s="126"/>
      <c r="G2323" s="126"/>
      <c r="H2323" s="126"/>
      <c r="I2323" s="125"/>
    </row>
    <row r="2324">
      <c r="A2324" s="125"/>
      <c r="B2324" s="125"/>
      <c r="C2324" s="125"/>
      <c r="D2324" s="125"/>
      <c r="E2324" s="125"/>
      <c r="F2324" s="126"/>
      <c r="G2324" s="126"/>
      <c r="H2324" s="127"/>
      <c r="I2324" s="125"/>
    </row>
    <row r="2325">
      <c r="A2325" s="125"/>
      <c r="B2325" s="125"/>
      <c r="C2325" s="125"/>
      <c r="D2325" s="125"/>
      <c r="E2325" s="125"/>
      <c r="F2325" s="126"/>
      <c r="G2325" s="126"/>
      <c r="H2325" s="127"/>
      <c r="I2325" s="125"/>
    </row>
    <row r="2326">
      <c r="A2326" s="125"/>
      <c r="B2326" s="125"/>
      <c r="C2326" s="125"/>
      <c r="D2326" s="125"/>
      <c r="E2326" s="125"/>
      <c r="F2326" s="126"/>
      <c r="G2326" s="126"/>
      <c r="H2326" s="126"/>
      <c r="I2326" s="125"/>
    </row>
    <row r="2327">
      <c r="A2327" s="125"/>
      <c r="B2327" s="125"/>
      <c r="C2327" s="125"/>
      <c r="D2327" s="125"/>
      <c r="E2327" s="125"/>
      <c r="F2327" s="126"/>
      <c r="G2327" s="126"/>
      <c r="H2327" s="127"/>
      <c r="I2327" s="125"/>
    </row>
    <row r="2328">
      <c r="A2328" s="125"/>
      <c r="B2328" s="125"/>
      <c r="C2328" s="125"/>
      <c r="D2328" s="125"/>
      <c r="E2328" s="125"/>
      <c r="F2328" s="126"/>
      <c r="G2328" s="126"/>
      <c r="H2328" s="127"/>
      <c r="I2328" s="125"/>
    </row>
    <row r="2329">
      <c r="A2329" s="125"/>
      <c r="B2329" s="125"/>
      <c r="C2329" s="125"/>
      <c r="D2329" s="125"/>
      <c r="E2329" s="125"/>
      <c r="F2329" s="126"/>
      <c r="G2329" s="126"/>
      <c r="H2329" s="126"/>
      <c r="I2329" s="125"/>
    </row>
    <row r="2330">
      <c r="A2330" s="125"/>
      <c r="B2330" s="125"/>
      <c r="C2330" s="125"/>
      <c r="D2330" s="125"/>
      <c r="E2330" s="125"/>
      <c r="F2330" s="126"/>
      <c r="G2330" s="126"/>
      <c r="H2330" s="127"/>
      <c r="I2330" s="125"/>
    </row>
    <row r="2331">
      <c r="A2331" s="125"/>
      <c r="B2331" s="125"/>
      <c r="C2331" s="125"/>
      <c r="D2331" s="125"/>
      <c r="E2331" s="125"/>
      <c r="F2331" s="126"/>
      <c r="G2331" s="126"/>
      <c r="H2331" s="127"/>
      <c r="I2331" s="125"/>
    </row>
    <row r="2332">
      <c r="A2332" s="125"/>
      <c r="B2332" s="125"/>
      <c r="C2332" s="125"/>
      <c r="D2332" s="125"/>
      <c r="E2332" s="125"/>
      <c r="F2332" s="126"/>
      <c r="G2332" s="126"/>
      <c r="H2332" s="127"/>
      <c r="I2332" s="125"/>
    </row>
    <row r="2333">
      <c r="A2333" s="125"/>
      <c r="B2333" s="125"/>
      <c r="C2333" s="125"/>
      <c r="D2333" s="125"/>
      <c r="E2333" s="125"/>
      <c r="F2333" s="126"/>
      <c r="G2333" s="126"/>
      <c r="H2333" s="127"/>
      <c r="I2333" s="125"/>
    </row>
    <row r="2334">
      <c r="A2334" s="125"/>
      <c r="B2334" s="125"/>
      <c r="C2334" s="125"/>
      <c r="D2334" s="125"/>
      <c r="E2334" s="125"/>
      <c r="F2334" s="126"/>
      <c r="G2334" s="126"/>
      <c r="H2334" s="126"/>
      <c r="I2334" s="125"/>
    </row>
    <row r="2335">
      <c r="A2335" s="125"/>
      <c r="B2335" s="125"/>
      <c r="C2335" s="125"/>
      <c r="D2335" s="125"/>
      <c r="E2335" s="125"/>
      <c r="F2335" s="126"/>
      <c r="G2335" s="126"/>
      <c r="H2335" s="126"/>
      <c r="I2335" s="125"/>
    </row>
    <row r="2336">
      <c r="A2336" s="125"/>
      <c r="B2336" s="125"/>
      <c r="C2336" s="125"/>
      <c r="D2336" s="125"/>
      <c r="E2336" s="125"/>
      <c r="F2336" s="126"/>
      <c r="G2336" s="126"/>
      <c r="H2336" s="127"/>
      <c r="I2336" s="125"/>
    </row>
    <row r="2337">
      <c r="A2337" s="125"/>
      <c r="B2337" s="125"/>
      <c r="C2337" s="125"/>
      <c r="D2337" s="125"/>
      <c r="E2337" s="125"/>
      <c r="F2337" s="126"/>
      <c r="G2337" s="126"/>
      <c r="H2337" s="127"/>
      <c r="I2337" s="125"/>
    </row>
    <row r="2338">
      <c r="A2338" s="125"/>
      <c r="B2338" s="125"/>
      <c r="C2338" s="125"/>
      <c r="D2338" s="125"/>
      <c r="E2338" s="125"/>
      <c r="F2338" s="126"/>
      <c r="G2338" s="126"/>
      <c r="H2338" s="127"/>
      <c r="I2338" s="125"/>
    </row>
    <row r="2339">
      <c r="A2339" s="125"/>
      <c r="B2339" s="125"/>
      <c r="C2339" s="125"/>
      <c r="D2339" s="125"/>
      <c r="E2339" s="125"/>
      <c r="F2339" s="126"/>
      <c r="G2339" s="126"/>
      <c r="H2339" s="127"/>
      <c r="I2339" s="125"/>
    </row>
    <row r="2340">
      <c r="A2340" s="125"/>
      <c r="B2340" s="125"/>
      <c r="C2340" s="125"/>
      <c r="D2340" s="125"/>
      <c r="E2340" s="125"/>
      <c r="F2340" s="126"/>
      <c r="G2340" s="126"/>
      <c r="H2340" s="127"/>
      <c r="I2340" s="125"/>
    </row>
    <row r="2341">
      <c r="A2341" s="125"/>
      <c r="B2341" s="125"/>
      <c r="C2341" s="125"/>
      <c r="D2341" s="125"/>
      <c r="E2341" s="125"/>
      <c r="F2341" s="126"/>
      <c r="G2341" s="126"/>
      <c r="H2341" s="127"/>
      <c r="I2341" s="125"/>
    </row>
    <row r="2342">
      <c r="A2342" s="125"/>
      <c r="B2342" s="125"/>
      <c r="C2342" s="125"/>
      <c r="D2342" s="125"/>
      <c r="E2342" s="125"/>
      <c r="F2342" s="126"/>
      <c r="G2342" s="126"/>
      <c r="H2342" s="127"/>
      <c r="I2342" s="125"/>
    </row>
    <row r="2343">
      <c r="A2343" s="125"/>
      <c r="B2343" s="125"/>
      <c r="C2343" s="125"/>
      <c r="D2343" s="125"/>
      <c r="E2343" s="125"/>
      <c r="F2343" s="126"/>
      <c r="G2343" s="126"/>
      <c r="H2343" s="127"/>
      <c r="I2343" s="125"/>
    </row>
    <row r="2344">
      <c r="A2344" s="125"/>
      <c r="B2344" s="125"/>
      <c r="C2344" s="125"/>
      <c r="D2344" s="125"/>
      <c r="E2344" s="125"/>
      <c r="F2344" s="126"/>
      <c r="G2344" s="126"/>
      <c r="H2344" s="126"/>
      <c r="I2344" s="125"/>
    </row>
    <row r="2345">
      <c r="A2345" s="125"/>
      <c r="B2345" s="125"/>
      <c r="C2345" s="125"/>
      <c r="D2345" s="125"/>
      <c r="E2345" s="125"/>
      <c r="F2345" s="126"/>
      <c r="G2345" s="126"/>
      <c r="H2345" s="127"/>
      <c r="I2345" s="125"/>
    </row>
    <row r="2346">
      <c r="A2346" s="125"/>
      <c r="B2346" s="125"/>
      <c r="C2346" s="125"/>
      <c r="D2346" s="125"/>
      <c r="E2346" s="125"/>
      <c r="F2346" s="126"/>
      <c r="G2346" s="126"/>
      <c r="H2346" s="127"/>
      <c r="I2346" s="125"/>
    </row>
    <row r="2347">
      <c r="A2347" s="125"/>
      <c r="B2347" s="125"/>
      <c r="C2347" s="125"/>
      <c r="D2347" s="125"/>
      <c r="E2347" s="125"/>
      <c r="F2347" s="126"/>
      <c r="G2347" s="126"/>
      <c r="H2347" s="127"/>
      <c r="I2347" s="125"/>
    </row>
    <row r="2348">
      <c r="A2348" s="125"/>
      <c r="B2348" s="125"/>
      <c r="C2348" s="125"/>
      <c r="D2348" s="125"/>
      <c r="E2348" s="125"/>
      <c r="F2348" s="126"/>
      <c r="G2348" s="126"/>
      <c r="H2348" s="127"/>
      <c r="I2348" s="125"/>
    </row>
    <row r="2349">
      <c r="A2349" s="125"/>
      <c r="B2349" s="125"/>
      <c r="C2349" s="125"/>
      <c r="D2349" s="125"/>
      <c r="E2349" s="125"/>
      <c r="F2349" s="126"/>
      <c r="G2349" s="126"/>
      <c r="H2349" s="127"/>
      <c r="I2349" s="125"/>
    </row>
    <row r="2350">
      <c r="A2350" s="125"/>
      <c r="B2350" s="125"/>
      <c r="C2350" s="125"/>
      <c r="D2350" s="125"/>
      <c r="E2350" s="125"/>
      <c r="F2350" s="126"/>
      <c r="G2350" s="126"/>
      <c r="H2350" s="127"/>
      <c r="I2350" s="125"/>
    </row>
    <row r="2351">
      <c r="A2351" s="125"/>
      <c r="B2351" s="125"/>
      <c r="C2351" s="125"/>
      <c r="D2351" s="125"/>
      <c r="E2351" s="125"/>
      <c r="F2351" s="126"/>
      <c r="G2351" s="126"/>
      <c r="H2351" s="127"/>
      <c r="I2351" s="125"/>
    </row>
    <row r="2352">
      <c r="A2352" s="125"/>
      <c r="B2352" s="125"/>
      <c r="C2352" s="125"/>
      <c r="D2352" s="125"/>
      <c r="E2352" s="125"/>
      <c r="F2352" s="126"/>
      <c r="G2352" s="126"/>
      <c r="H2352" s="127"/>
      <c r="I2352" s="125"/>
    </row>
    <row r="2353">
      <c r="A2353" s="125"/>
      <c r="B2353" s="125"/>
      <c r="C2353" s="125"/>
      <c r="D2353" s="125"/>
      <c r="E2353" s="125"/>
      <c r="F2353" s="126"/>
      <c r="G2353" s="126"/>
      <c r="H2353" s="126"/>
      <c r="I2353" s="125"/>
    </row>
    <row r="2354">
      <c r="A2354" s="125"/>
      <c r="B2354" s="125"/>
      <c r="C2354" s="125"/>
      <c r="D2354" s="125"/>
      <c r="E2354" s="125"/>
      <c r="F2354" s="126"/>
      <c r="G2354" s="126"/>
      <c r="H2354" s="126"/>
      <c r="I2354" s="125"/>
    </row>
    <row r="2355">
      <c r="A2355" s="125"/>
      <c r="B2355" s="125"/>
      <c r="C2355" s="125"/>
      <c r="D2355" s="125"/>
      <c r="E2355" s="125"/>
      <c r="F2355" s="126"/>
      <c r="G2355" s="126"/>
      <c r="H2355" s="127"/>
      <c r="I2355" s="125"/>
    </row>
    <row r="2356">
      <c r="A2356" s="125"/>
      <c r="B2356" s="125"/>
      <c r="C2356" s="125"/>
      <c r="D2356" s="125"/>
      <c r="E2356" s="125"/>
      <c r="F2356" s="126"/>
      <c r="G2356" s="126"/>
      <c r="H2356" s="127"/>
      <c r="I2356" s="125"/>
    </row>
    <row r="2357">
      <c r="A2357" s="125"/>
      <c r="B2357" s="125"/>
      <c r="C2357" s="125"/>
      <c r="D2357" s="125"/>
      <c r="E2357" s="125"/>
      <c r="F2357" s="126"/>
      <c r="G2357" s="126"/>
      <c r="H2357" s="127"/>
      <c r="I2357" s="125"/>
    </row>
    <row r="2358">
      <c r="A2358" s="125"/>
      <c r="B2358" s="125"/>
      <c r="C2358" s="125"/>
      <c r="D2358" s="125"/>
      <c r="E2358" s="125"/>
      <c r="F2358" s="126"/>
      <c r="G2358" s="126"/>
      <c r="H2358" s="127"/>
      <c r="I2358" s="125"/>
    </row>
    <row r="2359">
      <c r="A2359" s="125"/>
      <c r="B2359" s="125"/>
      <c r="C2359" s="125"/>
      <c r="D2359" s="125"/>
      <c r="E2359" s="125"/>
      <c r="F2359" s="126"/>
      <c r="G2359" s="126"/>
      <c r="H2359" s="127"/>
      <c r="I2359" s="125"/>
    </row>
    <row r="2360">
      <c r="A2360" s="125"/>
      <c r="B2360" s="125"/>
      <c r="C2360" s="125"/>
      <c r="D2360" s="125"/>
      <c r="E2360" s="125"/>
      <c r="F2360" s="126"/>
      <c r="G2360" s="126"/>
      <c r="H2360" s="127"/>
      <c r="I2360" s="125"/>
    </row>
    <row r="2361">
      <c r="A2361" s="125"/>
      <c r="B2361" s="125"/>
      <c r="C2361" s="125"/>
      <c r="D2361" s="125"/>
      <c r="E2361" s="125"/>
      <c r="F2361" s="126"/>
      <c r="G2361" s="126"/>
      <c r="H2361" s="127"/>
      <c r="I2361" s="125"/>
    </row>
    <row r="2362">
      <c r="A2362" s="125"/>
      <c r="B2362" s="125"/>
      <c r="C2362" s="125"/>
      <c r="D2362" s="125"/>
      <c r="E2362" s="125"/>
      <c r="F2362" s="126"/>
      <c r="G2362" s="126"/>
      <c r="H2362" s="126"/>
      <c r="I2362" s="125"/>
    </row>
    <row r="2363">
      <c r="A2363" s="125"/>
      <c r="B2363" s="125"/>
      <c r="C2363" s="125"/>
      <c r="D2363" s="125"/>
      <c r="E2363" s="125"/>
      <c r="F2363" s="126"/>
      <c r="G2363" s="126"/>
      <c r="H2363" s="127"/>
      <c r="I2363" s="125"/>
    </row>
    <row r="2364">
      <c r="A2364" s="125"/>
      <c r="B2364" s="125"/>
      <c r="C2364" s="125"/>
      <c r="D2364" s="125"/>
      <c r="E2364" s="125"/>
      <c r="F2364" s="126"/>
      <c r="G2364" s="126"/>
      <c r="H2364" s="127"/>
      <c r="I2364" s="125"/>
    </row>
    <row r="2365">
      <c r="A2365" s="125"/>
      <c r="B2365" s="125"/>
      <c r="C2365" s="125"/>
      <c r="D2365" s="125"/>
      <c r="E2365" s="125"/>
      <c r="F2365" s="126"/>
      <c r="G2365" s="126"/>
      <c r="H2365" s="126"/>
      <c r="I2365" s="125"/>
    </row>
    <row r="2366">
      <c r="A2366" s="125"/>
      <c r="B2366" s="125"/>
      <c r="C2366" s="125"/>
      <c r="D2366" s="125"/>
      <c r="E2366" s="125"/>
      <c r="F2366" s="126"/>
      <c r="G2366" s="126"/>
      <c r="H2366" s="126"/>
      <c r="I2366" s="125"/>
    </row>
    <row r="2367">
      <c r="A2367" s="125"/>
      <c r="B2367" s="125"/>
      <c r="C2367" s="125"/>
      <c r="D2367" s="125"/>
      <c r="E2367" s="125"/>
      <c r="F2367" s="126"/>
      <c r="G2367" s="126"/>
      <c r="H2367" s="127"/>
      <c r="I2367" s="125"/>
    </row>
    <row r="2368">
      <c r="A2368" s="125"/>
      <c r="B2368" s="125"/>
      <c r="C2368" s="125"/>
      <c r="D2368" s="125"/>
      <c r="E2368" s="125"/>
      <c r="F2368" s="126"/>
      <c r="G2368" s="126"/>
      <c r="H2368" s="127"/>
      <c r="I2368" s="125"/>
    </row>
    <row r="2369">
      <c r="A2369" s="125"/>
      <c r="B2369" s="125"/>
      <c r="C2369" s="125"/>
      <c r="D2369" s="125"/>
      <c r="E2369" s="125"/>
      <c r="F2369" s="126"/>
      <c r="G2369" s="126"/>
      <c r="H2369" s="127"/>
      <c r="I2369" s="125"/>
    </row>
    <row r="2370">
      <c r="A2370" s="125"/>
      <c r="B2370" s="125"/>
      <c r="C2370" s="125"/>
      <c r="D2370" s="125"/>
      <c r="E2370" s="125"/>
      <c r="F2370" s="126"/>
      <c r="G2370" s="126"/>
      <c r="H2370" s="127"/>
      <c r="I2370" s="125"/>
    </row>
    <row r="2371">
      <c r="A2371" s="125"/>
      <c r="B2371" s="125"/>
      <c r="C2371" s="125"/>
      <c r="D2371" s="125"/>
      <c r="E2371" s="125"/>
      <c r="F2371" s="126"/>
      <c r="G2371" s="126"/>
      <c r="H2371" s="126"/>
      <c r="I2371" s="125"/>
    </row>
    <row r="2372">
      <c r="A2372" s="125"/>
      <c r="B2372" s="125"/>
      <c r="C2372" s="125"/>
      <c r="D2372" s="125"/>
      <c r="E2372" s="125"/>
      <c r="F2372" s="126"/>
      <c r="G2372" s="126"/>
      <c r="H2372" s="127"/>
      <c r="I2372" s="125"/>
    </row>
    <row r="2373">
      <c r="A2373" s="125"/>
      <c r="B2373" s="125"/>
      <c r="C2373" s="125"/>
      <c r="D2373" s="125"/>
      <c r="E2373" s="125"/>
      <c r="F2373" s="126"/>
      <c r="G2373" s="126"/>
      <c r="H2373" s="126"/>
      <c r="I2373" s="125"/>
    </row>
    <row r="2374">
      <c r="A2374" s="125"/>
      <c r="B2374" s="125"/>
      <c r="C2374" s="125"/>
      <c r="D2374" s="125"/>
      <c r="E2374" s="125"/>
      <c r="F2374" s="126"/>
      <c r="G2374" s="126"/>
      <c r="H2374" s="126"/>
      <c r="I2374" s="125"/>
    </row>
    <row r="2375">
      <c r="A2375" s="125"/>
      <c r="B2375" s="125"/>
      <c r="C2375" s="125"/>
      <c r="D2375" s="125"/>
      <c r="E2375" s="125"/>
      <c r="F2375" s="126"/>
      <c r="G2375" s="126"/>
      <c r="H2375" s="127"/>
      <c r="I2375" s="125"/>
    </row>
    <row r="2376">
      <c r="A2376" s="125"/>
      <c r="B2376" s="125"/>
      <c r="C2376" s="125"/>
      <c r="D2376" s="125"/>
      <c r="E2376" s="125"/>
      <c r="F2376" s="126"/>
      <c r="G2376" s="126"/>
      <c r="H2376" s="127"/>
      <c r="I2376" s="125"/>
    </row>
    <row r="2377">
      <c r="A2377" s="125"/>
      <c r="B2377" s="125"/>
      <c r="C2377" s="125"/>
      <c r="D2377" s="125"/>
      <c r="E2377" s="125"/>
      <c r="F2377" s="126"/>
      <c r="G2377" s="126"/>
      <c r="H2377" s="127"/>
      <c r="I2377" s="125"/>
    </row>
    <row r="2378">
      <c r="A2378" s="125"/>
      <c r="B2378" s="125"/>
      <c r="C2378" s="125"/>
      <c r="D2378" s="125"/>
      <c r="E2378" s="125"/>
      <c r="F2378" s="126"/>
      <c r="G2378" s="126"/>
      <c r="H2378" s="126"/>
      <c r="I2378" s="125"/>
    </row>
    <row r="2379">
      <c r="A2379" s="125"/>
      <c r="B2379" s="125"/>
      <c r="C2379" s="125"/>
      <c r="D2379" s="125"/>
      <c r="E2379" s="125"/>
      <c r="F2379" s="126"/>
      <c r="G2379" s="126"/>
      <c r="H2379" s="126"/>
      <c r="I2379" s="125"/>
    </row>
    <row r="2380">
      <c r="A2380" s="125"/>
      <c r="B2380" s="125"/>
      <c r="C2380" s="125"/>
      <c r="D2380" s="125"/>
      <c r="E2380" s="125"/>
      <c r="F2380" s="126"/>
      <c r="G2380" s="126"/>
      <c r="H2380" s="127"/>
      <c r="I2380" s="125"/>
    </row>
    <row r="2381">
      <c r="A2381" s="125"/>
      <c r="B2381" s="125"/>
      <c r="C2381" s="125"/>
      <c r="D2381" s="125"/>
      <c r="E2381" s="125"/>
      <c r="F2381" s="126"/>
      <c r="G2381" s="126"/>
      <c r="H2381" s="127"/>
      <c r="I2381" s="125"/>
    </row>
    <row r="2382">
      <c r="A2382" s="125"/>
      <c r="B2382" s="125"/>
      <c r="C2382" s="125"/>
      <c r="D2382" s="125"/>
      <c r="E2382" s="125"/>
      <c r="F2382" s="126"/>
      <c r="G2382" s="126"/>
      <c r="H2382" s="127"/>
      <c r="I2382" s="125"/>
    </row>
    <row r="2383">
      <c r="A2383" s="125"/>
      <c r="B2383" s="125"/>
      <c r="C2383" s="125"/>
      <c r="D2383" s="125"/>
      <c r="E2383" s="125"/>
      <c r="F2383" s="126"/>
      <c r="G2383" s="126"/>
      <c r="H2383" s="127"/>
      <c r="I2383" s="125"/>
    </row>
    <row r="2384">
      <c r="A2384" s="125"/>
      <c r="B2384" s="125"/>
      <c r="C2384" s="125"/>
      <c r="D2384" s="125"/>
      <c r="E2384" s="125"/>
      <c r="F2384" s="126"/>
      <c r="G2384" s="126"/>
      <c r="H2384" s="127"/>
      <c r="I2384" s="125"/>
    </row>
    <row r="2385">
      <c r="A2385" s="125"/>
      <c r="B2385" s="125"/>
      <c r="C2385" s="125"/>
      <c r="D2385" s="125"/>
      <c r="E2385" s="125"/>
      <c r="F2385" s="126"/>
      <c r="G2385" s="126"/>
      <c r="H2385" s="126"/>
      <c r="I2385" s="125"/>
    </row>
    <row r="2386">
      <c r="A2386" s="125"/>
      <c r="B2386" s="125"/>
      <c r="C2386" s="125"/>
      <c r="D2386" s="125"/>
      <c r="E2386" s="125"/>
      <c r="F2386" s="126"/>
      <c r="G2386" s="126"/>
      <c r="H2386" s="127"/>
      <c r="I2386" s="125"/>
    </row>
    <row r="2387">
      <c r="A2387" s="125"/>
      <c r="B2387" s="125"/>
      <c r="C2387" s="125"/>
      <c r="D2387" s="125"/>
      <c r="E2387" s="125"/>
      <c r="F2387" s="126"/>
      <c r="G2387" s="126"/>
      <c r="H2387" s="127"/>
      <c r="I2387" s="125"/>
    </row>
    <row r="2388">
      <c r="A2388" s="125"/>
      <c r="B2388" s="125"/>
      <c r="C2388" s="125"/>
      <c r="D2388" s="125"/>
      <c r="E2388" s="125"/>
      <c r="F2388" s="126"/>
      <c r="G2388" s="126"/>
      <c r="H2388" s="127"/>
      <c r="I2388" s="125"/>
    </row>
    <row r="2389">
      <c r="A2389" s="125"/>
      <c r="B2389" s="125"/>
      <c r="C2389" s="125"/>
      <c r="D2389" s="125"/>
      <c r="E2389" s="125"/>
      <c r="F2389" s="126"/>
      <c r="G2389" s="126"/>
      <c r="H2389" s="127"/>
      <c r="I2389" s="125"/>
    </row>
    <row r="2390">
      <c r="A2390" s="125"/>
      <c r="B2390" s="125"/>
      <c r="C2390" s="125"/>
      <c r="D2390" s="125"/>
      <c r="E2390" s="125"/>
      <c r="F2390" s="126"/>
      <c r="G2390" s="126"/>
      <c r="H2390" s="127"/>
      <c r="I2390" s="125"/>
    </row>
    <row r="2391">
      <c r="A2391" s="125"/>
      <c r="B2391" s="125"/>
      <c r="C2391" s="125"/>
      <c r="D2391" s="125"/>
      <c r="E2391" s="125"/>
      <c r="F2391" s="126"/>
      <c r="G2391" s="126"/>
      <c r="H2391" s="127"/>
      <c r="I2391" s="125"/>
    </row>
    <row r="2392">
      <c r="A2392" s="125"/>
      <c r="B2392" s="125"/>
      <c r="C2392" s="125"/>
      <c r="D2392" s="125"/>
      <c r="E2392" s="125"/>
      <c r="F2392" s="126"/>
      <c r="G2392" s="126"/>
      <c r="H2392" s="127"/>
      <c r="I2392" s="125"/>
    </row>
    <row r="2393">
      <c r="A2393" s="125"/>
      <c r="B2393" s="125"/>
      <c r="C2393" s="125"/>
      <c r="D2393" s="125"/>
      <c r="E2393" s="125"/>
      <c r="F2393" s="126"/>
      <c r="G2393" s="126"/>
      <c r="H2393" s="127"/>
      <c r="I2393" s="125"/>
    </row>
    <row r="2394">
      <c r="A2394" s="125"/>
      <c r="B2394" s="125"/>
      <c r="C2394" s="125"/>
      <c r="D2394" s="125"/>
      <c r="E2394" s="125"/>
      <c r="F2394" s="126"/>
      <c r="G2394" s="126"/>
      <c r="H2394" s="127"/>
      <c r="I2394" s="125"/>
    </row>
    <row r="2395">
      <c r="A2395" s="125"/>
      <c r="B2395" s="125"/>
      <c r="C2395" s="125"/>
      <c r="D2395" s="125"/>
      <c r="E2395" s="125"/>
      <c r="F2395" s="126"/>
      <c r="G2395" s="126"/>
      <c r="H2395" s="126"/>
      <c r="I2395" s="125"/>
    </row>
    <row r="2396">
      <c r="A2396" s="125"/>
      <c r="B2396" s="125"/>
      <c r="C2396" s="125"/>
      <c r="D2396" s="125"/>
      <c r="E2396" s="125"/>
      <c r="F2396" s="126"/>
      <c r="G2396" s="126"/>
      <c r="H2396" s="126"/>
      <c r="I2396" s="125"/>
    </row>
    <row r="2397">
      <c r="A2397" s="125"/>
      <c r="B2397" s="125"/>
      <c r="C2397" s="125"/>
      <c r="D2397" s="125"/>
      <c r="E2397" s="125"/>
      <c r="F2397" s="126"/>
      <c r="G2397" s="126"/>
      <c r="H2397" s="126"/>
      <c r="I2397" s="125"/>
    </row>
    <row r="2398">
      <c r="A2398" s="125"/>
      <c r="B2398" s="125"/>
      <c r="C2398" s="125"/>
      <c r="D2398" s="125"/>
      <c r="E2398" s="125"/>
      <c r="F2398" s="126"/>
      <c r="G2398" s="126"/>
      <c r="H2398" s="127"/>
      <c r="I2398" s="125"/>
    </row>
    <row r="2399">
      <c r="A2399" s="125"/>
      <c r="B2399" s="125"/>
      <c r="C2399" s="125"/>
      <c r="D2399" s="125"/>
      <c r="E2399" s="125"/>
      <c r="F2399" s="126"/>
      <c r="G2399" s="126"/>
      <c r="H2399" s="127"/>
      <c r="I2399" s="125"/>
    </row>
    <row r="2400">
      <c r="A2400" s="125"/>
      <c r="B2400" s="125"/>
      <c r="C2400" s="125"/>
      <c r="D2400" s="125"/>
      <c r="E2400" s="125"/>
      <c r="F2400" s="126"/>
      <c r="G2400" s="126"/>
      <c r="H2400" s="127"/>
      <c r="I2400" s="125"/>
    </row>
    <row r="2401">
      <c r="A2401" s="125"/>
      <c r="B2401" s="125"/>
      <c r="C2401" s="125"/>
      <c r="D2401" s="125"/>
      <c r="E2401" s="125"/>
      <c r="F2401" s="126"/>
      <c r="G2401" s="126"/>
      <c r="H2401" s="127"/>
      <c r="I2401" s="125"/>
    </row>
    <row r="2402">
      <c r="A2402" s="125"/>
      <c r="B2402" s="125"/>
      <c r="C2402" s="125"/>
      <c r="D2402" s="125"/>
      <c r="E2402" s="125"/>
      <c r="F2402" s="126"/>
      <c r="G2402" s="126"/>
      <c r="H2402" s="127"/>
      <c r="I2402" s="125"/>
    </row>
    <row r="2403">
      <c r="A2403" s="125"/>
      <c r="B2403" s="125"/>
      <c r="C2403" s="125"/>
      <c r="D2403" s="125"/>
      <c r="E2403" s="125"/>
      <c r="F2403" s="126"/>
      <c r="G2403" s="126"/>
      <c r="H2403" s="127"/>
      <c r="I2403" s="125"/>
    </row>
    <row r="2404">
      <c r="A2404" s="125"/>
      <c r="B2404" s="125"/>
      <c r="C2404" s="125"/>
      <c r="D2404" s="125"/>
      <c r="E2404" s="125"/>
      <c r="F2404" s="126"/>
      <c r="G2404" s="126"/>
      <c r="H2404" s="127"/>
      <c r="I2404" s="125"/>
    </row>
    <row r="2405">
      <c r="A2405" s="125"/>
      <c r="B2405" s="125"/>
      <c r="C2405" s="125"/>
      <c r="D2405" s="125"/>
      <c r="E2405" s="125"/>
      <c r="F2405" s="126"/>
      <c r="G2405" s="126"/>
      <c r="H2405" s="127"/>
      <c r="I2405" s="125"/>
    </row>
    <row r="2406">
      <c r="A2406" s="125"/>
      <c r="B2406" s="125"/>
      <c r="C2406" s="125"/>
      <c r="D2406" s="125"/>
      <c r="E2406" s="125"/>
      <c r="F2406" s="126"/>
      <c r="G2406" s="126"/>
      <c r="H2406" s="127"/>
      <c r="I2406" s="125"/>
    </row>
    <row r="2407">
      <c r="A2407" s="125"/>
      <c r="B2407" s="125"/>
      <c r="C2407" s="125"/>
      <c r="D2407" s="125"/>
      <c r="E2407" s="125"/>
      <c r="F2407" s="126"/>
      <c r="G2407" s="126"/>
      <c r="H2407" s="127"/>
      <c r="I2407" s="125"/>
    </row>
    <row r="2408">
      <c r="A2408" s="125"/>
      <c r="B2408" s="125"/>
      <c r="C2408" s="125"/>
      <c r="D2408" s="125"/>
      <c r="E2408" s="125"/>
      <c r="F2408" s="126"/>
      <c r="G2408" s="126"/>
      <c r="H2408" s="127"/>
      <c r="I2408" s="125"/>
    </row>
    <row r="2409">
      <c r="A2409" s="125"/>
      <c r="B2409" s="125"/>
      <c r="C2409" s="125"/>
      <c r="D2409" s="125"/>
      <c r="E2409" s="125"/>
      <c r="F2409" s="126"/>
      <c r="G2409" s="126"/>
      <c r="H2409" s="127"/>
      <c r="I2409" s="125"/>
    </row>
    <row r="2410">
      <c r="A2410" s="125"/>
      <c r="B2410" s="125"/>
      <c r="C2410" s="125"/>
      <c r="D2410" s="125"/>
      <c r="E2410" s="125"/>
      <c r="F2410" s="126"/>
      <c r="G2410" s="126"/>
      <c r="H2410" s="126"/>
      <c r="I2410" s="125"/>
    </row>
    <row r="2411">
      <c r="A2411" s="125"/>
      <c r="B2411" s="125"/>
      <c r="C2411" s="125"/>
      <c r="D2411" s="125"/>
      <c r="E2411" s="125"/>
      <c r="F2411" s="126"/>
      <c r="G2411" s="126"/>
      <c r="H2411" s="126"/>
      <c r="I2411" s="125"/>
    </row>
    <row r="2412">
      <c r="A2412" s="125"/>
      <c r="B2412" s="125"/>
      <c r="C2412" s="125"/>
      <c r="D2412" s="125"/>
      <c r="E2412" s="125"/>
      <c r="F2412" s="126"/>
      <c r="G2412" s="126"/>
      <c r="H2412" s="127"/>
      <c r="I2412" s="125"/>
    </row>
    <row r="2413">
      <c r="A2413" s="125"/>
      <c r="B2413" s="125"/>
      <c r="C2413" s="125"/>
      <c r="D2413" s="125"/>
      <c r="E2413" s="125"/>
      <c r="F2413" s="126"/>
      <c r="G2413" s="126"/>
      <c r="H2413" s="127"/>
      <c r="I2413" s="125"/>
    </row>
    <row r="2414">
      <c r="A2414" s="125"/>
      <c r="B2414" s="125"/>
      <c r="C2414" s="125"/>
      <c r="D2414" s="125"/>
      <c r="E2414" s="125"/>
      <c r="F2414" s="126"/>
      <c r="G2414" s="126"/>
      <c r="H2414" s="127"/>
      <c r="I2414" s="125"/>
    </row>
    <row r="2415">
      <c r="A2415" s="125"/>
      <c r="B2415" s="125"/>
      <c r="C2415" s="125"/>
      <c r="D2415" s="125"/>
      <c r="E2415" s="125"/>
      <c r="F2415" s="126"/>
      <c r="G2415" s="126"/>
      <c r="H2415" s="127"/>
      <c r="I2415" s="125"/>
    </row>
    <row r="2416">
      <c r="A2416" s="125"/>
      <c r="B2416" s="125"/>
      <c r="C2416" s="125"/>
      <c r="D2416" s="125"/>
      <c r="E2416" s="125"/>
      <c r="F2416" s="126"/>
      <c r="G2416" s="126"/>
      <c r="H2416" s="127"/>
      <c r="I2416" s="125"/>
    </row>
    <row r="2417">
      <c r="A2417" s="125"/>
      <c r="B2417" s="125"/>
      <c r="C2417" s="125"/>
      <c r="D2417" s="125"/>
      <c r="E2417" s="125"/>
      <c r="F2417" s="126"/>
      <c r="G2417" s="126"/>
      <c r="H2417" s="127"/>
      <c r="I2417" s="125"/>
    </row>
    <row r="2418">
      <c r="A2418" s="125"/>
      <c r="B2418" s="125"/>
      <c r="C2418" s="125"/>
      <c r="D2418" s="125"/>
      <c r="E2418" s="125"/>
      <c r="F2418" s="126"/>
      <c r="G2418" s="126"/>
      <c r="H2418" s="127"/>
      <c r="I2418" s="125"/>
    </row>
    <row r="2419">
      <c r="A2419" s="125"/>
      <c r="B2419" s="125"/>
      <c r="C2419" s="125"/>
      <c r="D2419" s="125"/>
      <c r="E2419" s="125"/>
      <c r="F2419" s="126"/>
      <c r="G2419" s="126"/>
      <c r="H2419" s="126"/>
      <c r="I2419" s="125"/>
    </row>
    <row r="2420">
      <c r="A2420" s="125"/>
      <c r="B2420" s="125"/>
      <c r="C2420" s="125"/>
      <c r="D2420" s="125"/>
      <c r="E2420" s="125"/>
      <c r="F2420" s="126"/>
      <c r="G2420" s="126"/>
      <c r="H2420" s="127"/>
      <c r="I2420" s="125"/>
    </row>
    <row r="2421">
      <c r="A2421" s="125"/>
      <c r="B2421" s="125"/>
      <c r="C2421" s="125"/>
      <c r="D2421" s="125"/>
      <c r="E2421" s="125"/>
      <c r="F2421" s="126"/>
      <c r="G2421" s="126"/>
      <c r="H2421" s="127"/>
      <c r="I2421" s="125"/>
    </row>
    <row r="2422">
      <c r="A2422" s="125"/>
      <c r="B2422" s="125"/>
      <c r="C2422" s="125"/>
      <c r="D2422" s="125"/>
      <c r="E2422" s="125"/>
      <c r="F2422" s="126"/>
      <c r="G2422" s="126"/>
      <c r="H2422" s="126"/>
      <c r="I2422" s="125"/>
    </row>
    <row r="2423">
      <c r="A2423" s="125"/>
      <c r="B2423" s="125"/>
      <c r="C2423" s="125"/>
      <c r="D2423" s="125"/>
      <c r="E2423" s="125"/>
      <c r="F2423" s="126"/>
      <c r="G2423" s="126"/>
      <c r="H2423" s="127"/>
      <c r="I2423" s="125"/>
    </row>
    <row r="2424">
      <c r="A2424" s="125"/>
      <c r="B2424" s="125"/>
      <c r="C2424" s="125"/>
      <c r="D2424" s="125"/>
      <c r="E2424" s="125"/>
      <c r="F2424" s="126"/>
      <c r="G2424" s="126"/>
      <c r="H2424" s="127"/>
      <c r="I2424" s="125"/>
    </row>
    <row r="2425">
      <c r="A2425" s="125"/>
      <c r="B2425" s="125"/>
      <c r="C2425" s="125"/>
      <c r="D2425" s="125"/>
      <c r="E2425" s="125"/>
      <c r="F2425" s="126"/>
      <c r="G2425" s="126"/>
      <c r="H2425" s="127"/>
      <c r="I2425" s="125"/>
    </row>
    <row r="2426">
      <c r="A2426" s="125"/>
      <c r="B2426" s="125"/>
      <c r="C2426" s="125"/>
      <c r="D2426" s="125"/>
      <c r="E2426" s="125"/>
      <c r="F2426" s="126"/>
      <c r="G2426" s="126"/>
      <c r="H2426" s="127"/>
      <c r="I2426" s="125"/>
    </row>
    <row r="2427">
      <c r="A2427" s="125"/>
      <c r="B2427" s="125"/>
      <c r="C2427" s="125"/>
      <c r="D2427" s="125"/>
      <c r="E2427" s="125"/>
      <c r="F2427" s="126"/>
      <c r="G2427" s="126"/>
      <c r="H2427" s="127"/>
      <c r="I2427" s="125"/>
    </row>
    <row r="2428">
      <c r="A2428" s="125"/>
      <c r="B2428" s="125"/>
      <c r="C2428" s="125"/>
      <c r="D2428" s="125"/>
      <c r="E2428" s="125"/>
      <c r="F2428" s="126"/>
      <c r="G2428" s="126"/>
      <c r="H2428" s="127"/>
      <c r="I2428" s="125"/>
    </row>
    <row r="2429">
      <c r="A2429" s="125"/>
      <c r="B2429" s="125"/>
      <c r="C2429" s="125"/>
      <c r="D2429" s="125"/>
      <c r="E2429" s="125"/>
      <c r="F2429" s="126"/>
      <c r="G2429" s="126"/>
      <c r="H2429" s="127"/>
      <c r="I2429" s="125"/>
    </row>
    <row r="2430">
      <c r="A2430" s="125"/>
      <c r="B2430" s="125"/>
      <c r="C2430" s="125"/>
      <c r="D2430" s="125"/>
      <c r="E2430" s="125"/>
      <c r="F2430" s="126"/>
      <c r="G2430" s="126"/>
      <c r="H2430" s="127"/>
      <c r="I2430" s="125"/>
    </row>
    <row r="2431">
      <c r="A2431" s="125"/>
      <c r="B2431" s="125"/>
      <c r="C2431" s="125"/>
      <c r="D2431" s="125"/>
      <c r="E2431" s="125"/>
      <c r="F2431" s="126"/>
      <c r="G2431" s="126"/>
      <c r="H2431" s="127"/>
      <c r="I2431" s="125"/>
    </row>
    <row r="2432">
      <c r="A2432" s="125"/>
      <c r="B2432" s="125"/>
      <c r="C2432" s="125"/>
      <c r="D2432" s="125"/>
      <c r="E2432" s="125"/>
      <c r="F2432" s="126"/>
      <c r="G2432" s="126"/>
      <c r="H2432" s="126"/>
      <c r="I2432" s="125"/>
    </row>
    <row r="2433">
      <c r="A2433" s="125"/>
      <c r="B2433" s="125"/>
      <c r="C2433" s="125"/>
      <c r="D2433" s="125"/>
      <c r="E2433" s="125"/>
      <c r="F2433" s="126"/>
      <c r="G2433" s="126"/>
      <c r="H2433" s="127"/>
      <c r="I2433" s="125"/>
    </row>
    <row r="2434">
      <c r="A2434" s="125"/>
      <c r="B2434" s="125"/>
      <c r="C2434" s="125"/>
      <c r="D2434" s="125"/>
      <c r="E2434" s="125"/>
      <c r="F2434" s="126"/>
      <c r="G2434" s="126"/>
      <c r="H2434" s="127"/>
      <c r="I2434" s="125"/>
    </row>
    <row r="2435">
      <c r="A2435" s="125"/>
      <c r="B2435" s="125"/>
      <c r="C2435" s="125"/>
      <c r="D2435" s="125"/>
      <c r="E2435" s="125"/>
      <c r="F2435" s="126"/>
      <c r="G2435" s="126"/>
      <c r="H2435" s="127"/>
      <c r="I2435" s="125"/>
    </row>
    <row r="2436">
      <c r="A2436" s="125"/>
      <c r="B2436" s="125"/>
      <c r="C2436" s="125"/>
      <c r="D2436" s="125"/>
      <c r="E2436" s="125"/>
      <c r="F2436" s="126"/>
      <c r="G2436" s="126"/>
      <c r="H2436" s="126"/>
      <c r="I2436" s="125"/>
    </row>
    <row r="2437">
      <c r="A2437" s="125"/>
      <c r="B2437" s="125"/>
      <c r="C2437" s="125"/>
      <c r="D2437" s="125"/>
      <c r="E2437" s="125"/>
      <c r="F2437" s="126"/>
      <c r="G2437" s="126"/>
      <c r="H2437" s="127"/>
      <c r="I2437" s="125"/>
    </row>
    <row r="2438">
      <c r="A2438" s="125"/>
      <c r="B2438" s="125"/>
      <c r="C2438" s="125"/>
      <c r="D2438" s="125"/>
      <c r="E2438" s="125"/>
      <c r="F2438" s="126"/>
      <c r="G2438" s="126"/>
      <c r="H2438" s="126"/>
      <c r="I2438" s="125"/>
    </row>
    <row r="2439">
      <c r="A2439" s="125"/>
      <c r="B2439" s="125"/>
      <c r="C2439" s="125"/>
      <c r="D2439" s="125"/>
      <c r="E2439" s="125"/>
      <c r="F2439" s="126"/>
      <c r="G2439" s="126"/>
      <c r="H2439" s="127"/>
      <c r="I2439" s="125"/>
    </row>
    <row r="2440">
      <c r="A2440" s="125"/>
      <c r="B2440" s="125"/>
      <c r="C2440" s="125"/>
      <c r="D2440" s="125"/>
      <c r="E2440" s="125"/>
      <c r="F2440" s="126"/>
      <c r="G2440" s="126"/>
      <c r="H2440" s="127"/>
      <c r="I2440" s="125"/>
    </row>
    <row r="2441">
      <c r="A2441" s="125"/>
      <c r="B2441" s="125"/>
      <c r="C2441" s="125"/>
      <c r="D2441" s="125"/>
      <c r="E2441" s="125"/>
      <c r="F2441" s="126"/>
      <c r="G2441" s="126"/>
      <c r="H2441" s="127"/>
      <c r="I2441" s="125"/>
    </row>
    <row r="2442">
      <c r="A2442" s="125"/>
      <c r="B2442" s="125"/>
      <c r="C2442" s="125"/>
      <c r="D2442" s="125"/>
      <c r="E2442" s="125"/>
      <c r="F2442" s="126"/>
      <c r="G2442" s="126"/>
      <c r="H2442" s="127"/>
      <c r="I2442" s="125"/>
    </row>
    <row r="2443">
      <c r="A2443" s="125"/>
      <c r="B2443" s="125"/>
      <c r="C2443" s="125"/>
      <c r="D2443" s="125"/>
      <c r="E2443" s="125"/>
      <c r="F2443" s="126"/>
      <c r="G2443" s="126"/>
      <c r="H2443" s="127"/>
      <c r="I2443" s="125"/>
    </row>
    <row r="2444">
      <c r="A2444" s="125"/>
      <c r="B2444" s="125"/>
      <c r="C2444" s="125"/>
      <c r="D2444" s="125"/>
      <c r="E2444" s="125"/>
      <c r="F2444" s="126"/>
      <c r="G2444" s="126"/>
      <c r="H2444" s="127"/>
      <c r="I2444" s="125"/>
    </row>
    <row r="2445">
      <c r="A2445" s="125"/>
      <c r="B2445" s="125"/>
      <c r="C2445" s="125"/>
      <c r="D2445" s="125"/>
      <c r="E2445" s="125"/>
      <c r="F2445" s="126"/>
      <c r="G2445" s="126"/>
      <c r="H2445" s="127"/>
      <c r="I2445" s="125"/>
    </row>
    <row r="2446">
      <c r="A2446" s="125"/>
      <c r="B2446" s="125"/>
      <c r="C2446" s="125"/>
      <c r="D2446" s="125"/>
      <c r="E2446" s="125"/>
      <c r="F2446" s="126"/>
      <c r="G2446" s="126"/>
      <c r="H2446" s="127"/>
      <c r="I2446" s="125"/>
    </row>
    <row r="2447">
      <c r="A2447" s="125"/>
      <c r="B2447" s="125"/>
      <c r="C2447" s="125"/>
      <c r="D2447" s="125"/>
      <c r="E2447" s="125"/>
      <c r="F2447" s="126"/>
      <c r="G2447" s="126"/>
      <c r="H2447" s="127"/>
      <c r="I2447" s="125"/>
    </row>
    <row r="2448">
      <c r="A2448" s="125"/>
      <c r="B2448" s="125"/>
      <c r="C2448" s="125"/>
      <c r="D2448" s="125"/>
      <c r="E2448" s="125"/>
      <c r="F2448" s="126"/>
      <c r="G2448" s="126"/>
      <c r="H2448" s="127"/>
      <c r="I2448" s="125"/>
    </row>
    <row r="2449">
      <c r="A2449" s="125"/>
      <c r="B2449" s="125"/>
      <c r="C2449" s="125"/>
      <c r="D2449" s="125"/>
      <c r="E2449" s="125"/>
      <c r="F2449" s="126"/>
      <c r="G2449" s="126"/>
      <c r="H2449" s="127"/>
      <c r="I2449" s="125"/>
    </row>
    <row r="2450">
      <c r="A2450" s="125"/>
      <c r="B2450" s="125"/>
      <c r="C2450" s="125"/>
      <c r="D2450" s="125"/>
      <c r="E2450" s="125"/>
      <c r="F2450" s="126"/>
      <c r="G2450" s="126"/>
      <c r="H2450" s="126"/>
      <c r="I2450" s="125"/>
    </row>
    <row r="2451">
      <c r="A2451" s="125"/>
      <c r="B2451" s="125"/>
      <c r="C2451" s="125"/>
      <c r="D2451" s="125"/>
      <c r="E2451" s="125"/>
      <c r="F2451" s="126"/>
      <c r="G2451" s="126"/>
      <c r="H2451" s="127"/>
      <c r="I2451" s="125"/>
    </row>
    <row r="2452">
      <c r="A2452" s="125"/>
      <c r="B2452" s="125"/>
      <c r="C2452" s="125"/>
      <c r="D2452" s="125"/>
      <c r="E2452" s="125"/>
      <c r="F2452" s="126"/>
      <c r="G2452" s="126"/>
      <c r="H2452" s="127"/>
      <c r="I2452" s="125"/>
    </row>
    <row r="2453">
      <c r="A2453" s="125"/>
      <c r="B2453" s="125"/>
      <c r="C2453" s="125"/>
      <c r="D2453" s="125"/>
      <c r="E2453" s="125"/>
      <c r="F2453" s="126"/>
      <c r="G2453" s="126"/>
      <c r="H2453" s="127"/>
      <c r="I2453" s="125"/>
    </row>
    <row r="2454">
      <c r="A2454" s="125"/>
      <c r="B2454" s="125"/>
      <c r="C2454" s="125"/>
      <c r="D2454" s="125"/>
      <c r="E2454" s="125"/>
      <c r="F2454" s="126"/>
      <c r="G2454" s="126"/>
      <c r="H2454" s="126"/>
      <c r="I2454" s="125"/>
    </row>
    <row r="2455">
      <c r="A2455" s="125"/>
      <c r="B2455" s="125"/>
      <c r="C2455" s="125"/>
      <c r="D2455" s="125"/>
      <c r="E2455" s="125"/>
      <c r="F2455" s="126"/>
      <c r="G2455" s="126"/>
      <c r="H2455" s="127"/>
      <c r="I2455" s="125"/>
    </row>
    <row r="2456">
      <c r="A2456" s="125"/>
      <c r="B2456" s="125"/>
      <c r="C2456" s="125"/>
      <c r="D2456" s="125"/>
      <c r="E2456" s="125"/>
      <c r="F2456" s="126"/>
      <c r="G2456" s="126"/>
      <c r="H2456" s="127"/>
      <c r="I2456" s="125"/>
    </row>
    <row r="2457">
      <c r="A2457" s="125"/>
      <c r="B2457" s="125"/>
      <c r="C2457" s="125"/>
      <c r="D2457" s="125"/>
      <c r="E2457" s="125"/>
      <c r="F2457" s="126"/>
      <c r="G2457" s="126"/>
      <c r="H2457" s="126"/>
      <c r="I2457" s="125"/>
    </row>
    <row r="2458">
      <c r="A2458" s="125"/>
      <c r="B2458" s="125"/>
      <c r="C2458" s="125"/>
      <c r="D2458" s="125"/>
      <c r="E2458" s="125"/>
      <c r="F2458" s="126"/>
      <c r="G2458" s="126"/>
      <c r="H2458" s="127"/>
      <c r="I2458" s="125"/>
    </row>
    <row r="2459">
      <c r="A2459" s="125"/>
      <c r="B2459" s="125"/>
      <c r="C2459" s="125"/>
      <c r="D2459" s="125"/>
      <c r="E2459" s="125"/>
      <c r="F2459" s="126"/>
      <c r="G2459" s="126"/>
      <c r="H2459" s="127"/>
      <c r="I2459" s="125"/>
    </row>
    <row r="2460">
      <c r="A2460" s="125"/>
      <c r="B2460" s="125"/>
      <c r="C2460" s="125"/>
      <c r="D2460" s="125"/>
      <c r="E2460" s="125"/>
      <c r="F2460" s="126"/>
      <c r="G2460" s="126"/>
      <c r="H2460" s="127"/>
      <c r="I2460" s="125"/>
    </row>
    <row r="2461">
      <c r="A2461" s="125"/>
      <c r="B2461" s="125"/>
      <c r="C2461" s="125"/>
      <c r="D2461" s="125"/>
      <c r="E2461" s="125"/>
      <c r="F2461" s="126"/>
      <c r="G2461" s="126"/>
      <c r="H2461" s="127"/>
      <c r="I2461" s="125"/>
    </row>
    <row r="2462">
      <c r="A2462" s="125"/>
      <c r="B2462" s="125"/>
      <c r="C2462" s="125"/>
      <c r="D2462" s="125"/>
      <c r="E2462" s="125"/>
      <c r="F2462" s="126"/>
      <c r="G2462" s="126"/>
      <c r="H2462" s="127"/>
      <c r="I2462" s="125"/>
    </row>
    <row r="2463">
      <c r="A2463" s="125"/>
      <c r="B2463" s="125"/>
      <c r="C2463" s="125"/>
      <c r="D2463" s="125"/>
      <c r="E2463" s="125"/>
      <c r="F2463" s="126"/>
      <c r="G2463" s="126"/>
      <c r="H2463" s="127"/>
      <c r="I2463" s="125"/>
    </row>
    <row r="2464">
      <c r="A2464" s="125"/>
      <c r="B2464" s="125"/>
      <c r="C2464" s="125"/>
      <c r="D2464" s="125"/>
      <c r="E2464" s="125"/>
      <c r="F2464" s="126"/>
      <c r="G2464" s="126"/>
      <c r="H2464" s="127"/>
      <c r="I2464" s="125"/>
    </row>
    <row r="2465">
      <c r="A2465" s="125"/>
      <c r="B2465" s="125"/>
      <c r="C2465" s="125"/>
      <c r="D2465" s="125"/>
      <c r="E2465" s="125"/>
      <c r="F2465" s="126"/>
      <c r="G2465" s="126"/>
      <c r="H2465" s="127"/>
      <c r="I2465" s="125"/>
    </row>
    <row r="2466">
      <c r="A2466" s="125"/>
      <c r="B2466" s="125"/>
      <c r="C2466" s="125"/>
      <c r="D2466" s="125"/>
      <c r="E2466" s="125"/>
      <c r="F2466" s="126"/>
      <c r="G2466" s="126"/>
      <c r="H2466" s="127"/>
      <c r="I2466" s="125"/>
    </row>
    <row r="2467">
      <c r="A2467" s="125"/>
      <c r="B2467" s="125"/>
      <c r="C2467" s="125"/>
      <c r="D2467" s="125"/>
      <c r="E2467" s="125"/>
      <c r="F2467" s="126"/>
      <c r="G2467" s="126"/>
      <c r="H2467" s="127"/>
      <c r="I2467" s="125"/>
    </row>
    <row r="2468">
      <c r="A2468" s="125"/>
      <c r="B2468" s="125"/>
      <c r="C2468" s="125"/>
      <c r="D2468" s="125"/>
      <c r="E2468" s="125"/>
      <c r="F2468" s="126"/>
      <c r="G2468" s="126"/>
      <c r="H2468" s="127"/>
      <c r="I2468" s="125"/>
    </row>
    <row r="2469">
      <c r="A2469" s="125"/>
      <c r="B2469" s="125"/>
      <c r="C2469" s="125"/>
      <c r="D2469" s="125"/>
      <c r="E2469" s="125"/>
      <c r="F2469" s="126"/>
      <c r="G2469" s="126"/>
      <c r="H2469" s="127"/>
      <c r="I2469" s="125"/>
    </row>
    <row r="2470">
      <c r="A2470" s="125"/>
      <c r="B2470" s="125"/>
      <c r="C2470" s="125"/>
      <c r="D2470" s="125"/>
      <c r="E2470" s="125"/>
      <c r="F2470" s="126"/>
      <c r="G2470" s="126"/>
      <c r="H2470" s="127"/>
      <c r="I2470" s="125"/>
    </row>
    <row r="2471">
      <c r="A2471" s="125"/>
      <c r="B2471" s="125"/>
      <c r="C2471" s="125"/>
      <c r="D2471" s="125"/>
      <c r="E2471" s="125"/>
      <c r="F2471" s="126"/>
      <c r="G2471" s="126"/>
      <c r="H2471" s="127"/>
      <c r="I2471" s="125"/>
    </row>
    <row r="2472">
      <c r="A2472" s="125"/>
      <c r="B2472" s="125"/>
      <c r="C2472" s="125"/>
      <c r="D2472" s="125"/>
      <c r="E2472" s="125"/>
      <c r="F2472" s="126"/>
      <c r="G2472" s="126"/>
      <c r="H2472" s="127"/>
      <c r="I2472" s="125"/>
    </row>
    <row r="2473">
      <c r="A2473" s="125"/>
      <c r="B2473" s="125"/>
      <c r="C2473" s="125"/>
      <c r="D2473" s="125"/>
      <c r="E2473" s="125"/>
      <c r="F2473" s="126"/>
      <c r="G2473" s="126"/>
      <c r="H2473" s="127"/>
      <c r="I2473" s="125"/>
    </row>
    <row r="2474">
      <c r="A2474" s="125"/>
      <c r="B2474" s="125"/>
      <c r="C2474" s="125"/>
      <c r="D2474" s="125"/>
      <c r="E2474" s="125"/>
      <c r="F2474" s="126"/>
      <c r="G2474" s="126"/>
      <c r="H2474" s="127"/>
      <c r="I2474" s="125"/>
    </row>
    <row r="2475">
      <c r="A2475" s="125"/>
      <c r="B2475" s="125"/>
      <c r="C2475" s="125"/>
      <c r="D2475" s="125"/>
      <c r="E2475" s="125"/>
      <c r="F2475" s="126"/>
      <c r="G2475" s="126"/>
      <c r="H2475" s="127"/>
      <c r="I2475" s="125"/>
    </row>
    <row r="2476">
      <c r="A2476" s="125"/>
      <c r="B2476" s="125"/>
      <c r="C2476" s="125"/>
      <c r="D2476" s="125"/>
      <c r="E2476" s="125"/>
      <c r="F2476" s="126"/>
      <c r="G2476" s="126"/>
      <c r="H2476" s="127"/>
      <c r="I2476" s="125"/>
    </row>
    <row r="2477">
      <c r="A2477" s="125"/>
      <c r="B2477" s="125"/>
      <c r="C2477" s="125"/>
      <c r="D2477" s="125"/>
      <c r="E2477" s="125"/>
      <c r="F2477" s="126"/>
      <c r="G2477" s="126"/>
      <c r="H2477" s="127"/>
      <c r="I2477" s="125"/>
    </row>
    <row r="2478">
      <c r="A2478" s="125"/>
      <c r="B2478" s="125"/>
      <c r="C2478" s="125"/>
      <c r="D2478" s="125"/>
      <c r="E2478" s="125"/>
      <c r="F2478" s="126"/>
      <c r="G2478" s="126"/>
      <c r="H2478" s="127"/>
      <c r="I2478" s="125"/>
    </row>
    <row r="2479">
      <c r="A2479" s="125"/>
      <c r="B2479" s="125"/>
      <c r="C2479" s="125"/>
      <c r="D2479" s="125"/>
      <c r="E2479" s="125"/>
      <c r="F2479" s="126"/>
      <c r="G2479" s="126"/>
      <c r="H2479" s="127"/>
      <c r="I2479" s="125"/>
    </row>
    <row r="2480">
      <c r="A2480" s="125"/>
      <c r="B2480" s="125"/>
      <c r="C2480" s="125"/>
      <c r="D2480" s="125"/>
      <c r="E2480" s="125"/>
      <c r="F2480" s="126"/>
      <c r="G2480" s="126"/>
      <c r="H2480" s="127"/>
      <c r="I2480" s="125"/>
    </row>
    <row r="2481">
      <c r="A2481" s="125"/>
      <c r="B2481" s="125"/>
      <c r="C2481" s="125"/>
      <c r="D2481" s="125"/>
      <c r="E2481" s="125"/>
      <c r="F2481" s="126"/>
      <c r="G2481" s="126"/>
      <c r="H2481" s="127"/>
      <c r="I2481" s="125"/>
    </row>
    <row r="2482">
      <c r="A2482" s="125"/>
      <c r="B2482" s="125"/>
      <c r="C2482" s="125"/>
      <c r="D2482" s="125"/>
      <c r="E2482" s="125"/>
      <c r="F2482" s="126"/>
      <c r="G2482" s="126"/>
      <c r="H2482" s="126"/>
      <c r="I2482" s="125"/>
    </row>
    <row r="2483">
      <c r="A2483" s="125"/>
      <c r="B2483" s="125"/>
      <c r="C2483" s="125"/>
      <c r="D2483" s="125"/>
      <c r="E2483" s="125"/>
      <c r="F2483" s="126"/>
      <c r="G2483" s="126"/>
      <c r="H2483" s="127"/>
      <c r="I2483" s="125"/>
    </row>
    <row r="2484">
      <c r="A2484" s="125"/>
      <c r="B2484" s="125"/>
      <c r="C2484" s="125"/>
      <c r="D2484" s="125"/>
      <c r="E2484" s="125"/>
      <c r="F2484" s="126"/>
      <c r="G2484" s="126"/>
      <c r="H2484" s="127"/>
      <c r="I2484" s="125"/>
    </row>
    <row r="2485">
      <c r="A2485" s="125"/>
      <c r="B2485" s="125"/>
      <c r="C2485" s="125"/>
      <c r="D2485" s="125"/>
      <c r="E2485" s="125"/>
      <c r="F2485" s="126"/>
      <c r="G2485" s="126"/>
      <c r="H2485" s="127"/>
      <c r="I2485" s="125"/>
    </row>
    <row r="2486">
      <c r="A2486" s="125"/>
      <c r="B2486" s="125"/>
      <c r="C2486" s="125"/>
      <c r="D2486" s="125"/>
      <c r="E2486" s="125"/>
      <c r="F2486" s="126"/>
      <c r="G2486" s="126"/>
      <c r="H2486" s="127"/>
      <c r="I2486" s="125"/>
    </row>
    <row r="2487">
      <c r="A2487" s="125"/>
      <c r="B2487" s="125"/>
      <c r="C2487" s="125"/>
      <c r="D2487" s="125"/>
      <c r="E2487" s="125"/>
      <c r="F2487" s="126"/>
      <c r="G2487" s="126"/>
      <c r="H2487" s="126"/>
      <c r="I2487" s="125"/>
    </row>
    <row r="2488">
      <c r="A2488" s="125"/>
      <c r="B2488" s="125"/>
      <c r="C2488" s="125"/>
      <c r="D2488" s="125"/>
      <c r="E2488" s="125"/>
      <c r="F2488" s="126"/>
      <c r="G2488" s="126"/>
      <c r="H2488" s="126"/>
      <c r="I2488" s="125"/>
    </row>
    <row r="2489">
      <c r="A2489" s="125"/>
      <c r="B2489" s="125"/>
      <c r="C2489" s="125"/>
      <c r="D2489" s="125"/>
      <c r="E2489" s="125"/>
      <c r="F2489" s="126"/>
      <c r="G2489" s="126"/>
      <c r="H2489" s="127"/>
      <c r="I2489" s="125"/>
    </row>
    <row r="2490">
      <c r="A2490" s="125"/>
      <c r="B2490" s="125"/>
      <c r="C2490" s="125"/>
      <c r="D2490" s="125"/>
      <c r="E2490" s="125"/>
      <c r="F2490" s="126"/>
      <c r="G2490" s="126"/>
      <c r="H2490" s="126"/>
      <c r="I2490" s="125"/>
    </row>
    <row r="2491">
      <c r="A2491" s="125"/>
      <c r="B2491" s="125"/>
      <c r="C2491" s="125"/>
      <c r="D2491" s="125"/>
      <c r="E2491" s="125"/>
      <c r="F2491" s="126"/>
      <c r="G2491" s="126"/>
      <c r="H2491" s="127"/>
      <c r="I2491" s="125"/>
    </row>
    <row r="2492">
      <c r="A2492" s="125"/>
      <c r="B2492" s="125"/>
      <c r="C2492" s="125"/>
      <c r="D2492" s="125"/>
      <c r="E2492" s="125"/>
      <c r="F2492" s="126"/>
      <c r="G2492" s="126"/>
      <c r="H2492" s="127"/>
      <c r="I2492" s="125"/>
    </row>
    <row r="2493">
      <c r="A2493" s="125"/>
      <c r="B2493" s="125"/>
      <c r="C2493" s="125"/>
      <c r="D2493" s="125"/>
      <c r="E2493" s="125"/>
      <c r="F2493" s="126"/>
      <c r="G2493" s="126"/>
      <c r="H2493" s="126"/>
      <c r="I2493" s="125"/>
    </row>
    <row r="2494">
      <c r="A2494" s="125"/>
      <c r="B2494" s="125"/>
      <c r="C2494" s="125"/>
      <c r="D2494" s="125"/>
      <c r="E2494" s="125"/>
      <c r="F2494" s="126"/>
      <c r="G2494" s="126"/>
      <c r="H2494" s="127"/>
      <c r="I2494" s="125"/>
    </row>
    <row r="2495">
      <c r="A2495" s="125"/>
      <c r="B2495" s="125"/>
      <c r="C2495" s="125"/>
      <c r="D2495" s="125"/>
      <c r="E2495" s="125"/>
      <c r="F2495" s="126"/>
      <c r="G2495" s="126"/>
      <c r="H2495" s="127"/>
      <c r="I2495" s="125"/>
    </row>
    <row r="2496">
      <c r="A2496" s="125"/>
      <c r="B2496" s="125"/>
      <c r="C2496" s="125"/>
      <c r="D2496" s="125"/>
      <c r="E2496" s="125"/>
      <c r="F2496" s="126"/>
      <c r="G2496" s="126"/>
      <c r="H2496" s="127"/>
      <c r="I2496" s="125"/>
    </row>
    <row r="2497">
      <c r="A2497" s="125"/>
      <c r="B2497" s="125"/>
      <c r="C2497" s="125"/>
      <c r="D2497" s="125"/>
      <c r="E2497" s="125"/>
      <c r="F2497" s="126"/>
      <c r="G2497" s="126"/>
      <c r="H2497" s="127"/>
      <c r="I2497" s="125"/>
    </row>
    <row r="2498">
      <c r="A2498" s="125"/>
      <c r="B2498" s="125"/>
      <c r="C2498" s="125"/>
      <c r="D2498" s="125"/>
      <c r="E2498" s="125"/>
      <c r="F2498" s="126"/>
      <c r="G2498" s="126"/>
      <c r="H2498" s="127"/>
      <c r="I2498" s="125"/>
    </row>
    <row r="2499">
      <c r="A2499" s="125"/>
      <c r="B2499" s="125"/>
      <c r="C2499" s="125"/>
      <c r="D2499" s="125"/>
      <c r="E2499" s="125"/>
      <c r="F2499" s="126"/>
      <c r="G2499" s="126"/>
      <c r="H2499" s="127"/>
      <c r="I2499" s="125"/>
    </row>
    <row r="2500">
      <c r="A2500" s="125"/>
      <c r="B2500" s="125"/>
      <c r="C2500" s="125"/>
      <c r="D2500" s="125"/>
      <c r="E2500" s="125"/>
      <c r="F2500" s="126"/>
      <c r="G2500" s="126"/>
      <c r="H2500" s="127"/>
      <c r="I2500" s="125"/>
    </row>
    <row r="2501">
      <c r="A2501" s="125"/>
      <c r="B2501" s="125"/>
      <c r="C2501" s="125"/>
      <c r="D2501" s="125"/>
      <c r="E2501" s="125"/>
      <c r="F2501" s="126"/>
      <c r="G2501" s="126"/>
      <c r="H2501" s="127"/>
      <c r="I2501" s="125"/>
    </row>
    <row r="2502">
      <c r="A2502" s="125"/>
      <c r="B2502" s="125"/>
      <c r="C2502" s="125"/>
      <c r="D2502" s="125"/>
      <c r="E2502" s="125"/>
      <c r="F2502" s="126"/>
      <c r="G2502" s="126"/>
      <c r="H2502" s="127"/>
      <c r="I2502" s="125"/>
    </row>
    <row r="2503">
      <c r="A2503" s="125"/>
      <c r="B2503" s="125"/>
      <c r="C2503" s="125"/>
      <c r="D2503" s="125"/>
      <c r="E2503" s="125"/>
      <c r="F2503" s="126"/>
      <c r="G2503" s="126"/>
      <c r="H2503" s="127"/>
      <c r="I2503" s="125"/>
    </row>
    <row r="2504">
      <c r="A2504" s="125"/>
      <c r="B2504" s="125"/>
      <c r="C2504" s="125"/>
      <c r="D2504" s="125"/>
      <c r="E2504" s="125"/>
      <c r="F2504" s="126"/>
      <c r="G2504" s="126"/>
      <c r="H2504" s="127"/>
      <c r="I2504" s="125"/>
    </row>
    <row r="2505">
      <c r="A2505" s="125"/>
      <c r="B2505" s="125"/>
      <c r="C2505" s="125"/>
      <c r="D2505" s="125"/>
      <c r="E2505" s="125"/>
      <c r="F2505" s="126"/>
      <c r="G2505" s="126"/>
      <c r="H2505" s="127"/>
      <c r="I2505" s="125"/>
    </row>
    <row r="2506">
      <c r="A2506" s="125"/>
      <c r="B2506" s="125"/>
      <c r="C2506" s="125"/>
      <c r="D2506" s="125"/>
      <c r="E2506" s="125"/>
      <c r="F2506" s="126"/>
      <c r="G2506" s="126"/>
      <c r="H2506" s="127"/>
      <c r="I2506" s="125"/>
    </row>
    <row r="2507">
      <c r="A2507" s="125"/>
      <c r="B2507" s="125"/>
      <c r="C2507" s="125"/>
      <c r="D2507" s="125"/>
      <c r="E2507" s="125"/>
      <c r="F2507" s="126"/>
      <c r="G2507" s="126"/>
      <c r="H2507" s="127"/>
      <c r="I2507" s="125"/>
    </row>
    <row r="2508">
      <c r="A2508" s="125"/>
      <c r="B2508" s="125"/>
      <c r="C2508" s="125"/>
      <c r="D2508" s="125"/>
      <c r="E2508" s="125"/>
      <c r="F2508" s="126"/>
      <c r="G2508" s="126"/>
      <c r="H2508" s="127"/>
      <c r="I2508" s="125"/>
    </row>
    <row r="2509">
      <c r="A2509" s="125"/>
      <c r="B2509" s="125"/>
      <c r="C2509" s="125"/>
      <c r="D2509" s="125"/>
      <c r="E2509" s="125"/>
      <c r="F2509" s="126"/>
      <c r="G2509" s="126"/>
      <c r="H2509" s="127"/>
      <c r="I2509" s="125"/>
    </row>
    <row r="2510">
      <c r="A2510" s="125"/>
      <c r="B2510" s="125"/>
      <c r="C2510" s="125"/>
      <c r="D2510" s="125"/>
      <c r="E2510" s="125"/>
      <c r="F2510" s="126"/>
      <c r="G2510" s="126"/>
      <c r="H2510" s="127"/>
      <c r="I2510" s="125"/>
    </row>
    <row r="2511">
      <c r="A2511" s="125"/>
      <c r="B2511" s="125"/>
      <c r="C2511" s="125"/>
      <c r="D2511" s="125"/>
      <c r="E2511" s="125"/>
      <c r="F2511" s="126"/>
      <c r="G2511" s="126"/>
      <c r="H2511" s="126"/>
      <c r="I2511" s="125"/>
    </row>
    <row r="2512">
      <c r="A2512" s="125"/>
      <c r="B2512" s="125"/>
      <c r="C2512" s="125"/>
      <c r="D2512" s="125"/>
      <c r="E2512" s="125"/>
      <c r="F2512" s="126"/>
      <c r="G2512" s="126"/>
      <c r="H2512" s="127"/>
      <c r="I2512" s="125"/>
    </row>
    <row r="2513">
      <c r="A2513" s="125"/>
      <c r="B2513" s="125"/>
      <c r="C2513" s="125"/>
      <c r="D2513" s="125"/>
      <c r="E2513" s="125"/>
      <c r="F2513" s="126"/>
      <c r="G2513" s="126"/>
      <c r="H2513" s="127"/>
      <c r="I2513" s="125"/>
    </row>
    <row r="2514">
      <c r="A2514" s="125"/>
      <c r="B2514" s="125"/>
      <c r="C2514" s="125"/>
      <c r="D2514" s="125"/>
      <c r="E2514" s="125"/>
      <c r="F2514" s="126"/>
      <c r="G2514" s="126"/>
      <c r="H2514" s="127"/>
      <c r="I2514" s="125"/>
    </row>
    <row r="2515">
      <c r="A2515" s="125"/>
      <c r="B2515" s="125"/>
      <c r="C2515" s="125"/>
      <c r="D2515" s="125"/>
      <c r="E2515" s="125"/>
      <c r="F2515" s="126"/>
      <c r="G2515" s="126"/>
      <c r="H2515" s="127"/>
      <c r="I2515" s="125"/>
    </row>
    <row r="2516">
      <c r="A2516" s="125"/>
      <c r="B2516" s="125"/>
      <c r="C2516" s="125"/>
      <c r="D2516" s="125"/>
      <c r="E2516" s="125"/>
      <c r="F2516" s="126"/>
      <c r="G2516" s="126"/>
      <c r="H2516" s="126"/>
      <c r="I2516" s="125"/>
    </row>
    <row r="2517">
      <c r="A2517" s="125"/>
      <c r="B2517" s="125"/>
      <c r="C2517" s="125"/>
      <c r="D2517" s="125"/>
      <c r="E2517" s="125"/>
      <c r="F2517" s="126"/>
      <c r="G2517" s="126"/>
      <c r="H2517" s="127"/>
      <c r="I2517" s="125"/>
    </row>
    <row r="2518">
      <c r="A2518" s="125"/>
      <c r="B2518" s="125"/>
      <c r="C2518" s="125"/>
      <c r="D2518" s="125"/>
      <c r="E2518" s="125"/>
      <c r="F2518" s="126"/>
      <c r="G2518" s="126"/>
      <c r="H2518" s="127"/>
      <c r="I2518" s="125"/>
    </row>
    <row r="2519">
      <c r="A2519" s="125"/>
      <c r="B2519" s="125"/>
      <c r="C2519" s="125"/>
      <c r="D2519" s="125"/>
      <c r="E2519" s="125"/>
      <c r="F2519" s="126"/>
      <c r="G2519" s="126"/>
      <c r="H2519" s="127"/>
      <c r="I2519" s="125"/>
    </row>
    <row r="2520">
      <c r="A2520" s="125"/>
      <c r="B2520" s="125"/>
      <c r="C2520" s="125"/>
      <c r="D2520" s="125"/>
      <c r="E2520" s="125"/>
      <c r="F2520" s="126"/>
      <c r="G2520" s="126"/>
      <c r="H2520" s="127"/>
      <c r="I2520" s="125"/>
    </row>
    <row r="2521">
      <c r="A2521" s="125"/>
      <c r="B2521" s="125"/>
      <c r="C2521" s="125"/>
      <c r="D2521" s="125"/>
      <c r="E2521" s="125"/>
      <c r="F2521" s="126"/>
      <c r="G2521" s="126"/>
      <c r="H2521" s="126"/>
      <c r="I2521" s="125"/>
    </row>
    <row r="2522">
      <c r="A2522" s="125"/>
      <c r="B2522" s="125"/>
      <c r="C2522" s="125"/>
      <c r="D2522" s="125"/>
      <c r="E2522" s="125"/>
      <c r="F2522" s="126"/>
      <c r="G2522" s="126"/>
      <c r="H2522" s="127"/>
      <c r="I2522" s="125"/>
    </row>
    <row r="2523">
      <c r="A2523" s="125"/>
      <c r="B2523" s="125"/>
      <c r="C2523" s="125"/>
      <c r="D2523" s="125"/>
      <c r="E2523" s="125"/>
      <c r="F2523" s="126"/>
      <c r="G2523" s="126"/>
      <c r="H2523" s="126"/>
      <c r="I2523" s="125"/>
    </row>
    <row r="2524">
      <c r="A2524" s="125"/>
      <c r="B2524" s="125"/>
      <c r="C2524" s="125"/>
      <c r="D2524" s="125"/>
      <c r="E2524" s="125"/>
      <c r="F2524" s="126"/>
      <c r="G2524" s="126"/>
      <c r="H2524" s="127"/>
      <c r="I2524" s="125"/>
    </row>
    <row r="2525">
      <c r="A2525" s="125"/>
      <c r="B2525" s="125"/>
      <c r="C2525" s="125"/>
      <c r="D2525" s="125"/>
      <c r="E2525" s="125"/>
      <c r="F2525" s="126"/>
      <c r="G2525" s="126"/>
      <c r="H2525" s="127"/>
      <c r="I2525" s="125"/>
    </row>
    <row r="2526">
      <c r="A2526" s="125"/>
      <c r="B2526" s="125"/>
      <c r="C2526" s="125"/>
      <c r="D2526" s="125"/>
      <c r="E2526" s="125"/>
      <c r="F2526" s="126"/>
      <c r="G2526" s="126"/>
      <c r="H2526" s="127"/>
      <c r="I2526" s="125"/>
    </row>
    <row r="2527">
      <c r="A2527" s="125"/>
      <c r="B2527" s="125"/>
      <c r="C2527" s="125"/>
      <c r="D2527" s="125"/>
      <c r="E2527" s="125"/>
      <c r="F2527" s="126"/>
      <c r="G2527" s="126"/>
      <c r="H2527" s="127"/>
      <c r="I2527" s="125"/>
    </row>
    <row r="2528">
      <c r="A2528" s="125"/>
      <c r="B2528" s="125"/>
      <c r="C2528" s="125"/>
      <c r="D2528" s="125"/>
      <c r="E2528" s="125"/>
      <c r="F2528" s="126"/>
      <c r="G2528" s="126"/>
      <c r="H2528" s="126"/>
      <c r="I2528" s="125"/>
    </row>
    <row r="2529">
      <c r="A2529" s="125"/>
      <c r="B2529" s="125"/>
      <c r="C2529" s="125"/>
      <c r="D2529" s="125"/>
      <c r="E2529" s="125"/>
      <c r="F2529" s="126"/>
      <c r="G2529" s="126"/>
      <c r="H2529" s="127"/>
      <c r="I2529" s="125"/>
    </row>
    <row r="2530">
      <c r="A2530" s="125"/>
      <c r="B2530" s="125"/>
      <c r="C2530" s="125"/>
      <c r="D2530" s="125"/>
      <c r="E2530" s="125"/>
      <c r="F2530" s="126"/>
      <c r="G2530" s="126"/>
      <c r="H2530" s="127"/>
      <c r="I2530" s="125"/>
    </row>
    <row r="2531">
      <c r="A2531" s="125"/>
      <c r="B2531" s="125"/>
      <c r="C2531" s="125"/>
      <c r="D2531" s="125"/>
      <c r="E2531" s="125"/>
      <c r="F2531" s="126"/>
      <c r="G2531" s="126"/>
      <c r="H2531" s="126"/>
      <c r="I2531" s="125"/>
    </row>
    <row r="2532">
      <c r="A2532" s="125"/>
      <c r="B2532" s="125"/>
      <c r="C2532" s="125"/>
      <c r="D2532" s="125"/>
      <c r="E2532" s="125"/>
      <c r="F2532" s="126"/>
      <c r="G2532" s="126"/>
      <c r="H2532" s="127"/>
      <c r="I2532" s="125"/>
    </row>
    <row r="2533">
      <c r="A2533" s="125"/>
      <c r="B2533" s="125"/>
      <c r="C2533" s="125"/>
      <c r="D2533" s="125"/>
      <c r="E2533" s="125"/>
      <c r="F2533" s="126"/>
      <c r="G2533" s="126"/>
      <c r="H2533" s="127"/>
      <c r="I2533" s="125"/>
    </row>
    <row r="2534">
      <c r="A2534" s="125"/>
      <c r="B2534" s="125"/>
      <c r="C2534" s="125"/>
      <c r="D2534" s="125"/>
      <c r="E2534" s="125"/>
      <c r="F2534" s="126"/>
      <c r="G2534" s="126"/>
      <c r="H2534" s="127"/>
      <c r="I2534" s="125"/>
    </row>
    <row r="2535">
      <c r="A2535" s="125"/>
      <c r="B2535" s="125"/>
      <c r="C2535" s="125"/>
      <c r="D2535" s="125"/>
      <c r="E2535" s="125"/>
      <c r="F2535" s="126"/>
      <c r="G2535" s="126"/>
      <c r="H2535" s="127"/>
      <c r="I2535" s="125"/>
    </row>
    <row r="2536">
      <c r="A2536" s="125"/>
      <c r="B2536" s="125"/>
      <c r="C2536" s="125"/>
      <c r="D2536" s="125"/>
      <c r="E2536" s="125"/>
      <c r="F2536" s="126"/>
      <c r="G2536" s="126"/>
      <c r="H2536" s="127"/>
      <c r="I2536" s="125"/>
    </row>
    <row r="2537">
      <c r="A2537" s="125"/>
      <c r="B2537" s="125"/>
      <c r="C2537" s="125"/>
      <c r="D2537" s="125"/>
      <c r="E2537" s="125"/>
      <c r="F2537" s="126"/>
      <c r="G2537" s="126"/>
      <c r="H2537" s="127"/>
      <c r="I2537" s="125"/>
    </row>
    <row r="2538">
      <c r="A2538" s="125"/>
      <c r="B2538" s="125"/>
      <c r="C2538" s="125"/>
      <c r="D2538" s="125"/>
      <c r="E2538" s="125"/>
      <c r="F2538" s="126"/>
      <c r="G2538" s="126"/>
      <c r="H2538" s="127"/>
      <c r="I2538" s="125"/>
    </row>
    <row r="2539">
      <c r="A2539" s="125"/>
      <c r="B2539" s="125"/>
      <c r="C2539" s="125"/>
      <c r="D2539" s="125"/>
      <c r="E2539" s="125"/>
      <c r="F2539" s="126"/>
      <c r="G2539" s="126"/>
      <c r="H2539" s="127"/>
      <c r="I2539" s="125"/>
    </row>
    <row r="2540">
      <c r="A2540" s="125"/>
      <c r="B2540" s="125"/>
      <c r="C2540" s="125"/>
      <c r="D2540" s="125"/>
      <c r="E2540" s="125"/>
      <c r="F2540" s="126"/>
      <c r="G2540" s="126"/>
      <c r="H2540" s="127"/>
      <c r="I2540" s="125"/>
    </row>
    <row r="2541">
      <c r="A2541" s="125"/>
      <c r="B2541" s="125"/>
      <c r="C2541" s="125"/>
      <c r="D2541" s="125"/>
      <c r="E2541" s="125"/>
      <c r="F2541" s="126"/>
      <c r="G2541" s="126"/>
      <c r="H2541" s="127"/>
      <c r="I2541" s="125"/>
    </row>
    <row r="2542">
      <c r="A2542" s="125"/>
      <c r="B2542" s="125"/>
      <c r="C2542" s="125"/>
      <c r="D2542" s="125"/>
      <c r="E2542" s="125"/>
      <c r="F2542" s="126"/>
      <c r="G2542" s="126"/>
      <c r="H2542" s="127"/>
      <c r="I2542" s="125"/>
    </row>
    <row r="2543">
      <c r="A2543" s="125"/>
      <c r="B2543" s="125"/>
      <c r="C2543" s="125"/>
      <c r="D2543" s="125"/>
      <c r="E2543" s="125"/>
      <c r="F2543" s="126"/>
      <c r="G2543" s="126"/>
      <c r="H2543" s="127"/>
      <c r="I2543" s="125"/>
    </row>
    <row r="2544">
      <c r="A2544" s="125"/>
      <c r="B2544" s="125"/>
      <c r="C2544" s="125"/>
      <c r="D2544" s="125"/>
      <c r="E2544" s="125"/>
      <c r="F2544" s="126"/>
      <c r="G2544" s="126"/>
      <c r="H2544" s="127"/>
      <c r="I2544" s="125"/>
    </row>
    <row r="2545">
      <c r="A2545" s="125"/>
      <c r="B2545" s="125"/>
      <c r="C2545" s="125"/>
      <c r="D2545" s="125"/>
      <c r="E2545" s="125"/>
      <c r="F2545" s="126"/>
      <c r="G2545" s="126"/>
      <c r="H2545" s="127"/>
      <c r="I2545" s="125"/>
    </row>
    <row r="2546">
      <c r="A2546" s="125"/>
      <c r="B2546" s="125"/>
      <c r="C2546" s="125"/>
      <c r="D2546" s="125"/>
      <c r="E2546" s="125"/>
      <c r="F2546" s="126"/>
      <c r="G2546" s="126"/>
      <c r="H2546" s="126"/>
      <c r="I2546" s="125"/>
    </row>
    <row r="2547">
      <c r="A2547" s="125"/>
      <c r="B2547" s="125"/>
      <c r="C2547" s="125"/>
      <c r="D2547" s="125"/>
      <c r="E2547" s="125"/>
      <c r="F2547" s="126"/>
      <c r="G2547" s="126"/>
      <c r="H2547" s="126"/>
      <c r="I2547" s="125"/>
    </row>
    <row r="2548">
      <c r="A2548" s="125"/>
      <c r="B2548" s="125"/>
      <c r="C2548" s="125"/>
      <c r="D2548" s="125"/>
      <c r="E2548" s="125"/>
      <c r="F2548" s="126"/>
      <c r="G2548" s="126"/>
      <c r="H2548" s="126"/>
      <c r="I2548" s="125"/>
    </row>
    <row r="2549">
      <c r="A2549" s="125"/>
      <c r="B2549" s="125"/>
      <c r="C2549" s="125"/>
      <c r="D2549" s="125"/>
      <c r="E2549" s="125"/>
      <c r="F2549" s="126"/>
      <c r="G2549" s="126"/>
      <c r="H2549" s="126"/>
      <c r="I2549" s="125"/>
    </row>
    <row r="2550">
      <c r="A2550" s="125"/>
      <c r="B2550" s="125"/>
      <c r="C2550" s="125"/>
      <c r="D2550" s="125"/>
      <c r="E2550" s="125"/>
      <c r="F2550" s="126"/>
      <c r="G2550" s="126"/>
      <c r="H2550" s="126"/>
      <c r="I2550" s="125"/>
    </row>
    <row r="2551">
      <c r="A2551" s="125"/>
      <c r="B2551" s="125"/>
      <c r="C2551" s="125"/>
      <c r="D2551" s="125"/>
      <c r="E2551" s="125"/>
      <c r="F2551" s="126"/>
      <c r="G2551" s="126"/>
      <c r="H2551" s="127"/>
      <c r="I2551" s="125"/>
    </row>
    <row r="2552">
      <c r="A2552" s="125"/>
      <c r="B2552" s="125"/>
      <c r="C2552" s="125"/>
      <c r="D2552" s="125"/>
      <c r="E2552" s="125"/>
      <c r="F2552" s="126"/>
      <c r="G2552" s="126"/>
      <c r="H2552" s="127"/>
      <c r="I2552" s="125"/>
    </row>
    <row r="2553">
      <c r="A2553" s="125"/>
      <c r="B2553" s="125"/>
      <c r="C2553" s="125"/>
      <c r="D2553" s="125"/>
      <c r="E2553" s="125"/>
      <c r="F2553" s="126"/>
      <c r="G2553" s="126"/>
      <c r="H2553" s="127"/>
      <c r="I2553" s="125"/>
    </row>
    <row r="2554">
      <c r="A2554" s="125"/>
      <c r="B2554" s="125"/>
      <c r="C2554" s="125"/>
      <c r="D2554" s="125"/>
      <c r="E2554" s="125"/>
      <c r="F2554" s="126"/>
      <c r="G2554" s="126"/>
      <c r="H2554" s="127"/>
      <c r="I2554" s="125"/>
    </row>
    <row r="2555">
      <c r="A2555" s="125"/>
      <c r="B2555" s="125"/>
      <c r="C2555" s="125"/>
      <c r="D2555" s="125"/>
      <c r="E2555" s="125"/>
      <c r="F2555" s="126"/>
      <c r="G2555" s="126"/>
      <c r="H2555" s="127"/>
      <c r="I2555" s="125"/>
    </row>
    <row r="2556">
      <c r="A2556" s="125"/>
      <c r="B2556" s="125"/>
      <c r="C2556" s="125"/>
      <c r="D2556" s="125"/>
      <c r="E2556" s="125"/>
      <c r="F2556" s="126"/>
      <c r="G2556" s="126"/>
      <c r="H2556" s="127"/>
      <c r="I2556" s="125"/>
    </row>
    <row r="2557">
      <c r="A2557" s="125"/>
      <c r="B2557" s="125"/>
      <c r="C2557" s="125"/>
      <c r="D2557" s="125"/>
      <c r="E2557" s="125"/>
      <c r="F2557" s="126"/>
      <c r="G2557" s="126"/>
      <c r="H2557" s="126"/>
      <c r="I2557" s="125"/>
    </row>
    <row r="2558">
      <c r="A2558" s="125"/>
      <c r="B2558" s="125"/>
      <c r="C2558" s="125"/>
      <c r="D2558" s="125"/>
      <c r="E2558" s="125"/>
      <c r="F2558" s="126"/>
      <c r="G2558" s="126"/>
      <c r="H2558" s="127"/>
      <c r="I2558" s="125"/>
    </row>
    <row r="2559">
      <c r="A2559" s="125"/>
      <c r="B2559" s="125"/>
      <c r="C2559" s="125"/>
      <c r="D2559" s="125"/>
      <c r="E2559" s="125"/>
      <c r="F2559" s="126"/>
      <c r="G2559" s="126"/>
      <c r="H2559" s="126"/>
      <c r="I2559" s="125"/>
    </row>
    <row r="2560">
      <c r="A2560" s="125"/>
      <c r="B2560" s="125"/>
      <c r="C2560" s="125"/>
      <c r="D2560" s="125"/>
      <c r="E2560" s="125"/>
      <c r="F2560" s="126"/>
      <c r="G2560" s="126"/>
      <c r="H2560" s="127"/>
      <c r="I2560" s="125"/>
    </row>
    <row r="2561">
      <c r="A2561" s="125"/>
      <c r="B2561" s="125"/>
      <c r="C2561" s="125"/>
      <c r="D2561" s="125"/>
      <c r="E2561" s="125"/>
      <c r="F2561" s="126"/>
      <c r="G2561" s="126"/>
      <c r="H2561" s="127"/>
      <c r="I2561" s="125"/>
    </row>
    <row r="2562">
      <c r="A2562" s="125"/>
      <c r="B2562" s="125"/>
      <c r="C2562" s="125"/>
      <c r="D2562" s="125"/>
      <c r="E2562" s="125"/>
      <c r="F2562" s="126"/>
      <c r="G2562" s="126"/>
      <c r="H2562" s="127"/>
      <c r="I2562" s="125"/>
    </row>
    <row r="2563">
      <c r="A2563" s="125"/>
      <c r="B2563" s="125"/>
      <c r="C2563" s="125"/>
      <c r="D2563" s="125"/>
      <c r="E2563" s="125"/>
      <c r="F2563" s="126"/>
      <c r="G2563" s="126"/>
      <c r="H2563" s="126"/>
      <c r="I2563" s="125"/>
    </row>
    <row r="2564">
      <c r="A2564" s="125"/>
      <c r="B2564" s="125"/>
      <c r="C2564" s="125"/>
      <c r="D2564" s="125"/>
      <c r="E2564" s="125"/>
      <c r="F2564" s="126"/>
      <c r="G2564" s="126"/>
      <c r="H2564" s="126"/>
      <c r="I2564" s="125"/>
    </row>
    <row r="2565">
      <c r="A2565" s="125"/>
      <c r="B2565" s="125"/>
      <c r="C2565" s="125"/>
      <c r="D2565" s="125"/>
      <c r="E2565" s="125"/>
      <c r="F2565" s="126"/>
      <c r="G2565" s="126"/>
      <c r="H2565" s="127"/>
      <c r="I2565" s="125"/>
    </row>
    <row r="2566">
      <c r="A2566" s="125"/>
      <c r="B2566" s="125"/>
      <c r="C2566" s="125"/>
      <c r="D2566" s="125"/>
      <c r="E2566" s="125"/>
      <c r="F2566" s="126"/>
      <c r="G2566" s="126"/>
      <c r="H2566" s="127"/>
      <c r="I2566" s="125"/>
    </row>
    <row r="2567">
      <c r="A2567" s="125"/>
      <c r="B2567" s="125"/>
      <c r="C2567" s="125"/>
      <c r="D2567" s="125"/>
      <c r="E2567" s="125"/>
      <c r="F2567" s="126"/>
      <c r="G2567" s="126"/>
      <c r="H2567" s="127"/>
      <c r="I2567" s="125"/>
    </row>
    <row r="2568">
      <c r="A2568" s="125"/>
      <c r="B2568" s="125"/>
      <c r="C2568" s="125"/>
      <c r="D2568" s="125"/>
      <c r="E2568" s="125"/>
      <c r="F2568" s="126"/>
      <c r="G2568" s="126"/>
      <c r="H2568" s="127"/>
      <c r="I2568" s="125"/>
    </row>
    <row r="2569">
      <c r="A2569" s="125"/>
      <c r="B2569" s="125"/>
      <c r="C2569" s="125"/>
      <c r="D2569" s="125"/>
      <c r="E2569" s="125"/>
      <c r="F2569" s="126"/>
      <c r="G2569" s="126"/>
      <c r="H2569" s="127"/>
      <c r="I2569" s="125"/>
    </row>
    <row r="2570">
      <c r="A2570" s="125"/>
      <c r="B2570" s="125"/>
      <c r="C2570" s="125"/>
      <c r="D2570" s="125"/>
      <c r="E2570" s="125"/>
      <c r="F2570" s="126"/>
      <c r="G2570" s="126"/>
      <c r="H2570" s="127"/>
      <c r="I2570" s="125"/>
    </row>
    <row r="2571">
      <c r="A2571" s="125"/>
      <c r="B2571" s="125"/>
      <c r="C2571" s="125"/>
      <c r="D2571" s="125"/>
      <c r="E2571" s="125"/>
      <c r="F2571" s="126"/>
      <c r="G2571" s="126"/>
      <c r="H2571" s="127"/>
      <c r="I2571" s="125"/>
    </row>
    <row r="2572">
      <c r="A2572" s="125"/>
      <c r="B2572" s="125"/>
      <c r="C2572" s="125"/>
      <c r="D2572" s="125"/>
      <c r="E2572" s="125"/>
      <c r="F2572" s="126"/>
      <c r="G2572" s="126"/>
      <c r="H2572" s="127"/>
      <c r="I2572" s="125"/>
    </row>
    <row r="2573">
      <c r="A2573" s="125"/>
      <c r="B2573" s="125"/>
      <c r="C2573" s="125"/>
      <c r="D2573" s="125"/>
      <c r="E2573" s="125"/>
      <c r="F2573" s="126"/>
      <c r="G2573" s="126"/>
      <c r="H2573" s="126"/>
      <c r="I2573" s="125"/>
    </row>
    <row r="2574">
      <c r="A2574" s="125"/>
      <c r="B2574" s="125"/>
      <c r="C2574" s="125"/>
      <c r="D2574" s="125"/>
      <c r="E2574" s="125"/>
      <c r="F2574" s="126"/>
      <c r="G2574" s="126"/>
      <c r="H2574" s="126"/>
      <c r="I2574" s="125"/>
    </row>
    <row r="2575">
      <c r="A2575" s="125"/>
      <c r="B2575" s="125"/>
      <c r="C2575" s="125"/>
      <c r="D2575" s="125"/>
      <c r="E2575" s="125"/>
      <c r="F2575" s="126"/>
      <c r="G2575" s="126"/>
      <c r="H2575" s="127"/>
      <c r="I2575" s="125"/>
    </row>
    <row r="2576">
      <c r="A2576" s="125"/>
      <c r="B2576" s="125"/>
      <c r="C2576" s="125"/>
      <c r="D2576" s="125"/>
      <c r="E2576" s="125"/>
      <c r="F2576" s="126"/>
      <c r="G2576" s="126"/>
      <c r="H2576" s="127"/>
      <c r="I2576" s="125"/>
    </row>
    <row r="2577">
      <c r="A2577" s="125"/>
      <c r="B2577" s="125"/>
      <c r="C2577" s="125"/>
      <c r="D2577" s="125"/>
      <c r="E2577" s="125"/>
      <c r="F2577" s="126"/>
      <c r="G2577" s="126"/>
      <c r="H2577" s="127"/>
      <c r="I2577" s="125"/>
    </row>
    <row r="2578">
      <c r="A2578" s="125"/>
      <c r="B2578" s="125"/>
      <c r="C2578" s="125"/>
      <c r="D2578" s="125"/>
      <c r="E2578" s="125"/>
      <c r="F2578" s="126"/>
      <c r="G2578" s="126"/>
      <c r="H2578" s="127"/>
      <c r="I2578" s="125"/>
    </row>
    <row r="2579">
      <c r="A2579" s="125"/>
      <c r="B2579" s="125"/>
      <c r="C2579" s="125"/>
      <c r="D2579" s="125"/>
      <c r="E2579" s="125"/>
      <c r="F2579" s="126"/>
      <c r="G2579" s="126"/>
      <c r="H2579" s="127"/>
      <c r="I2579" s="125"/>
    </row>
    <row r="2580">
      <c r="A2580" s="125"/>
      <c r="B2580" s="125"/>
      <c r="C2580" s="125"/>
      <c r="D2580" s="125"/>
      <c r="E2580" s="125"/>
      <c r="F2580" s="126"/>
      <c r="G2580" s="126"/>
      <c r="H2580" s="127"/>
      <c r="I2580" s="125"/>
    </row>
    <row r="2581">
      <c r="A2581" s="125"/>
      <c r="B2581" s="125"/>
      <c r="C2581" s="125"/>
      <c r="D2581" s="125"/>
      <c r="E2581" s="125"/>
      <c r="F2581" s="126"/>
      <c r="G2581" s="126"/>
      <c r="H2581" s="126"/>
      <c r="I2581" s="125"/>
    </row>
    <row r="2582">
      <c r="A2582" s="125"/>
      <c r="B2582" s="125"/>
      <c r="C2582" s="125"/>
      <c r="D2582" s="125"/>
      <c r="E2582" s="125"/>
      <c r="F2582" s="126"/>
      <c r="G2582" s="126"/>
      <c r="H2582" s="127"/>
      <c r="I2582" s="125"/>
    </row>
    <row r="2583">
      <c r="A2583" s="125"/>
      <c r="B2583" s="125"/>
      <c r="C2583" s="125"/>
      <c r="D2583" s="125"/>
      <c r="E2583" s="125"/>
      <c r="F2583" s="126"/>
      <c r="G2583" s="126"/>
      <c r="H2583" s="127"/>
      <c r="I2583" s="125"/>
    </row>
    <row r="2584">
      <c r="A2584" s="125"/>
      <c r="B2584" s="125"/>
      <c r="C2584" s="125"/>
      <c r="D2584" s="125"/>
      <c r="E2584" s="125"/>
      <c r="F2584" s="126"/>
      <c r="G2584" s="126"/>
      <c r="H2584" s="127"/>
      <c r="I2584" s="125"/>
    </row>
    <row r="2585">
      <c r="A2585" s="125"/>
      <c r="B2585" s="125"/>
      <c r="C2585" s="125"/>
      <c r="D2585" s="125"/>
      <c r="E2585" s="125"/>
      <c r="F2585" s="126"/>
      <c r="G2585" s="126"/>
      <c r="H2585" s="127"/>
      <c r="I2585" s="125"/>
    </row>
    <row r="2586">
      <c r="A2586" s="125"/>
      <c r="B2586" s="125"/>
      <c r="C2586" s="125"/>
      <c r="D2586" s="125"/>
      <c r="E2586" s="125"/>
      <c r="F2586" s="126"/>
      <c r="G2586" s="126"/>
      <c r="H2586" s="127"/>
      <c r="I2586" s="125"/>
    </row>
    <row r="2587">
      <c r="A2587" s="125"/>
      <c r="B2587" s="125"/>
      <c r="C2587" s="125"/>
      <c r="D2587" s="125"/>
      <c r="E2587" s="125"/>
      <c r="F2587" s="126"/>
      <c r="G2587" s="126"/>
      <c r="H2587" s="127"/>
      <c r="I2587" s="125"/>
    </row>
    <row r="2588">
      <c r="A2588" s="125"/>
      <c r="B2588" s="125"/>
      <c r="C2588" s="125"/>
      <c r="D2588" s="125"/>
      <c r="E2588" s="125"/>
      <c r="F2588" s="126"/>
      <c r="G2588" s="126"/>
      <c r="H2588" s="126"/>
      <c r="I2588" s="125"/>
    </row>
    <row r="2589">
      <c r="A2589" s="125"/>
      <c r="B2589" s="125"/>
      <c r="C2589" s="125"/>
      <c r="D2589" s="125"/>
      <c r="E2589" s="125"/>
      <c r="F2589" s="126"/>
      <c r="G2589" s="126"/>
      <c r="H2589" s="126"/>
      <c r="I2589" s="125"/>
    </row>
    <row r="2590">
      <c r="A2590" s="125"/>
      <c r="B2590" s="125"/>
      <c r="C2590" s="125"/>
      <c r="D2590" s="125"/>
      <c r="E2590" s="125"/>
      <c r="F2590" s="126"/>
      <c r="G2590" s="126"/>
      <c r="H2590" s="127"/>
      <c r="I2590" s="125"/>
    </row>
    <row r="2591">
      <c r="A2591" s="125"/>
      <c r="B2591" s="125"/>
      <c r="C2591" s="125"/>
      <c r="D2591" s="125"/>
      <c r="E2591" s="125"/>
      <c r="F2591" s="126"/>
      <c r="G2591" s="126"/>
      <c r="H2591" s="127"/>
      <c r="I2591" s="125"/>
    </row>
    <row r="2592">
      <c r="A2592" s="125"/>
      <c r="B2592" s="125"/>
      <c r="C2592" s="125"/>
      <c r="D2592" s="125"/>
      <c r="E2592" s="125"/>
      <c r="F2592" s="126"/>
      <c r="G2592" s="126"/>
      <c r="H2592" s="127"/>
      <c r="I2592" s="125"/>
    </row>
    <row r="2593">
      <c r="A2593" s="125"/>
      <c r="B2593" s="125"/>
      <c r="C2593" s="125"/>
      <c r="D2593" s="125"/>
      <c r="E2593" s="125"/>
      <c r="F2593" s="126"/>
      <c r="G2593" s="126"/>
      <c r="H2593" s="127"/>
      <c r="I2593" s="125"/>
    </row>
    <row r="2594">
      <c r="A2594" s="125"/>
      <c r="B2594" s="125"/>
      <c r="C2594" s="125"/>
      <c r="D2594" s="125"/>
      <c r="E2594" s="125"/>
      <c r="F2594" s="126"/>
      <c r="G2594" s="126"/>
      <c r="H2594" s="127"/>
      <c r="I2594" s="125"/>
    </row>
    <row r="2595">
      <c r="A2595" s="125"/>
      <c r="B2595" s="125"/>
      <c r="C2595" s="125"/>
      <c r="D2595" s="125"/>
      <c r="E2595" s="125"/>
      <c r="F2595" s="126"/>
      <c r="G2595" s="126"/>
      <c r="H2595" s="127"/>
      <c r="I2595" s="125"/>
    </row>
    <row r="2596">
      <c r="A2596" s="125"/>
      <c r="B2596" s="125"/>
      <c r="C2596" s="125"/>
      <c r="D2596" s="125"/>
      <c r="E2596" s="125"/>
      <c r="F2596" s="126"/>
      <c r="G2596" s="126"/>
      <c r="H2596" s="127"/>
      <c r="I2596" s="125"/>
    </row>
    <row r="2597">
      <c r="A2597" s="125"/>
      <c r="B2597" s="125"/>
      <c r="C2597" s="125"/>
      <c r="D2597" s="125"/>
      <c r="E2597" s="125"/>
      <c r="F2597" s="126"/>
      <c r="G2597" s="126"/>
      <c r="H2597" s="127"/>
      <c r="I2597" s="125"/>
    </row>
    <row r="2598">
      <c r="A2598" s="125"/>
      <c r="B2598" s="125"/>
      <c r="C2598" s="125"/>
      <c r="D2598" s="125"/>
      <c r="E2598" s="125"/>
      <c r="F2598" s="126"/>
      <c r="G2598" s="126"/>
      <c r="H2598" s="127"/>
      <c r="I2598" s="125"/>
    </row>
    <row r="2599">
      <c r="A2599" s="125"/>
      <c r="B2599" s="125"/>
      <c r="C2599" s="125"/>
      <c r="D2599" s="125"/>
      <c r="E2599" s="125"/>
      <c r="F2599" s="126"/>
      <c r="G2599" s="126"/>
      <c r="H2599" s="127"/>
      <c r="I2599" s="125"/>
    </row>
    <row r="2600">
      <c r="A2600" s="125"/>
      <c r="B2600" s="125"/>
      <c r="C2600" s="125"/>
      <c r="D2600" s="125"/>
      <c r="E2600" s="125"/>
      <c r="F2600" s="126"/>
      <c r="G2600" s="126"/>
      <c r="H2600" s="127"/>
      <c r="I2600" s="125"/>
    </row>
    <row r="2601">
      <c r="A2601" s="125"/>
      <c r="B2601" s="125"/>
      <c r="C2601" s="125"/>
      <c r="D2601" s="125"/>
      <c r="E2601" s="125"/>
      <c r="F2601" s="126"/>
      <c r="G2601" s="126"/>
      <c r="H2601" s="127"/>
      <c r="I2601" s="125"/>
    </row>
    <row r="2602">
      <c r="A2602" s="125"/>
      <c r="B2602" s="125"/>
      <c r="C2602" s="125"/>
      <c r="D2602" s="125"/>
      <c r="E2602" s="125"/>
      <c r="F2602" s="126"/>
      <c r="G2602" s="126"/>
      <c r="H2602" s="127"/>
      <c r="I2602" s="125"/>
    </row>
    <row r="2603">
      <c r="A2603" s="125"/>
      <c r="B2603" s="125"/>
      <c r="C2603" s="125"/>
      <c r="D2603" s="125"/>
      <c r="E2603" s="125"/>
      <c r="F2603" s="126"/>
      <c r="G2603" s="126"/>
      <c r="H2603" s="127"/>
      <c r="I2603" s="125"/>
    </row>
    <row r="2604">
      <c r="A2604" s="125"/>
      <c r="B2604" s="125"/>
      <c r="C2604" s="125"/>
      <c r="D2604" s="125"/>
      <c r="E2604" s="125"/>
      <c r="F2604" s="126"/>
      <c r="G2604" s="126"/>
      <c r="H2604" s="127"/>
      <c r="I2604" s="125"/>
    </row>
    <row r="2605">
      <c r="A2605" s="125"/>
      <c r="B2605" s="125"/>
      <c r="C2605" s="125"/>
      <c r="D2605" s="125"/>
      <c r="E2605" s="125"/>
      <c r="F2605" s="126"/>
      <c r="G2605" s="126"/>
      <c r="H2605" s="127"/>
      <c r="I2605" s="125"/>
    </row>
    <row r="2606">
      <c r="A2606" s="125"/>
      <c r="B2606" s="125"/>
      <c r="C2606" s="125"/>
      <c r="D2606" s="125"/>
      <c r="E2606" s="125"/>
      <c r="F2606" s="126"/>
      <c r="G2606" s="126"/>
      <c r="H2606" s="127"/>
      <c r="I2606" s="125"/>
    </row>
    <row r="2607">
      <c r="A2607" s="125"/>
      <c r="B2607" s="125"/>
      <c r="C2607" s="125"/>
      <c r="D2607" s="125"/>
      <c r="E2607" s="125"/>
      <c r="F2607" s="126"/>
      <c r="G2607" s="126"/>
      <c r="H2607" s="127"/>
      <c r="I2607" s="125"/>
    </row>
    <row r="2608">
      <c r="A2608" s="125"/>
      <c r="B2608" s="125"/>
      <c r="C2608" s="125"/>
      <c r="D2608" s="125"/>
      <c r="E2608" s="125"/>
      <c r="F2608" s="126"/>
      <c r="G2608" s="126"/>
      <c r="H2608" s="127"/>
      <c r="I2608" s="125"/>
    </row>
    <row r="2609">
      <c r="A2609" s="125"/>
      <c r="B2609" s="125"/>
      <c r="C2609" s="125"/>
      <c r="D2609" s="125"/>
      <c r="E2609" s="125"/>
      <c r="F2609" s="126"/>
      <c r="G2609" s="126"/>
      <c r="H2609" s="127"/>
      <c r="I2609" s="125"/>
    </row>
    <row r="2610">
      <c r="A2610" s="125"/>
      <c r="B2610" s="125"/>
      <c r="C2610" s="125"/>
      <c r="D2610" s="125"/>
      <c r="E2610" s="125"/>
      <c r="F2610" s="126"/>
      <c r="G2610" s="126"/>
      <c r="H2610" s="127"/>
      <c r="I2610" s="125"/>
    </row>
    <row r="2611">
      <c r="A2611" s="125"/>
      <c r="B2611" s="125"/>
      <c r="C2611" s="125"/>
      <c r="D2611" s="125"/>
      <c r="E2611" s="125"/>
      <c r="F2611" s="126"/>
      <c r="G2611" s="126"/>
      <c r="H2611" s="127"/>
      <c r="I2611" s="125"/>
    </row>
    <row r="2612">
      <c r="A2612" s="125"/>
      <c r="B2612" s="125"/>
      <c r="C2612" s="125"/>
      <c r="D2612" s="125"/>
      <c r="E2612" s="125"/>
      <c r="F2612" s="126"/>
      <c r="G2612" s="126"/>
      <c r="H2612" s="126"/>
      <c r="I2612" s="125"/>
    </row>
    <row r="2613">
      <c r="A2613" s="125"/>
      <c r="B2613" s="125"/>
      <c r="C2613" s="125"/>
      <c r="D2613" s="125"/>
      <c r="E2613" s="125"/>
      <c r="F2613" s="126"/>
      <c r="G2613" s="126"/>
      <c r="H2613" s="126"/>
      <c r="I2613" s="125"/>
    </row>
    <row r="2614">
      <c r="A2614" s="125"/>
      <c r="B2614" s="125"/>
      <c r="C2614" s="125"/>
      <c r="D2614" s="125"/>
      <c r="E2614" s="125"/>
      <c r="F2614" s="126"/>
      <c r="G2614" s="126"/>
      <c r="H2614" s="127"/>
      <c r="I2614" s="125"/>
    </row>
    <row r="2615">
      <c r="A2615" s="125"/>
      <c r="B2615" s="125"/>
      <c r="C2615" s="125"/>
      <c r="D2615" s="125"/>
      <c r="E2615" s="125"/>
      <c r="F2615" s="126"/>
      <c r="G2615" s="126"/>
      <c r="H2615" s="127"/>
      <c r="I2615" s="125"/>
    </row>
    <row r="2616">
      <c r="A2616" s="125"/>
      <c r="B2616" s="125"/>
      <c r="C2616" s="125"/>
      <c r="D2616" s="125"/>
      <c r="E2616" s="125"/>
      <c r="F2616" s="126"/>
      <c r="G2616" s="126"/>
      <c r="H2616" s="127"/>
      <c r="I2616" s="125"/>
    </row>
    <row r="2617">
      <c r="A2617" s="125"/>
      <c r="B2617" s="125"/>
      <c r="C2617" s="125"/>
      <c r="D2617" s="125"/>
      <c r="E2617" s="125"/>
      <c r="F2617" s="126"/>
      <c r="G2617" s="126"/>
      <c r="H2617" s="127"/>
      <c r="I2617" s="125"/>
    </row>
    <row r="2618">
      <c r="A2618" s="125"/>
      <c r="B2618" s="125"/>
      <c r="C2618" s="125"/>
      <c r="D2618" s="125"/>
      <c r="E2618" s="125"/>
      <c r="F2618" s="126"/>
      <c r="G2618" s="126"/>
      <c r="H2618" s="127"/>
      <c r="I2618" s="125"/>
    </row>
    <row r="2619">
      <c r="A2619" s="125"/>
      <c r="B2619" s="125"/>
      <c r="C2619" s="125"/>
      <c r="D2619" s="125"/>
      <c r="E2619" s="125"/>
      <c r="F2619" s="126"/>
      <c r="G2619" s="126"/>
      <c r="H2619" s="127"/>
      <c r="I2619" s="125"/>
    </row>
    <row r="2620">
      <c r="A2620" s="125"/>
      <c r="B2620" s="125"/>
      <c r="C2620" s="125"/>
      <c r="D2620" s="125"/>
      <c r="E2620" s="125"/>
      <c r="F2620" s="126"/>
      <c r="G2620" s="126"/>
      <c r="H2620" s="127"/>
      <c r="I2620" s="125"/>
    </row>
    <row r="2621">
      <c r="A2621" s="125"/>
      <c r="B2621" s="125"/>
      <c r="C2621" s="125"/>
      <c r="D2621" s="125"/>
      <c r="E2621" s="125"/>
      <c r="F2621" s="126"/>
      <c r="G2621" s="126"/>
      <c r="H2621" s="127"/>
      <c r="I2621" s="125"/>
    </row>
    <row r="2622">
      <c r="A2622" s="125"/>
      <c r="B2622" s="125"/>
      <c r="C2622" s="125"/>
      <c r="D2622" s="125"/>
      <c r="E2622" s="125"/>
      <c r="F2622" s="126"/>
      <c r="G2622" s="126"/>
      <c r="H2622" s="127"/>
      <c r="I2622" s="125"/>
    </row>
    <row r="2623">
      <c r="A2623" s="125"/>
      <c r="B2623" s="125"/>
      <c r="C2623" s="125"/>
      <c r="D2623" s="125"/>
      <c r="E2623" s="125"/>
      <c r="F2623" s="126"/>
      <c r="G2623" s="126"/>
      <c r="H2623" s="127"/>
      <c r="I2623" s="125"/>
    </row>
    <row r="2624">
      <c r="A2624" s="125"/>
      <c r="B2624" s="125"/>
      <c r="C2624" s="125"/>
      <c r="D2624" s="125"/>
      <c r="E2624" s="125"/>
      <c r="F2624" s="126"/>
      <c r="G2624" s="126"/>
      <c r="H2624" s="127"/>
      <c r="I2624" s="125"/>
    </row>
    <row r="2625">
      <c r="A2625" s="125"/>
      <c r="B2625" s="125"/>
      <c r="C2625" s="125"/>
      <c r="D2625" s="125"/>
      <c r="E2625" s="125"/>
      <c r="F2625" s="126"/>
      <c r="G2625" s="126"/>
      <c r="H2625" s="127"/>
      <c r="I2625" s="125"/>
    </row>
    <row r="2626">
      <c r="A2626" s="125"/>
      <c r="B2626" s="125"/>
      <c r="C2626" s="125"/>
      <c r="D2626" s="125"/>
      <c r="E2626" s="125"/>
      <c r="F2626" s="126"/>
      <c r="G2626" s="126"/>
      <c r="H2626" s="127"/>
      <c r="I2626" s="125"/>
    </row>
    <row r="2627">
      <c r="A2627" s="125"/>
      <c r="B2627" s="125"/>
      <c r="C2627" s="125"/>
      <c r="D2627" s="125"/>
      <c r="E2627" s="125"/>
      <c r="F2627" s="126"/>
      <c r="G2627" s="126"/>
      <c r="H2627" s="127"/>
      <c r="I2627" s="125"/>
    </row>
    <row r="2628">
      <c r="A2628" s="125"/>
      <c r="B2628" s="125"/>
      <c r="C2628" s="125"/>
      <c r="D2628" s="125"/>
      <c r="E2628" s="125"/>
      <c r="F2628" s="126"/>
      <c r="G2628" s="126"/>
      <c r="H2628" s="127"/>
      <c r="I2628" s="125"/>
    </row>
    <row r="2629">
      <c r="A2629" s="125"/>
      <c r="B2629" s="125"/>
      <c r="C2629" s="125"/>
      <c r="D2629" s="125"/>
      <c r="E2629" s="125"/>
      <c r="F2629" s="126"/>
      <c r="G2629" s="126"/>
      <c r="H2629" s="126"/>
      <c r="I2629" s="125"/>
    </row>
    <row r="2630">
      <c r="A2630" s="125"/>
      <c r="B2630" s="125"/>
      <c r="C2630" s="125"/>
      <c r="D2630" s="125"/>
      <c r="E2630" s="125"/>
      <c r="F2630" s="126"/>
      <c r="G2630" s="126"/>
      <c r="H2630" s="126"/>
      <c r="I2630" s="125"/>
    </row>
    <row r="2631">
      <c r="A2631" s="125"/>
      <c r="B2631" s="125"/>
      <c r="C2631" s="125"/>
      <c r="D2631" s="125"/>
      <c r="E2631" s="125"/>
      <c r="F2631" s="126"/>
      <c r="G2631" s="126"/>
      <c r="H2631" s="127"/>
      <c r="I2631" s="125"/>
    </row>
    <row r="2632">
      <c r="A2632" s="125"/>
      <c r="B2632" s="125"/>
      <c r="C2632" s="125"/>
      <c r="D2632" s="125"/>
      <c r="E2632" s="125"/>
      <c r="F2632" s="126"/>
      <c r="G2632" s="126"/>
      <c r="H2632" s="127"/>
      <c r="I2632" s="125"/>
    </row>
    <row r="2633">
      <c r="A2633" s="125"/>
      <c r="B2633" s="125"/>
      <c r="C2633" s="125"/>
      <c r="D2633" s="125"/>
      <c r="E2633" s="125"/>
      <c r="F2633" s="126"/>
      <c r="G2633" s="126"/>
      <c r="H2633" s="127"/>
      <c r="I2633" s="125"/>
    </row>
    <row r="2634">
      <c r="A2634" s="125"/>
      <c r="B2634" s="125"/>
      <c r="C2634" s="125"/>
      <c r="D2634" s="125"/>
      <c r="E2634" s="125"/>
      <c r="F2634" s="126"/>
      <c r="G2634" s="126"/>
      <c r="H2634" s="127"/>
      <c r="I2634" s="125"/>
    </row>
    <row r="2635">
      <c r="A2635" s="125"/>
      <c r="B2635" s="125"/>
      <c r="C2635" s="125"/>
      <c r="D2635" s="125"/>
      <c r="E2635" s="125"/>
      <c r="F2635" s="126"/>
      <c r="G2635" s="126"/>
      <c r="H2635" s="127"/>
      <c r="I2635" s="125"/>
    </row>
    <row r="2636">
      <c r="A2636" s="125"/>
      <c r="B2636" s="125"/>
      <c r="C2636" s="125"/>
      <c r="D2636" s="125"/>
      <c r="E2636" s="125"/>
      <c r="F2636" s="126"/>
      <c r="G2636" s="126"/>
      <c r="H2636" s="127"/>
      <c r="I2636" s="125"/>
    </row>
    <row r="2637">
      <c r="A2637" s="125"/>
      <c r="B2637" s="125"/>
      <c r="C2637" s="125"/>
      <c r="D2637" s="125"/>
      <c r="E2637" s="125"/>
      <c r="F2637" s="126"/>
      <c r="G2637" s="126"/>
      <c r="H2637" s="127"/>
      <c r="I2637" s="125"/>
    </row>
    <row r="2638">
      <c r="A2638" s="125"/>
      <c r="B2638" s="125"/>
      <c r="C2638" s="125"/>
      <c r="D2638" s="125"/>
      <c r="E2638" s="125"/>
      <c r="F2638" s="126"/>
      <c r="G2638" s="126"/>
      <c r="H2638" s="127"/>
      <c r="I2638" s="125"/>
    </row>
    <row r="2639">
      <c r="A2639" s="125"/>
      <c r="B2639" s="125"/>
      <c r="C2639" s="125"/>
      <c r="D2639" s="125"/>
      <c r="E2639" s="125"/>
      <c r="F2639" s="126"/>
      <c r="G2639" s="126"/>
      <c r="H2639" s="127"/>
      <c r="I2639" s="125"/>
    </row>
    <row r="2640">
      <c r="A2640" s="125"/>
      <c r="B2640" s="125"/>
      <c r="C2640" s="125"/>
      <c r="D2640" s="125"/>
      <c r="E2640" s="125"/>
      <c r="F2640" s="126"/>
      <c r="G2640" s="126"/>
      <c r="H2640" s="127"/>
      <c r="I2640" s="125"/>
    </row>
    <row r="2641">
      <c r="A2641" s="125"/>
      <c r="B2641" s="125"/>
      <c r="C2641" s="125"/>
      <c r="D2641" s="125"/>
      <c r="E2641" s="125"/>
      <c r="F2641" s="126"/>
      <c r="G2641" s="126"/>
      <c r="H2641" s="127"/>
      <c r="I2641" s="125"/>
    </row>
    <row r="2642">
      <c r="A2642" s="125"/>
      <c r="B2642" s="125"/>
      <c r="C2642" s="125"/>
      <c r="D2642" s="125"/>
      <c r="E2642" s="125"/>
      <c r="F2642" s="126"/>
      <c r="G2642" s="126"/>
      <c r="H2642" s="127"/>
      <c r="I2642" s="125"/>
    </row>
    <row r="2643">
      <c r="A2643" s="125"/>
      <c r="B2643" s="125"/>
      <c r="C2643" s="125"/>
      <c r="D2643" s="125"/>
      <c r="E2643" s="125"/>
      <c r="F2643" s="126"/>
      <c r="G2643" s="126"/>
      <c r="H2643" s="127"/>
      <c r="I2643" s="125"/>
    </row>
    <row r="2644">
      <c r="A2644" s="125"/>
      <c r="B2644" s="125"/>
      <c r="C2644" s="125"/>
      <c r="D2644" s="125"/>
      <c r="E2644" s="125"/>
      <c r="F2644" s="126"/>
      <c r="G2644" s="126"/>
      <c r="H2644" s="127"/>
      <c r="I2644" s="125"/>
    </row>
    <row r="2645">
      <c r="A2645" s="125"/>
      <c r="B2645" s="125"/>
      <c r="C2645" s="125"/>
      <c r="D2645" s="125"/>
      <c r="E2645" s="125"/>
      <c r="F2645" s="126"/>
      <c r="G2645" s="126"/>
      <c r="H2645" s="127"/>
      <c r="I2645" s="125"/>
    </row>
    <row r="2646">
      <c r="A2646" s="125"/>
      <c r="B2646" s="125"/>
      <c r="C2646" s="125"/>
      <c r="D2646" s="125"/>
      <c r="E2646" s="125"/>
      <c r="F2646" s="126"/>
      <c r="G2646" s="126"/>
      <c r="H2646" s="127"/>
      <c r="I2646" s="125"/>
    </row>
    <row r="2647">
      <c r="A2647" s="125"/>
      <c r="B2647" s="125"/>
      <c r="C2647" s="125"/>
      <c r="D2647" s="125"/>
      <c r="E2647" s="125"/>
      <c r="F2647" s="126"/>
      <c r="G2647" s="126"/>
      <c r="H2647" s="126"/>
      <c r="I2647" s="125"/>
    </row>
    <row r="2648">
      <c r="A2648" s="125"/>
      <c r="B2648" s="125"/>
      <c r="C2648" s="125"/>
      <c r="D2648" s="125"/>
      <c r="E2648" s="125"/>
      <c r="F2648" s="126"/>
      <c r="G2648" s="126"/>
      <c r="H2648" s="127"/>
      <c r="I2648" s="125"/>
    </row>
    <row r="2649">
      <c r="A2649" s="125"/>
      <c r="B2649" s="125"/>
      <c r="C2649" s="125"/>
      <c r="D2649" s="125"/>
      <c r="E2649" s="125"/>
      <c r="F2649" s="126"/>
      <c r="G2649" s="126"/>
      <c r="H2649" s="127"/>
      <c r="I2649" s="125"/>
    </row>
    <row r="2650">
      <c r="A2650" s="125"/>
      <c r="B2650" s="125"/>
      <c r="C2650" s="125"/>
      <c r="D2650" s="125"/>
      <c r="E2650" s="125"/>
      <c r="F2650" s="126"/>
      <c r="G2650" s="126"/>
      <c r="H2650" s="127"/>
      <c r="I2650" s="125"/>
    </row>
    <row r="2651">
      <c r="A2651" s="125"/>
      <c r="B2651" s="125"/>
      <c r="C2651" s="125"/>
      <c r="D2651" s="125"/>
      <c r="E2651" s="125"/>
      <c r="F2651" s="126"/>
      <c r="G2651" s="126"/>
      <c r="H2651" s="127"/>
      <c r="I2651" s="125"/>
    </row>
    <row r="2652">
      <c r="A2652" s="125"/>
      <c r="B2652" s="125"/>
      <c r="C2652" s="125"/>
      <c r="D2652" s="125"/>
      <c r="E2652" s="125"/>
      <c r="F2652" s="126"/>
      <c r="G2652" s="126"/>
      <c r="H2652" s="127"/>
      <c r="I2652" s="125"/>
    </row>
    <row r="2653">
      <c r="A2653" s="125"/>
      <c r="B2653" s="125"/>
      <c r="C2653" s="125"/>
      <c r="D2653" s="125"/>
      <c r="E2653" s="125"/>
      <c r="F2653" s="126"/>
      <c r="G2653" s="126"/>
      <c r="H2653" s="127"/>
      <c r="I2653" s="125"/>
    </row>
    <row r="2654">
      <c r="A2654" s="125"/>
      <c r="B2654" s="125"/>
      <c r="C2654" s="125"/>
      <c r="D2654" s="125"/>
      <c r="E2654" s="125"/>
      <c r="F2654" s="126"/>
      <c r="G2654" s="126"/>
      <c r="H2654" s="127"/>
      <c r="I2654" s="125"/>
    </row>
    <row r="2655">
      <c r="A2655" s="125"/>
      <c r="B2655" s="125"/>
      <c r="C2655" s="125"/>
      <c r="D2655" s="125"/>
      <c r="E2655" s="125"/>
      <c r="F2655" s="126"/>
      <c r="G2655" s="126"/>
      <c r="H2655" s="127"/>
      <c r="I2655" s="125"/>
    </row>
    <row r="2656">
      <c r="A2656" s="125"/>
      <c r="B2656" s="125"/>
      <c r="C2656" s="125"/>
      <c r="D2656" s="125"/>
      <c r="E2656" s="125"/>
      <c r="F2656" s="126"/>
      <c r="G2656" s="126"/>
      <c r="H2656" s="127"/>
      <c r="I2656" s="125"/>
    </row>
    <row r="2657">
      <c r="A2657" s="125"/>
      <c r="B2657" s="125"/>
      <c r="C2657" s="125"/>
      <c r="D2657" s="125"/>
      <c r="E2657" s="125"/>
      <c r="F2657" s="126"/>
      <c r="G2657" s="126"/>
      <c r="H2657" s="127"/>
      <c r="I2657" s="125"/>
    </row>
    <row r="2658">
      <c r="A2658" s="125"/>
      <c r="B2658" s="125"/>
      <c r="C2658" s="125"/>
      <c r="D2658" s="125"/>
      <c r="E2658" s="125"/>
      <c r="F2658" s="126"/>
      <c r="G2658" s="126"/>
      <c r="H2658" s="127"/>
      <c r="I2658" s="125"/>
    </row>
    <row r="2659">
      <c r="A2659" s="125"/>
      <c r="B2659" s="125"/>
      <c r="C2659" s="125"/>
      <c r="D2659" s="125"/>
      <c r="E2659" s="125"/>
      <c r="F2659" s="126"/>
      <c r="G2659" s="126"/>
      <c r="H2659" s="127"/>
      <c r="I2659" s="125"/>
    </row>
    <row r="2660">
      <c r="A2660" s="125"/>
      <c r="B2660" s="125"/>
      <c r="C2660" s="125"/>
      <c r="D2660" s="125"/>
      <c r="E2660" s="125"/>
      <c r="F2660" s="126"/>
      <c r="G2660" s="126"/>
      <c r="H2660" s="126"/>
      <c r="I2660" s="125"/>
    </row>
    <row r="2661">
      <c r="A2661" s="125"/>
      <c r="B2661" s="125"/>
      <c r="C2661" s="125"/>
      <c r="D2661" s="125"/>
      <c r="E2661" s="125"/>
      <c r="F2661" s="126"/>
      <c r="G2661" s="126"/>
      <c r="H2661" s="127"/>
      <c r="I2661" s="125"/>
    </row>
    <row r="2662">
      <c r="A2662" s="125"/>
      <c r="B2662" s="125"/>
      <c r="C2662" s="125"/>
      <c r="D2662" s="125"/>
      <c r="E2662" s="125"/>
      <c r="F2662" s="126"/>
      <c r="G2662" s="126"/>
      <c r="H2662" s="127"/>
      <c r="I2662" s="125"/>
    </row>
    <row r="2663">
      <c r="A2663" s="125"/>
      <c r="B2663" s="125"/>
      <c r="C2663" s="125"/>
      <c r="D2663" s="125"/>
      <c r="E2663" s="125"/>
      <c r="F2663" s="126"/>
      <c r="G2663" s="126"/>
      <c r="H2663" s="127"/>
      <c r="I2663" s="125"/>
    </row>
    <row r="2664">
      <c r="A2664" s="125"/>
      <c r="B2664" s="125"/>
      <c r="C2664" s="125"/>
      <c r="D2664" s="125"/>
      <c r="E2664" s="125"/>
      <c r="F2664" s="126"/>
      <c r="G2664" s="126"/>
      <c r="H2664" s="127"/>
      <c r="I2664" s="125"/>
    </row>
    <row r="2665">
      <c r="A2665" s="125"/>
      <c r="B2665" s="125"/>
      <c r="C2665" s="125"/>
      <c r="D2665" s="125"/>
      <c r="E2665" s="125"/>
      <c r="F2665" s="126"/>
      <c r="G2665" s="126"/>
      <c r="H2665" s="126"/>
      <c r="I2665" s="125"/>
    </row>
    <row r="2666">
      <c r="A2666" s="125"/>
      <c r="B2666" s="125"/>
      <c r="C2666" s="125"/>
      <c r="D2666" s="125"/>
      <c r="E2666" s="125"/>
      <c r="F2666" s="126"/>
      <c r="G2666" s="126"/>
      <c r="H2666" s="127"/>
      <c r="I2666" s="125"/>
    </row>
    <row r="2667">
      <c r="A2667" s="125"/>
      <c r="B2667" s="125"/>
      <c r="C2667" s="125"/>
      <c r="D2667" s="125"/>
      <c r="E2667" s="125"/>
      <c r="F2667" s="126"/>
      <c r="G2667" s="126"/>
      <c r="H2667" s="127"/>
      <c r="I2667" s="125"/>
    </row>
    <row r="2668">
      <c r="A2668" s="125"/>
      <c r="B2668" s="125"/>
      <c r="C2668" s="125"/>
      <c r="D2668" s="125"/>
      <c r="E2668" s="125"/>
      <c r="F2668" s="126"/>
      <c r="G2668" s="126"/>
      <c r="H2668" s="127"/>
      <c r="I2668" s="125"/>
    </row>
    <row r="2669">
      <c r="A2669" s="125"/>
      <c r="B2669" s="125"/>
      <c r="C2669" s="125"/>
      <c r="D2669" s="125"/>
      <c r="E2669" s="125"/>
      <c r="F2669" s="126"/>
      <c r="G2669" s="126"/>
      <c r="H2669" s="126"/>
      <c r="I2669" s="125"/>
    </row>
    <row r="2670">
      <c r="A2670" s="125"/>
      <c r="B2670" s="125"/>
      <c r="C2670" s="125"/>
      <c r="D2670" s="125"/>
      <c r="E2670" s="125"/>
      <c r="F2670" s="126"/>
      <c r="G2670" s="126"/>
      <c r="H2670" s="126"/>
      <c r="I2670" s="125"/>
    </row>
    <row r="2671">
      <c r="A2671" s="125"/>
      <c r="B2671" s="125"/>
      <c r="C2671" s="125"/>
      <c r="D2671" s="125"/>
      <c r="E2671" s="125"/>
      <c r="F2671" s="126"/>
      <c r="G2671" s="126"/>
      <c r="H2671" s="127"/>
      <c r="I2671" s="125"/>
    </row>
    <row r="2672">
      <c r="A2672" s="125"/>
      <c r="B2672" s="125"/>
      <c r="C2672" s="125"/>
      <c r="D2672" s="125"/>
      <c r="E2672" s="125"/>
      <c r="F2672" s="126"/>
      <c r="G2672" s="126"/>
      <c r="H2672" s="126"/>
      <c r="I2672" s="125"/>
    </row>
    <row r="2673">
      <c r="A2673" s="125"/>
      <c r="B2673" s="125"/>
      <c r="C2673" s="125"/>
      <c r="D2673" s="125"/>
      <c r="E2673" s="125"/>
      <c r="F2673" s="126"/>
      <c r="G2673" s="126"/>
      <c r="H2673" s="127"/>
      <c r="I2673" s="125"/>
    </row>
    <row r="2674">
      <c r="A2674" s="125"/>
      <c r="B2674" s="125"/>
      <c r="C2674" s="125"/>
      <c r="D2674" s="125"/>
      <c r="E2674" s="125"/>
      <c r="F2674" s="126"/>
      <c r="G2674" s="126"/>
      <c r="H2674" s="127"/>
      <c r="I2674" s="125"/>
    </row>
    <row r="2675">
      <c r="A2675" s="125"/>
      <c r="B2675" s="125"/>
      <c r="C2675" s="125"/>
      <c r="D2675" s="125"/>
      <c r="E2675" s="125"/>
      <c r="F2675" s="126"/>
      <c r="G2675" s="126"/>
      <c r="H2675" s="126"/>
      <c r="I2675" s="125"/>
    </row>
    <row r="2676">
      <c r="A2676" s="125"/>
      <c r="B2676" s="125"/>
      <c r="C2676" s="125"/>
      <c r="D2676" s="125"/>
      <c r="E2676" s="125"/>
      <c r="F2676" s="126"/>
      <c r="G2676" s="126"/>
      <c r="H2676" s="127"/>
      <c r="I2676" s="125"/>
    </row>
    <row r="2677">
      <c r="A2677" s="125"/>
      <c r="B2677" s="125"/>
      <c r="C2677" s="125"/>
      <c r="D2677" s="125"/>
      <c r="E2677" s="125"/>
      <c r="F2677" s="126"/>
      <c r="G2677" s="126"/>
      <c r="H2677" s="127"/>
      <c r="I2677" s="125"/>
    </row>
    <row r="2678">
      <c r="A2678" s="125"/>
      <c r="B2678" s="125"/>
      <c r="C2678" s="125"/>
      <c r="D2678" s="125"/>
      <c r="E2678" s="125"/>
      <c r="F2678" s="126"/>
      <c r="G2678" s="126"/>
      <c r="H2678" s="127"/>
      <c r="I2678" s="125"/>
    </row>
    <row r="2679">
      <c r="A2679" s="125"/>
      <c r="B2679" s="125"/>
      <c r="C2679" s="125"/>
      <c r="D2679" s="125"/>
      <c r="E2679" s="125"/>
      <c r="F2679" s="126"/>
      <c r="G2679" s="126"/>
      <c r="H2679" s="127"/>
      <c r="I2679" s="125"/>
    </row>
    <row r="2680">
      <c r="A2680" s="125"/>
      <c r="B2680" s="125"/>
      <c r="C2680" s="125"/>
      <c r="D2680" s="125"/>
      <c r="E2680" s="125"/>
      <c r="F2680" s="126"/>
      <c r="G2680" s="126"/>
      <c r="H2680" s="127"/>
      <c r="I2680" s="125"/>
    </row>
    <row r="2681">
      <c r="A2681" s="125"/>
      <c r="B2681" s="125"/>
      <c r="C2681" s="125"/>
      <c r="D2681" s="125"/>
      <c r="E2681" s="125"/>
      <c r="F2681" s="126"/>
      <c r="G2681" s="126"/>
      <c r="H2681" s="127"/>
      <c r="I2681" s="125"/>
    </row>
    <row r="2682">
      <c r="A2682" s="125"/>
      <c r="B2682" s="125"/>
      <c r="C2682" s="125"/>
      <c r="D2682" s="125"/>
      <c r="E2682" s="125"/>
      <c r="F2682" s="126"/>
      <c r="G2682" s="126"/>
      <c r="H2682" s="127"/>
      <c r="I2682" s="125"/>
    </row>
    <row r="2683">
      <c r="A2683" s="125"/>
      <c r="B2683" s="125"/>
      <c r="C2683" s="125"/>
      <c r="D2683" s="125"/>
      <c r="E2683" s="125"/>
      <c r="F2683" s="126"/>
      <c r="G2683" s="126"/>
      <c r="H2683" s="127"/>
      <c r="I2683" s="125"/>
    </row>
    <row r="2684">
      <c r="A2684" s="125"/>
      <c r="B2684" s="125"/>
      <c r="C2684" s="125"/>
      <c r="D2684" s="125"/>
      <c r="E2684" s="125"/>
      <c r="F2684" s="126"/>
      <c r="G2684" s="126"/>
      <c r="H2684" s="127"/>
      <c r="I2684" s="125"/>
    </row>
    <row r="2685">
      <c r="A2685" s="125"/>
      <c r="B2685" s="125"/>
      <c r="C2685" s="125"/>
      <c r="D2685" s="125"/>
      <c r="E2685" s="125"/>
      <c r="F2685" s="126"/>
      <c r="G2685" s="126"/>
      <c r="H2685" s="126"/>
      <c r="I2685" s="125"/>
    </row>
    <row r="2686">
      <c r="A2686" s="125"/>
      <c r="B2686" s="125"/>
      <c r="C2686" s="125"/>
      <c r="D2686" s="125"/>
      <c r="E2686" s="125"/>
      <c r="F2686" s="126"/>
      <c r="G2686" s="126"/>
      <c r="H2686" s="127"/>
      <c r="I2686" s="125"/>
    </row>
    <row r="2687">
      <c r="A2687" s="125"/>
      <c r="B2687" s="125"/>
      <c r="C2687" s="125"/>
      <c r="D2687" s="125"/>
      <c r="E2687" s="125"/>
      <c r="F2687" s="126"/>
      <c r="G2687" s="126"/>
      <c r="H2687" s="126"/>
      <c r="I2687" s="125"/>
    </row>
    <row r="2688">
      <c r="A2688" s="125"/>
      <c r="B2688" s="125"/>
      <c r="C2688" s="125"/>
      <c r="D2688" s="125"/>
      <c r="E2688" s="125"/>
      <c r="F2688" s="126"/>
      <c r="G2688" s="126"/>
      <c r="H2688" s="127"/>
      <c r="I2688" s="125"/>
    </row>
    <row r="2689">
      <c r="A2689" s="125"/>
      <c r="B2689" s="125"/>
      <c r="C2689" s="125"/>
      <c r="D2689" s="125"/>
      <c r="E2689" s="125"/>
      <c r="F2689" s="126"/>
      <c r="G2689" s="126"/>
      <c r="H2689" s="127"/>
      <c r="I2689" s="125"/>
    </row>
    <row r="2690">
      <c r="A2690" s="125"/>
      <c r="B2690" s="125"/>
      <c r="C2690" s="125"/>
      <c r="D2690" s="125"/>
      <c r="E2690" s="125"/>
      <c r="F2690" s="126"/>
      <c r="G2690" s="126"/>
      <c r="H2690" s="126"/>
      <c r="I2690" s="125"/>
    </row>
    <row r="2691">
      <c r="A2691" s="125"/>
      <c r="B2691" s="125"/>
      <c r="C2691" s="125"/>
      <c r="D2691" s="125"/>
      <c r="E2691" s="125"/>
      <c r="F2691" s="126"/>
      <c r="G2691" s="126"/>
      <c r="H2691" s="127"/>
      <c r="I2691" s="125"/>
    </row>
    <row r="2692">
      <c r="A2692" s="125"/>
      <c r="B2692" s="125"/>
      <c r="C2692" s="125"/>
      <c r="D2692" s="125"/>
      <c r="E2692" s="125"/>
      <c r="F2692" s="126"/>
      <c r="G2692" s="126"/>
      <c r="H2692" s="127"/>
      <c r="I2692" s="125"/>
    </row>
    <row r="2693">
      <c r="A2693" s="125"/>
      <c r="B2693" s="125"/>
      <c r="C2693" s="125"/>
      <c r="D2693" s="125"/>
      <c r="E2693" s="125"/>
      <c r="F2693" s="126"/>
      <c r="G2693" s="126"/>
      <c r="H2693" s="127"/>
      <c r="I2693" s="125"/>
    </row>
    <row r="2694">
      <c r="A2694" s="125"/>
      <c r="B2694" s="125"/>
      <c r="C2694" s="125"/>
      <c r="D2694" s="125"/>
      <c r="E2694" s="125"/>
      <c r="F2694" s="126"/>
      <c r="G2694" s="126"/>
      <c r="H2694" s="127"/>
      <c r="I2694" s="125"/>
    </row>
    <row r="2695">
      <c r="A2695" s="125"/>
      <c r="B2695" s="125"/>
      <c r="C2695" s="125"/>
      <c r="D2695" s="125"/>
      <c r="E2695" s="125"/>
      <c r="F2695" s="126"/>
      <c r="G2695" s="126"/>
      <c r="H2695" s="126"/>
      <c r="I2695" s="125"/>
    </row>
    <row r="2696">
      <c r="A2696" s="125"/>
      <c r="B2696" s="125"/>
      <c r="C2696" s="125"/>
      <c r="D2696" s="125"/>
      <c r="E2696" s="125"/>
      <c r="F2696" s="126"/>
      <c r="G2696" s="126"/>
      <c r="H2696" s="127"/>
      <c r="I2696" s="125"/>
    </row>
    <row r="2697">
      <c r="A2697" s="125"/>
      <c r="B2697" s="125"/>
      <c r="C2697" s="125"/>
      <c r="D2697" s="125"/>
      <c r="E2697" s="125"/>
      <c r="F2697" s="126"/>
      <c r="G2697" s="126"/>
      <c r="H2697" s="126"/>
      <c r="I2697" s="125"/>
    </row>
    <row r="2698">
      <c r="A2698" s="125"/>
      <c r="B2698" s="125"/>
      <c r="C2698" s="125"/>
      <c r="D2698" s="125"/>
      <c r="E2698" s="125"/>
      <c r="F2698" s="126"/>
      <c r="G2698" s="126"/>
      <c r="H2698" s="127"/>
      <c r="I2698" s="125"/>
    </row>
    <row r="2699">
      <c r="A2699" s="125"/>
      <c r="B2699" s="125"/>
      <c r="C2699" s="125"/>
      <c r="D2699" s="125"/>
      <c r="E2699" s="125"/>
      <c r="F2699" s="126"/>
      <c r="G2699" s="126"/>
      <c r="H2699" s="127"/>
      <c r="I2699" s="125"/>
    </row>
    <row r="2700">
      <c r="A2700" s="125"/>
      <c r="B2700" s="125"/>
      <c r="C2700" s="125"/>
      <c r="D2700" s="125"/>
      <c r="E2700" s="125"/>
      <c r="F2700" s="126"/>
      <c r="G2700" s="126"/>
      <c r="H2700" s="127"/>
      <c r="I2700" s="125"/>
    </row>
    <row r="2701">
      <c r="A2701" s="125"/>
      <c r="B2701" s="125"/>
      <c r="C2701" s="125"/>
      <c r="D2701" s="125"/>
      <c r="E2701" s="125"/>
      <c r="F2701" s="126"/>
      <c r="G2701" s="126"/>
      <c r="H2701" s="127"/>
      <c r="I2701" s="125"/>
    </row>
    <row r="2702">
      <c r="A2702" s="125"/>
      <c r="B2702" s="125"/>
      <c r="C2702" s="125"/>
      <c r="D2702" s="125"/>
      <c r="E2702" s="125"/>
      <c r="F2702" s="126"/>
      <c r="G2702" s="126"/>
      <c r="H2702" s="127"/>
      <c r="I2702" s="125"/>
    </row>
    <row r="2703">
      <c r="A2703" s="125"/>
      <c r="B2703" s="125"/>
      <c r="C2703" s="125"/>
      <c r="D2703" s="125"/>
      <c r="E2703" s="125"/>
      <c r="F2703" s="126"/>
      <c r="G2703" s="126"/>
      <c r="H2703" s="127"/>
      <c r="I2703" s="125"/>
    </row>
    <row r="2704">
      <c r="A2704" s="125"/>
      <c r="B2704" s="125"/>
      <c r="C2704" s="125"/>
      <c r="D2704" s="125"/>
      <c r="E2704" s="125"/>
      <c r="F2704" s="126"/>
      <c r="G2704" s="126"/>
      <c r="H2704" s="127"/>
      <c r="I2704" s="125"/>
    </row>
    <row r="2705">
      <c r="A2705" s="125"/>
      <c r="B2705" s="125"/>
      <c r="C2705" s="125"/>
      <c r="D2705" s="125"/>
      <c r="E2705" s="125"/>
      <c r="F2705" s="126"/>
      <c r="G2705" s="126"/>
      <c r="H2705" s="127"/>
      <c r="I2705" s="125"/>
    </row>
    <row r="2706">
      <c r="A2706" s="125"/>
      <c r="B2706" s="125"/>
      <c r="C2706" s="125"/>
      <c r="D2706" s="125"/>
      <c r="E2706" s="125"/>
      <c r="F2706" s="126"/>
      <c r="G2706" s="126"/>
      <c r="H2706" s="127"/>
      <c r="I2706" s="125"/>
    </row>
    <row r="2707">
      <c r="A2707" s="125"/>
      <c r="B2707" s="125"/>
      <c r="C2707" s="125"/>
      <c r="D2707" s="125"/>
      <c r="E2707" s="125"/>
      <c r="F2707" s="126"/>
      <c r="G2707" s="126"/>
      <c r="H2707" s="127"/>
      <c r="I2707" s="125"/>
    </row>
    <row r="2708">
      <c r="A2708" s="125"/>
      <c r="B2708" s="125"/>
      <c r="C2708" s="125"/>
      <c r="D2708" s="125"/>
      <c r="E2708" s="125"/>
      <c r="F2708" s="126"/>
      <c r="G2708" s="126"/>
      <c r="H2708" s="127"/>
      <c r="I2708" s="125"/>
    </row>
    <row r="2709">
      <c r="A2709" s="125"/>
      <c r="B2709" s="125"/>
      <c r="C2709" s="125"/>
      <c r="D2709" s="125"/>
      <c r="E2709" s="125"/>
      <c r="F2709" s="126"/>
      <c r="G2709" s="126"/>
      <c r="H2709" s="126"/>
      <c r="I2709" s="125"/>
    </row>
    <row r="2710">
      <c r="A2710" s="125"/>
      <c r="B2710" s="125"/>
      <c r="C2710" s="125"/>
      <c r="D2710" s="125"/>
      <c r="E2710" s="125"/>
      <c r="F2710" s="126"/>
      <c r="G2710" s="126"/>
      <c r="H2710" s="127"/>
      <c r="I2710" s="125"/>
    </row>
    <row r="2711">
      <c r="A2711" s="125"/>
      <c r="B2711" s="125"/>
      <c r="C2711" s="125"/>
      <c r="D2711" s="125"/>
      <c r="E2711" s="125"/>
      <c r="F2711" s="126"/>
      <c r="G2711" s="126"/>
      <c r="H2711" s="127"/>
      <c r="I2711" s="125"/>
    </row>
    <row r="2712">
      <c r="A2712" s="125"/>
      <c r="B2712" s="125"/>
      <c r="C2712" s="125"/>
      <c r="D2712" s="125"/>
      <c r="E2712" s="125"/>
      <c r="F2712" s="126"/>
      <c r="G2712" s="126"/>
      <c r="H2712" s="127"/>
      <c r="I2712" s="125"/>
    </row>
    <row r="2713">
      <c r="A2713" s="125"/>
      <c r="B2713" s="125"/>
      <c r="C2713" s="125"/>
      <c r="D2713" s="125"/>
      <c r="E2713" s="125"/>
      <c r="F2713" s="126"/>
      <c r="G2713" s="126"/>
      <c r="H2713" s="127"/>
      <c r="I2713" s="125"/>
    </row>
    <row r="2714">
      <c r="A2714" s="125"/>
      <c r="B2714" s="125"/>
      <c r="C2714" s="125"/>
      <c r="D2714" s="125"/>
      <c r="E2714" s="125"/>
      <c r="F2714" s="126"/>
      <c r="G2714" s="126"/>
      <c r="H2714" s="127"/>
      <c r="I2714" s="125"/>
    </row>
    <row r="2715">
      <c r="A2715" s="125"/>
      <c r="B2715" s="125"/>
      <c r="C2715" s="125"/>
      <c r="D2715" s="125"/>
      <c r="E2715" s="125"/>
      <c r="F2715" s="126"/>
      <c r="G2715" s="126"/>
      <c r="H2715" s="127"/>
      <c r="I2715" s="125"/>
    </row>
    <row r="2716">
      <c r="A2716" s="125"/>
      <c r="B2716" s="125"/>
      <c r="C2716" s="125"/>
      <c r="D2716" s="125"/>
      <c r="E2716" s="125"/>
      <c r="F2716" s="126"/>
      <c r="G2716" s="126"/>
      <c r="H2716" s="127"/>
      <c r="I2716" s="125"/>
    </row>
    <row r="2717">
      <c r="A2717" s="125"/>
      <c r="B2717" s="125"/>
      <c r="C2717" s="125"/>
      <c r="D2717" s="125"/>
      <c r="E2717" s="125"/>
      <c r="F2717" s="126"/>
      <c r="G2717" s="126"/>
      <c r="H2717" s="126"/>
      <c r="I2717" s="125"/>
    </row>
    <row r="2718">
      <c r="A2718" s="125"/>
      <c r="B2718" s="125"/>
      <c r="C2718" s="125"/>
      <c r="D2718" s="125"/>
      <c r="E2718" s="125"/>
      <c r="F2718" s="126"/>
      <c r="G2718" s="126"/>
      <c r="H2718" s="127"/>
      <c r="I2718" s="125"/>
    </row>
    <row r="2719">
      <c r="A2719" s="125"/>
      <c r="B2719" s="125"/>
      <c r="C2719" s="125"/>
      <c r="D2719" s="125"/>
      <c r="E2719" s="125"/>
      <c r="F2719" s="126"/>
      <c r="G2719" s="126"/>
      <c r="H2719" s="126"/>
      <c r="I2719" s="125"/>
    </row>
    <row r="2720">
      <c r="A2720" s="125"/>
      <c r="B2720" s="125"/>
      <c r="C2720" s="125"/>
      <c r="D2720" s="125"/>
      <c r="E2720" s="125"/>
      <c r="F2720" s="126"/>
      <c r="G2720" s="126"/>
      <c r="H2720" s="127"/>
      <c r="I2720" s="125"/>
    </row>
    <row r="2721">
      <c r="A2721" s="125"/>
      <c r="B2721" s="125"/>
      <c r="C2721" s="125"/>
      <c r="D2721" s="125"/>
      <c r="E2721" s="125"/>
      <c r="F2721" s="126"/>
      <c r="G2721" s="126"/>
      <c r="H2721" s="127"/>
      <c r="I2721" s="125"/>
    </row>
    <row r="2722">
      <c r="A2722" s="125"/>
      <c r="B2722" s="125"/>
      <c r="C2722" s="125"/>
      <c r="D2722" s="125"/>
      <c r="E2722" s="125"/>
      <c r="F2722" s="126"/>
      <c r="G2722" s="126"/>
      <c r="H2722" s="127"/>
      <c r="I2722" s="125"/>
    </row>
    <row r="2723">
      <c r="A2723" s="125"/>
      <c r="B2723" s="125"/>
      <c r="C2723" s="125"/>
      <c r="D2723" s="125"/>
      <c r="E2723" s="125"/>
      <c r="F2723" s="126"/>
      <c r="G2723" s="126"/>
      <c r="H2723" s="126"/>
      <c r="I2723" s="125"/>
    </row>
    <row r="2724">
      <c r="A2724" s="125"/>
      <c r="B2724" s="125"/>
      <c r="C2724" s="125"/>
      <c r="D2724" s="125"/>
      <c r="E2724" s="125"/>
      <c r="F2724" s="126"/>
      <c r="G2724" s="126"/>
      <c r="H2724" s="127"/>
      <c r="I2724" s="125"/>
    </row>
    <row r="2725">
      <c r="A2725" s="125"/>
      <c r="B2725" s="125"/>
      <c r="C2725" s="125"/>
      <c r="D2725" s="125"/>
      <c r="E2725" s="125"/>
      <c r="F2725" s="126"/>
      <c r="G2725" s="126"/>
      <c r="H2725" s="127"/>
      <c r="I2725" s="125"/>
    </row>
    <row r="2726">
      <c r="A2726" s="125"/>
      <c r="B2726" s="125"/>
      <c r="C2726" s="125"/>
      <c r="D2726" s="125"/>
      <c r="E2726" s="125"/>
      <c r="F2726" s="126"/>
      <c r="G2726" s="126"/>
      <c r="H2726" s="126"/>
      <c r="I2726" s="125"/>
    </row>
    <row r="2727">
      <c r="A2727" s="125"/>
      <c r="B2727" s="125"/>
      <c r="C2727" s="125"/>
      <c r="D2727" s="125"/>
      <c r="E2727" s="125"/>
      <c r="F2727" s="126"/>
      <c r="G2727" s="126"/>
      <c r="H2727" s="127"/>
      <c r="I2727" s="125"/>
    </row>
    <row r="2728">
      <c r="A2728" s="125"/>
      <c r="B2728" s="125"/>
      <c r="C2728" s="125"/>
      <c r="D2728" s="125"/>
      <c r="E2728" s="125"/>
      <c r="F2728" s="126"/>
      <c r="G2728" s="126"/>
      <c r="H2728" s="127"/>
      <c r="I2728" s="125"/>
    </row>
    <row r="2729">
      <c r="A2729" s="125"/>
      <c r="B2729" s="125"/>
      <c r="C2729" s="125"/>
      <c r="D2729" s="125"/>
      <c r="E2729" s="125"/>
      <c r="F2729" s="126"/>
      <c r="G2729" s="126"/>
      <c r="H2729" s="127"/>
      <c r="I2729" s="125"/>
    </row>
    <row r="2730">
      <c r="A2730" s="125"/>
      <c r="B2730" s="125"/>
      <c r="C2730" s="125"/>
      <c r="D2730" s="125"/>
      <c r="E2730" s="125"/>
      <c r="F2730" s="126"/>
      <c r="G2730" s="126"/>
      <c r="H2730" s="127"/>
      <c r="I2730" s="125"/>
    </row>
    <row r="2731">
      <c r="A2731" s="125"/>
      <c r="B2731" s="125"/>
      <c r="C2731" s="125"/>
      <c r="D2731" s="125"/>
      <c r="E2731" s="125"/>
      <c r="F2731" s="126"/>
      <c r="G2731" s="126"/>
      <c r="H2731" s="126"/>
      <c r="I2731" s="125"/>
    </row>
    <row r="2732">
      <c r="A2732" s="125"/>
      <c r="B2732" s="125"/>
      <c r="C2732" s="125"/>
      <c r="D2732" s="125"/>
      <c r="E2732" s="125"/>
      <c r="F2732" s="126"/>
      <c r="G2732" s="126"/>
      <c r="H2732" s="126"/>
      <c r="I2732" s="125"/>
    </row>
    <row r="2733">
      <c r="A2733" s="125"/>
      <c r="B2733" s="125"/>
      <c r="C2733" s="125"/>
      <c r="D2733" s="125"/>
      <c r="E2733" s="125"/>
      <c r="F2733" s="126"/>
      <c r="G2733" s="126"/>
      <c r="H2733" s="127"/>
      <c r="I2733" s="125"/>
    </row>
    <row r="2734">
      <c r="A2734" s="125"/>
      <c r="B2734" s="125"/>
      <c r="C2734" s="125"/>
      <c r="D2734" s="125"/>
      <c r="E2734" s="125"/>
      <c r="F2734" s="126"/>
      <c r="G2734" s="126"/>
      <c r="H2734" s="127"/>
      <c r="I2734" s="125"/>
    </row>
    <row r="2735">
      <c r="A2735" s="125"/>
      <c r="B2735" s="125"/>
      <c r="C2735" s="125"/>
      <c r="D2735" s="125"/>
      <c r="E2735" s="125"/>
      <c r="F2735" s="126"/>
      <c r="G2735" s="126"/>
      <c r="H2735" s="127"/>
      <c r="I2735" s="125"/>
    </row>
    <row r="2736">
      <c r="A2736" s="125"/>
      <c r="B2736" s="125"/>
      <c r="C2736" s="125"/>
      <c r="D2736" s="125"/>
      <c r="E2736" s="125"/>
      <c r="F2736" s="126"/>
      <c r="G2736" s="126"/>
      <c r="H2736" s="127"/>
      <c r="I2736" s="125"/>
    </row>
    <row r="2737">
      <c r="A2737" s="125"/>
      <c r="B2737" s="125"/>
      <c r="C2737" s="125"/>
      <c r="D2737" s="125"/>
      <c r="E2737" s="125"/>
      <c r="F2737" s="126"/>
      <c r="G2737" s="126"/>
      <c r="H2737" s="127"/>
      <c r="I2737" s="125"/>
    </row>
    <row r="2738">
      <c r="A2738" s="125"/>
      <c r="B2738" s="125"/>
      <c r="C2738" s="125"/>
      <c r="D2738" s="125"/>
      <c r="E2738" s="125"/>
      <c r="F2738" s="126"/>
      <c r="G2738" s="126"/>
      <c r="H2738" s="126"/>
      <c r="I2738" s="125"/>
    </row>
    <row r="2739">
      <c r="A2739" s="125"/>
      <c r="B2739" s="125"/>
      <c r="C2739" s="125"/>
      <c r="D2739" s="125"/>
      <c r="E2739" s="125"/>
      <c r="F2739" s="126"/>
      <c r="G2739" s="126"/>
      <c r="H2739" s="127"/>
      <c r="I2739" s="125"/>
    </row>
    <row r="2740">
      <c r="A2740" s="125"/>
      <c r="B2740" s="125"/>
      <c r="C2740" s="125"/>
      <c r="D2740" s="125"/>
      <c r="E2740" s="125"/>
      <c r="F2740" s="126"/>
      <c r="G2740" s="126"/>
      <c r="H2740" s="127"/>
      <c r="I2740" s="125"/>
    </row>
    <row r="2741">
      <c r="A2741" s="125"/>
      <c r="B2741" s="125"/>
      <c r="C2741" s="125"/>
      <c r="D2741" s="125"/>
      <c r="E2741" s="125"/>
      <c r="F2741" s="126"/>
      <c r="G2741" s="126"/>
      <c r="H2741" s="127"/>
      <c r="I2741" s="125"/>
    </row>
    <row r="2742">
      <c r="A2742" s="125"/>
      <c r="B2742" s="125"/>
      <c r="C2742" s="125"/>
      <c r="D2742" s="125"/>
      <c r="E2742" s="125"/>
      <c r="F2742" s="126"/>
      <c r="G2742" s="126"/>
      <c r="H2742" s="126"/>
      <c r="I2742" s="125"/>
    </row>
    <row r="2743">
      <c r="A2743" s="125"/>
      <c r="B2743" s="125"/>
      <c r="C2743" s="125"/>
      <c r="D2743" s="125"/>
      <c r="E2743" s="125"/>
      <c r="F2743" s="126"/>
      <c r="G2743" s="126"/>
      <c r="H2743" s="127"/>
      <c r="I2743" s="125"/>
    </row>
    <row r="2744">
      <c r="A2744" s="125"/>
      <c r="B2744" s="125"/>
      <c r="C2744" s="125"/>
      <c r="D2744" s="125"/>
      <c r="E2744" s="125"/>
      <c r="F2744" s="126"/>
      <c r="G2744" s="126"/>
      <c r="H2744" s="127"/>
      <c r="I2744" s="125"/>
    </row>
    <row r="2745">
      <c r="A2745" s="125"/>
      <c r="B2745" s="125"/>
      <c r="C2745" s="125"/>
      <c r="D2745" s="125"/>
      <c r="E2745" s="125"/>
      <c r="F2745" s="126"/>
      <c r="G2745" s="126"/>
      <c r="H2745" s="126"/>
      <c r="I2745" s="125"/>
    </row>
    <row r="2746">
      <c r="A2746" s="125"/>
      <c r="B2746" s="125"/>
      <c r="C2746" s="125"/>
      <c r="D2746" s="125"/>
      <c r="E2746" s="125"/>
      <c r="F2746" s="126"/>
      <c r="G2746" s="126"/>
      <c r="H2746" s="126"/>
      <c r="I2746" s="125"/>
    </row>
    <row r="2747">
      <c r="A2747" s="125"/>
      <c r="B2747" s="125"/>
      <c r="C2747" s="125"/>
      <c r="D2747" s="125"/>
      <c r="E2747" s="125"/>
      <c r="F2747" s="126"/>
      <c r="G2747" s="126"/>
      <c r="H2747" s="127"/>
      <c r="I2747" s="125"/>
    </row>
    <row r="2748">
      <c r="A2748" s="125"/>
      <c r="B2748" s="125"/>
      <c r="C2748" s="125"/>
      <c r="D2748" s="125"/>
      <c r="E2748" s="125"/>
      <c r="F2748" s="126"/>
      <c r="G2748" s="126"/>
      <c r="H2748" s="127"/>
      <c r="I2748" s="125"/>
    </row>
    <row r="2749">
      <c r="A2749" s="125"/>
      <c r="B2749" s="125"/>
      <c r="C2749" s="125"/>
      <c r="D2749" s="125"/>
      <c r="E2749" s="125"/>
      <c r="F2749" s="126"/>
      <c r="G2749" s="126"/>
      <c r="H2749" s="127"/>
      <c r="I2749" s="125"/>
    </row>
    <row r="2750">
      <c r="A2750" s="125"/>
      <c r="B2750" s="125"/>
      <c r="C2750" s="125"/>
      <c r="D2750" s="125"/>
      <c r="E2750" s="125"/>
      <c r="F2750" s="126"/>
      <c r="G2750" s="126"/>
      <c r="H2750" s="127"/>
      <c r="I2750" s="125"/>
    </row>
    <row r="2751">
      <c r="A2751" s="125"/>
      <c r="B2751" s="125"/>
      <c r="C2751" s="125"/>
      <c r="D2751" s="125"/>
      <c r="E2751" s="125"/>
      <c r="F2751" s="126"/>
      <c r="G2751" s="126"/>
      <c r="H2751" s="127"/>
      <c r="I2751" s="125"/>
    </row>
    <row r="2752">
      <c r="A2752" s="125"/>
      <c r="B2752" s="125"/>
      <c r="C2752" s="125"/>
      <c r="D2752" s="125"/>
      <c r="E2752" s="125"/>
      <c r="F2752" s="126"/>
      <c r="G2752" s="126"/>
      <c r="H2752" s="127"/>
      <c r="I2752" s="125"/>
    </row>
    <row r="2753">
      <c r="A2753" s="125"/>
      <c r="B2753" s="125"/>
      <c r="C2753" s="125"/>
      <c r="D2753" s="125"/>
      <c r="E2753" s="125"/>
      <c r="F2753" s="126"/>
      <c r="G2753" s="126"/>
      <c r="H2753" s="127"/>
      <c r="I2753" s="125"/>
    </row>
    <row r="2754">
      <c r="A2754" s="125"/>
      <c r="B2754" s="125"/>
      <c r="C2754" s="125"/>
      <c r="D2754" s="125"/>
      <c r="E2754" s="125"/>
      <c r="F2754" s="126"/>
      <c r="G2754" s="126"/>
      <c r="H2754" s="127"/>
      <c r="I2754" s="125"/>
    </row>
    <row r="2755">
      <c r="A2755" s="125"/>
      <c r="B2755" s="125"/>
      <c r="C2755" s="125"/>
      <c r="D2755" s="125"/>
      <c r="E2755" s="125"/>
      <c r="F2755" s="126"/>
      <c r="G2755" s="126"/>
      <c r="H2755" s="127"/>
      <c r="I2755" s="125"/>
    </row>
    <row r="2756">
      <c r="A2756" s="125"/>
      <c r="B2756" s="125"/>
      <c r="C2756" s="125"/>
      <c r="D2756" s="125"/>
      <c r="E2756" s="125"/>
      <c r="F2756" s="126"/>
      <c r="G2756" s="126"/>
      <c r="H2756" s="127"/>
      <c r="I2756" s="125"/>
    </row>
    <row r="2757">
      <c r="A2757" s="125"/>
      <c r="B2757" s="125"/>
      <c r="C2757" s="125"/>
      <c r="D2757" s="125"/>
      <c r="E2757" s="125"/>
      <c r="F2757" s="126"/>
      <c r="G2757" s="126"/>
      <c r="H2757" s="127"/>
      <c r="I2757" s="125"/>
    </row>
    <row r="2758">
      <c r="A2758" s="125"/>
      <c r="B2758" s="125"/>
      <c r="C2758" s="125"/>
      <c r="D2758" s="125"/>
      <c r="E2758" s="125"/>
      <c r="F2758" s="126"/>
      <c r="G2758" s="126"/>
      <c r="H2758" s="127"/>
      <c r="I2758" s="125"/>
    </row>
    <row r="2759">
      <c r="A2759" s="125"/>
      <c r="B2759" s="125"/>
      <c r="C2759" s="125"/>
      <c r="D2759" s="125"/>
      <c r="E2759" s="125"/>
      <c r="F2759" s="126"/>
      <c r="G2759" s="126"/>
      <c r="H2759" s="127"/>
      <c r="I2759" s="125"/>
    </row>
    <row r="2760">
      <c r="A2760" s="125"/>
      <c r="B2760" s="125"/>
      <c r="C2760" s="125"/>
      <c r="D2760" s="125"/>
      <c r="E2760" s="125"/>
      <c r="F2760" s="126"/>
      <c r="G2760" s="126"/>
      <c r="H2760" s="127"/>
      <c r="I2760" s="125"/>
    </row>
    <row r="2761">
      <c r="A2761" s="125"/>
      <c r="B2761" s="125"/>
      <c r="C2761" s="125"/>
      <c r="D2761" s="125"/>
      <c r="E2761" s="125"/>
      <c r="F2761" s="126"/>
      <c r="G2761" s="126"/>
      <c r="H2761" s="127"/>
      <c r="I2761" s="125"/>
    </row>
    <row r="2762">
      <c r="A2762" s="125"/>
      <c r="B2762" s="125"/>
      <c r="C2762" s="125"/>
      <c r="D2762" s="125"/>
      <c r="E2762" s="125"/>
      <c r="F2762" s="126"/>
      <c r="G2762" s="126"/>
      <c r="H2762" s="127"/>
      <c r="I2762" s="125"/>
    </row>
    <row r="2763">
      <c r="A2763" s="125"/>
      <c r="B2763" s="125"/>
      <c r="C2763" s="125"/>
      <c r="D2763" s="125"/>
      <c r="E2763" s="125"/>
      <c r="F2763" s="126"/>
      <c r="G2763" s="126"/>
      <c r="H2763" s="127"/>
      <c r="I2763" s="125"/>
    </row>
    <row r="2764">
      <c r="A2764" s="125"/>
      <c r="B2764" s="125"/>
      <c r="C2764" s="125"/>
      <c r="D2764" s="125"/>
      <c r="E2764" s="125"/>
      <c r="F2764" s="126"/>
      <c r="G2764" s="126"/>
      <c r="H2764" s="127"/>
      <c r="I2764" s="125"/>
    </row>
    <row r="2765">
      <c r="A2765" s="125"/>
      <c r="B2765" s="125"/>
      <c r="C2765" s="125"/>
      <c r="D2765" s="125"/>
      <c r="E2765" s="125"/>
      <c r="F2765" s="126"/>
      <c r="G2765" s="126"/>
      <c r="H2765" s="127"/>
      <c r="I2765" s="125"/>
    </row>
    <row r="2766">
      <c r="A2766" s="125"/>
      <c r="B2766" s="125"/>
      <c r="C2766" s="125"/>
      <c r="D2766" s="125"/>
      <c r="E2766" s="125"/>
      <c r="F2766" s="126"/>
      <c r="G2766" s="126"/>
      <c r="H2766" s="127"/>
      <c r="I2766" s="125"/>
    </row>
    <row r="2767">
      <c r="A2767" s="125"/>
      <c r="B2767" s="125"/>
      <c r="C2767" s="125"/>
      <c r="D2767" s="125"/>
      <c r="E2767" s="125"/>
      <c r="F2767" s="126"/>
      <c r="G2767" s="126"/>
      <c r="H2767" s="126"/>
      <c r="I2767" s="125"/>
    </row>
    <row r="2768">
      <c r="A2768" s="125"/>
      <c r="B2768" s="125"/>
      <c r="C2768" s="125"/>
      <c r="D2768" s="125"/>
      <c r="E2768" s="125"/>
      <c r="F2768" s="126"/>
      <c r="G2768" s="126"/>
      <c r="H2768" s="127"/>
      <c r="I2768" s="125"/>
    </row>
    <row r="2769">
      <c r="A2769" s="125"/>
      <c r="B2769" s="125"/>
      <c r="C2769" s="125"/>
      <c r="D2769" s="125"/>
      <c r="E2769" s="125"/>
      <c r="F2769" s="126"/>
      <c r="G2769" s="126"/>
      <c r="H2769" s="127"/>
      <c r="I2769" s="125"/>
    </row>
    <row r="2770">
      <c r="A2770" s="125"/>
      <c r="B2770" s="125"/>
      <c r="C2770" s="125"/>
      <c r="D2770" s="125"/>
      <c r="E2770" s="125"/>
      <c r="F2770" s="126"/>
      <c r="G2770" s="126"/>
      <c r="H2770" s="127"/>
      <c r="I2770" s="125"/>
    </row>
    <row r="2771">
      <c r="A2771" s="125"/>
      <c r="B2771" s="125"/>
      <c r="C2771" s="125"/>
      <c r="D2771" s="125"/>
      <c r="E2771" s="125"/>
      <c r="F2771" s="126"/>
      <c r="G2771" s="126"/>
      <c r="H2771" s="126"/>
      <c r="I2771" s="125"/>
    </row>
    <row r="2772">
      <c r="A2772" s="125"/>
      <c r="B2772" s="125"/>
      <c r="C2772" s="125"/>
      <c r="D2772" s="125"/>
      <c r="E2772" s="125"/>
      <c r="F2772" s="126"/>
      <c r="G2772" s="126"/>
      <c r="H2772" s="127"/>
      <c r="I2772" s="125"/>
    </row>
    <row r="2773">
      <c r="A2773" s="125"/>
      <c r="B2773" s="125"/>
      <c r="C2773" s="125"/>
      <c r="D2773" s="125"/>
      <c r="E2773" s="125"/>
      <c r="F2773" s="126"/>
      <c r="G2773" s="126"/>
      <c r="H2773" s="127"/>
      <c r="I2773" s="125"/>
    </row>
    <row r="2774">
      <c r="A2774" s="125"/>
      <c r="B2774" s="125"/>
      <c r="C2774" s="125"/>
      <c r="D2774" s="125"/>
      <c r="E2774" s="125"/>
      <c r="F2774" s="126"/>
      <c r="G2774" s="126"/>
      <c r="H2774" s="126"/>
      <c r="I2774" s="125"/>
    </row>
    <row r="2775">
      <c r="A2775" s="125"/>
      <c r="B2775" s="125"/>
      <c r="C2775" s="125"/>
      <c r="D2775" s="125"/>
      <c r="E2775" s="125"/>
      <c r="F2775" s="126"/>
      <c r="G2775" s="126"/>
      <c r="H2775" s="126"/>
      <c r="I2775" s="125"/>
    </row>
    <row r="2776">
      <c r="A2776" s="125"/>
      <c r="B2776" s="125"/>
      <c r="C2776" s="125"/>
      <c r="D2776" s="125"/>
      <c r="E2776" s="125"/>
      <c r="F2776" s="126"/>
      <c r="G2776" s="126"/>
      <c r="H2776" s="126"/>
      <c r="I2776" s="125"/>
    </row>
    <row r="2777">
      <c r="A2777" s="125"/>
      <c r="B2777" s="125"/>
      <c r="C2777" s="125"/>
      <c r="D2777" s="125"/>
      <c r="E2777" s="125"/>
      <c r="F2777" s="126"/>
      <c r="G2777" s="126"/>
      <c r="H2777" s="126"/>
      <c r="I2777" s="125"/>
    </row>
    <row r="2778">
      <c r="A2778" s="125"/>
      <c r="B2778" s="125"/>
      <c r="C2778" s="125"/>
      <c r="D2778" s="125"/>
      <c r="E2778" s="125"/>
      <c r="F2778" s="126"/>
      <c r="G2778" s="126"/>
      <c r="H2778" s="126"/>
      <c r="I2778" s="125"/>
    </row>
    <row r="2779">
      <c r="A2779" s="125"/>
      <c r="B2779" s="125"/>
      <c r="C2779" s="125"/>
      <c r="D2779" s="125"/>
      <c r="E2779" s="125"/>
      <c r="F2779" s="126"/>
      <c r="G2779" s="126"/>
      <c r="H2779" s="127"/>
      <c r="I2779" s="125"/>
    </row>
    <row r="2780">
      <c r="A2780" s="125"/>
      <c r="B2780" s="125"/>
      <c r="C2780" s="125"/>
      <c r="D2780" s="125"/>
      <c r="E2780" s="125"/>
      <c r="F2780" s="126"/>
      <c r="G2780" s="126"/>
      <c r="H2780" s="127"/>
      <c r="I2780" s="125"/>
    </row>
    <row r="2781">
      <c r="A2781" s="125"/>
      <c r="B2781" s="125"/>
      <c r="C2781" s="125"/>
      <c r="D2781" s="125"/>
      <c r="E2781" s="125"/>
      <c r="F2781" s="126"/>
      <c r="G2781" s="126"/>
      <c r="H2781" s="126"/>
      <c r="I2781" s="125"/>
    </row>
    <row r="2782">
      <c r="A2782" s="125"/>
      <c r="B2782" s="125"/>
      <c r="C2782" s="125"/>
      <c r="D2782" s="125"/>
      <c r="E2782" s="125"/>
      <c r="F2782" s="126"/>
      <c r="G2782" s="126"/>
      <c r="H2782" s="126"/>
      <c r="I2782" s="125"/>
    </row>
    <row r="2783">
      <c r="A2783" s="125"/>
      <c r="B2783" s="125"/>
      <c r="C2783" s="125"/>
      <c r="D2783" s="125"/>
      <c r="E2783" s="125"/>
      <c r="F2783" s="126"/>
      <c r="G2783" s="126"/>
      <c r="H2783" s="127"/>
      <c r="I2783" s="125"/>
    </row>
    <row r="2784">
      <c r="A2784" s="125"/>
      <c r="B2784" s="125"/>
      <c r="C2784" s="125"/>
      <c r="D2784" s="125"/>
      <c r="E2784" s="125"/>
      <c r="F2784" s="126"/>
      <c r="G2784" s="126"/>
      <c r="H2784" s="127"/>
      <c r="I2784" s="125"/>
    </row>
    <row r="2785">
      <c r="A2785" s="125"/>
      <c r="B2785" s="125"/>
      <c r="C2785" s="125"/>
      <c r="D2785" s="125"/>
      <c r="E2785" s="125"/>
      <c r="F2785" s="126"/>
      <c r="G2785" s="126"/>
      <c r="H2785" s="127"/>
      <c r="I2785" s="125"/>
    </row>
    <row r="2786">
      <c r="A2786" s="125"/>
      <c r="B2786" s="125"/>
      <c r="C2786" s="125"/>
      <c r="D2786" s="125"/>
      <c r="E2786" s="125"/>
      <c r="F2786" s="126"/>
      <c r="G2786" s="126"/>
      <c r="H2786" s="126"/>
      <c r="I2786" s="125"/>
    </row>
    <row r="2787">
      <c r="A2787" s="125"/>
      <c r="B2787" s="125"/>
      <c r="C2787" s="125"/>
      <c r="D2787" s="125"/>
      <c r="E2787" s="125"/>
      <c r="F2787" s="126"/>
      <c r="G2787" s="126"/>
      <c r="H2787" s="127"/>
      <c r="I2787" s="125"/>
    </row>
    <row r="2788">
      <c r="A2788" s="125"/>
      <c r="B2788" s="125"/>
      <c r="C2788" s="125"/>
      <c r="D2788" s="125"/>
      <c r="E2788" s="125"/>
      <c r="F2788" s="126"/>
      <c r="G2788" s="126"/>
      <c r="H2788" s="126"/>
      <c r="I2788" s="125"/>
    </row>
    <row r="2789">
      <c r="A2789" s="125"/>
      <c r="B2789" s="125"/>
      <c r="C2789" s="125"/>
      <c r="D2789" s="125"/>
      <c r="E2789" s="125"/>
      <c r="F2789" s="126"/>
      <c r="G2789" s="126"/>
      <c r="H2789" s="127"/>
      <c r="I2789" s="125"/>
    </row>
    <row r="2790">
      <c r="A2790" s="125"/>
      <c r="B2790" s="125"/>
      <c r="C2790" s="125"/>
      <c r="D2790" s="125"/>
      <c r="E2790" s="125"/>
      <c r="F2790" s="126"/>
      <c r="G2790" s="126"/>
      <c r="H2790" s="127"/>
      <c r="I2790" s="125"/>
    </row>
    <row r="2791">
      <c r="A2791" s="125"/>
      <c r="B2791" s="125"/>
      <c r="C2791" s="125"/>
      <c r="D2791" s="125"/>
      <c r="E2791" s="125"/>
      <c r="F2791" s="126"/>
      <c r="G2791" s="126"/>
      <c r="H2791" s="126"/>
      <c r="I2791" s="125"/>
    </row>
    <row r="2792">
      <c r="A2792" s="125"/>
      <c r="B2792" s="125"/>
      <c r="C2792" s="125"/>
      <c r="D2792" s="125"/>
      <c r="E2792" s="125"/>
      <c r="F2792" s="126"/>
      <c r="G2792" s="126"/>
      <c r="H2792" s="127"/>
      <c r="I2792" s="125"/>
    </row>
    <row r="2793">
      <c r="A2793" s="125"/>
      <c r="B2793" s="125"/>
      <c r="C2793" s="125"/>
      <c r="D2793" s="125"/>
      <c r="E2793" s="125"/>
      <c r="F2793" s="126"/>
      <c r="G2793" s="126"/>
      <c r="H2793" s="127"/>
      <c r="I2793" s="125"/>
    </row>
    <row r="2794">
      <c r="A2794" s="125"/>
      <c r="B2794" s="125"/>
      <c r="C2794" s="125"/>
      <c r="D2794" s="125"/>
      <c r="E2794" s="125"/>
      <c r="F2794" s="126"/>
      <c r="G2794" s="126"/>
      <c r="H2794" s="127"/>
      <c r="I2794" s="125"/>
    </row>
    <row r="2795">
      <c r="A2795" s="125"/>
      <c r="B2795" s="125"/>
      <c r="C2795" s="125"/>
      <c r="D2795" s="125"/>
      <c r="E2795" s="125"/>
      <c r="F2795" s="126"/>
      <c r="G2795" s="126"/>
      <c r="H2795" s="127"/>
      <c r="I2795" s="125"/>
    </row>
    <row r="2796">
      <c r="A2796" s="125"/>
      <c r="B2796" s="125"/>
      <c r="C2796" s="125"/>
      <c r="D2796" s="125"/>
      <c r="E2796" s="125"/>
      <c r="F2796" s="126"/>
      <c r="G2796" s="126"/>
      <c r="H2796" s="127"/>
      <c r="I2796" s="125"/>
    </row>
    <row r="2797">
      <c r="A2797" s="125"/>
      <c r="B2797" s="125"/>
      <c r="C2797" s="125"/>
      <c r="D2797" s="125"/>
      <c r="E2797" s="125"/>
      <c r="F2797" s="126"/>
      <c r="G2797" s="126"/>
      <c r="H2797" s="126"/>
      <c r="I2797" s="125"/>
    </row>
    <row r="2798">
      <c r="A2798" s="125"/>
      <c r="B2798" s="125"/>
      <c r="C2798" s="125"/>
      <c r="D2798" s="125"/>
      <c r="E2798" s="125"/>
      <c r="F2798" s="126"/>
      <c r="G2798" s="126"/>
      <c r="H2798" s="127"/>
      <c r="I2798" s="125"/>
    </row>
    <row r="2799">
      <c r="A2799" s="125"/>
      <c r="B2799" s="125"/>
      <c r="C2799" s="125"/>
      <c r="D2799" s="125"/>
      <c r="E2799" s="125"/>
      <c r="F2799" s="126"/>
      <c r="G2799" s="126"/>
      <c r="H2799" s="127"/>
      <c r="I2799" s="125"/>
    </row>
    <row r="2800">
      <c r="A2800" s="125"/>
      <c r="B2800" s="125"/>
      <c r="C2800" s="125"/>
      <c r="D2800" s="125"/>
      <c r="E2800" s="125"/>
      <c r="F2800" s="126"/>
      <c r="G2800" s="126"/>
      <c r="H2800" s="127"/>
      <c r="I2800" s="125"/>
    </row>
    <row r="2801">
      <c r="A2801" s="125"/>
      <c r="B2801" s="125"/>
      <c r="C2801" s="125"/>
      <c r="D2801" s="125"/>
      <c r="E2801" s="125"/>
      <c r="F2801" s="126"/>
      <c r="G2801" s="126"/>
      <c r="H2801" s="127"/>
      <c r="I2801" s="125"/>
    </row>
    <row r="2802">
      <c r="A2802" s="125"/>
      <c r="B2802" s="125"/>
      <c r="C2802" s="125"/>
      <c r="D2802" s="125"/>
      <c r="E2802" s="125"/>
      <c r="F2802" s="126"/>
      <c r="G2802" s="126"/>
      <c r="H2802" s="127"/>
      <c r="I2802" s="125"/>
    </row>
    <row r="2803">
      <c r="A2803" s="125"/>
      <c r="B2803" s="125"/>
      <c r="C2803" s="125"/>
      <c r="D2803" s="125"/>
      <c r="E2803" s="125"/>
      <c r="F2803" s="126"/>
      <c r="G2803" s="126"/>
      <c r="H2803" s="127"/>
      <c r="I2803" s="125"/>
    </row>
    <row r="2804">
      <c r="A2804" s="125"/>
      <c r="B2804" s="125"/>
      <c r="C2804" s="125"/>
      <c r="D2804" s="125"/>
      <c r="E2804" s="125"/>
      <c r="F2804" s="126"/>
      <c r="G2804" s="126"/>
      <c r="H2804" s="127"/>
      <c r="I2804" s="125"/>
    </row>
    <row r="2805">
      <c r="A2805" s="125"/>
      <c r="B2805" s="125"/>
      <c r="C2805" s="125"/>
      <c r="D2805" s="125"/>
      <c r="E2805" s="125"/>
      <c r="F2805" s="126"/>
      <c r="G2805" s="126"/>
      <c r="H2805" s="127"/>
      <c r="I2805" s="125"/>
    </row>
    <row r="2806">
      <c r="A2806" s="125"/>
      <c r="B2806" s="125"/>
      <c r="C2806" s="125"/>
      <c r="D2806" s="125"/>
      <c r="E2806" s="125"/>
      <c r="F2806" s="126"/>
      <c r="G2806" s="126"/>
      <c r="H2806" s="127"/>
      <c r="I2806" s="125"/>
    </row>
    <row r="2807">
      <c r="A2807" s="125"/>
      <c r="B2807" s="125"/>
      <c r="C2807" s="125"/>
      <c r="D2807" s="125"/>
      <c r="E2807" s="125"/>
      <c r="F2807" s="126"/>
      <c r="G2807" s="126"/>
      <c r="H2807" s="127"/>
      <c r="I2807" s="125"/>
    </row>
    <row r="2808">
      <c r="A2808" s="125"/>
      <c r="B2808" s="125"/>
      <c r="C2808" s="125"/>
      <c r="D2808" s="125"/>
      <c r="E2808" s="125"/>
      <c r="F2808" s="126"/>
      <c r="G2808" s="126"/>
      <c r="H2808" s="127"/>
      <c r="I2808" s="125"/>
    </row>
    <row r="2809">
      <c r="A2809" s="125"/>
      <c r="B2809" s="125"/>
      <c r="C2809" s="125"/>
      <c r="D2809" s="125"/>
      <c r="E2809" s="125"/>
      <c r="F2809" s="126"/>
      <c r="G2809" s="126"/>
      <c r="H2809" s="127"/>
      <c r="I2809" s="125"/>
    </row>
    <row r="2810">
      <c r="A2810" s="125"/>
      <c r="B2810" s="125"/>
      <c r="C2810" s="125"/>
      <c r="D2810" s="125"/>
      <c r="E2810" s="125"/>
      <c r="F2810" s="126"/>
      <c r="G2810" s="126"/>
      <c r="H2810" s="126"/>
      <c r="I2810" s="125"/>
    </row>
    <row r="2811">
      <c r="A2811" s="125"/>
      <c r="B2811" s="125"/>
      <c r="C2811" s="125"/>
      <c r="D2811" s="125"/>
      <c r="E2811" s="125"/>
      <c r="F2811" s="126"/>
      <c r="G2811" s="126"/>
      <c r="H2811" s="127"/>
      <c r="I2811" s="125"/>
    </row>
    <row r="2812">
      <c r="A2812" s="125"/>
      <c r="B2812" s="125"/>
      <c r="C2812" s="125"/>
      <c r="D2812" s="125"/>
      <c r="E2812" s="125"/>
      <c r="F2812" s="126"/>
      <c r="G2812" s="126"/>
      <c r="H2812" s="127"/>
      <c r="I2812" s="125"/>
    </row>
    <row r="2813">
      <c r="A2813" s="125"/>
      <c r="B2813" s="125"/>
      <c r="C2813" s="125"/>
      <c r="D2813" s="125"/>
      <c r="E2813" s="125"/>
      <c r="F2813" s="126"/>
      <c r="G2813" s="126"/>
      <c r="H2813" s="127"/>
      <c r="I2813" s="125"/>
    </row>
    <row r="2814">
      <c r="A2814" s="125"/>
      <c r="B2814" s="125"/>
      <c r="C2814" s="125"/>
      <c r="D2814" s="125"/>
      <c r="E2814" s="125"/>
      <c r="F2814" s="126"/>
      <c r="G2814" s="126"/>
      <c r="H2814" s="127"/>
      <c r="I2814" s="125"/>
    </row>
    <row r="2815">
      <c r="A2815" s="125"/>
      <c r="B2815" s="125"/>
      <c r="C2815" s="125"/>
      <c r="D2815" s="125"/>
      <c r="E2815" s="125"/>
      <c r="F2815" s="126"/>
      <c r="G2815" s="126"/>
      <c r="H2815" s="127"/>
      <c r="I2815" s="125"/>
    </row>
    <row r="2816">
      <c r="A2816" s="125"/>
      <c r="B2816" s="125"/>
      <c r="C2816" s="125"/>
      <c r="D2816" s="125"/>
      <c r="E2816" s="125"/>
      <c r="F2816" s="126"/>
      <c r="G2816" s="126"/>
      <c r="H2816" s="127"/>
      <c r="I2816" s="125"/>
    </row>
    <row r="2817">
      <c r="A2817" s="125"/>
      <c r="B2817" s="125"/>
      <c r="C2817" s="125"/>
      <c r="D2817" s="125"/>
      <c r="E2817" s="125"/>
      <c r="F2817" s="126"/>
      <c r="G2817" s="126"/>
      <c r="H2817" s="127"/>
      <c r="I2817" s="125"/>
    </row>
    <row r="2818">
      <c r="A2818" s="125"/>
      <c r="B2818" s="125"/>
      <c r="C2818" s="125"/>
      <c r="D2818" s="125"/>
      <c r="E2818" s="125"/>
      <c r="F2818" s="126"/>
      <c r="G2818" s="126"/>
      <c r="H2818" s="127"/>
      <c r="I2818" s="125"/>
    </row>
    <row r="2819">
      <c r="A2819" s="125"/>
      <c r="B2819" s="125"/>
      <c r="C2819" s="125"/>
      <c r="D2819" s="125"/>
      <c r="E2819" s="125"/>
      <c r="F2819" s="126"/>
      <c r="G2819" s="126"/>
      <c r="H2819" s="127"/>
      <c r="I2819" s="125"/>
    </row>
    <row r="2820">
      <c r="A2820" s="125"/>
      <c r="B2820" s="125"/>
      <c r="C2820" s="125"/>
      <c r="D2820" s="125"/>
      <c r="E2820" s="125"/>
      <c r="F2820" s="126"/>
      <c r="G2820" s="126"/>
      <c r="H2820" s="127"/>
      <c r="I2820" s="125"/>
    </row>
    <row r="2821">
      <c r="A2821" s="125"/>
      <c r="B2821" s="125"/>
      <c r="C2821" s="125"/>
      <c r="D2821" s="125"/>
      <c r="E2821" s="125"/>
      <c r="F2821" s="126"/>
      <c r="G2821" s="126"/>
      <c r="H2821" s="127"/>
      <c r="I2821" s="125"/>
    </row>
    <row r="2822">
      <c r="A2822" s="125"/>
      <c r="B2822" s="125"/>
      <c r="C2822" s="125"/>
      <c r="D2822" s="125"/>
      <c r="E2822" s="125"/>
      <c r="F2822" s="126"/>
      <c r="G2822" s="126"/>
      <c r="H2822" s="127"/>
      <c r="I2822" s="125"/>
    </row>
    <row r="2823">
      <c r="A2823" s="125"/>
      <c r="B2823" s="125"/>
      <c r="C2823" s="125"/>
      <c r="D2823" s="125"/>
      <c r="E2823" s="125"/>
      <c r="F2823" s="126"/>
      <c r="G2823" s="126"/>
      <c r="H2823" s="127"/>
      <c r="I2823" s="125"/>
    </row>
    <row r="2824">
      <c r="A2824" s="125"/>
      <c r="B2824" s="125"/>
      <c r="C2824" s="125"/>
      <c r="D2824" s="125"/>
      <c r="E2824" s="125"/>
      <c r="F2824" s="126"/>
      <c r="G2824" s="126"/>
      <c r="H2824" s="127"/>
      <c r="I2824" s="125"/>
    </row>
    <row r="2825">
      <c r="A2825" s="125"/>
      <c r="B2825" s="125"/>
      <c r="C2825" s="125"/>
      <c r="D2825" s="125"/>
      <c r="E2825" s="125"/>
      <c r="F2825" s="126"/>
      <c r="G2825" s="126"/>
      <c r="H2825" s="127"/>
      <c r="I2825" s="125"/>
    </row>
    <row r="2826">
      <c r="A2826" s="125"/>
      <c r="B2826" s="125"/>
      <c r="C2826" s="125"/>
      <c r="D2826" s="125"/>
      <c r="E2826" s="125"/>
      <c r="F2826" s="126"/>
      <c r="G2826" s="126"/>
      <c r="H2826" s="126"/>
      <c r="I2826" s="125"/>
    </row>
    <row r="2827">
      <c r="A2827" s="125"/>
      <c r="B2827" s="125"/>
      <c r="C2827" s="125"/>
      <c r="D2827" s="125"/>
      <c r="E2827" s="125"/>
      <c r="F2827" s="126"/>
      <c r="G2827" s="126"/>
      <c r="H2827" s="127"/>
      <c r="I2827" s="125"/>
    </row>
    <row r="2828">
      <c r="A2828" s="125"/>
      <c r="B2828" s="125"/>
      <c r="C2828" s="125"/>
      <c r="D2828" s="125"/>
      <c r="E2828" s="125"/>
      <c r="F2828" s="126"/>
      <c r="G2828" s="126"/>
      <c r="H2828" s="127"/>
      <c r="I2828" s="125"/>
    </row>
    <row r="2829">
      <c r="A2829" s="125"/>
      <c r="B2829" s="125"/>
      <c r="C2829" s="125"/>
      <c r="D2829" s="125"/>
      <c r="E2829" s="125"/>
      <c r="F2829" s="126"/>
      <c r="G2829" s="126"/>
      <c r="H2829" s="127"/>
      <c r="I2829" s="125"/>
    </row>
    <row r="2830">
      <c r="A2830" s="125"/>
      <c r="B2830" s="125"/>
      <c r="C2830" s="125"/>
      <c r="D2830" s="125"/>
      <c r="E2830" s="125"/>
      <c r="F2830" s="126"/>
      <c r="G2830" s="126"/>
      <c r="H2830" s="126"/>
      <c r="I2830" s="125"/>
    </row>
    <row r="2831">
      <c r="A2831" s="125"/>
      <c r="B2831" s="125"/>
      <c r="C2831" s="125"/>
      <c r="D2831" s="125"/>
      <c r="E2831" s="125"/>
      <c r="F2831" s="126"/>
      <c r="G2831" s="126"/>
      <c r="H2831" s="127"/>
      <c r="I2831" s="125"/>
    </row>
    <row r="2832">
      <c r="A2832" s="125"/>
      <c r="B2832" s="125"/>
      <c r="C2832" s="125"/>
      <c r="D2832" s="125"/>
      <c r="E2832" s="125"/>
      <c r="F2832" s="126"/>
      <c r="G2832" s="126"/>
      <c r="H2832" s="127"/>
      <c r="I2832" s="125"/>
    </row>
    <row r="2833">
      <c r="A2833" s="125"/>
      <c r="B2833" s="125"/>
      <c r="C2833" s="125"/>
      <c r="D2833" s="125"/>
      <c r="E2833" s="125"/>
      <c r="F2833" s="126"/>
      <c r="G2833" s="126"/>
      <c r="H2833" s="127"/>
      <c r="I2833" s="125"/>
    </row>
    <row r="2834">
      <c r="A2834" s="125"/>
      <c r="B2834" s="125"/>
      <c r="C2834" s="125"/>
      <c r="D2834" s="125"/>
      <c r="E2834" s="125"/>
      <c r="F2834" s="126"/>
      <c r="G2834" s="126"/>
      <c r="H2834" s="127"/>
      <c r="I2834" s="125"/>
    </row>
    <row r="2835">
      <c r="A2835" s="125"/>
      <c r="B2835" s="125"/>
      <c r="C2835" s="125"/>
      <c r="D2835" s="125"/>
      <c r="E2835" s="125"/>
      <c r="F2835" s="126"/>
      <c r="G2835" s="126"/>
      <c r="H2835" s="127"/>
      <c r="I2835" s="125"/>
    </row>
    <row r="2836">
      <c r="A2836" s="125"/>
      <c r="B2836" s="125"/>
      <c r="C2836" s="125"/>
      <c r="D2836" s="125"/>
      <c r="E2836" s="125"/>
      <c r="F2836" s="126"/>
      <c r="G2836" s="126"/>
      <c r="H2836" s="127"/>
      <c r="I2836" s="125"/>
    </row>
    <row r="2837">
      <c r="A2837" s="125"/>
      <c r="B2837" s="125"/>
      <c r="C2837" s="125"/>
      <c r="D2837" s="125"/>
      <c r="E2837" s="125"/>
      <c r="F2837" s="126"/>
      <c r="G2837" s="126"/>
      <c r="H2837" s="127"/>
      <c r="I2837" s="125"/>
    </row>
    <row r="2838">
      <c r="A2838" s="125"/>
      <c r="B2838" s="125"/>
      <c r="C2838" s="125"/>
      <c r="D2838" s="125"/>
      <c r="E2838" s="125"/>
      <c r="F2838" s="126"/>
      <c r="G2838" s="126"/>
      <c r="H2838" s="127"/>
      <c r="I2838" s="125"/>
    </row>
    <row r="2839">
      <c r="A2839" s="125"/>
      <c r="B2839" s="125"/>
      <c r="C2839" s="125"/>
      <c r="D2839" s="125"/>
      <c r="E2839" s="125"/>
      <c r="F2839" s="126"/>
      <c r="G2839" s="126"/>
      <c r="H2839" s="127"/>
      <c r="I2839" s="125"/>
    </row>
    <row r="2840">
      <c r="A2840" s="125"/>
      <c r="B2840" s="125"/>
      <c r="C2840" s="125"/>
      <c r="D2840" s="125"/>
      <c r="E2840" s="125"/>
      <c r="F2840" s="126"/>
      <c r="G2840" s="126"/>
      <c r="H2840" s="127"/>
      <c r="I2840" s="125"/>
    </row>
    <row r="2841">
      <c r="A2841" s="125"/>
      <c r="B2841" s="125"/>
      <c r="C2841" s="125"/>
      <c r="D2841" s="125"/>
      <c r="E2841" s="125"/>
      <c r="F2841" s="126"/>
      <c r="G2841" s="126"/>
      <c r="H2841" s="127"/>
      <c r="I2841" s="125"/>
    </row>
    <row r="2842">
      <c r="A2842" s="125"/>
      <c r="B2842" s="125"/>
      <c r="C2842" s="125"/>
      <c r="D2842" s="125"/>
      <c r="E2842" s="125"/>
      <c r="F2842" s="126"/>
      <c r="G2842" s="126"/>
      <c r="H2842" s="127"/>
      <c r="I2842" s="125"/>
    </row>
    <row r="2843">
      <c r="A2843" s="125"/>
      <c r="B2843" s="125"/>
      <c r="C2843" s="125"/>
      <c r="D2843" s="125"/>
      <c r="E2843" s="125"/>
      <c r="F2843" s="126"/>
      <c r="G2843" s="126"/>
      <c r="H2843" s="127"/>
      <c r="I2843" s="125"/>
    </row>
    <row r="2844">
      <c r="A2844" s="125"/>
      <c r="B2844" s="125"/>
      <c r="C2844" s="125"/>
      <c r="D2844" s="125"/>
      <c r="E2844" s="125"/>
      <c r="F2844" s="126"/>
      <c r="G2844" s="126"/>
      <c r="H2844" s="127"/>
      <c r="I2844" s="125"/>
    </row>
    <row r="2845">
      <c r="A2845" s="125"/>
      <c r="B2845" s="125"/>
      <c r="C2845" s="125"/>
      <c r="D2845" s="125"/>
      <c r="E2845" s="125"/>
      <c r="F2845" s="126"/>
      <c r="G2845" s="126"/>
      <c r="H2845" s="127"/>
      <c r="I2845" s="125"/>
    </row>
    <row r="2846">
      <c r="A2846" s="125"/>
      <c r="B2846" s="125"/>
      <c r="C2846" s="125"/>
      <c r="D2846" s="125"/>
      <c r="E2846" s="125"/>
      <c r="F2846" s="126"/>
      <c r="G2846" s="126"/>
      <c r="H2846" s="126"/>
      <c r="I2846" s="125"/>
    </row>
    <row r="2847">
      <c r="A2847" s="125"/>
      <c r="B2847" s="125"/>
      <c r="C2847" s="125"/>
      <c r="D2847" s="125"/>
      <c r="E2847" s="125"/>
      <c r="F2847" s="126"/>
      <c r="G2847" s="126"/>
      <c r="H2847" s="127"/>
      <c r="I2847" s="125"/>
    </row>
    <row r="2848">
      <c r="A2848" s="125"/>
      <c r="B2848" s="125"/>
      <c r="C2848" s="125"/>
      <c r="D2848" s="125"/>
      <c r="E2848" s="125"/>
      <c r="F2848" s="126"/>
      <c r="G2848" s="126"/>
      <c r="H2848" s="126"/>
      <c r="I2848" s="125"/>
    </row>
    <row r="2849">
      <c r="A2849" s="125"/>
      <c r="B2849" s="125"/>
      <c r="C2849" s="125"/>
      <c r="D2849" s="125"/>
      <c r="E2849" s="125"/>
      <c r="F2849" s="126"/>
      <c r="G2849" s="126"/>
      <c r="H2849" s="127"/>
      <c r="I2849" s="125"/>
    </row>
    <row r="2850">
      <c r="A2850" s="125"/>
      <c r="B2850" s="125"/>
      <c r="C2850" s="125"/>
      <c r="D2850" s="125"/>
      <c r="E2850" s="125"/>
      <c r="F2850" s="126"/>
      <c r="G2850" s="126"/>
      <c r="H2850" s="127"/>
      <c r="I2850" s="125"/>
    </row>
    <row r="2851">
      <c r="A2851" s="125"/>
      <c r="B2851" s="125"/>
      <c r="C2851" s="125"/>
      <c r="D2851" s="125"/>
      <c r="E2851" s="125"/>
      <c r="F2851" s="126"/>
      <c r="G2851" s="126"/>
      <c r="H2851" s="127"/>
      <c r="I2851" s="125"/>
    </row>
    <row r="2852">
      <c r="A2852" s="125"/>
      <c r="B2852" s="125"/>
      <c r="C2852" s="125"/>
      <c r="D2852" s="125"/>
      <c r="E2852" s="125"/>
      <c r="F2852" s="126"/>
      <c r="G2852" s="126"/>
      <c r="H2852" s="126"/>
      <c r="I2852" s="125"/>
    </row>
    <row r="2853">
      <c r="A2853" s="125"/>
      <c r="B2853" s="125"/>
      <c r="C2853" s="125"/>
      <c r="D2853" s="125"/>
      <c r="E2853" s="125"/>
      <c r="F2853" s="126"/>
      <c r="G2853" s="126"/>
      <c r="H2853" s="126"/>
      <c r="I2853" s="125"/>
    </row>
    <row r="2854">
      <c r="A2854" s="125"/>
      <c r="B2854" s="125"/>
      <c r="C2854" s="125"/>
      <c r="D2854" s="125"/>
      <c r="E2854" s="125"/>
      <c r="F2854" s="126"/>
      <c r="G2854" s="126"/>
      <c r="H2854" s="127"/>
      <c r="I2854" s="125"/>
    </row>
    <row r="2855">
      <c r="A2855" s="125"/>
      <c r="B2855" s="125"/>
      <c r="C2855" s="125"/>
      <c r="D2855" s="125"/>
      <c r="E2855" s="125"/>
      <c r="F2855" s="126"/>
      <c r="G2855" s="126"/>
      <c r="H2855" s="127"/>
      <c r="I2855" s="125"/>
    </row>
    <row r="2856">
      <c r="A2856" s="125"/>
      <c r="B2856" s="125"/>
      <c r="C2856" s="125"/>
      <c r="D2856" s="125"/>
      <c r="E2856" s="125"/>
      <c r="F2856" s="126"/>
      <c r="G2856" s="126"/>
      <c r="H2856" s="127"/>
      <c r="I2856" s="125"/>
    </row>
    <row r="2857">
      <c r="A2857" s="125"/>
      <c r="B2857" s="125"/>
      <c r="C2857" s="125"/>
      <c r="D2857" s="125"/>
      <c r="E2857" s="125"/>
      <c r="F2857" s="126"/>
      <c r="G2857" s="126"/>
      <c r="H2857" s="126"/>
      <c r="I2857" s="125"/>
    </row>
    <row r="2858">
      <c r="A2858" s="125"/>
      <c r="B2858" s="125"/>
      <c r="C2858" s="125"/>
      <c r="D2858" s="125"/>
      <c r="E2858" s="125"/>
      <c r="F2858" s="126"/>
      <c r="G2858" s="126"/>
      <c r="H2858" s="127"/>
      <c r="I2858" s="125"/>
    </row>
    <row r="2859">
      <c r="A2859" s="125"/>
      <c r="B2859" s="125"/>
      <c r="C2859" s="125"/>
      <c r="D2859" s="125"/>
      <c r="E2859" s="125"/>
      <c r="F2859" s="126"/>
      <c r="G2859" s="126"/>
      <c r="H2859" s="126"/>
      <c r="I2859" s="125"/>
    </row>
    <row r="2860">
      <c r="A2860" s="125"/>
      <c r="B2860" s="125"/>
      <c r="C2860" s="125"/>
      <c r="D2860" s="125"/>
      <c r="E2860" s="125"/>
      <c r="F2860" s="126"/>
      <c r="G2860" s="126"/>
      <c r="H2860" s="127"/>
      <c r="I2860" s="125"/>
    </row>
    <row r="2861">
      <c r="A2861" s="125"/>
      <c r="B2861" s="125"/>
      <c r="C2861" s="125"/>
      <c r="D2861" s="125"/>
      <c r="E2861" s="125"/>
      <c r="F2861" s="126"/>
      <c r="G2861" s="126"/>
      <c r="H2861" s="127"/>
      <c r="I2861" s="125"/>
    </row>
    <row r="2862">
      <c r="A2862" s="125"/>
      <c r="B2862" s="125"/>
      <c r="C2862" s="125"/>
      <c r="D2862" s="125"/>
      <c r="E2862" s="125"/>
      <c r="F2862" s="126"/>
      <c r="G2862" s="126"/>
      <c r="H2862" s="126"/>
      <c r="I2862" s="125"/>
    </row>
    <row r="2863">
      <c r="A2863" s="125"/>
      <c r="B2863" s="125"/>
      <c r="C2863" s="125"/>
      <c r="D2863" s="125"/>
      <c r="E2863" s="125"/>
      <c r="F2863" s="126"/>
      <c r="G2863" s="126"/>
      <c r="H2863" s="126"/>
      <c r="I2863" s="125"/>
    </row>
    <row r="2864">
      <c r="A2864" s="125"/>
      <c r="B2864" s="125"/>
      <c r="C2864" s="125"/>
      <c r="D2864" s="125"/>
      <c r="E2864" s="125"/>
      <c r="F2864" s="126"/>
      <c r="G2864" s="126"/>
      <c r="H2864" s="126"/>
      <c r="I2864" s="125"/>
    </row>
    <row r="2865">
      <c r="A2865" s="125"/>
      <c r="B2865" s="125"/>
      <c r="C2865" s="125"/>
      <c r="D2865" s="125"/>
      <c r="E2865" s="125"/>
      <c r="F2865" s="126"/>
      <c r="G2865" s="126"/>
      <c r="H2865" s="127"/>
      <c r="I2865" s="125"/>
    </row>
    <row r="2866">
      <c r="A2866" s="125"/>
      <c r="B2866" s="125"/>
      <c r="C2866" s="125"/>
      <c r="D2866" s="125"/>
      <c r="E2866" s="125"/>
      <c r="F2866" s="126"/>
      <c r="G2866" s="126"/>
      <c r="H2866" s="127"/>
      <c r="I2866" s="125"/>
    </row>
    <row r="2867">
      <c r="A2867" s="125"/>
      <c r="B2867" s="125"/>
      <c r="C2867" s="125"/>
      <c r="D2867" s="125"/>
      <c r="E2867" s="125"/>
      <c r="F2867" s="126"/>
      <c r="G2867" s="126"/>
      <c r="H2867" s="127"/>
      <c r="I2867" s="125"/>
    </row>
    <row r="2868">
      <c r="A2868" s="125"/>
      <c r="B2868" s="125"/>
      <c r="C2868" s="125"/>
      <c r="D2868" s="125"/>
      <c r="E2868" s="125"/>
      <c r="F2868" s="126"/>
      <c r="G2868" s="126"/>
      <c r="H2868" s="127"/>
      <c r="I2868" s="125"/>
    </row>
    <row r="2869">
      <c r="A2869" s="125"/>
      <c r="B2869" s="125"/>
      <c r="C2869" s="125"/>
      <c r="D2869" s="125"/>
      <c r="E2869" s="125"/>
      <c r="F2869" s="126"/>
      <c r="G2869" s="126"/>
      <c r="H2869" s="127"/>
      <c r="I2869" s="125"/>
    </row>
    <row r="2870">
      <c r="A2870" s="125"/>
      <c r="B2870" s="125"/>
      <c r="C2870" s="125"/>
      <c r="D2870" s="125"/>
      <c r="E2870" s="125"/>
      <c r="F2870" s="126"/>
      <c r="G2870" s="126"/>
      <c r="H2870" s="127"/>
      <c r="I2870" s="125"/>
    </row>
    <row r="2871">
      <c r="A2871" s="125"/>
      <c r="B2871" s="125"/>
      <c r="C2871" s="125"/>
      <c r="D2871" s="125"/>
      <c r="E2871" s="125"/>
      <c r="F2871" s="126"/>
      <c r="G2871" s="126"/>
      <c r="H2871" s="127"/>
      <c r="I2871" s="125"/>
    </row>
    <row r="2872">
      <c r="A2872" s="125"/>
      <c r="B2872" s="125"/>
      <c r="C2872" s="125"/>
      <c r="D2872" s="125"/>
      <c r="E2872" s="125"/>
      <c r="F2872" s="126"/>
      <c r="G2872" s="126"/>
      <c r="H2872" s="127"/>
      <c r="I2872" s="125"/>
    </row>
    <row r="2873">
      <c r="A2873" s="125"/>
      <c r="B2873" s="125"/>
      <c r="C2873" s="125"/>
      <c r="D2873" s="125"/>
      <c r="E2873" s="125"/>
      <c r="F2873" s="126"/>
      <c r="G2873" s="126"/>
      <c r="H2873" s="127"/>
      <c r="I2873" s="125"/>
    </row>
    <row r="2874">
      <c r="A2874" s="125"/>
      <c r="B2874" s="125"/>
      <c r="C2874" s="125"/>
      <c r="D2874" s="125"/>
      <c r="E2874" s="125"/>
      <c r="F2874" s="126"/>
      <c r="G2874" s="126"/>
      <c r="H2874" s="127"/>
      <c r="I2874" s="125"/>
    </row>
    <row r="2875">
      <c r="A2875" s="125"/>
      <c r="B2875" s="125"/>
      <c r="C2875" s="125"/>
      <c r="D2875" s="125"/>
      <c r="E2875" s="125"/>
      <c r="F2875" s="126"/>
      <c r="G2875" s="126"/>
      <c r="H2875" s="127"/>
      <c r="I2875" s="125"/>
    </row>
    <row r="2876">
      <c r="A2876" s="125"/>
      <c r="B2876" s="125"/>
      <c r="C2876" s="125"/>
      <c r="D2876" s="125"/>
      <c r="E2876" s="125"/>
      <c r="F2876" s="126"/>
      <c r="G2876" s="126"/>
      <c r="H2876" s="127"/>
      <c r="I2876" s="125"/>
    </row>
    <row r="2877">
      <c r="A2877" s="125"/>
      <c r="B2877" s="125"/>
      <c r="C2877" s="125"/>
      <c r="D2877" s="125"/>
      <c r="E2877" s="125"/>
      <c r="F2877" s="126"/>
      <c r="G2877" s="126"/>
      <c r="H2877" s="127"/>
      <c r="I2877" s="125"/>
    </row>
    <row r="2878">
      <c r="A2878" s="125"/>
      <c r="B2878" s="125"/>
      <c r="C2878" s="125"/>
      <c r="D2878" s="125"/>
      <c r="E2878" s="125"/>
      <c r="F2878" s="126"/>
      <c r="G2878" s="126"/>
      <c r="H2878" s="127"/>
      <c r="I2878" s="125"/>
    </row>
    <row r="2879">
      <c r="A2879" s="125"/>
      <c r="B2879" s="125"/>
      <c r="C2879" s="125"/>
      <c r="D2879" s="125"/>
      <c r="E2879" s="125"/>
      <c r="F2879" s="126"/>
      <c r="G2879" s="126"/>
      <c r="H2879" s="126"/>
      <c r="I2879" s="125"/>
    </row>
    <row r="2880">
      <c r="A2880" s="125"/>
      <c r="B2880" s="125"/>
      <c r="C2880" s="125"/>
      <c r="D2880" s="125"/>
      <c r="E2880" s="125"/>
      <c r="F2880" s="126"/>
      <c r="G2880" s="126"/>
      <c r="H2880" s="127"/>
      <c r="I2880" s="125"/>
    </row>
    <row r="2881">
      <c r="A2881" s="125"/>
      <c r="B2881" s="125"/>
      <c r="C2881" s="125"/>
      <c r="D2881" s="125"/>
      <c r="E2881" s="125"/>
      <c r="F2881" s="126"/>
      <c r="G2881" s="126"/>
      <c r="H2881" s="126"/>
      <c r="I2881" s="125"/>
    </row>
    <row r="2882">
      <c r="A2882" s="125"/>
      <c r="B2882" s="125"/>
      <c r="C2882" s="125"/>
      <c r="D2882" s="125"/>
      <c r="E2882" s="125"/>
      <c r="F2882" s="126"/>
      <c r="G2882" s="126"/>
      <c r="H2882" s="126"/>
      <c r="I2882" s="125"/>
    </row>
    <row r="2883">
      <c r="A2883" s="125"/>
      <c r="B2883" s="125"/>
      <c r="C2883" s="125"/>
      <c r="D2883" s="125"/>
      <c r="E2883" s="125"/>
      <c r="F2883" s="126"/>
      <c r="G2883" s="126"/>
      <c r="H2883" s="127"/>
      <c r="I2883" s="125"/>
    </row>
    <row r="2884">
      <c r="A2884" s="125"/>
      <c r="B2884" s="125"/>
      <c r="C2884" s="125"/>
      <c r="D2884" s="125"/>
      <c r="E2884" s="125"/>
      <c r="F2884" s="126"/>
      <c r="G2884" s="126"/>
      <c r="H2884" s="127"/>
      <c r="I2884" s="125"/>
    </row>
    <row r="2885">
      <c r="A2885" s="125"/>
      <c r="B2885" s="125"/>
      <c r="C2885" s="125"/>
      <c r="D2885" s="125"/>
      <c r="E2885" s="125"/>
      <c r="F2885" s="126"/>
      <c r="G2885" s="126"/>
      <c r="H2885" s="127"/>
      <c r="I2885" s="125"/>
    </row>
    <row r="2886">
      <c r="A2886" s="125"/>
      <c r="B2886" s="125"/>
      <c r="C2886" s="125"/>
      <c r="D2886" s="125"/>
      <c r="E2886" s="125"/>
      <c r="F2886" s="126"/>
      <c r="G2886" s="126"/>
      <c r="H2886" s="127"/>
      <c r="I2886" s="125"/>
    </row>
    <row r="2887">
      <c r="A2887" s="125"/>
      <c r="B2887" s="125"/>
      <c r="C2887" s="125"/>
      <c r="D2887" s="125"/>
      <c r="E2887" s="125"/>
      <c r="F2887" s="126"/>
      <c r="G2887" s="126"/>
      <c r="H2887" s="127"/>
      <c r="I2887" s="125"/>
    </row>
    <row r="2888">
      <c r="A2888" s="125"/>
      <c r="B2888" s="125"/>
      <c r="C2888" s="125"/>
      <c r="D2888" s="125"/>
      <c r="E2888" s="125"/>
      <c r="F2888" s="126"/>
      <c r="G2888" s="126"/>
      <c r="H2888" s="127"/>
      <c r="I2888" s="125"/>
    </row>
    <row r="2889">
      <c r="A2889" s="125"/>
      <c r="B2889" s="125"/>
      <c r="C2889" s="125"/>
      <c r="D2889" s="125"/>
      <c r="E2889" s="125"/>
      <c r="F2889" s="126"/>
      <c r="G2889" s="126"/>
      <c r="H2889" s="126"/>
      <c r="I2889" s="125"/>
    </row>
    <row r="2890">
      <c r="A2890" s="125"/>
      <c r="B2890" s="125"/>
      <c r="C2890" s="125"/>
      <c r="D2890" s="125"/>
      <c r="E2890" s="125"/>
      <c r="F2890" s="126"/>
      <c r="G2890" s="126"/>
      <c r="H2890" s="127"/>
      <c r="I2890" s="125"/>
    </row>
    <row r="2891">
      <c r="A2891" s="125"/>
      <c r="B2891" s="125"/>
      <c r="C2891" s="125"/>
      <c r="D2891" s="125"/>
      <c r="E2891" s="125"/>
      <c r="F2891" s="126"/>
      <c r="G2891" s="126"/>
      <c r="H2891" s="127"/>
      <c r="I2891" s="125"/>
    </row>
    <row r="2892">
      <c r="A2892" s="125"/>
      <c r="B2892" s="125"/>
      <c r="C2892" s="125"/>
      <c r="D2892" s="125"/>
      <c r="E2892" s="125"/>
      <c r="F2892" s="126"/>
      <c r="G2892" s="126"/>
      <c r="H2892" s="127"/>
      <c r="I2892" s="125"/>
    </row>
    <row r="2893">
      <c r="A2893" s="125"/>
      <c r="B2893" s="125"/>
      <c r="C2893" s="125"/>
      <c r="D2893" s="125"/>
      <c r="E2893" s="125"/>
      <c r="F2893" s="126"/>
      <c r="G2893" s="126"/>
      <c r="H2893" s="127"/>
      <c r="I2893" s="125"/>
    </row>
    <row r="2894">
      <c r="A2894" s="125"/>
      <c r="B2894" s="125"/>
      <c r="C2894" s="125"/>
      <c r="D2894" s="125"/>
      <c r="E2894" s="125"/>
      <c r="F2894" s="126"/>
      <c r="G2894" s="126"/>
      <c r="H2894" s="127"/>
      <c r="I2894" s="125"/>
    </row>
    <row r="2895">
      <c r="A2895" s="125"/>
      <c r="B2895" s="125"/>
      <c r="C2895" s="125"/>
      <c r="D2895" s="125"/>
      <c r="E2895" s="125"/>
      <c r="F2895" s="126"/>
      <c r="G2895" s="126"/>
      <c r="H2895" s="127"/>
      <c r="I2895" s="125"/>
    </row>
    <row r="2896">
      <c r="A2896" s="125"/>
      <c r="B2896" s="125"/>
      <c r="C2896" s="125"/>
      <c r="D2896" s="125"/>
      <c r="E2896" s="125"/>
      <c r="F2896" s="126"/>
      <c r="G2896" s="126"/>
      <c r="H2896" s="126"/>
      <c r="I2896" s="125"/>
    </row>
    <row r="2897">
      <c r="A2897" s="125"/>
      <c r="B2897" s="125"/>
      <c r="C2897" s="125"/>
      <c r="D2897" s="125"/>
      <c r="E2897" s="125"/>
      <c r="F2897" s="126"/>
      <c r="G2897" s="126"/>
      <c r="H2897" s="127"/>
      <c r="I2897" s="125"/>
    </row>
    <row r="2898">
      <c r="A2898" s="125"/>
      <c r="B2898" s="125"/>
      <c r="C2898" s="125"/>
      <c r="D2898" s="125"/>
      <c r="E2898" s="125"/>
      <c r="F2898" s="126"/>
      <c r="G2898" s="126"/>
      <c r="H2898" s="127"/>
      <c r="I2898" s="125"/>
    </row>
    <row r="2899">
      <c r="A2899" s="125"/>
      <c r="B2899" s="125"/>
      <c r="C2899" s="125"/>
      <c r="D2899" s="125"/>
      <c r="E2899" s="125"/>
      <c r="F2899" s="126"/>
      <c r="G2899" s="126"/>
      <c r="H2899" s="127"/>
      <c r="I2899" s="125"/>
    </row>
    <row r="2900">
      <c r="A2900" s="125"/>
      <c r="B2900" s="125"/>
      <c r="C2900" s="125"/>
      <c r="D2900" s="125"/>
      <c r="E2900" s="125"/>
      <c r="F2900" s="126"/>
      <c r="G2900" s="126"/>
      <c r="H2900" s="127"/>
      <c r="I2900" s="125"/>
    </row>
    <row r="2901">
      <c r="A2901" s="125"/>
      <c r="B2901" s="125"/>
      <c r="C2901" s="125"/>
      <c r="D2901" s="125"/>
      <c r="E2901" s="125"/>
      <c r="F2901" s="126"/>
      <c r="G2901" s="126"/>
      <c r="H2901" s="126"/>
      <c r="I2901" s="125"/>
    </row>
    <row r="2902">
      <c r="A2902" s="125"/>
      <c r="B2902" s="125"/>
      <c r="C2902" s="125"/>
      <c r="D2902" s="125"/>
      <c r="E2902" s="125"/>
      <c r="F2902" s="126"/>
      <c r="G2902" s="126"/>
      <c r="H2902" s="127"/>
      <c r="I2902" s="125"/>
    </row>
    <row r="2903">
      <c r="A2903" s="125"/>
      <c r="B2903" s="125"/>
      <c r="C2903" s="125"/>
      <c r="D2903" s="125"/>
      <c r="E2903" s="125"/>
      <c r="F2903" s="126"/>
      <c r="G2903" s="126"/>
      <c r="H2903" s="127"/>
      <c r="I2903" s="125"/>
    </row>
    <row r="2904">
      <c r="A2904" s="125"/>
      <c r="B2904" s="125"/>
      <c r="C2904" s="125"/>
      <c r="D2904" s="125"/>
      <c r="E2904" s="125"/>
      <c r="F2904" s="126"/>
      <c r="G2904" s="126"/>
      <c r="H2904" s="127"/>
      <c r="I2904" s="125"/>
    </row>
    <row r="2905">
      <c r="A2905" s="125"/>
      <c r="B2905" s="125"/>
      <c r="C2905" s="125"/>
      <c r="D2905" s="125"/>
      <c r="E2905" s="125"/>
      <c r="F2905" s="126"/>
      <c r="G2905" s="126"/>
      <c r="H2905" s="127"/>
      <c r="I2905" s="125"/>
    </row>
    <row r="2906">
      <c r="A2906" s="125"/>
      <c r="B2906" s="125"/>
      <c r="C2906" s="125"/>
      <c r="D2906" s="125"/>
      <c r="E2906" s="125"/>
      <c r="F2906" s="126"/>
      <c r="G2906" s="126"/>
      <c r="H2906" s="127"/>
      <c r="I2906" s="125"/>
    </row>
    <row r="2907">
      <c r="A2907" s="125"/>
      <c r="B2907" s="125"/>
      <c r="C2907" s="125"/>
      <c r="D2907" s="125"/>
      <c r="E2907" s="125"/>
      <c r="F2907" s="126"/>
      <c r="G2907" s="126"/>
      <c r="H2907" s="127"/>
      <c r="I2907" s="125"/>
    </row>
    <row r="2908">
      <c r="A2908" s="125"/>
      <c r="B2908" s="125"/>
      <c r="C2908" s="125"/>
      <c r="D2908" s="125"/>
      <c r="E2908" s="125"/>
      <c r="F2908" s="126"/>
      <c r="G2908" s="126"/>
      <c r="H2908" s="126"/>
      <c r="I2908" s="125"/>
    </row>
    <row r="2909">
      <c r="A2909" s="125"/>
      <c r="B2909" s="125"/>
      <c r="C2909" s="125"/>
      <c r="D2909" s="125"/>
      <c r="E2909" s="125"/>
      <c r="F2909" s="126"/>
      <c r="G2909" s="126"/>
      <c r="H2909" s="126"/>
      <c r="I2909" s="125"/>
    </row>
    <row r="2910">
      <c r="A2910" s="125"/>
      <c r="B2910" s="125"/>
      <c r="C2910" s="125"/>
      <c r="D2910" s="125"/>
      <c r="E2910" s="125"/>
      <c r="F2910" s="126"/>
      <c r="G2910" s="126"/>
      <c r="H2910" s="127"/>
      <c r="I2910" s="125"/>
    </row>
    <row r="2911">
      <c r="A2911" s="125"/>
      <c r="B2911" s="125"/>
      <c r="C2911" s="125"/>
      <c r="D2911" s="125"/>
      <c r="E2911" s="125"/>
      <c r="F2911" s="126"/>
      <c r="G2911" s="126"/>
      <c r="H2911" s="127"/>
      <c r="I2911" s="125"/>
    </row>
    <row r="2912">
      <c r="A2912" s="125"/>
      <c r="B2912" s="125"/>
      <c r="C2912" s="125"/>
      <c r="D2912" s="125"/>
      <c r="E2912" s="125"/>
      <c r="F2912" s="126"/>
      <c r="G2912" s="126"/>
      <c r="H2912" s="127"/>
      <c r="I2912" s="125"/>
    </row>
    <row r="2913">
      <c r="A2913" s="125"/>
      <c r="B2913" s="125"/>
      <c r="C2913" s="125"/>
      <c r="D2913" s="125"/>
      <c r="E2913" s="125"/>
      <c r="F2913" s="126"/>
      <c r="G2913" s="126"/>
      <c r="H2913" s="127"/>
      <c r="I2913" s="125"/>
    </row>
    <row r="2914">
      <c r="A2914" s="125"/>
      <c r="B2914" s="125"/>
      <c r="C2914" s="125"/>
      <c r="D2914" s="125"/>
      <c r="E2914" s="125"/>
      <c r="F2914" s="126"/>
      <c r="G2914" s="126"/>
      <c r="H2914" s="127"/>
      <c r="I2914" s="125"/>
    </row>
    <row r="2915">
      <c r="A2915" s="125"/>
      <c r="B2915" s="125"/>
      <c r="C2915" s="125"/>
      <c r="D2915" s="125"/>
      <c r="E2915" s="125"/>
      <c r="F2915" s="126"/>
      <c r="G2915" s="126"/>
      <c r="H2915" s="127"/>
      <c r="I2915" s="125"/>
    </row>
    <row r="2916">
      <c r="A2916" s="125"/>
      <c r="B2916" s="125"/>
      <c r="C2916" s="125"/>
      <c r="D2916" s="125"/>
      <c r="E2916" s="125"/>
      <c r="F2916" s="126"/>
      <c r="G2916" s="126"/>
      <c r="H2916" s="127"/>
      <c r="I2916" s="125"/>
    </row>
    <row r="2917">
      <c r="A2917" s="125"/>
      <c r="B2917" s="125"/>
      <c r="C2917" s="125"/>
      <c r="D2917" s="125"/>
      <c r="E2917" s="125"/>
      <c r="F2917" s="126"/>
      <c r="G2917" s="126"/>
      <c r="H2917" s="127"/>
      <c r="I2917" s="125"/>
    </row>
    <row r="2918">
      <c r="A2918" s="125"/>
      <c r="B2918" s="125"/>
      <c r="C2918" s="125"/>
      <c r="D2918" s="125"/>
      <c r="E2918" s="125"/>
      <c r="F2918" s="126"/>
      <c r="G2918" s="126"/>
      <c r="H2918" s="127"/>
      <c r="I2918" s="125"/>
    </row>
    <row r="2919">
      <c r="A2919" s="125"/>
      <c r="B2919" s="125"/>
      <c r="C2919" s="125"/>
      <c r="D2919" s="125"/>
      <c r="E2919" s="125"/>
      <c r="F2919" s="126"/>
      <c r="G2919" s="126"/>
      <c r="H2919" s="127"/>
      <c r="I2919" s="125"/>
    </row>
    <row r="2920">
      <c r="A2920" s="125"/>
      <c r="B2920" s="125"/>
      <c r="C2920" s="125"/>
      <c r="D2920" s="125"/>
      <c r="E2920" s="125"/>
      <c r="F2920" s="126"/>
      <c r="G2920" s="126"/>
      <c r="H2920" s="127"/>
      <c r="I2920" s="125"/>
    </row>
    <row r="2921">
      <c r="A2921" s="125"/>
      <c r="B2921" s="125"/>
      <c r="C2921" s="125"/>
      <c r="D2921" s="125"/>
      <c r="E2921" s="125"/>
      <c r="F2921" s="126"/>
      <c r="G2921" s="126"/>
      <c r="H2921" s="127"/>
      <c r="I2921" s="125"/>
    </row>
    <row r="2922">
      <c r="A2922" s="125"/>
      <c r="B2922" s="125"/>
      <c r="C2922" s="125"/>
      <c r="D2922" s="125"/>
      <c r="E2922" s="125"/>
      <c r="F2922" s="126"/>
      <c r="G2922" s="126"/>
      <c r="H2922" s="127"/>
      <c r="I2922" s="125"/>
    </row>
    <row r="2923">
      <c r="A2923" s="125"/>
      <c r="B2923" s="125"/>
      <c r="C2923" s="125"/>
      <c r="D2923" s="125"/>
      <c r="E2923" s="125"/>
      <c r="F2923" s="126"/>
      <c r="G2923" s="126"/>
      <c r="H2923" s="127"/>
      <c r="I2923" s="125"/>
    </row>
    <row r="2924">
      <c r="A2924" s="125"/>
      <c r="B2924" s="125"/>
      <c r="C2924" s="125"/>
      <c r="D2924" s="125"/>
      <c r="E2924" s="125"/>
      <c r="F2924" s="126"/>
      <c r="G2924" s="126"/>
      <c r="H2924" s="127"/>
      <c r="I2924" s="125"/>
    </row>
    <row r="2925">
      <c r="A2925" s="125"/>
      <c r="B2925" s="125"/>
      <c r="C2925" s="125"/>
      <c r="D2925" s="125"/>
      <c r="E2925" s="125"/>
      <c r="F2925" s="126"/>
      <c r="G2925" s="126"/>
      <c r="H2925" s="127"/>
      <c r="I2925" s="125"/>
    </row>
    <row r="2926">
      <c r="A2926" s="125"/>
      <c r="B2926" s="125"/>
      <c r="C2926" s="125"/>
      <c r="D2926" s="125"/>
      <c r="E2926" s="125"/>
      <c r="F2926" s="126"/>
      <c r="G2926" s="126"/>
      <c r="H2926" s="126"/>
      <c r="I2926" s="125"/>
    </row>
    <row r="2927">
      <c r="A2927" s="125"/>
      <c r="B2927" s="125"/>
      <c r="C2927" s="125"/>
      <c r="D2927" s="125"/>
      <c r="E2927" s="125"/>
      <c r="F2927" s="126"/>
      <c r="G2927" s="126"/>
      <c r="H2927" s="127"/>
      <c r="I2927" s="125"/>
    </row>
    <row r="2928">
      <c r="A2928" s="125"/>
      <c r="B2928" s="125"/>
      <c r="C2928" s="125"/>
      <c r="D2928" s="125"/>
      <c r="E2928" s="125"/>
      <c r="F2928" s="126"/>
      <c r="G2928" s="126"/>
      <c r="H2928" s="127"/>
      <c r="I2928" s="125"/>
    </row>
    <row r="2929">
      <c r="A2929" s="125"/>
      <c r="B2929" s="125"/>
      <c r="C2929" s="125"/>
      <c r="D2929" s="125"/>
      <c r="E2929" s="125"/>
      <c r="F2929" s="126"/>
      <c r="G2929" s="126"/>
      <c r="H2929" s="127"/>
      <c r="I2929" s="125"/>
    </row>
    <row r="2930">
      <c r="A2930" s="125"/>
      <c r="B2930" s="125"/>
      <c r="C2930" s="125"/>
      <c r="D2930" s="125"/>
      <c r="E2930" s="125"/>
      <c r="F2930" s="126"/>
      <c r="G2930" s="126"/>
      <c r="H2930" s="127"/>
      <c r="I2930" s="125"/>
    </row>
    <row r="2931">
      <c r="A2931" s="125"/>
      <c r="B2931" s="125"/>
      <c r="C2931" s="125"/>
      <c r="D2931" s="125"/>
      <c r="E2931" s="125"/>
      <c r="F2931" s="126"/>
      <c r="G2931" s="126"/>
      <c r="H2931" s="127"/>
      <c r="I2931" s="125"/>
    </row>
    <row r="2932">
      <c r="A2932" s="125"/>
      <c r="B2932" s="125"/>
      <c r="C2932" s="125"/>
      <c r="D2932" s="125"/>
      <c r="E2932" s="125"/>
      <c r="F2932" s="126"/>
      <c r="G2932" s="126"/>
      <c r="H2932" s="127"/>
      <c r="I2932" s="125"/>
    </row>
    <row r="2933">
      <c r="A2933" s="125"/>
      <c r="B2933" s="125"/>
      <c r="C2933" s="125"/>
      <c r="D2933" s="125"/>
      <c r="E2933" s="125"/>
      <c r="F2933" s="126"/>
      <c r="G2933" s="126"/>
      <c r="H2933" s="127"/>
      <c r="I2933" s="125"/>
    </row>
    <row r="2934">
      <c r="A2934" s="125"/>
      <c r="B2934" s="125"/>
      <c r="C2934" s="125"/>
      <c r="D2934" s="125"/>
      <c r="E2934" s="125"/>
      <c r="F2934" s="126"/>
      <c r="G2934" s="126"/>
      <c r="H2934" s="127"/>
      <c r="I2934" s="125"/>
    </row>
    <row r="2935">
      <c r="A2935" s="125"/>
      <c r="B2935" s="125"/>
      <c r="C2935" s="125"/>
      <c r="D2935" s="125"/>
      <c r="E2935" s="125"/>
      <c r="F2935" s="126"/>
      <c r="G2935" s="126"/>
      <c r="H2935" s="127"/>
      <c r="I2935" s="125"/>
    </row>
    <row r="2936">
      <c r="A2936" s="125"/>
      <c r="B2936" s="125"/>
      <c r="C2936" s="125"/>
      <c r="D2936" s="125"/>
      <c r="E2936" s="125"/>
      <c r="F2936" s="126"/>
      <c r="G2936" s="126"/>
      <c r="H2936" s="126"/>
      <c r="I2936" s="125"/>
    </row>
    <row r="2937">
      <c r="A2937" s="125"/>
      <c r="B2937" s="125"/>
      <c r="C2937" s="125"/>
      <c r="D2937" s="125"/>
      <c r="E2937" s="125"/>
      <c r="F2937" s="126"/>
      <c r="G2937" s="126"/>
      <c r="H2937" s="127"/>
      <c r="I2937" s="125"/>
    </row>
    <row r="2938">
      <c r="A2938" s="125"/>
      <c r="B2938" s="125"/>
      <c r="C2938" s="125"/>
      <c r="D2938" s="125"/>
      <c r="E2938" s="125"/>
      <c r="F2938" s="126"/>
      <c r="G2938" s="126"/>
      <c r="H2938" s="126"/>
      <c r="I2938" s="125"/>
    </row>
    <row r="2939">
      <c r="A2939" s="125"/>
      <c r="B2939" s="125"/>
      <c r="C2939" s="125"/>
      <c r="D2939" s="125"/>
      <c r="E2939" s="125"/>
      <c r="F2939" s="126"/>
      <c r="G2939" s="126"/>
      <c r="H2939" s="127"/>
      <c r="I2939" s="125"/>
    </row>
    <row r="2940">
      <c r="A2940" s="125"/>
      <c r="B2940" s="125"/>
      <c r="C2940" s="125"/>
      <c r="D2940" s="125"/>
      <c r="E2940" s="125"/>
      <c r="F2940" s="126"/>
      <c r="G2940" s="126"/>
      <c r="H2940" s="127"/>
      <c r="I2940" s="125"/>
    </row>
    <row r="2941">
      <c r="A2941" s="125"/>
      <c r="B2941" s="125"/>
      <c r="C2941" s="125"/>
      <c r="D2941" s="125"/>
      <c r="E2941" s="125"/>
      <c r="F2941" s="126"/>
      <c r="G2941" s="126"/>
      <c r="H2941" s="126"/>
      <c r="I2941" s="125"/>
    </row>
    <row r="2942">
      <c r="A2942" s="125"/>
      <c r="B2942" s="125"/>
      <c r="C2942" s="125"/>
      <c r="D2942" s="125"/>
      <c r="E2942" s="125"/>
      <c r="F2942" s="126"/>
      <c r="G2942" s="126"/>
      <c r="H2942" s="127"/>
      <c r="I2942" s="125"/>
    </row>
    <row r="2943">
      <c r="A2943" s="125"/>
      <c r="B2943" s="125"/>
      <c r="C2943" s="125"/>
      <c r="D2943" s="125"/>
      <c r="E2943" s="125"/>
      <c r="F2943" s="126"/>
      <c r="G2943" s="126"/>
      <c r="H2943" s="127"/>
      <c r="I2943" s="125"/>
    </row>
    <row r="2944">
      <c r="A2944" s="125"/>
      <c r="B2944" s="125"/>
      <c r="C2944" s="125"/>
      <c r="D2944" s="125"/>
      <c r="E2944" s="125"/>
      <c r="F2944" s="126"/>
      <c r="G2944" s="126"/>
      <c r="H2944" s="127"/>
      <c r="I2944" s="125"/>
    </row>
    <row r="2945">
      <c r="A2945" s="125"/>
      <c r="B2945" s="125"/>
      <c r="C2945" s="125"/>
      <c r="D2945" s="125"/>
      <c r="E2945" s="125"/>
      <c r="F2945" s="126"/>
      <c r="G2945" s="126"/>
      <c r="H2945" s="127"/>
      <c r="I2945" s="125"/>
    </row>
    <row r="2946">
      <c r="A2946" s="125"/>
      <c r="B2946" s="125"/>
      <c r="C2946" s="125"/>
      <c r="D2946" s="125"/>
      <c r="E2946" s="125"/>
      <c r="F2946" s="126"/>
      <c r="G2946" s="126"/>
      <c r="H2946" s="127"/>
      <c r="I2946" s="125"/>
    </row>
    <row r="2947">
      <c r="A2947" s="125"/>
      <c r="B2947" s="125"/>
      <c r="C2947" s="125"/>
      <c r="D2947" s="125"/>
      <c r="E2947" s="125"/>
      <c r="F2947" s="126"/>
      <c r="G2947" s="126"/>
      <c r="H2947" s="127"/>
      <c r="I2947" s="125"/>
    </row>
    <row r="2948">
      <c r="A2948" s="125"/>
      <c r="B2948" s="125"/>
      <c r="C2948" s="125"/>
      <c r="D2948" s="125"/>
      <c r="E2948" s="125"/>
      <c r="F2948" s="126"/>
      <c r="G2948" s="126"/>
      <c r="H2948" s="127"/>
      <c r="I2948" s="125"/>
    </row>
    <row r="2949">
      <c r="A2949" s="125"/>
      <c r="B2949" s="125"/>
      <c r="C2949" s="125"/>
      <c r="D2949" s="125"/>
      <c r="E2949" s="125"/>
      <c r="F2949" s="126"/>
      <c r="G2949" s="126"/>
      <c r="H2949" s="127"/>
      <c r="I2949" s="125"/>
    </row>
    <row r="2950">
      <c r="A2950" s="125"/>
      <c r="B2950" s="125"/>
      <c r="C2950" s="125"/>
      <c r="D2950" s="125"/>
      <c r="E2950" s="125"/>
      <c r="F2950" s="126"/>
      <c r="G2950" s="126"/>
      <c r="H2950" s="127"/>
      <c r="I2950" s="125"/>
    </row>
    <row r="2951">
      <c r="A2951" s="125"/>
      <c r="B2951" s="125"/>
      <c r="C2951" s="125"/>
      <c r="D2951" s="125"/>
      <c r="E2951" s="125"/>
      <c r="F2951" s="126"/>
      <c r="G2951" s="126"/>
      <c r="H2951" s="127"/>
      <c r="I2951" s="125"/>
    </row>
    <row r="2952">
      <c r="A2952" s="125"/>
      <c r="B2952" s="125"/>
      <c r="C2952" s="125"/>
      <c r="D2952" s="125"/>
      <c r="E2952" s="125"/>
      <c r="F2952" s="126"/>
      <c r="G2952" s="126"/>
      <c r="H2952" s="127"/>
      <c r="I2952" s="125"/>
    </row>
    <row r="2953">
      <c r="A2953" s="125"/>
      <c r="B2953" s="125"/>
      <c r="C2953" s="125"/>
      <c r="D2953" s="125"/>
      <c r="E2953" s="125"/>
      <c r="F2953" s="126"/>
      <c r="G2953" s="126"/>
      <c r="H2953" s="126"/>
      <c r="I2953" s="125"/>
    </row>
    <row r="2954">
      <c r="A2954" s="125"/>
      <c r="B2954" s="125"/>
      <c r="C2954" s="125"/>
      <c r="D2954" s="125"/>
      <c r="E2954" s="125"/>
      <c r="F2954" s="126"/>
      <c r="G2954" s="126"/>
      <c r="H2954" s="127"/>
      <c r="I2954" s="125"/>
    </row>
    <row r="2955">
      <c r="A2955" s="125"/>
      <c r="B2955" s="125"/>
      <c r="C2955" s="125"/>
      <c r="D2955" s="125"/>
      <c r="E2955" s="125"/>
      <c r="F2955" s="126"/>
      <c r="G2955" s="126"/>
      <c r="H2955" s="127"/>
      <c r="I2955" s="125"/>
    </row>
    <row r="2956">
      <c r="A2956" s="125"/>
      <c r="B2956" s="125"/>
      <c r="C2956" s="125"/>
      <c r="D2956" s="125"/>
      <c r="E2956" s="125"/>
      <c r="F2956" s="126"/>
      <c r="G2956" s="126"/>
      <c r="H2956" s="127"/>
      <c r="I2956" s="125"/>
    </row>
    <row r="2957">
      <c r="A2957" s="125"/>
      <c r="B2957" s="125"/>
      <c r="C2957" s="125"/>
      <c r="D2957" s="125"/>
      <c r="E2957" s="125"/>
      <c r="F2957" s="126"/>
      <c r="G2957" s="126"/>
      <c r="H2957" s="127"/>
      <c r="I2957" s="125"/>
    </row>
    <row r="2958">
      <c r="A2958" s="125"/>
      <c r="B2958" s="125"/>
      <c r="C2958" s="125"/>
      <c r="D2958" s="125"/>
      <c r="E2958" s="125"/>
      <c r="F2958" s="126"/>
      <c r="G2958" s="126"/>
      <c r="H2958" s="127"/>
      <c r="I2958" s="125"/>
    </row>
    <row r="2959">
      <c r="A2959" s="125"/>
      <c r="B2959" s="125"/>
      <c r="C2959" s="125"/>
      <c r="D2959" s="125"/>
      <c r="E2959" s="125"/>
      <c r="F2959" s="126"/>
      <c r="G2959" s="126"/>
      <c r="H2959" s="126"/>
      <c r="I2959" s="125"/>
    </row>
    <row r="2960">
      <c r="A2960" s="125"/>
      <c r="B2960" s="125"/>
      <c r="C2960" s="125"/>
      <c r="D2960" s="125"/>
      <c r="E2960" s="125"/>
      <c r="F2960" s="126"/>
      <c r="G2960" s="126"/>
      <c r="H2960" s="127"/>
      <c r="I2960" s="125"/>
    </row>
    <row r="2961">
      <c r="A2961" s="125"/>
      <c r="B2961" s="125"/>
      <c r="C2961" s="125"/>
      <c r="D2961" s="125"/>
      <c r="E2961" s="125"/>
      <c r="F2961" s="126"/>
      <c r="G2961" s="126"/>
      <c r="H2961" s="127"/>
      <c r="I2961" s="125"/>
    </row>
    <row r="2962">
      <c r="A2962" s="125"/>
      <c r="B2962" s="125"/>
      <c r="C2962" s="125"/>
      <c r="D2962" s="125"/>
      <c r="E2962" s="125"/>
      <c r="F2962" s="126"/>
      <c r="G2962" s="126"/>
      <c r="H2962" s="127"/>
      <c r="I2962" s="125"/>
    </row>
    <row r="2963">
      <c r="A2963" s="125"/>
      <c r="B2963" s="125"/>
      <c r="C2963" s="125"/>
      <c r="D2963" s="125"/>
      <c r="E2963" s="125"/>
      <c r="F2963" s="126"/>
      <c r="G2963" s="126"/>
      <c r="H2963" s="126"/>
      <c r="I2963" s="125"/>
    </row>
    <row r="2964">
      <c r="A2964" s="125"/>
      <c r="B2964" s="125"/>
      <c r="C2964" s="125"/>
      <c r="D2964" s="125"/>
      <c r="E2964" s="125"/>
      <c r="F2964" s="126"/>
      <c r="G2964" s="126"/>
      <c r="H2964" s="127"/>
      <c r="I2964" s="125"/>
    </row>
    <row r="2965">
      <c r="A2965" s="125"/>
      <c r="B2965" s="125"/>
      <c r="C2965" s="125"/>
      <c r="D2965" s="125"/>
      <c r="E2965" s="125"/>
      <c r="F2965" s="126"/>
      <c r="G2965" s="126"/>
      <c r="H2965" s="127"/>
      <c r="I2965" s="125"/>
    </row>
    <row r="2966">
      <c r="A2966" s="125"/>
      <c r="B2966" s="125"/>
      <c r="C2966" s="125"/>
      <c r="D2966" s="125"/>
      <c r="E2966" s="125"/>
      <c r="F2966" s="126"/>
      <c r="G2966" s="126"/>
      <c r="H2966" s="127"/>
      <c r="I2966" s="125"/>
    </row>
    <row r="2967">
      <c r="A2967" s="125"/>
      <c r="B2967" s="125"/>
      <c r="C2967" s="125"/>
      <c r="D2967" s="125"/>
      <c r="E2967" s="125"/>
      <c r="F2967" s="126"/>
      <c r="G2967" s="126"/>
      <c r="H2967" s="127"/>
      <c r="I2967" s="125"/>
    </row>
    <row r="2968">
      <c r="A2968" s="125"/>
      <c r="B2968" s="125"/>
      <c r="C2968" s="125"/>
      <c r="D2968" s="125"/>
      <c r="E2968" s="125"/>
      <c r="F2968" s="126"/>
      <c r="G2968" s="126"/>
      <c r="H2968" s="127"/>
      <c r="I2968" s="125"/>
    </row>
    <row r="2969">
      <c r="A2969" s="125"/>
      <c r="B2969" s="125"/>
      <c r="C2969" s="125"/>
      <c r="D2969" s="125"/>
      <c r="E2969" s="125"/>
      <c r="F2969" s="126"/>
      <c r="G2969" s="126"/>
      <c r="H2969" s="127"/>
      <c r="I2969" s="125"/>
    </row>
    <row r="2970">
      <c r="A2970" s="125"/>
      <c r="B2970" s="125"/>
      <c r="C2970" s="125"/>
      <c r="D2970" s="125"/>
      <c r="E2970" s="125"/>
      <c r="F2970" s="126"/>
      <c r="G2970" s="126"/>
      <c r="H2970" s="127"/>
      <c r="I2970" s="125"/>
    </row>
    <row r="2971">
      <c r="A2971" s="125"/>
      <c r="B2971" s="125"/>
      <c r="C2971" s="125"/>
      <c r="D2971" s="125"/>
      <c r="E2971" s="125"/>
      <c r="F2971" s="126"/>
      <c r="G2971" s="126"/>
      <c r="H2971" s="127"/>
      <c r="I2971" s="125"/>
    </row>
    <row r="2972">
      <c r="A2972" s="125"/>
      <c r="B2972" s="125"/>
      <c r="C2972" s="125"/>
      <c r="D2972" s="125"/>
      <c r="E2972" s="125"/>
      <c r="F2972" s="126"/>
      <c r="G2972" s="126"/>
      <c r="H2972" s="127"/>
      <c r="I2972" s="125"/>
    </row>
    <row r="2973">
      <c r="A2973" s="125"/>
      <c r="B2973" s="125"/>
      <c r="C2973" s="125"/>
      <c r="D2973" s="125"/>
      <c r="E2973" s="125"/>
      <c r="F2973" s="126"/>
      <c r="G2973" s="126"/>
      <c r="H2973" s="127"/>
      <c r="I2973" s="125"/>
    </row>
    <row r="2974">
      <c r="A2974" s="125"/>
      <c r="B2974" s="125"/>
      <c r="C2974" s="125"/>
      <c r="D2974" s="125"/>
      <c r="E2974" s="125"/>
      <c r="F2974" s="126"/>
      <c r="G2974" s="126"/>
      <c r="H2974" s="127"/>
      <c r="I2974" s="125"/>
    </row>
    <row r="2975">
      <c r="A2975" s="125"/>
      <c r="B2975" s="125"/>
      <c r="C2975" s="125"/>
      <c r="D2975" s="125"/>
      <c r="E2975" s="125"/>
      <c r="F2975" s="126"/>
      <c r="G2975" s="126"/>
      <c r="H2975" s="127"/>
      <c r="I2975" s="125"/>
    </row>
    <row r="2976">
      <c r="A2976" s="125"/>
      <c r="B2976" s="125"/>
      <c r="C2976" s="125"/>
      <c r="D2976" s="125"/>
      <c r="E2976" s="125"/>
      <c r="F2976" s="126"/>
      <c r="G2976" s="126"/>
      <c r="H2976" s="127"/>
      <c r="I2976" s="125"/>
    </row>
    <row r="2977">
      <c r="A2977" s="125"/>
      <c r="B2977" s="125"/>
      <c r="C2977" s="125"/>
      <c r="D2977" s="125"/>
      <c r="E2977" s="125"/>
      <c r="F2977" s="126"/>
      <c r="G2977" s="126"/>
      <c r="H2977" s="127"/>
      <c r="I2977" s="125"/>
    </row>
    <row r="2978">
      <c r="A2978" s="125"/>
      <c r="B2978" s="125"/>
      <c r="C2978" s="125"/>
      <c r="D2978" s="125"/>
      <c r="E2978" s="125"/>
      <c r="F2978" s="126"/>
      <c r="G2978" s="126"/>
      <c r="H2978" s="127"/>
      <c r="I2978" s="125"/>
    </row>
    <row r="2979">
      <c r="A2979" s="125"/>
      <c r="B2979" s="125"/>
      <c r="C2979" s="125"/>
      <c r="D2979" s="125"/>
      <c r="E2979" s="125"/>
      <c r="F2979" s="126"/>
      <c r="G2979" s="126"/>
      <c r="H2979" s="127"/>
      <c r="I2979" s="125"/>
    </row>
    <row r="2980">
      <c r="A2980" s="125"/>
      <c r="B2980" s="125"/>
      <c r="C2980" s="125"/>
      <c r="D2980" s="125"/>
      <c r="E2980" s="125"/>
      <c r="F2980" s="126"/>
      <c r="G2980" s="126"/>
      <c r="H2980" s="127"/>
      <c r="I2980" s="125"/>
    </row>
    <row r="2981">
      <c r="A2981" s="125"/>
      <c r="B2981" s="125"/>
      <c r="C2981" s="125"/>
      <c r="D2981" s="125"/>
      <c r="E2981" s="125"/>
      <c r="F2981" s="126"/>
      <c r="G2981" s="126"/>
      <c r="H2981" s="127"/>
      <c r="I2981" s="125"/>
    </row>
    <row r="2982">
      <c r="A2982" s="125"/>
      <c r="B2982" s="125"/>
      <c r="C2982" s="125"/>
      <c r="D2982" s="125"/>
      <c r="E2982" s="125"/>
      <c r="F2982" s="126"/>
      <c r="G2982" s="126"/>
      <c r="H2982" s="126"/>
      <c r="I2982" s="125"/>
    </row>
    <row r="2983">
      <c r="A2983" s="125"/>
      <c r="B2983" s="125"/>
      <c r="C2983" s="125"/>
      <c r="D2983" s="125"/>
      <c r="E2983" s="125"/>
      <c r="F2983" s="126"/>
      <c r="G2983" s="126"/>
      <c r="H2983" s="126"/>
      <c r="I2983" s="125"/>
    </row>
    <row r="2984">
      <c r="A2984" s="125"/>
      <c r="B2984" s="125"/>
      <c r="C2984" s="125"/>
      <c r="D2984" s="125"/>
      <c r="E2984" s="125"/>
      <c r="F2984" s="126"/>
      <c r="G2984" s="126"/>
      <c r="H2984" s="127"/>
      <c r="I2984" s="125"/>
    </row>
    <row r="2985">
      <c r="A2985" s="125"/>
      <c r="B2985" s="125"/>
      <c r="C2985" s="125"/>
      <c r="D2985" s="125"/>
      <c r="E2985" s="125"/>
      <c r="F2985" s="126"/>
      <c r="G2985" s="126"/>
      <c r="H2985" s="127"/>
      <c r="I2985" s="125"/>
    </row>
    <row r="2986">
      <c r="A2986" s="125"/>
      <c r="B2986" s="125"/>
      <c r="C2986" s="125"/>
      <c r="D2986" s="125"/>
      <c r="E2986" s="125"/>
      <c r="F2986" s="126"/>
      <c r="G2986" s="126"/>
      <c r="H2986" s="127"/>
      <c r="I2986" s="125"/>
    </row>
    <row r="2987">
      <c r="A2987" s="125"/>
      <c r="B2987" s="125"/>
      <c r="C2987" s="125"/>
      <c r="D2987" s="125"/>
      <c r="E2987" s="125"/>
      <c r="F2987" s="126"/>
      <c r="G2987" s="126"/>
      <c r="H2987" s="127"/>
      <c r="I2987" s="125"/>
    </row>
    <row r="2988">
      <c r="A2988" s="125"/>
      <c r="B2988" s="125"/>
      <c r="C2988" s="125"/>
      <c r="D2988" s="125"/>
      <c r="E2988" s="125"/>
      <c r="F2988" s="126"/>
      <c r="G2988" s="126"/>
      <c r="H2988" s="126"/>
      <c r="I2988" s="125"/>
    </row>
    <row r="2989">
      <c r="A2989" s="125"/>
      <c r="B2989" s="125"/>
      <c r="C2989" s="125"/>
      <c r="D2989" s="125"/>
      <c r="E2989" s="125"/>
      <c r="F2989" s="126"/>
      <c r="G2989" s="126"/>
      <c r="H2989" s="127"/>
      <c r="I2989" s="125"/>
    </row>
    <row r="2990">
      <c r="A2990" s="125"/>
      <c r="B2990" s="125"/>
      <c r="C2990" s="125"/>
      <c r="D2990" s="125"/>
      <c r="E2990" s="125"/>
      <c r="F2990" s="126"/>
      <c r="G2990" s="126"/>
      <c r="H2990" s="127"/>
      <c r="I2990" s="125"/>
    </row>
    <row r="2991">
      <c r="A2991" s="125"/>
      <c r="B2991" s="125"/>
      <c r="C2991" s="125"/>
      <c r="D2991" s="125"/>
      <c r="E2991" s="125"/>
      <c r="F2991" s="126"/>
      <c r="G2991" s="126"/>
      <c r="H2991" s="127"/>
      <c r="I2991" s="125"/>
    </row>
    <row r="2992">
      <c r="A2992" s="125"/>
      <c r="B2992" s="125"/>
      <c r="C2992" s="125"/>
      <c r="D2992" s="125"/>
      <c r="E2992" s="125"/>
      <c r="F2992" s="126"/>
      <c r="G2992" s="126"/>
      <c r="H2992" s="126"/>
      <c r="I2992" s="125"/>
    </row>
    <row r="2993">
      <c r="A2993" s="125"/>
      <c r="B2993" s="125"/>
      <c r="C2993" s="125"/>
      <c r="D2993" s="125"/>
      <c r="E2993" s="125"/>
      <c r="F2993" s="126"/>
      <c r="G2993" s="126"/>
      <c r="H2993" s="127"/>
      <c r="I2993" s="125"/>
    </row>
    <row r="2994">
      <c r="A2994" s="125"/>
      <c r="B2994" s="125"/>
      <c r="C2994" s="125"/>
      <c r="D2994" s="125"/>
      <c r="E2994" s="125"/>
      <c r="F2994" s="126"/>
      <c r="G2994" s="126"/>
      <c r="H2994" s="127"/>
      <c r="I2994" s="125"/>
    </row>
    <row r="2995">
      <c r="A2995" s="125"/>
      <c r="B2995" s="125"/>
      <c r="C2995" s="125"/>
      <c r="D2995" s="125"/>
      <c r="E2995" s="125"/>
      <c r="F2995" s="126"/>
      <c r="G2995" s="126"/>
      <c r="H2995" s="127"/>
      <c r="I2995" s="125"/>
    </row>
    <row r="2996">
      <c r="A2996" s="125"/>
      <c r="B2996" s="125"/>
      <c r="C2996" s="125"/>
      <c r="D2996" s="125"/>
      <c r="E2996" s="125"/>
      <c r="F2996" s="126"/>
      <c r="G2996" s="126"/>
      <c r="H2996" s="127"/>
      <c r="I2996" s="125"/>
    </row>
    <row r="2997">
      <c r="A2997" s="125"/>
      <c r="B2997" s="125"/>
      <c r="C2997" s="125"/>
      <c r="D2997" s="125"/>
      <c r="E2997" s="125"/>
      <c r="F2997" s="126"/>
      <c r="G2997" s="126"/>
      <c r="H2997" s="127"/>
      <c r="I2997" s="125"/>
    </row>
    <row r="2998">
      <c r="A2998" s="125"/>
      <c r="B2998" s="125"/>
      <c r="C2998" s="125"/>
      <c r="D2998" s="125"/>
      <c r="E2998" s="125"/>
      <c r="F2998" s="126"/>
      <c r="G2998" s="126"/>
      <c r="H2998" s="126"/>
      <c r="I2998" s="125"/>
    </row>
    <row r="2999">
      <c r="A2999" s="125"/>
      <c r="B2999" s="125"/>
      <c r="C2999" s="125"/>
      <c r="D2999" s="125"/>
      <c r="E2999" s="125"/>
      <c r="F2999" s="126"/>
      <c r="G2999" s="126"/>
      <c r="H2999" s="127"/>
      <c r="I2999" s="125"/>
    </row>
    <row r="3000">
      <c r="A3000" s="125"/>
      <c r="B3000" s="125"/>
      <c r="C3000" s="125"/>
      <c r="D3000" s="125"/>
      <c r="E3000" s="125"/>
      <c r="F3000" s="126"/>
      <c r="G3000" s="126"/>
      <c r="H3000" s="127"/>
      <c r="I3000" s="125"/>
    </row>
    <row r="3001">
      <c r="A3001" s="125"/>
      <c r="B3001" s="125"/>
      <c r="C3001" s="125"/>
      <c r="D3001" s="125"/>
      <c r="E3001" s="125"/>
      <c r="F3001" s="126"/>
      <c r="G3001" s="126"/>
      <c r="H3001" s="127"/>
      <c r="I3001" s="125"/>
    </row>
    <row r="3002">
      <c r="A3002" s="125"/>
      <c r="B3002" s="125"/>
      <c r="C3002" s="125"/>
      <c r="D3002" s="125"/>
      <c r="E3002" s="125"/>
      <c r="F3002" s="126"/>
      <c r="G3002" s="126"/>
      <c r="H3002" s="127"/>
      <c r="I3002" s="125"/>
    </row>
    <row r="3003">
      <c r="A3003" s="125"/>
      <c r="B3003" s="125"/>
      <c r="C3003" s="125"/>
      <c r="D3003" s="125"/>
      <c r="E3003" s="125"/>
      <c r="F3003" s="126"/>
      <c r="G3003" s="126"/>
      <c r="H3003" s="126"/>
      <c r="I3003" s="125"/>
    </row>
    <row r="3004">
      <c r="A3004" s="125"/>
      <c r="B3004" s="125"/>
      <c r="C3004" s="125"/>
      <c r="D3004" s="125"/>
      <c r="E3004" s="125"/>
      <c r="F3004" s="126"/>
      <c r="G3004" s="126"/>
      <c r="H3004" s="127"/>
      <c r="I3004" s="125"/>
    </row>
    <row r="3005">
      <c r="A3005" s="125"/>
      <c r="B3005" s="125"/>
      <c r="C3005" s="125"/>
      <c r="D3005" s="125"/>
      <c r="E3005" s="125"/>
      <c r="F3005" s="126"/>
      <c r="G3005" s="126"/>
      <c r="H3005" s="127"/>
      <c r="I3005" s="125"/>
    </row>
    <row r="3006">
      <c r="A3006" s="125"/>
      <c r="B3006" s="125"/>
      <c r="C3006" s="125"/>
      <c r="D3006" s="125"/>
      <c r="E3006" s="125"/>
      <c r="F3006" s="126"/>
      <c r="G3006" s="126"/>
      <c r="H3006" s="127"/>
      <c r="I3006" s="125"/>
    </row>
    <row r="3007">
      <c r="A3007" s="125"/>
      <c r="B3007" s="125"/>
      <c r="C3007" s="125"/>
      <c r="D3007" s="125"/>
      <c r="E3007" s="125"/>
      <c r="F3007" s="126"/>
      <c r="G3007" s="126"/>
      <c r="H3007" s="127"/>
      <c r="I3007" s="125"/>
    </row>
    <row r="3008">
      <c r="A3008" s="125"/>
      <c r="B3008" s="125"/>
      <c r="C3008" s="125"/>
      <c r="D3008" s="125"/>
      <c r="E3008" s="125"/>
      <c r="F3008" s="126"/>
      <c r="G3008" s="126"/>
      <c r="H3008" s="127"/>
      <c r="I3008" s="125"/>
    </row>
    <row r="3009">
      <c r="A3009" s="125"/>
      <c r="B3009" s="125"/>
      <c r="C3009" s="125"/>
      <c r="D3009" s="125"/>
      <c r="E3009" s="125"/>
      <c r="F3009" s="126"/>
      <c r="G3009" s="126"/>
      <c r="H3009" s="127"/>
      <c r="I3009" s="125"/>
    </row>
    <row r="3010">
      <c r="A3010" s="125"/>
      <c r="B3010" s="125"/>
      <c r="C3010" s="125"/>
      <c r="D3010" s="125"/>
      <c r="E3010" s="125"/>
      <c r="F3010" s="126"/>
      <c r="G3010" s="126"/>
      <c r="H3010" s="127"/>
      <c r="I3010" s="125"/>
    </row>
    <row r="3011">
      <c r="A3011" s="125"/>
      <c r="B3011" s="125"/>
      <c r="C3011" s="125"/>
      <c r="D3011" s="125"/>
      <c r="E3011" s="125"/>
      <c r="F3011" s="126"/>
      <c r="G3011" s="126"/>
      <c r="H3011" s="127"/>
      <c r="I3011" s="125"/>
    </row>
    <row r="3012">
      <c r="A3012" s="125"/>
      <c r="B3012" s="125"/>
      <c r="C3012" s="125"/>
      <c r="D3012" s="125"/>
      <c r="E3012" s="125"/>
      <c r="F3012" s="126"/>
      <c r="G3012" s="126"/>
      <c r="H3012" s="127"/>
      <c r="I3012" s="125"/>
    </row>
    <row r="3013">
      <c r="A3013" s="125"/>
      <c r="B3013" s="125"/>
      <c r="C3013" s="125"/>
      <c r="D3013" s="125"/>
      <c r="E3013" s="125"/>
      <c r="F3013" s="126"/>
      <c r="G3013" s="126"/>
      <c r="H3013" s="126"/>
      <c r="I3013" s="125"/>
    </row>
    <row r="3014">
      <c r="A3014" s="125"/>
      <c r="B3014" s="125"/>
      <c r="C3014" s="125"/>
      <c r="D3014" s="125"/>
      <c r="E3014" s="125"/>
      <c r="F3014" s="126"/>
      <c r="G3014" s="126"/>
      <c r="H3014" s="127"/>
      <c r="I3014" s="125"/>
    </row>
    <row r="3015">
      <c r="A3015" s="125"/>
      <c r="B3015" s="125"/>
      <c r="C3015" s="125"/>
      <c r="D3015" s="125"/>
      <c r="E3015" s="125"/>
      <c r="F3015" s="126"/>
      <c r="G3015" s="126"/>
      <c r="H3015" s="127"/>
      <c r="I3015" s="125"/>
    </row>
    <row r="3016">
      <c r="A3016" s="125"/>
      <c r="B3016" s="125"/>
      <c r="C3016" s="125"/>
      <c r="D3016" s="125"/>
      <c r="E3016" s="125"/>
      <c r="F3016" s="126"/>
      <c r="G3016" s="126"/>
      <c r="H3016" s="126"/>
      <c r="I3016" s="125"/>
    </row>
    <row r="3017">
      <c r="A3017" s="125"/>
      <c r="B3017" s="125"/>
      <c r="C3017" s="125"/>
      <c r="D3017" s="125"/>
      <c r="E3017" s="125"/>
      <c r="F3017" s="126"/>
      <c r="G3017" s="126"/>
      <c r="H3017" s="126"/>
      <c r="I3017" s="125"/>
    </row>
    <row r="3018">
      <c r="A3018" s="125"/>
      <c r="B3018" s="125"/>
      <c r="C3018" s="125"/>
      <c r="D3018" s="125"/>
      <c r="E3018" s="125"/>
      <c r="F3018" s="126"/>
      <c r="G3018" s="126"/>
      <c r="H3018" s="126"/>
      <c r="I3018" s="125"/>
    </row>
    <row r="3019">
      <c r="A3019" s="125"/>
      <c r="B3019" s="125"/>
      <c r="C3019" s="125"/>
      <c r="D3019" s="125"/>
      <c r="E3019" s="125"/>
      <c r="F3019" s="126"/>
      <c r="G3019" s="126"/>
      <c r="H3019" s="127"/>
      <c r="I3019" s="125"/>
    </row>
    <row r="3020">
      <c r="A3020" s="125"/>
      <c r="B3020" s="125"/>
      <c r="C3020" s="125"/>
      <c r="D3020" s="125"/>
      <c r="E3020" s="125"/>
      <c r="F3020" s="126"/>
      <c r="G3020" s="126"/>
      <c r="H3020" s="127"/>
      <c r="I3020" s="125"/>
    </row>
    <row r="3021">
      <c r="A3021" s="125"/>
      <c r="B3021" s="125"/>
      <c r="C3021" s="125"/>
      <c r="D3021" s="125"/>
      <c r="E3021" s="125"/>
      <c r="F3021" s="126"/>
      <c r="G3021" s="126"/>
      <c r="H3021" s="127"/>
      <c r="I3021" s="125"/>
    </row>
    <row r="3022">
      <c r="A3022" s="125"/>
      <c r="B3022" s="125"/>
      <c r="C3022" s="125"/>
      <c r="D3022" s="125"/>
      <c r="E3022" s="125"/>
      <c r="F3022" s="126"/>
      <c r="G3022" s="126"/>
      <c r="H3022" s="127"/>
      <c r="I3022" s="125"/>
    </row>
    <row r="3023">
      <c r="A3023" s="125"/>
      <c r="B3023" s="125"/>
      <c r="C3023" s="125"/>
      <c r="D3023" s="125"/>
      <c r="E3023" s="125"/>
      <c r="F3023" s="126"/>
      <c r="G3023" s="126"/>
      <c r="H3023" s="127"/>
      <c r="I3023" s="125"/>
    </row>
    <row r="3024">
      <c r="A3024" s="125"/>
      <c r="B3024" s="125"/>
      <c r="C3024" s="125"/>
      <c r="D3024" s="125"/>
      <c r="E3024" s="125"/>
      <c r="F3024" s="126"/>
      <c r="G3024" s="126"/>
      <c r="H3024" s="127"/>
      <c r="I3024" s="125"/>
    </row>
    <row r="3025">
      <c r="A3025" s="125"/>
      <c r="B3025" s="125"/>
      <c r="C3025" s="125"/>
      <c r="D3025" s="125"/>
      <c r="E3025" s="125"/>
      <c r="F3025" s="126"/>
      <c r="G3025" s="126"/>
      <c r="H3025" s="127"/>
      <c r="I3025" s="125"/>
    </row>
    <row r="3026">
      <c r="A3026" s="125"/>
      <c r="B3026" s="125"/>
      <c r="C3026" s="125"/>
      <c r="D3026" s="125"/>
      <c r="E3026" s="125"/>
      <c r="F3026" s="126"/>
      <c r="G3026" s="126"/>
      <c r="H3026" s="127"/>
      <c r="I3026" s="125"/>
    </row>
    <row r="3027">
      <c r="A3027" s="125"/>
      <c r="B3027" s="125"/>
      <c r="C3027" s="125"/>
      <c r="D3027" s="125"/>
      <c r="E3027" s="125"/>
      <c r="F3027" s="126"/>
      <c r="G3027" s="126"/>
      <c r="H3027" s="127"/>
      <c r="I3027" s="125"/>
    </row>
    <row r="3028">
      <c r="A3028" s="125"/>
      <c r="B3028" s="125"/>
      <c r="C3028" s="125"/>
      <c r="D3028" s="125"/>
      <c r="E3028" s="125"/>
      <c r="F3028" s="126"/>
      <c r="G3028" s="126"/>
      <c r="H3028" s="126"/>
      <c r="I3028" s="125"/>
    </row>
    <row r="3029">
      <c r="A3029" s="125"/>
      <c r="B3029" s="125"/>
      <c r="C3029" s="125"/>
      <c r="D3029" s="125"/>
      <c r="E3029" s="125"/>
      <c r="F3029" s="126"/>
      <c r="G3029" s="126"/>
      <c r="H3029" s="127"/>
      <c r="I3029" s="125"/>
    </row>
    <row r="3030">
      <c r="A3030" s="125"/>
      <c r="B3030" s="125"/>
      <c r="C3030" s="125"/>
      <c r="D3030" s="125"/>
      <c r="E3030" s="125"/>
      <c r="F3030" s="126"/>
      <c r="G3030" s="126"/>
      <c r="H3030" s="127"/>
      <c r="I3030" s="125"/>
    </row>
    <row r="3031">
      <c r="A3031" s="125"/>
      <c r="B3031" s="125"/>
      <c r="C3031" s="125"/>
      <c r="D3031" s="125"/>
      <c r="E3031" s="125"/>
      <c r="F3031" s="126"/>
      <c r="G3031" s="126"/>
      <c r="H3031" s="127"/>
      <c r="I3031" s="125"/>
    </row>
    <row r="3032">
      <c r="A3032" s="125"/>
      <c r="B3032" s="125"/>
      <c r="C3032" s="125"/>
      <c r="D3032" s="125"/>
      <c r="E3032" s="125"/>
      <c r="F3032" s="126"/>
      <c r="G3032" s="126"/>
      <c r="H3032" s="127"/>
      <c r="I3032" s="125"/>
    </row>
    <row r="3033">
      <c r="A3033" s="125"/>
      <c r="B3033" s="125"/>
      <c r="C3033" s="125"/>
      <c r="D3033" s="125"/>
      <c r="E3033" s="125"/>
      <c r="F3033" s="126"/>
      <c r="G3033" s="126"/>
      <c r="H3033" s="127"/>
      <c r="I3033" s="125"/>
    </row>
    <row r="3034">
      <c r="A3034" s="125"/>
      <c r="B3034" s="125"/>
      <c r="C3034" s="125"/>
      <c r="D3034" s="125"/>
      <c r="E3034" s="125"/>
      <c r="F3034" s="126"/>
      <c r="G3034" s="126"/>
      <c r="H3034" s="127"/>
      <c r="I3034" s="125"/>
    </row>
    <row r="3035">
      <c r="A3035" s="125"/>
      <c r="B3035" s="125"/>
      <c r="C3035" s="125"/>
      <c r="D3035" s="125"/>
      <c r="E3035" s="125"/>
      <c r="F3035" s="126"/>
      <c r="G3035" s="126"/>
      <c r="H3035" s="126"/>
      <c r="I3035" s="125"/>
    </row>
    <row r="3036">
      <c r="A3036" s="125"/>
      <c r="B3036" s="125"/>
      <c r="C3036" s="125"/>
      <c r="D3036" s="125"/>
      <c r="E3036" s="125"/>
      <c r="F3036" s="126"/>
      <c r="G3036" s="126"/>
      <c r="H3036" s="127"/>
      <c r="I3036" s="125"/>
    </row>
    <row r="3037">
      <c r="A3037" s="125"/>
      <c r="B3037" s="125"/>
      <c r="C3037" s="125"/>
      <c r="D3037" s="125"/>
      <c r="E3037" s="125"/>
      <c r="F3037" s="126"/>
      <c r="G3037" s="126"/>
      <c r="H3037" s="127"/>
      <c r="I3037" s="125"/>
    </row>
    <row r="3038">
      <c r="A3038" s="125"/>
      <c r="B3038" s="125"/>
      <c r="C3038" s="125"/>
      <c r="D3038" s="125"/>
      <c r="E3038" s="125"/>
      <c r="F3038" s="126"/>
      <c r="G3038" s="126"/>
      <c r="H3038" s="127"/>
      <c r="I3038" s="125"/>
    </row>
    <row r="3039">
      <c r="A3039" s="125"/>
      <c r="B3039" s="125"/>
      <c r="C3039" s="125"/>
      <c r="D3039" s="125"/>
      <c r="E3039" s="125"/>
      <c r="F3039" s="126"/>
      <c r="G3039" s="126"/>
      <c r="H3039" s="127"/>
      <c r="I3039" s="125"/>
    </row>
    <row r="3040">
      <c r="A3040" s="125"/>
      <c r="B3040" s="125"/>
      <c r="C3040" s="125"/>
      <c r="D3040" s="125"/>
      <c r="E3040" s="125"/>
      <c r="F3040" s="126"/>
      <c r="G3040" s="126"/>
      <c r="H3040" s="127"/>
      <c r="I3040" s="125"/>
    </row>
    <row r="3041">
      <c r="A3041" s="125"/>
      <c r="B3041" s="125"/>
      <c r="C3041" s="125"/>
      <c r="D3041" s="125"/>
      <c r="E3041" s="125"/>
      <c r="F3041" s="126"/>
      <c r="G3041" s="126"/>
      <c r="H3041" s="127"/>
      <c r="I3041" s="125"/>
    </row>
    <row r="3042">
      <c r="A3042" s="125"/>
      <c r="B3042" s="125"/>
      <c r="C3042" s="125"/>
      <c r="D3042" s="125"/>
      <c r="E3042" s="125"/>
      <c r="F3042" s="126"/>
      <c r="G3042" s="126"/>
      <c r="H3042" s="127"/>
      <c r="I3042" s="125"/>
    </row>
    <row r="3043">
      <c r="A3043" s="125"/>
      <c r="B3043" s="125"/>
      <c r="C3043" s="125"/>
      <c r="D3043" s="125"/>
      <c r="E3043" s="125"/>
      <c r="F3043" s="126"/>
      <c r="G3043" s="126"/>
      <c r="H3043" s="127"/>
      <c r="I3043" s="125"/>
    </row>
    <row r="3044">
      <c r="A3044" s="125"/>
      <c r="B3044" s="125"/>
      <c r="C3044" s="125"/>
      <c r="D3044" s="125"/>
      <c r="E3044" s="125"/>
      <c r="F3044" s="126"/>
      <c r="G3044" s="126"/>
      <c r="H3044" s="127"/>
      <c r="I3044" s="125"/>
    </row>
    <row r="3045">
      <c r="A3045" s="125"/>
      <c r="B3045" s="125"/>
      <c r="C3045" s="125"/>
      <c r="D3045" s="125"/>
      <c r="E3045" s="125"/>
      <c r="F3045" s="126"/>
      <c r="G3045" s="126"/>
      <c r="H3045" s="127"/>
      <c r="I3045" s="125"/>
    </row>
    <row r="3046">
      <c r="A3046" s="125"/>
      <c r="B3046" s="125"/>
      <c r="C3046" s="125"/>
      <c r="D3046" s="125"/>
      <c r="E3046" s="125"/>
      <c r="F3046" s="126"/>
      <c r="G3046" s="126"/>
      <c r="H3046" s="127"/>
      <c r="I3046" s="125"/>
    </row>
    <row r="3047">
      <c r="A3047" s="125"/>
      <c r="B3047" s="125"/>
      <c r="C3047" s="125"/>
      <c r="D3047" s="125"/>
      <c r="E3047" s="125"/>
      <c r="F3047" s="126"/>
      <c r="G3047" s="126"/>
      <c r="H3047" s="127"/>
      <c r="I3047" s="125"/>
    </row>
    <row r="3048">
      <c r="A3048" s="125"/>
      <c r="B3048" s="125"/>
      <c r="C3048" s="125"/>
      <c r="D3048" s="125"/>
      <c r="E3048" s="125"/>
      <c r="F3048" s="126"/>
      <c r="G3048" s="126"/>
      <c r="H3048" s="126"/>
      <c r="I3048" s="125"/>
    </row>
    <row r="3049">
      <c r="A3049" s="125"/>
      <c r="B3049" s="125"/>
      <c r="C3049" s="125"/>
      <c r="D3049" s="125"/>
      <c r="E3049" s="125"/>
      <c r="F3049" s="126"/>
      <c r="G3049" s="126"/>
      <c r="H3049" s="127"/>
      <c r="I3049" s="125"/>
    </row>
    <row r="3050">
      <c r="A3050" s="125"/>
      <c r="B3050" s="125"/>
      <c r="C3050" s="125"/>
      <c r="D3050" s="125"/>
      <c r="E3050" s="125"/>
      <c r="F3050" s="126"/>
      <c r="G3050" s="126"/>
      <c r="H3050" s="127"/>
      <c r="I3050" s="125"/>
    </row>
    <row r="3051">
      <c r="A3051" s="125"/>
      <c r="B3051" s="125"/>
      <c r="C3051" s="125"/>
      <c r="D3051" s="125"/>
      <c r="E3051" s="125"/>
      <c r="F3051" s="126"/>
      <c r="G3051" s="126"/>
      <c r="H3051" s="127"/>
      <c r="I3051" s="125"/>
    </row>
    <row r="3052">
      <c r="A3052" s="125"/>
      <c r="B3052" s="125"/>
      <c r="C3052" s="125"/>
      <c r="D3052" s="125"/>
      <c r="E3052" s="125"/>
      <c r="F3052" s="126"/>
      <c r="G3052" s="126"/>
      <c r="H3052" s="126"/>
      <c r="I3052" s="125"/>
    </row>
    <row r="3053">
      <c r="A3053" s="125"/>
      <c r="B3053" s="125"/>
      <c r="C3053" s="125"/>
      <c r="D3053" s="125"/>
      <c r="E3053" s="125"/>
      <c r="F3053" s="126"/>
      <c r="G3053" s="126"/>
      <c r="H3053" s="127"/>
      <c r="I3053" s="125"/>
    </row>
    <row r="3054">
      <c r="A3054" s="125"/>
      <c r="B3054" s="125"/>
      <c r="C3054" s="125"/>
      <c r="D3054" s="125"/>
      <c r="E3054" s="125"/>
      <c r="F3054" s="126"/>
      <c r="G3054" s="126"/>
      <c r="H3054" s="127"/>
      <c r="I3054" s="125"/>
    </row>
    <row r="3055">
      <c r="A3055" s="125"/>
      <c r="B3055" s="125"/>
      <c r="C3055" s="125"/>
      <c r="D3055" s="125"/>
      <c r="E3055" s="125"/>
      <c r="F3055" s="126"/>
      <c r="G3055" s="126"/>
      <c r="H3055" s="127"/>
      <c r="I3055" s="125"/>
    </row>
    <row r="3056">
      <c r="A3056" s="125"/>
      <c r="B3056" s="125"/>
      <c r="C3056" s="125"/>
      <c r="D3056" s="125"/>
      <c r="E3056" s="125"/>
      <c r="F3056" s="126"/>
      <c r="G3056" s="126"/>
      <c r="H3056" s="127"/>
      <c r="I3056" s="125"/>
    </row>
    <row r="3057">
      <c r="A3057" s="125"/>
      <c r="B3057" s="125"/>
      <c r="C3057" s="125"/>
      <c r="D3057" s="125"/>
      <c r="E3057" s="125"/>
      <c r="F3057" s="126"/>
      <c r="G3057" s="126"/>
      <c r="H3057" s="127"/>
      <c r="I3057" s="125"/>
    </row>
    <row r="3058">
      <c r="A3058" s="125"/>
      <c r="B3058" s="125"/>
      <c r="C3058" s="125"/>
      <c r="D3058" s="125"/>
      <c r="E3058" s="125"/>
      <c r="F3058" s="126"/>
      <c r="G3058" s="126"/>
      <c r="H3058" s="127"/>
      <c r="I3058" s="125"/>
    </row>
    <row r="3059">
      <c r="A3059" s="125"/>
      <c r="B3059" s="125"/>
      <c r="C3059" s="125"/>
      <c r="D3059" s="125"/>
      <c r="E3059" s="125"/>
      <c r="F3059" s="126"/>
      <c r="G3059" s="126"/>
      <c r="H3059" s="127"/>
      <c r="I3059" s="125"/>
    </row>
    <row r="3060">
      <c r="A3060" s="125"/>
      <c r="B3060" s="125"/>
      <c r="C3060" s="125"/>
      <c r="D3060" s="125"/>
      <c r="E3060" s="125"/>
      <c r="F3060" s="126"/>
      <c r="G3060" s="126"/>
      <c r="H3060" s="126"/>
      <c r="I3060" s="125"/>
    </row>
    <row r="3061">
      <c r="A3061" s="125"/>
      <c r="B3061" s="125"/>
      <c r="C3061" s="125"/>
      <c r="D3061" s="125"/>
      <c r="E3061" s="125"/>
      <c r="F3061" s="126"/>
      <c r="G3061" s="126"/>
      <c r="H3061" s="127"/>
      <c r="I3061" s="125"/>
    </row>
    <row r="3062">
      <c r="A3062" s="125"/>
      <c r="B3062" s="125"/>
      <c r="C3062" s="125"/>
      <c r="D3062" s="125"/>
      <c r="E3062" s="125"/>
      <c r="F3062" s="126"/>
      <c r="G3062" s="126"/>
      <c r="H3062" s="127"/>
      <c r="I3062" s="125"/>
    </row>
    <row r="3063">
      <c r="A3063" s="125"/>
      <c r="B3063" s="125"/>
      <c r="C3063" s="125"/>
      <c r="D3063" s="125"/>
      <c r="E3063" s="125"/>
      <c r="F3063" s="126"/>
      <c r="G3063" s="126"/>
      <c r="H3063" s="127"/>
      <c r="I3063" s="125"/>
    </row>
    <row r="3064">
      <c r="A3064" s="125"/>
      <c r="B3064" s="125"/>
      <c r="C3064" s="125"/>
      <c r="D3064" s="125"/>
      <c r="E3064" s="125"/>
      <c r="F3064" s="126"/>
      <c r="G3064" s="126"/>
      <c r="H3064" s="127"/>
      <c r="I3064" s="125"/>
    </row>
    <row r="3065">
      <c r="A3065" s="125"/>
      <c r="B3065" s="125"/>
      <c r="C3065" s="125"/>
      <c r="D3065" s="125"/>
      <c r="E3065" s="125"/>
      <c r="F3065" s="126"/>
      <c r="G3065" s="126"/>
      <c r="H3065" s="127"/>
      <c r="I3065" s="125"/>
    </row>
    <row r="3066">
      <c r="A3066" s="125"/>
      <c r="B3066" s="125"/>
      <c r="C3066" s="125"/>
      <c r="D3066" s="125"/>
      <c r="E3066" s="125"/>
      <c r="F3066" s="126"/>
      <c r="G3066" s="126"/>
      <c r="H3066" s="127"/>
      <c r="I3066" s="125"/>
    </row>
    <row r="3067">
      <c r="A3067" s="125"/>
      <c r="B3067" s="125"/>
      <c r="C3067" s="125"/>
      <c r="D3067" s="125"/>
      <c r="E3067" s="125"/>
      <c r="F3067" s="126"/>
      <c r="G3067" s="126"/>
      <c r="H3067" s="127"/>
      <c r="I3067" s="125"/>
    </row>
    <row r="3068">
      <c r="A3068" s="125"/>
      <c r="B3068" s="125"/>
      <c r="C3068" s="125"/>
      <c r="D3068" s="125"/>
      <c r="E3068" s="125"/>
      <c r="F3068" s="126"/>
      <c r="G3068" s="126"/>
      <c r="H3068" s="127"/>
      <c r="I3068" s="125"/>
    </row>
    <row r="3069">
      <c r="A3069" s="125"/>
      <c r="B3069" s="125"/>
      <c r="C3069" s="125"/>
      <c r="D3069" s="125"/>
      <c r="E3069" s="125"/>
      <c r="F3069" s="126"/>
      <c r="G3069" s="126"/>
      <c r="H3069" s="127"/>
      <c r="I3069" s="125"/>
    </row>
    <row r="3070">
      <c r="A3070" s="125"/>
      <c r="B3070" s="125"/>
      <c r="C3070" s="125"/>
      <c r="D3070" s="125"/>
      <c r="E3070" s="125"/>
      <c r="F3070" s="126"/>
      <c r="G3070" s="126"/>
      <c r="H3070" s="127"/>
      <c r="I3070" s="125"/>
    </row>
    <row r="3071">
      <c r="A3071" s="125"/>
      <c r="B3071" s="125"/>
      <c r="C3071" s="125"/>
      <c r="D3071" s="125"/>
      <c r="E3071" s="125"/>
      <c r="F3071" s="126"/>
      <c r="G3071" s="126"/>
      <c r="H3071" s="127"/>
      <c r="I3071" s="125"/>
    </row>
    <row r="3072">
      <c r="A3072" s="125"/>
      <c r="B3072" s="125"/>
      <c r="C3072" s="125"/>
      <c r="D3072" s="125"/>
      <c r="E3072" s="125"/>
      <c r="F3072" s="126"/>
      <c r="G3072" s="126"/>
      <c r="H3072" s="127"/>
      <c r="I3072" s="125"/>
    </row>
    <row r="3073">
      <c r="A3073" s="125"/>
      <c r="B3073" s="125"/>
      <c r="C3073" s="125"/>
      <c r="D3073" s="125"/>
      <c r="E3073" s="125"/>
      <c r="F3073" s="126"/>
      <c r="G3073" s="126"/>
      <c r="H3073" s="127"/>
      <c r="I3073" s="125"/>
    </row>
    <row r="3074">
      <c r="A3074" s="125"/>
      <c r="B3074" s="125"/>
      <c r="C3074" s="125"/>
      <c r="D3074" s="125"/>
      <c r="E3074" s="125"/>
      <c r="F3074" s="126"/>
      <c r="G3074" s="126"/>
      <c r="H3074" s="127"/>
      <c r="I3074" s="125"/>
    </row>
    <row r="3075">
      <c r="A3075" s="125"/>
      <c r="B3075" s="125"/>
      <c r="C3075" s="125"/>
      <c r="D3075" s="125"/>
      <c r="E3075" s="125"/>
      <c r="F3075" s="126"/>
      <c r="G3075" s="126"/>
      <c r="H3075" s="127"/>
      <c r="I3075" s="125"/>
    </row>
    <row r="3076">
      <c r="A3076" s="125"/>
      <c r="B3076" s="125"/>
      <c r="C3076" s="125"/>
      <c r="D3076" s="125"/>
      <c r="E3076" s="125"/>
      <c r="F3076" s="126"/>
      <c r="G3076" s="126"/>
      <c r="H3076" s="127"/>
      <c r="I3076" s="125"/>
    </row>
    <row r="3077">
      <c r="A3077" s="125"/>
      <c r="B3077" s="125"/>
      <c r="C3077" s="125"/>
      <c r="D3077" s="125"/>
      <c r="E3077" s="125"/>
      <c r="F3077" s="126"/>
      <c r="G3077" s="126"/>
      <c r="H3077" s="127"/>
      <c r="I3077" s="125"/>
    </row>
    <row r="3078">
      <c r="A3078" s="125"/>
      <c r="B3078" s="125"/>
      <c r="C3078" s="125"/>
      <c r="D3078" s="125"/>
      <c r="E3078" s="125"/>
      <c r="F3078" s="126"/>
      <c r="G3078" s="126"/>
      <c r="H3078" s="127"/>
      <c r="I3078" s="125"/>
    </row>
    <row r="3079">
      <c r="A3079" s="125"/>
      <c r="B3079" s="125"/>
      <c r="C3079" s="125"/>
      <c r="D3079" s="125"/>
      <c r="E3079" s="125"/>
      <c r="F3079" s="126"/>
      <c r="G3079" s="126"/>
      <c r="H3079" s="127"/>
      <c r="I3079" s="125"/>
    </row>
    <row r="3080">
      <c r="A3080" s="125"/>
      <c r="B3080" s="125"/>
      <c r="C3080" s="125"/>
      <c r="D3080" s="125"/>
      <c r="E3080" s="125"/>
      <c r="F3080" s="126"/>
      <c r="G3080" s="126"/>
      <c r="H3080" s="126"/>
      <c r="I3080" s="125"/>
    </row>
    <row r="3081">
      <c r="A3081" s="125"/>
      <c r="B3081" s="125"/>
      <c r="C3081" s="125"/>
      <c r="D3081" s="125"/>
      <c r="E3081" s="125"/>
      <c r="F3081" s="126"/>
      <c r="G3081" s="126"/>
      <c r="H3081" s="127"/>
      <c r="I3081" s="125"/>
    </row>
    <row r="3082">
      <c r="A3082" s="125"/>
      <c r="B3082" s="125"/>
      <c r="C3082" s="125"/>
      <c r="D3082" s="125"/>
      <c r="E3082" s="125"/>
      <c r="F3082" s="126"/>
      <c r="G3082" s="126"/>
      <c r="H3082" s="127"/>
      <c r="I3082" s="125"/>
    </row>
    <row r="3083">
      <c r="A3083" s="125"/>
      <c r="B3083" s="125"/>
      <c r="C3083" s="125"/>
      <c r="D3083" s="125"/>
      <c r="E3083" s="125"/>
      <c r="F3083" s="126"/>
      <c r="G3083" s="126"/>
      <c r="H3083" s="127"/>
      <c r="I3083" s="125"/>
    </row>
    <row r="3084">
      <c r="A3084" s="125"/>
      <c r="B3084" s="125"/>
      <c r="C3084" s="125"/>
      <c r="D3084" s="125"/>
      <c r="E3084" s="125"/>
      <c r="F3084" s="126"/>
      <c r="G3084" s="126"/>
      <c r="H3084" s="127"/>
      <c r="I3084" s="125"/>
    </row>
    <row r="3085">
      <c r="A3085" s="125"/>
      <c r="B3085" s="125"/>
      <c r="C3085" s="125"/>
      <c r="D3085" s="125"/>
      <c r="E3085" s="125"/>
      <c r="F3085" s="126"/>
      <c r="G3085" s="126"/>
      <c r="H3085" s="127"/>
      <c r="I3085" s="125"/>
    </row>
    <row r="3086">
      <c r="A3086" s="125"/>
      <c r="B3086" s="125"/>
      <c r="C3086" s="125"/>
      <c r="D3086" s="125"/>
      <c r="E3086" s="125"/>
      <c r="F3086" s="126"/>
      <c r="G3086" s="126"/>
      <c r="H3086" s="126"/>
      <c r="I3086" s="125"/>
    </row>
    <row r="3087">
      <c r="A3087" s="125"/>
      <c r="B3087" s="125"/>
      <c r="C3087" s="125"/>
      <c r="D3087" s="125"/>
      <c r="E3087" s="125"/>
      <c r="F3087" s="126"/>
      <c r="G3087" s="126"/>
      <c r="H3087" s="127"/>
      <c r="I3087" s="125"/>
    </row>
    <row r="3088">
      <c r="A3088" s="125"/>
      <c r="B3088" s="125"/>
      <c r="C3088" s="125"/>
      <c r="D3088" s="125"/>
      <c r="E3088" s="125"/>
      <c r="F3088" s="126"/>
      <c r="G3088" s="126"/>
      <c r="H3088" s="126"/>
      <c r="I3088" s="125"/>
    </row>
    <row r="3089">
      <c r="A3089" s="125"/>
      <c r="B3089" s="125"/>
      <c r="C3089" s="125"/>
      <c r="D3089" s="125"/>
      <c r="E3089" s="125"/>
      <c r="F3089" s="126"/>
      <c r="G3089" s="126"/>
      <c r="H3089" s="127"/>
      <c r="I3089" s="125"/>
    </row>
    <row r="3090">
      <c r="A3090" s="125"/>
      <c r="B3090" s="125"/>
      <c r="C3090" s="125"/>
      <c r="D3090" s="125"/>
      <c r="E3090" s="125"/>
      <c r="F3090" s="126"/>
      <c r="G3090" s="126"/>
      <c r="H3090" s="127"/>
      <c r="I3090" s="125"/>
    </row>
    <row r="3091">
      <c r="A3091" s="125"/>
      <c r="B3091" s="125"/>
      <c r="C3091" s="125"/>
      <c r="D3091" s="125"/>
      <c r="E3091" s="125"/>
      <c r="F3091" s="126"/>
      <c r="G3091" s="126"/>
      <c r="H3091" s="127"/>
      <c r="I3091" s="125"/>
    </row>
    <row r="3092">
      <c r="A3092" s="125"/>
      <c r="B3092" s="125"/>
      <c r="C3092" s="125"/>
      <c r="D3092" s="125"/>
      <c r="E3092" s="125"/>
      <c r="F3092" s="126"/>
      <c r="G3092" s="126"/>
      <c r="H3092" s="127"/>
      <c r="I3092" s="125"/>
    </row>
    <row r="3093">
      <c r="A3093" s="125"/>
      <c r="B3093" s="125"/>
      <c r="C3093" s="125"/>
      <c r="D3093" s="125"/>
      <c r="E3093" s="125"/>
      <c r="F3093" s="126"/>
      <c r="G3093" s="126"/>
      <c r="H3093" s="126"/>
      <c r="I3093" s="125"/>
    </row>
    <row r="3094">
      <c r="A3094" s="125"/>
      <c r="B3094" s="125"/>
      <c r="C3094" s="125"/>
      <c r="D3094" s="125"/>
      <c r="E3094" s="125"/>
      <c r="F3094" s="126"/>
      <c r="G3094" s="126"/>
      <c r="H3094" s="127"/>
      <c r="I3094" s="125"/>
    </row>
    <row r="3095">
      <c r="A3095" s="125"/>
      <c r="B3095" s="125"/>
      <c r="C3095" s="125"/>
      <c r="D3095" s="125"/>
      <c r="E3095" s="125"/>
      <c r="F3095" s="126"/>
      <c r="G3095" s="126"/>
      <c r="H3095" s="127"/>
      <c r="I3095" s="125"/>
    </row>
    <row r="3096">
      <c r="A3096" s="125"/>
      <c r="B3096" s="125"/>
      <c r="C3096" s="125"/>
      <c r="D3096" s="125"/>
      <c r="E3096" s="125"/>
      <c r="F3096" s="126"/>
      <c r="G3096" s="126"/>
      <c r="H3096" s="127"/>
      <c r="I3096" s="125"/>
    </row>
    <row r="3097">
      <c r="A3097" s="125"/>
      <c r="B3097" s="125"/>
      <c r="C3097" s="125"/>
      <c r="D3097" s="125"/>
      <c r="E3097" s="125"/>
      <c r="F3097" s="126"/>
      <c r="G3097" s="126"/>
      <c r="H3097" s="127"/>
      <c r="I3097" s="125"/>
    </row>
    <row r="3098">
      <c r="A3098" s="125"/>
      <c r="B3098" s="125"/>
      <c r="C3098" s="125"/>
      <c r="D3098" s="125"/>
      <c r="E3098" s="125"/>
      <c r="F3098" s="126"/>
      <c r="G3098" s="126"/>
      <c r="H3098" s="127"/>
      <c r="I3098" s="125"/>
    </row>
    <row r="3099">
      <c r="A3099" s="125"/>
      <c r="B3099" s="125"/>
      <c r="C3099" s="125"/>
      <c r="D3099" s="125"/>
      <c r="E3099" s="125"/>
      <c r="F3099" s="126"/>
      <c r="G3099" s="126"/>
      <c r="H3099" s="127"/>
      <c r="I3099" s="125"/>
    </row>
    <row r="3100">
      <c r="A3100" s="125"/>
      <c r="B3100" s="125"/>
      <c r="C3100" s="125"/>
      <c r="D3100" s="125"/>
      <c r="E3100" s="125"/>
      <c r="F3100" s="126"/>
      <c r="G3100" s="126"/>
      <c r="H3100" s="127"/>
      <c r="I3100" s="125"/>
    </row>
    <row r="3101">
      <c r="A3101" s="125"/>
      <c r="B3101" s="125"/>
      <c r="C3101" s="125"/>
      <c r="D3101" s="125"/>
      <c r="E3101" s="125"/>
      <c r="F3101" s="126"/>
      <c r="G3101" s="126"/>
      <c r="H3101" s="127"/>
      <c r="I3101" s="125"/>
    </row>
    <row r="3102">
      <c r="A3102" s="125"/>
      <c r="B3102" s="125"/>
      <c r="C3102" s="125"/>
      <c r="D3102" s="125"/>
      <c r="E3102" s="125"/>
      <c r="F3102" s="126"/>
      <c r="G3102" s="126"/>
      <c r="H3102" s="126"/>
      <c r="I3102" s="125"/>
    </row>
    <row r="3103">
      <c r="A3103" s="125"/>
      <c r="B3103" s="125"/>
      <c r="C3103" s="125"/>
      <c r="D3103" s="125"/>
      <c r="E3103" s="125"/>
      <c r="F3103" s="126"/>
      <c r="G3103" s="126"/>
      <c r="H3103" s="126"/>
      <c r="I3103" s="125"/>
    </row>
    <row r="3104">
      <c r="A3104" s="125"/>
      <c r="B3104" s="125"/>
      <c r="C3104" s="125"/>
      <c r="D3104" s="125"/>
      <c r="E3104" s="125"/>
      <c r="F3104" s="126"/>
      <c r="G3104" s="126"/>
      <c r="H3104" s="126"/>
      <c r="I3104" s="125"/>
    </row>
    <row r="3105">
      <c r="A3105" s="125"/>
      <c r="B3105" s="125"/>
      <c r="C3105" s="125"/>
      <c r="D3105" s="125"/>
      <c r="E3105" s="125"/>
      <c r="F3105" s="126"/>
      <c r="G3105" s="126"/>
      <c r="H3105" s="126"/>
      <c r="I3105" s="125"/>
    </row>
    <row r="3106">
      <c r="A3106" s="125"/>
      <c r="B3106" s="125"/>
      <c r="C3106" s="125"/>
      <c r="D3106" s="125"/>
      <c r="E3106" s="125"/>
      <c r="F3106" s="126"/>
      <c r="G3106" s="126"/>
      <c r="H3106" s="127"/>
      <c r="I3106" s="125"/>
    </row>
    <row r="3107">
      <c r="A3107" s="125"/>
      <c r="B3107" s="125"/>
      <c r="C3107" s="125"/>
      <c r="D3107" s="125"/>
      <c r="E3107" s="125"/>
      <c r="F3107" s="126"/>
      <c r="G3107" s="126"/>
      <c r="H3107" s="127"/>
      <c r="I3107" s="125"/>
    </row>
    <row r="3108">
      <c r="A3108" s="125"/>
      <c r="B3108" s="125"/>
      <c r="C3108" s="125"/>
      <c r="D3108" s="125"/>
      <c r="E3108" s="125"/>
      <c r="F3108" s="126"/>
      <c r="G3108" s="126"/>
      <c r="H3108" s="127"/>
      <c r="I3108" s="125"/>
    </row>
    <row r="3109">
      <c r="A3109" s="125"/>
      <c r="B3109" s="125"/>
      <c r="C3109" s="125"/>
      <c r="D3109" s="125"/>
      <c r="E3109" s="125"/>
      <c r="F3109" s="126"/>
      <c r="G3109" s="126"/>
      <c r="H3109" s="127"/>
      <c r="I3109" s="125"/>
    </row>
    <row r="3110">
      <c r="A3110" s="125"/>
      <c r="B3110" s="125"/>
      <c r="C3110" s="125"/>
      <c r="D3110" s="125"/>
      <c r="E3110" s="125"/>
      <c r="F3110" s="126"/>
      <c r="G3110" s="126"/>
      <c r="H3110" s="126"/>
      <c r="I3110" s="125"/>
    </row>
    <row r="3111">
      <c r="A3111" s="125"/>
      <c r="B3111" s="125"/>
      <c r="C3111" s="125"/>
      <c r="D3111" s="125"/>
      <c r="E3111" s="125"/>
      <c r="F3111" s="126"/>
      <c r="G3111" s="126"/>
      <c r="H3111" s="126"/>
      <c r="I3111" s="125"/>
    </row>
    <row r="3112">
      <c r="A3112" s="125"/>
      <c r="B3112" s="125"/>
      <c r="C3112" s="125"/>
      <c r="D3112" s="125"/>
      <c r="E3112" s="125"/>
      <c r="F3112" s="126"/>
      <c r="G3112" s="126"/>
      <c r="H3112" s="127"/>
      <c r="I3112" s="125"/>
    </row>
    <row r="3113">
      <c r="A3113" s="125"/>
      <c r="B3113" s="125"/>
      <c r="C3113" s="125"/>
      <c r="D3113" s="125"/>
      <c r="E3113" s="125"/>
      <c r="F3113" s="126"/>
      <c r="G3113" s="126"/>
      <c r="H3113" s="127"/>
      <c r="I3113" s="125"/>
    </row>
    <row r="3114">
      <c r="A3114" s="125"/>
      <c r="B3114" s="125"/>
      <c r="C3114" s="125"/>
      <c r="D3114" s="125"/>
      <c r="E3114" s="125"/>
      <c r="F3114" s="126"/>
      <c r="G3114" s="126"/>
      <c r="H3114" s="127"/>
      <c r="I3114" s="125"/>
    </row>
    <row r="3115">
      <c r="A3115" s="125"/>
      <c r="B3115" s="125"/>
      <c r="C3115" s="125"/>
      <c r="D3115" s="125"/>
      <c r="E3115" s="125"/>
      <c r="F3115" s="126"/>
      <c r="G3115" s="126"/>
      <c r="H3115" s="127"/>
      <c r="I3115" s="125"/>
    </row>
    <row r="3116">
      <c r="A3116" s="125"/>
      <c r="B3116" s="125"/>
      <c r="C3116" s="125"/>
      <c r="D3116" s="125"/>
      <c r="E3116" s="125"/>
      <c r="F3116" s="126"/>
      <c r="G3116" s="126"/>
      <c r="H3116" s="127"/>
      <c r="I3116" s="125"/>
    </row>
    <row r="3117">
      <c r="A3117" s="125"/>
      <c r="B3117" s="125"/>
      <c r="C3117" s="125"/>
      <c r="D3117" s="125"/>
      <c r="E3117" s="125"/>
      <c r="F3117" s="126"/>
      <c r="G3117" s="126"/>
      <c r="H3117" s="127"/>
      <c r="I3117" s="125"/>
    </row>
    <row r="3118">
      <c r="A3118" s="125"/>
      <c r="B3118" s="125"/>
      <c r="C3118" s="125"/>
      <c r="D3118" s="125"/>
      <c r="E3118" s="125"/>
      <c r="F3118" s="126"/>
      <c r="G3118" s="126"/>
      <c r="H3118" s="127"/>
      <c r="I3118" s="125"/>
    </row>
    <row r="3119">
      <c r="A3119" s="125"/>
      <c r="B3119" s="125"/>
      <c r="C3119" s="125"/>
      <c r="D3119" s="125"/>
      <c r="E3119" s="125"/>
      <c r="F3119" s="126"/>
      <c r="G3119" s="126"/>
      <c r="H3119" s="127"/>
      <c r="I3119" s="125"/>
    </row>
    <row r="3120">
      <c r="A3120" s="125"/>
      <c r="B3120" s="125"/>
      <c r="C3120" s="125"/>
      <c r="D3120" s="125"/>
      <c r="E3120" s="125"/>
      <c r="F3120" s="126"/>
      <c r="G3120" s="126"/>
      <c r="H3120" s="127"/>
      <c r="I3120" s="125"/>
    </row>
    <row r="3121">
      <c r="A3121" s="125"/>
      <c r="B3121" s="125"/>
      <c r="C3121" s="125"/>
      <c r="D3121" s="125"/>
      <c r="E3121" s="125"/>
      <c r="F3121" s="126"/>
      <c r="G3121" s="126"/>
      <c r="H3121" s="127"/>
      <c r="I3121" s="125"/>
    </row>
    <row r="3122">
      <c r="A3122" s="125"/>
      <c r="B3122" s="125"/>
      <c r="C3122" s="125"/>
      <c r="D3122" s="125"/>
      <c r="E3122" s="125"/>
      <c r="F3122" s="126"/>
      <c r="G3122" s="126"/>
      <c r="H3122" s="127"/>
      <c r="I3122" s="125"/>
    </row>
    <row r="3123">
      <c r="A3123" s="125"/>
      <c r="B3123" s="125"/>
      <c r="C3123" s="125"/>
      <c r="D3123" s="125"/>
      <c r="E3123" s="125"/>
      <c r="F3123" s="126"/>
      <c r="G3123" s="126"/>
      <c r="H3123" s="126"/>
      <c r="I3123" s="125"/>
    </row>
    <row r="3124">
      <c r="A3124" s="125"/>
      <c r="B3124" s="125"/>
      <c r="C3124" s="125"/>
      <c r="D3124" s="125"/>
      <c r="E3124" s="125"/>
      <c r="F3124" s="126"/>
      <c r="G3124" s="126"/>
      <c r="H3124" s="127"/>
      <c r="I3124" s="125"/>
    </row>
    <row r="3125">
      <c r="A3125" s="125"/>
      <c r="B3125" s="125"/>
      <c r="C3125" s="125"/>
      <c r="D3125" s="125"/>
      <c r="E3125" s="125"/>
      <c r="F3125" s="126"/>
      <c r="G3125" s="126"/>
      <c r="H3125" s="127"/>
      <c r="I3125" s="125"/>
    </row>
    <row r="3126">
      <c r="A3126" s="125"/>
      <c r="B3126" s="125"/>
      <c r="C3126" s="125"/>
      <c r="D3126" s="125"/>
      <c r="E3126" s="125"/>
      <c r="F3126" s="126"/>
      <c r="G3126" s="126"/>
      <c r="H3126" s="126"/>
      <c r="I3126" s="125"/>
    </row>
    <row r="3127">
      <c r="A3127" s="125"/>
      <c r="B3127" s="125"/>
      <c r="C3127" s="125"/>
      <c r="D3127" s="125"/>
      <c r="E3127" s="125"/>
      <c r="F3127" s="126"/>
      <c r="G3127" s="126"/>
      <c r="H3127" s="127"/>
      <c r="I3127" s="125"/>
    </row>
    <row r="3128">
      <c r="A3128" s="125"/>
      <c r="B3128" s="125"/>
      <c r="C3128" s="125"/>
      <c r="D3128" s="125"/>
      <c r="E3128" s="125"/>
      <c r="F3128" s="126"/>
      <c r="G3128" s="126"/>
      <c r="H3128" s="127"/>
      <c r="I3128" s="125"/>
    </row>
    <row r="3129">
      <c r="A3129" s="125"/>
      <c r="B3129" s="125"/>
      <c r="C3129" s="125"/>
      <c r="D3129" s="125"/>
      <c r="E3129" s="125"/>
      <c r="F3129" s="126"/>
      <c r="G3129" s="126"/>
      <c r="H3129" s="127"/>
      <c r="I3129" s="125"/>
    </row>
    <row r="3130">
      <c r="A3130" s="125"/>
      <c r="B3130" s="125"/>
      <c r="C3130" s="125"/>
      <c r="D3130" s="125"/>
      <c r="E3130" s="125"/>
      <c r="F3130" s="126"/>
      <c r="G3130" s="126"/>
      <c r="H3130" s="126"/>
      <c r="I3130" s="125"/>
    </row>
    <row r="3131">
      <c r="A3131" s="125"/>
      <c r="B3131" s="125"/>
      <c r="C3131" s="125"/>
      <c r="D3131" s="125"/>
      <c r="E3131" s="125"/>
      <c r="F3131" s="126"/>
      <c r="G3131" s="126"/>
      <c r="H3131" s="127"/>
      <c r="I3131" s="125"/>
    </row>
    <row r="3132">
      <c r="A3132" s="125"/>
      <c r="B3132" s="125"/>
      <c r="C3132" s="125"/>
      <c r="D3132" s="125"/>
      <c r="E3132" s="125"/>
      <c r="F3132" s="126"/>
      <c r="G3132" s="126"/>
      <c r="H3132" s="127"/>
      <c r="I3132" s="125"/>
    </row>
    <row r="3133">
      <c r="A3133" s="125"/>
      <c r="B3133" s="125"/>
      <c r="C3133" s="125"/>
      <c r="D3133" s="125"/>
      <c r="E3133" s="125"/>
      <c r="F3133" s="126"/>
      <c r="G3133" s="126"/>
      <c r="H3133" s="127"/>
      <c r="I3133" s="125"/>
    </row>
    <row r="3134">
      <c r="A3134" s="125"/>
      <c r="B3134" s="125"/>
      <c r="C3134" s="125"/>
      <c r="D3134" s="125"/>
      <c r="E3134" s="125"/>
      <c r="F3134" s="126"/>
      <c r="G3134" s="126"/>
      <c r="H3134" s="127"/>
      <c r="I3134" s="125"/>
    </row>
    <row r="3135">
      <c r="A3135" s="125"/>
      <c r="B3135" s="125"/>
      <c r="C3135" s="125"/>
      <c r="D3135" s="125"/>
      <c r="E3135" s="125"/>
      <c r="F3135" s="126"/>
      <c r="G3135" s="126"/>
      <c r="H3135" s="127"/>
      <c r="I3135" s="125"/>
    </row>
    <row r="3136">
      <c r="A3136" s="125"/>
      <c r="B3136" s="125"/>
      <c r="C3136" s="125"/>
      <c r="D3136" s="125"/>
      <c r="E3136" s="125"/>
      <c r="F3136" s="126"/>
      <c r="G3136" s="126"/>
      <c r="H3136" s="127"/>
      <c r="I3136" s="125"/>
    </row>
    <row r="3137">
      <c r="A3137" s="125"/>
      <c r="B3137" s="125"/>
      <c r="C3137" s="125"/>
      <c r="D3137" s="125"/>
      <c r="E3137" s="125"/>
      <c r="F3137" s="126"/>
      <c r="G3137" s="126"/>
      <c r="H3137" s="126"/>
      <c r="I3137" s="125"/>
    </row>
    <row r="3138">
      <c r="A3138" s="125"/>
      <c r="B3138" s="125"/>
      <c r="C3138" s="125"/>
      <c r="D3138" s="125"/>
      <c r="E3138" s="125"/>
      <c r="F3138" s="126"/>
      <c r="G3138" s="126"/>
      <c r="H3138" s="127"/>
      <c r="I3138" s="125"/>
    </row>
    <row r="3139">
      <c r="A3139" s="125"/>
      <c r="B3139" s="125"/>
      <c r="C3139" s="125"/>
      <c r="D3139" s="125"/>
      <c r="E3139" s="125"/>
      <c r="F3139" s="126"/>
      <c r="G3139" s="126"/>
      <c r="H3139" s="127"/>
      <c r="I3139" s="125"/>
    </row>
    <row r="3140">
      <c r="A3140" s="125"/>
      <c r="B3140" s="125"/>
      <c r="C3140" s="125"/>
      <c r="D3140" s="125"/>
      <c r="E3140" s="125"/>
      <c r="F3140" s="126"/>
      <c r="G3140" s="126"/>
      <c r="H3140" s="127"/>
      <c r="I3140" s="125"/>
    </row>
    <row r="3141">
      <c r="A3141" s="125"/>
      <c r="B3141" s="125"/>
      <c r="C3141" s="125"/>
      <c r="D3141" s="125"/>
      <c r="E3141" s="125"/>
      <c r="F3141" s="126"/>
      <c r="G3141" s="126"/>
      <c r="H3141" s="127"/>
      <c r="I3141" s="125"/>
    </row>
    <row r="3142">
      <c r="A3142" s="125"/>
      <c r="B3142" s="125"/>
      <c r="C3142" s="125"/>
      <c r="D3142" s="125"/>
      <c r="E3142" s="125"/>
      <c r="F3142" s="126"/>
      <c r="G3142" s="126"/>
      <c r="H3142" s="127"/>
      <c r="I3142" s="125"/>
    </row>
    <row r="3143">
      <c r="A3143" s="125"/>
      <c r="B3143" s="125"/>
      <c r="C3143" s="125"/>
      <c r="D3143" s="125"/>
      <c r="E3143" s="125"/>
      <c r="F3143" s="126"/>
      <c r="G3143" s="126"/>
      <c r="H3143" s="127"/>
      <c r="I3143" s="125"/>
    </row>
    <row r="3144">
      <c r="A3144" s="125"/>
      <c r="B3144" s="125"/>
      <c r="C3144" s="125"/>
      <c r="D3144" s="125"/>
      <c r="E3144" s="125"/>
      <c r="F3144" s="126"/>
      <c r="G3144" s="126"/>
      <c r="H3144" s="127"/>
      <c r="I3144" s="125"/>
    </row>
    <row r="3145">
      <c r="A3145" s="125"/>
      <c r="B3145" s="125"/>
      <c r="C3145" s="125"/>
      <c r="D3145" s="125"/>
      <c r="E3145" s="125"/>
      <c r="F3145" s="126"/>
      <c r="G3145" s="126"/>
      <c r="H3145" s="127"/>
      <c r="I3145" s="125"/>
    </row>
    <row r="3146">
      <c r="A3146" s="125"/>
      <c r="B3146" s="125"/>
      <c r="C3146" s="125"/>
      <c r="D3146" s="125"/>
      <c r="E3146" s="125"/>
      <c r="F3146" s="126"/>
      <c r="G3146" s="126"/>
      <c r="H3146" s="127"/>
      <c r="I3146" s="125"/>
    </row>
    <row r="3147">
      <c r="A3147" s="125"/>
      <c r="B3147" s="125"/>
      <c r="C3147" s="125"/>
      <c r="D3147" s="125"/>
      <c r="E3147" s="125"/>
      <c r="F3147" s="126"/>
      <c r="G3147" s="126"/>
      <c r="H3147" s="127"/>
      <c r="I3147" s="125"/>
    </row>
    <row r="3148">
      <c r="A3148" s="125"/>
      <c r="B3148" s="125"/>
      <c r="C3148" s="125"/>
      <c r="D3148" s="125"/>
      <c r="E3148" s="125"/>
      <c r="F3148" s="126"/>
      <c r="G3148" s="126"/>
      <c r="H3148" s="127"/>
      <c r="I3148" s="125"/>
    </row>
    <row r="3149">
      <c r="A3149" s="125"/>
      <c r="B3149" s="125"/>
      <c r="C3149" s="125"/>
      <c r="D3149" s="125"/>
      <c r="E3149" s="125"/>
      <c r="F3149" s="126"/>
      <c r="G3149" s="126"/>
      <c r="H3149" s="127"/>
      <c r="I3149" s="125"/>
    </row>
    <row r="3150">
      <c r="A3150" s="125"/>
      <c r="B3150" s="125"/>
      <c r="C3150" s="125"/>
      <c r="D3150" s="125"/>
      <c r="E3150" s="125"/>
      <c r="F3150" s="126"/>
      <c r="G3150" s="126"/>
      <c r="H3150" s="127"/>
      <c r="I3150" s="125"/>
    </row>
    <row r="3151">
      <c r="A3151" s="125"/>
      <c r="B3151" s="125"/>
      <c r="C3151" s="125"/>
      <c r="D3151" s="125"/>
      <c r="E3151" s="125"/>
      <c r="F3151" s="126"/>
      <c r="G3151" s="126"/>
      <c r="H3151" s="126"/>
      <c r="I3151" s="125"/>
    </row>
    <row r="3152">
      <c r="A3152" s="125"/>
      <c r="B3152" s="125"/>
      <c r="C3152" s="125"/>
      <c r="D3152" s="125"/>
      <c r="E3152" s="125"/>
      <c r="F3152" s="126"/>
      <c r="G3152" s="126"/>
      <c r="H3152" s="127"/>
      <c r="I3152" s="125"/>
    </row>
    <row r="3153">
      <c r="A3153" s="125"/>
      <c r="B3153" s="125"/>
      <c r="C3153" s="125"/>
      <c r="D3153" s="125"/>
      <c r="E3153" s="125"/>
      <c r="F3153" s="126"/>
      <c r="G3153" s="126"/>
      <c r="H3153" s="127"/>
      <c r="I3153" s="125"/>
    </row>
    <row r="3154">
      <c r="A3154" s="125"/>
      <c r="B3154" s="125"/>
      <c r="C3154" s="125"/>
      <c r="D3154" s="125"/>
      <c r="E3154" s="125"/>
      <c r="F3154" s="126"/>
      <c r="G3154" s="126"/>
      <c r="H3154" s="127"/>
      <c r="I3154" s="125"/>
    </row>
    <row r="3155">
      <c r="A3155" s="125"/>
      <c r="B3155" s="125"/>
      <c r="C3155" s="125"/>
      <c r="D3155" s="125"/>
      <c r="E3155" s="125"/>
      <c r="F3155" s="126"/>
      <c r="G3155" s="126"/>
      <c r="H3155" s="127"/>
      <c r="I3155" s="125"/>
    </row>
    <row r="3156">
      <c r="A3156" s="125"/>
      <c r="B3156" s="125"/>
      <c r="C3156" s="125"/>
      <c r="D3156" s="125"/>
      <c r="E3156" s="125"/>
      <c r="F3156" s="126"/>
      <c r="G3156" s="126"/>
      <c r="H3156" s="126"/>
      <c r="I3156" s="125"/>
    </row>
    <row r="3157">
      <c r="A3157" s="125"/>
      <c r="B3157" s="125"/>
      <c r="C3157" s="125"/>
      <c r="D3157" s="125"/>
      <c r="E3157" s="125"/>
      <c r="F3157" s="126"/>
      <c r="G3157" s="126"/>
      <c r="H3157" s="127"/>
      <c r="I3157" s="125"/>
    </row>
    <row r="3158">
      <c r="A3158" s="125"/>
      <c r="B3158" s="125"/>
      <c r="C3158" s="125"/>
      <c r="D3158" s="125"/>
      <c r="E3158" s="125"/>
      <c r="F3158" s="126"/>
      <c r="G3158" s="126"/>
      <c r="H3158" s="127"/>
      <c r="I3158" s="125"/>
    </row>
    <row r="3159">
      <c r="A3159" s="125"/>
      <c r="B3159" s="125"/>
      <c r="C3159" s="125"/>
      <c r="D3159" s="125"/>
      <c r="E3159" s="125"/>
      <c r="F3159" s="126"/>
      <c r="G3159" s="126"/>
      <c r="H3159" s="127"/>
      <c r="I3159" s="125"/>
    </row>
    <row r="3160">
      <c r="A3160" s="125"/>
      <c r="B3160" s="125"/>
      <c r="C3160" s="125"/>
      <c r="D3160" s="125"/>
      <c r="E3160" s="125"/>
      <c r="F3160" s="126"/>
      <c r="G3160" s="126"/>
      <c r="H3160" s="127"/>
      <c r="I3160" s="125"/>
    </row>
    <row r="3161">
      <c r="A3161" s="125"/>
      <c r="B3161" s="125"/>
      <c r="C3161" s="125"/>
      <c r="D3161" s="125"/>
      <c r="E3161" s="125"/>
      <c r="F3161" s="126"/>
      <c r="G3161" s="126"/>
      <c r="H3161" s="126"/>
      <c r="I3161" s="125"/>
    </row>
    <row r="3162">
      <c r="A3162" s="125"/>
      <c r="B3162" s="125"/>
      <c r="C3162" s="125"/>
      <c r="D3162" s="125"/>
      <c r="E3162" s="125"/>
      <c r="F3162" s="126"/>
      <c r="G3162" s="126"/>
      <c r="H3162" s="127"/>
      <c r="I3162" s="125"/>
    </row>
    <row r="3163">
      <c r="A3163" s="125"/>
      <c r="B3163" s="125"/>
      <c r="C3163" s="125"/>
      <c r="D3163" s="125"/>
      <c r="E3163" s="125"/>
      <c r="F3163" s="126"/>
      <c r="G3163" s="126"/>
      <c r="H3163" s="127"/>
      <c r="I3163" s="125"/>
    </row>
    <row r="3164">
      <c r="A3164" s="125"/>
      <c r="B3164" s="125"/>
      <c r="C3164" s="125"/>
      <c r="D3164" s="125"/>
      <c r="E3164" s="125"/>
      <c r="F3164" s="126"/>
      <c r="G3164" s="126"/>
      <c r="H3164" s="127"/>
      <c r="I3164" s="125"/>
    </row>
    <row r="3165">
      <c r="A3165" s="125"/>
      <c r="B3165" s="125"/>
      <c r="C3165" s="125"/>
      <c r="D3165" s="125"/>
      <c r="E3165" s="125"/>
      <c r="F3165" s="126"/>
      <c r="G3165" s="126"/>
      <c r="H3165" s="127"/>
      <c r="I3165" s="125"/>
    </row>
    <row r="3166">
      <c r="A3166" s="125"/>
      <c r="B3166" s="125"/>
      <c r="C3166" s="125"/>
      <c r="D3166" s="125"/>
      <c r="E3166" s="125"/>
      <c r="F3166" s="126"/>
      <c r="G3166" s="126"/>
      <c r="H3166" s="126"/>
      <c r="I3166" s="125"/>
    </row>
    <row r="3167">
      <c r="A3167" s="125"/>
      <c r="B3167" s="125"/>
      <c r="C3167" s="125"/>
      <c r="D3167" s="125"/>
      <c r="E3167" s="125"/>
      <c r="F3167" s="126"/>
      <c r="G3167" s="126"/>
      <c r="H3167" s="127"/>
      <c r="I3167" s="125"/>
    </row>
    <row r="3168">
      <c r="A3168" s="125"/>
      <c r="B3168" s="125"/>
      <c r="C3168" s="125"/>
      <c r="D3168" s="125"/>
      <c r="E3168" s="125"/>
      <c r="F3168" s="126"/>
      <c r="G3168" s="126"/>
      <c r="H3168" s="127"/>
      <c r="I3168" s="125"/>
    </row>
    <row r="3169">
      <c r="A3169" s="125"/>
      <c r="B3169" s="125"/>
      <c r="C3169" s="125"/>
      <c r="D3169" s="125"/>
      <c r="E3169" s="125"/>
      <c r="F3169" s="126"/>
      <c r="G3169" s="126"/>
      <c r="H3169" s="127"/>
      <c r="I3169" s="125"/>
    </row>
    <row r="3170">
      <c r="A3170" s="125"/>
      <c r="B3170" s="125"/>
      <c r="C3170" s="125"/>
      <c r="D3170" s="125"/>
      <c r="E3170" s="125"/>
      <c r="F3170" s="126"/>
      <c r="G3170" s="126"/>
      <c r="H3170" s="127"/>
      <c r="I3170" s="125"/>
    </row>
    <row r="3171">
      <c r="A3171" s="125"/>
      <c r="B3171" s="125"/>
      <c r="C3171" s="125"/>
      <c r="D3171" s="125"/>
      <c r="E3171" s="125"/>
      <c r="F3171" s="126"/>
      <c r="G3171" s="126"/>
      <c r="H3171" s="127"/>
      <c r="I3171" s="125"/>
    </row>
    <row r="3172">
      <c r="A3172" s="125"/>
      <c r="B3172" s="125"/>
      <c r="C3172" s="125"/>
      <c r="D3172" s="125"/>
      <c r="E3172" s="125"/>
      <c r="F3172" s="126"/>
      <c r="G3172" s="126"/>
      <c r="H3172" s="126"/>
      <c r="I3172" s="125"/>
    </row>
    <row r="3173">
      <c r="A3173" s="125"/>
      <c r="B3173" s="125"/>
      <c r="C3173" s="125"/>
      <c r="D3173" s="125"/>
      <c r="E3173" s="125"/>
      <c r="F3173" s="126"/>
      <c r="G3173" s="126"/>
      <c r="H3173" s="127"/>
      <c r="I3173" s="125"/>
    </row>
    <row r="3174">
      <c r="A3174" s="125"/>
      <c r="B3174" s="125"/>
      <c r="C3174" s="125"/>
      <c r="D3174" s="125"/>
      <c r="E3174" s="125"/>
      <c r="F3174" s="126"/>
      <c r="G3174" s="126"/>
      <c r="H3174" s="127"/>
      <c r="I3174" s="125"/>
    </row>
    <row r="3175">
      <c r="A3175" s="125"/>
      <c r="B3175" s="125"/>
      <c r="C3175" s="125"/>
      <c r="D3175" s="125"/>
      <c r="E3175" s="125"/>
      <c r="F3175" s="126"/>
      <c r="G3175" s="126"/>
      <c r="H3175" s="127"/>
      <c r="I3175" s="125"/>
    </row>
    <row r="3176">
      <c r="A3176" s="125"/>
      <c r="B3176" s="125"/>
      <c r="C3176" s="125"/>
      <c r="D3176" s="125"/>
      <c r="E3176" s="125"/>
      <c r="F3176" s="126"/>
      <c r="G3176" s="126"/>
      <c r="H3176" s="127"/>
      <c r="I3176" s="125"/>
    </row>
    <row r="3177">
      <c r="A3177" s="125"/>
      <c r="B3177" s="125"/>
      <c r="C3177" s="125"/>
      <c r="D3177" s="125"/>
      <c r="E3177" s="125"/>
      <c r="F3177" s="126"/>
      <c r="G3177" s="126"/>
      <c r="H3177" s="127"/>
      <c r="I3177" s="125"/>
    </row>
    <row r="3178">
      <c r="A3178" s="125"/>
      <c r="B3178" s="125"/>
      <c r="C3178" s="125"/>
      <c r="D3178" s="125"/>
      <c r="E3178" s="125"/>
      <c r="F3178" s="126"/>
      <c r="G3178" s="126"/>
      <c r="H3178" s="127"/>
      <c r="I3178" s="125"/>
    </row>
    <row r="3179">
      <c r="A3179" s="125"/>
      <c r="B3179" s="125"/>
      <c r="C3179" s="125"/>
      <c r="D3179" s="125"/>
      <c r="E3179" s="125"/>
      <c r="F3179" s="126"/>
      <c r="G3179" s="126"/>
      <c r="H3179" s="126"/>
      <c r="I3179" s="125"/>
    </row>
    <row r="3180">
      <c r="A3180" s="125"/>
      <c r="B3180" s="125"/>
      <c r="C3180" s="125"/>
      <c r="D3180" s="125"/>
      <c r="E3180" s="125"/>
      <c r="F3180" s="126"/>
      <c r="G3180" s="126"/>
      <c r="H3180" s="127"/>
      <c r="I3180" s="125"/>
    </row>
    <row r="3181">
      <c r="A3181" s="125"/>
      <c r="B3181" s="125"/>
      <c r="C3181" s="125"/>
      <c r="D3181" s="125"/>
      <c r="E3181" s="125"/>
      <c r="F3181" s="126"/>
      <c r="G3181" s="126"/>
      <c r="H3181" s="126"/>
      <c r="I3181" s="125"/>
    </row>
    <row r="3182">
      <c r="A3182" s="125"/>
      <c r="B3182" s="125"/>
      <c r="C3182" s="125"/>
      <c r="D3182" s="125"/>
      <c r="E3182" s="125"/>
      <c r="F3182" s="126"/>
      <c r="G3182" s="126"/>
      <c r="H3182" s="127"/>
      <c r="I3182" s="125"/>
    </row>
    <row r="3183">
      <c r="A3183" s="125"/>
      <c r="B3183" s="125"/>
      <c r="C3183" s="125"/>
      <c r="D3183" s="125"/>
      <c r="E3183" s="125"/>
      <c r="F3183" s="126"/>
      <c r="G3183" s="126"/>
      <c r="H3183" s="127"/>
      <c r="I3183" s="125"/>
    </row>
    <row r="3184">
      <c r="A3184" s="125"/>
      <c r="B3184" s="125"/>
      <c r="C3184" s="125"/>
      <c r="D3184" s="125"/>
      <c r="E3184" s="125"/>
      <c r="F3184" s="126"/>
      <c r="G3184" s="126"/>
      <c r="H3184" s="127"/>
      <c r="I3184" s="125"/>
    </row>
    <row r="3185">
      <c r="A3185" s="125"/>
      <c r="B3185" s="125"/>
      <c r="C3185" s="125"/>
      <c r="D3185" s="125"/>
      <c r="E3185" s="125"/>
      <c r="F3185" s="126"/>
      <c r="G3185" s="126"/>
      <c r="H3185" s="127"/>
      <c r="I3185" s="125"/>
    </row>
    <row r="3186">
      <c r="A3186" s="125"/>
      <c r="B3186" s="125"/>
      <c r="C3186" s="125"/>
      <c r="D3186" s="125"/>
      <c r="E3186" s="125"/>
      <c r="F3186" s="126"/>
      <c r="G3186" s="126"/>
      <c r="H3186" s="127"/>
      <c r="I3186" s="125"/>
    </row>
    <row r="3187">
      <c r="A3187" s="125"/>
      <c r="B3187" s="125"/>
      <c r="C3187" s="125"/>
      <c r="D3187" s="125"/>
      <c r="E3187" s="125"/>
      <c r="F3187" s="126"/>
      <c r="G3187" s="126"/>
      <c r="H3187" s="127"/>
      <c r="I3187" s="125"/>
    </row>
    <row r="3188">
      <c r="A3188" s="125"/>
      <c r="B3188" s="125"/>
      <c r="C3188" s="125"/>
      <c r="D3188" s="125"/>
      <c r="E3188" s="125"/>
      <c r="F3188" s="126"/>
      <c r="G3188" s="126"/>
      <c r="H3188" s="127"/>
      <c r="I3188" s="125"/>
    </row>
    <row r="3189">
      <c r="A3189" s="125"/>
      <c r="B3189" s="125"/>
      <c r="C3189" s="125"/>
      <c r="D3189" s="125"/>
      <c r="E3189" s="125"/>
      <c r="F3189" s="126"/>
      <c r="G3189" s="126"/>
      <c r="H3189" s="127"/>
      <c r="I3189" s="125"/>
    </row>
    <row r="3190">
      <c r="A3190" s="125"/>
      <c r="B3190" s="125"/>
      <c r="C3190" s="125"/>
      <c r="D3190" s="125"/>
      <c r="E3190" s="125"/>
      <c r="F3190" s="126"/>
      <c r="G3190" s="126"/>
      <c r="H3190" s="127"/>
      <c r="I3190" s="125"/>
    </row>
    <row r="3191">
      <c r="A3191" s="125"/>
      <c r="B3191" s="125"/>
      <c r="C3191" s="125"/>
      <c r="D3191" s="125"/>
      <c r="E3191" s="125"/>
      <c r="F3191" s="126"/>
      <c r="G3191" s="126"/>
      <c r="H3191" s="127"/>
      <c r="I3191" s="125"/>
    </row>
    <row r="3192">
      <c r="A3192" s="125"/>
      <c r="B3192" s="125"/>
      <c r="C3192" s="125"/>
      <c r="D3192" s="125"/>
      <c r="E3192" s="125"/>
      <c r="F3192" s="126"/>
      <c r="G3192" s="126"/>
      <c r="H3192" s="127"/>
      <c r="I3192" s="125"/>
    </row>
    <row r="3193">
      <c r="A3193" s="125"/>
      <c r="B3193" s="125"/>
      <c r="C3193" s="125"/>
      <c r="D3193" s="125"/>
      <c r="E3193" s="125"/>
      <c r="F3193" s="126"/>
      <c r="G3193" s="126"/>
      <c r="H3193" s="127"/>
      <c r="I3193" s="125"/>
    </row>
    <row r="3194">
      <c r="A3194" s="125"/>
      <c r="B3194" s="125"/>
      <c r="C3194" s="125"/>
      <c r="D3194" s="125"/>
      <c r="E3194" s="125"/>
      <c r="F3194" s="126"/>
      <c r="G3194" s="126"/>
      <c r="H3194" s="127"/>
      <c r="I3194" s="125"/>
    </row>
    <row r="3195">
      <c r="A3195" s="125"/>
      <c r="B3195" s="125"/>
      <c r="C3195" s="125"/>
      <c r="D3195" s="125"/>
      <c r="E3195" s="125"/>
      <c r="F3195" s="126"/>
      <c r="G3195" s="126"/>
      <c r="H3195" s="127"/>
      <c r="I3195" s="125"/>
    </row>
    <row r="3196">
      <c r="A3196" s="125"/>
      <c r="B3196" s="125"/>
      <c r="C3196" s="125"/>
      <c r="D3196" s="125"/>
      <c r="E3196" s="125"/>
      <c r="F3196" s="126"/>
      <c r="G3196" s="126"/>
      <c r="H3196" s="127"/>
      <c r="I3196" s="125"/>
    </row>
    <row r="3197">
      <c r="A3197" s="125"/>
      <c r="B3197" s="125"/>
      <c r="C3197" s="125"/>
      <c r="D3197" s="125"/>
      <c r="E3197" s="125"/>
      <c r="F3197" s="126"/>
      <c r="G3197" s="126"/>
      <c r="H3197" s="126"/>
      <c r="I3197" s="125"/>
    </row>
    <row r="3198">
      <c r="A3198" s="125"/>
      <c r="B3198" s="125"/>
      <c r="C3198" s="125"/>
      <c r="D3198" s="125"/>
      <c r="E3198" s="125"/>
      <c r="F3198" s="126"/>
      <c r="G3198" s="126"/>
      <c r="H3198" s="127"/>
      <c r="I3198" s="125"/>
    </row>
    <row r="3199">
      <c r="A3199" s="125"/>
      <c r="B3199" s="125"/>
      <c r="C3199" s="125"/>
      <c r="D3199" s="125"/>
      <c r="E3199" s="125"/>
      <c r="F3199" s="126"/>
      <c r="G3199" s="126"/>
      <c r="H3199" s="126"/>
      <c r="I3199" s="125"/>
    </row>
    <row r="3200">
      <c r="A3200" s="125"/>
      <c r="B3200" s="125"/>
      <c r="C3200" s="125"/>
      <c r="D3200" s="125"/>
      <c r="E3200" s="125"/>
      <c r="F3200" s="126"/>
      <c r="G3200" s="126"/>
      <c r="H3200" s="127"/>
      <c r="I3200" s="125"/>
    </row>
    <row r="3201">
      <c r="A3201" s="125"/>
      <c r="B3201" s="125"/>
      <c r="C3201" s="125"/>
      <c r="D3201" s="125"/>
      <c r="E3201" s="125"/>
      <c r="F3201" s="126"/>
      <c r="G3201" s="126"/>
      <c r="H3201" s="127"/>
      <c r="I3201" s="125"/>
    </row>
    <row r="3202">
      <c r="A3202" s="125"/>
      <c r="B3202" s="125"/>
      <c r="C3202" s="125"/>
      <c r="D3202" s="125"/>
      <c r="E3202" s="125"/>
      <c r="F3202" s="126"/>
      <c r="G3202" s="126"/>
      <c r="H3202" s="126"/>
      <c r="I3202" s="125"/>
    </row>
    <row r="3203">
      <c r="A3203" s="125"/>
      <c r="B3203" s="125"/>
      <c r="C3203" s="125"/>
      <c r="D3203" s="125"/>
      <c r="E3203" s="125"/>
      <c r="F3203" s="126"/>
      <c r="G3203" s="126"/>
      <c r="H3203" s="126"/>
      <c r="I3203" s="125"/>
    </row>
    <row r="3204">
      <c r="A3204" s="125"/>
      <c r="B3204" s="125"/>
      <c r="C3204" s="125"/>
      <c r="D3204" s="125"/>
      <c r="E3204" s="125"/>
      <c r="F3204" s="126"/>
      <c r="G3204" s="126"/>
      <c r="H3204" s="127"/>
      <c r="I3204" s="125"/>
    </row>
    <row r="3205">
      <c r="A3205" s="125"/>
      <c r="B3205" s="125"/>
      <c r="C3205" s="125"/>
      <c r="D3205" s="125"/>
      <c r="E3205" s="125"/>
      <c r="F3205" s="126"/>
      <c r="G3205" s="126"/>
      <c r="H3205" s="126"/>
      <c r="I3205" s="125"/>
    </row>
    <row r="3206">
      <c r="A3206" s="125"/>
      <c r="B3206" s="125"/>
      <c r="C3206" s="125"/>
      <c r="D3206" s="125"/>
      <c r="E3206" s="125"/>
      <c r="F3206" s="126"/>
      <c r="G3206" s="126"/>
      <c r="H3206" s="127"/>
      <c r="I3206" s="125"/>
    </row>
    <row r="3207">
      <c r="A3207" s="125"/>
      <c r="B3207" s="125"/>
      <c r="C3207" s="125"/>
      <c r="D3207" s="125"/>
      <c r="E3207" s="125"/>
      <c r="F3207" s="126"/>
      <c r="G3207" s="126"/>
      <c r="H3207" s="127"/>
      <c r="I3207" s="125"/>
    </row>
    <row r="3208">
      <c r="A3208" s="125"/>
      <c r="B3208" s="125"/>
      <c r="C3208" s="125"/>
      <c r="D3208" s="125"/>
      <c r="E3208" s="125"/>
      <c r="F3208" s="126"/>
      <c r="G3208" s="126"/>
      <c r="H3208" s="127"/>
      <c r="I3208" s="125"/>
    </row>
    <row r="3209">
      <c r="A3209" s="125"/>
      <c r="B3209" s="125"/>
      <c r="C3209" s="125"/>
      <c r="D3209" s="125"/>
      <c r="E3209" s="125"/>
      <c r="F3209" s="126"/>
      <c r="G3209" s="126"/>
      <c r="H3209" s="127"/>
      <c r="I3209" s="125"/>
    </row>
    <row r="3210">
      <c r="A3210" s="125"/>
      <c r="B3210" s="125"/>
      <c r="C3210" s="125"/>
      <c r="D3210" s="125"/>
      <c r="E3210" s="125"/>
      <c r="F3210" s="126"/>
      <c r="G3210" s="126"/>
      <c r="H3210" s="127"/>
      <c r="I3210" s="125"/>
    </row>
    <row r="3211">
      <c r="A3211" s="125"/>
      <c r="B3211" s="125"/>
      <c r="C3211" s="125"/>
      <c r="D3211" s="125"/>
      <c r="E3211" s="125"/>
      <c r="F3211" s="126"/>
      <c r="G3211" s="126"/>
      <c r="H3211" s="127"/>
      <c r="I3211" s="125"/>
    </row>
    <row r="3212">
      <c r="A3212" s="125"/>
      <c r="B3212" s="125"/>
      <c r="C3212" s="125"/>
      <c r="D3212" s="125"/>
      <c r="E3212" s="125"/>
      <c r="F3212" s="126"/>
      <c r="G3212" s="126"/>
      <c r="H3212" s="127"/>
      <c r="I3212" s="125"/>
    </row>
    <row r="3213">
      <c r="A3213" s="125"/>
      <c r="B3213" s="125"/>
      <c r="C3213" s="125"/>
      <c r="D3213" s="125"/>
      <c r="E3213" s="125"/>
      <c r="F3213" s="126"/>
      <c r="G3213" s="126"/>
      <c r="H3213" s="127"/>
      <c r="I3213" s="125"/>
    </row>
    <row r="3214">
      <c r="A3214" s="125"/>
      <c r="B3214" s="125"/>
      <c r="C3214" s="125"/>
      <c r="D3214" s="125"/>
      <c r="E3214" s="125"/>
      <c r="F3214" s="126"/>
      <c r="G3214" s="126"/>
      <c r="H3214" s="127"/>
      <c r="I3214" s="125"/>
    </row>
    <row r="3215">
      <c r="A3215" s="125"/>
      <c r="B3215" s="125"/>
      <c r="C3215" s="125"/>
      <c r="D3215" s="125"/>
      <c r="E3215" s="125"/>
      <c r="F3215" s="126"/>
      <c r="G3215" s="126"/>
      <c r="H3215" s="127"/>
      <c r="I3215" s="125"/>
    </row>
    <row r="3216">
      <c r="A3216" s="125"/>
      <c r="B3216" s="125"/>
      <c r="C3216" s="125"/>
      <c r="D3216" s="125"/>
      <c r="E3216" s="125"/>
      <c r="F3216" s="126"/>
      <c r="G3216" s="126"/>
      <c r="H3216" s="127"/>
      <c r="I3216" s="125"/>
    </row>
    <row r="3217">
      <c r="A3217" s="125"/>
      <c r="B3217" s="125"/>
      <c r="C3217" s="125"/>
      <c r="D3217" s="125"/>
      <c r="E3217" s="125"/>
      <c r="F3217" s="126"/>
      <c r="G3217" s="126"/>
      <c r="H3217" s="127"/>
      <c r="I3217" s="125"/>
    </row>
    <row r="3218">
      <c r="A3218" s="125"/>
      <c r="B3218" s="125"/>
      <c r="C3218" s="125"/>
      <c r="D3218" s="125"/>
      <c r="E3218" s="125"/>
      <c r="F3218" s="126"/>
      <c r="G3218" s="126"/>
      <c r="H3218" s="127"/>
      <c r="I3218" s="125"/>
    </row>
    <row r="3219">
      <c r="A3219" s="125"/>
      <c r="B3219" s="125"/>
      <c r="C3219" s="125"/>
      <c r="D3219" s="125"/>
      <c r="E3219" s="125"/>
      <c r="F3219" s="126"/>
      <c r="G3219" s="126"/>
      <c r="H3219" s="127"/>
      <c r="I3219" s="125"/>
    </row>
    <row r="3220">
      <c r="A3220" s="125"/>
      <c r="B3220" s="125"/>
      <c r="C3220" s="125"/>
      <c r="D3220" s="125"/>
      <c r="E3220" s="125"/>
      <c r="F3220" s="126"/>
      <c r="G3220" s="126"/>
      <c r="H3220" s="127"/>
      <c r="I3220" s="125"/>
    </row>
    <row r="3221">
      <c r="A3221" s="125"/>
      <c r="B3221" s="125"/>
      <c r="C3221" s="125"/>
      <c r="D3221" s="125"/>
      <c r="E3221" s="125"/>
      <c r="F3221" s="126"/>
      <c r="G3221" s="126"/>
      <c r="H3221" s="127"/>
      <c r="I3221" s="125"/>
    </row>
    <row r="3222">
      <c r="A3222" s="125"/>
      <c r="B3222" s="125"/>
      <c r="C3222" s="125"/>
      <c r="D3222" s="125"/>
      <c r="E3222" s="125"/>
      <c r="F3222" s="126"/>
      <c r="G3222" s="126"/>
      <c r="H3222" s="126"/>
      <c r="I3222" s="125"/>
    </row>
    <row r="3223">
      <c r="A3223" s="125"/>
      <c r="B3223" s="125"/>
      <c r="C3223" s="125"/>
      <c r="D3223" s="125"/>
      <c r="E3223" s="125"/>
      <c r="F3223" s="126"/>
      <c r="G3223" s="126"/>
      <c r="H3223" s="127"/>
      <c r="I3223" s="125"/>
    </row>
    <row r="3224">
      <c r="A3224" s="125"/>
      <c r="B3224" s="125"/>
      <c r="C3224" s="125"/>
      <c r="D3224" s="125"/>
      <c r="E3224" s="125"/>
      <c r="F3224" s="126"/>
      <c r="G3224" s="126"/>
      <c r="H3224" s="127"/>
      <c r="I3224" s="125"/>
    </row>
    <row r="3225">
      <c r="A3225" s="125"/>
      <c r="B3225" s="125"/>
      <c r="C3225" s="125"/>
      <c r="D3225" s="125"/>
      <c r="E3225" s="125"/>
      <c r="F3225" s="126"/>
      <c r="G3225" s="126"/>
      <c r="H3225" s="127"/>
      <c r="I3225" s="125"/>
    </row>
    <row r="3226">
      <c r="A3226" s="125"/>
      <c r="B3226" s="125"/>
      <c r="C3226" s="125"/>
      <c r="D3226" s="125"/>
      <c r="E3226" s="125"/>
      <c r="F3226" s="126"/>
      <c r="G3226" s="126"/>
      <c r="H3226" s="127"/>
      <c r="I3226" s="125"/>
    </row>
    <row r="3227">
      <c r="A3227" s="125"/>
      <c r="B3227" s="125"/>
      <c r="C3227" s="125"/>
      <c r="D3227" s="125"/>
      <c r="E3227" s="125"/>
      <c r="F3227" s="126"/>
      <c r="G3227" s="126"/>
      <c r="H3227" s="127"/>
      <c r="I3227" s="125"/>
    </row>
    <row r="3228">
      <c r="A3228" s="125"/>
      <c r="B3228" s="125"/>
      <c r="C3228" s="125"/>
      <c r="D3228" s="125"/>
      <c r="E3228" s="125"/>
      <c r="F3228" s="126"/>
      <c r="G3228" s="126"/>
      <c r="H3228" s="127"/>
      <c r="I3228" s="125"/>
    </row>
    <row r="3229">
      <c r="A3229" s="125"/>
      <c r="B3229" s="125"/>
      <c r="C3229" s="125"/>
      <c r="D3229" s="125"/>
      <c r="E3229" s="125"/>
      <c r="F3229" s="126"/>
      <c r="G3229" s="126"/>
      <c r="H3229" s="127"/>
      <c r="I3229" s="125"/>
    </row>
    <row r="3230">
      <c r="A3230" s="125"/>
      <c r="B3230" s="125"/>
      <c r="C3230" s="125"/>
      <c r="D3230" s="125"/>
      <c r="E3230" s="125"/>
      <c r="F3230" s="126"/>
      <c r="G3230" s="126"/>
      <c r="H3230" s="127"/>
      <c r="I3230" s="125"/>
    </row>
    <row r="3231">
      <c r="A3231" s="125"/>
      <c r="B3231" s="125"/>
      <c r="C3231" s="125"/>
      <c r="D3231" s="125"/>
      <c r="E3231" s="125"/>
      <c r="F3231" s="126"/>
      <c r="G3231" s="126"/>
      <c r="H3231" s="127"/>
      <c r="I3231" s="125"/>
    </row>
    <row r="3232">
      <c r="A3232" s="125"/>
      <c r="B3232" s="125"/>
      <c r="C3232" s="125"/>
      <c r="D3232" s="125"/>
      <c r="E3232" s="125"/>
      <c r="F3232" s="126"/>
      <c r="G3232" s="126"/>
      <c r="H3232" s="127"/>
      <c r="I3232" s="125"/>
    </row>
    <row r="3233">
      <c r="A3233" s="125"/>
      <c r="B3233" s="125"/>
      <c r="C3233" s="125"/>
      <c r="D3233" s="125"/>
      <c r="E3233" s="125"/>
      <c r="F3233" s="126"/>
      <c r="G3233" s="126"/>
      <c r="H3233" s="127"/>
      <c r="I3233" s="125"/>
    </row>
    <row r="3234">
      <c r="A3234" s="125"/>
      <c r="B3234" s="125"/>
      <c r="C3234" s="125"/>
      <c r="D3234" s="125"/>
      <c r="E3234" s="125"/>
      <c r="F3234" s="126"/>
      <c r="G3234" s="126"/>
      <c r="H3234" s="127"/>
      <c r="I3234" s="125"/>
    </row>
    <row r="3235">
      <c r="A3235" s="125"/>
      <c r="B3235" s="125"/>
      <c r="C3235" s="125"/>
      <c r="D3235" s="125"/>
      <c r="E3235" s="125"/>
      <c r="F3235" s="126"/>
      <c r="G3235" s="126"/>
      <c r="H3235" s="127"/>
      <c r="I3235" s="125"/>
    </row>
    <row r="3236">
      <c r="A3236" s="125"/>
      <c r="B3236" s="125"/>
      <c r="C3236" s="125"/>
      <c r="D3236" s="125"/>
      <c r="E3236" s="125"/>
      <c r="F3236" s="126"/>
      <c r="G3236" s="126"/>
      <c r="H3236" s="126"/>
      <c r="I3236" s="125"/>
    </row>
    <row r="3237">
      <c r="A3237" s="125"/>
      <c r="B3237" s="125"/>
      <c r="C3237" s="125"/>
      <c r="D3237" s="125"/>
      <c r="E3237" s="125"/>
      <c r="F3237" s="126"/>
      <c r="G3237" s="126"/>
      <c r="H3237" s="127"/>
      <c r="I3237" s="125"/>
    </row>
    <row r="3238">
      <c r="A3238" s="125"/>
      <c r="B3238" s="125"/>
      <c r="C3238" s="125"/>
      <c r="D3238" s="125"/>
      <c r="E3238" s="125"/>
      <c r="F3238" s="126"/>
      <c r="G3238" s="126"/>
      <c r="H3238" s="126"/>
      <c r="I3238" s="125"/>
    </row>
    <row r="3239">
      <c r="A3239" s="125"/>
      <c r="B3239" s="125"/>
      <c r="C3239" s="125"/>
      <c r="D3239" s="125"/>
      <c r="E3239" s="125"/>
      <c r="F3239" s="126"/>
      <c r="G3239" s="126"/>
      <c r="H3239" s="127"/>
      <c r="I3239" s="125"/>
    </row>
    <row r="3240">
      <c r="A3240" s="125"/>
      <c r="B3240" s="125"/>
      <c r="C3240" s="125"/>
      <c r="D3240" s="125"/>
      <c r="E3240" s="125"/>
      <c r="F3240" s="126"/>
      <c r="G3240" s="126"/>
      <c r="H3240" s="127"/>
      <c r="I3240" s="125"/>
    </row>
    <row r="3241">
      <c r="A3241" s="125"/>
      <c r="B3241" s="125"/>
      <c r="C3241" s="125"/>
      <c r="D3241" s="125"/>
      <c r="E3241" s="125"/>
      <c r="F3241" s="126"/>
      <c r="G3241" s="126"/>
      <c r="H3241" s="127"/>
      <c r="I3241" s="125"/>
    </row>
    <row r="3242">
      <c r="A3242" s="125"/>
      <c r="B3242" s="125"/>
      <c r="C3242" s="125"/>
      <c r="D3242" s="125"/>
      <c r="E3242" s="125"/>
      <c r="F3242" s="126"/>
      <c r="G3242" s="126"/>
      <c r="H3242" s="127"/>
      <c r="I3242" s="125"/>
    </row>
    <row r="3243">
      <c r="A3243" s="125"/>
      <c r="B3243" s="125"/>
      <c r="C3243" s="125"/>
      <c r="D3243" s="125"/>
      <c r="E3243" s="125"/>
      <c r="F3243" s="126"/>
      <c r="G3243" s="126"/>
      <c r="H3243" s="127"/>
      <c r="I3243" s="125"/>
    </row>
    <row r="3244">
      <c r="A3244" s="125"/>
      <c r="B3244" s="125"/>
      <c r="C3244" s="125"/>
      <c r="D3244" s="125"/>
      <c r="E3244" s="125"/>
      <c r="F3244" s="126"/>
      <c r="G3244" s="126"/>
      <c r="H3244" s="127"/>
      <c r="I3244" s="125"/>
    </row>
    <row r="3245">
      <c r="A3245" s="125"/>
      <c r="B3245" s="125"/>
      <c r="C3245" s="125"/>
      <c r="D3245" s="125"/>
      <c r="E3245" s="125"/>
      <c r="F3245" s="126"/>
      <c r="G3245" s="126"/>
      <c r="H3245" s="127"/>
      <c r="I3245" s="125"/>
    </row>
    <row r="3246">
      <c r="A3246" s="125"/>
      <c r="B3246" s="125"/>
      <c r="C3246" s="125"/>
      <c r="D3246" s="125"/>
      <c r="E3246" s="125"/>
      <c r="F3246" s="126"/>
      <c r="G3246" s="126"/>
      <c r="H3246" s="126"/>
      <c r="I3246" s="125"/>
    </row>
    <row r="3247">
      <c r="A3247" s="125"/>
      <c r="B3247" s="125"/>
      <c r="C3247" s="125"/>
      <c r="D3247" s="125"/>
      <c r="E3247" s="125"/>
      <c r="F3247" s="126"/>
      <c r="G3247" s="126"/>
      <c r="H3247" s="127"/>
      <c r="I3247" s="125"/>
    </row>
    <row r="3248">
      <c r="A3248" s="125"/>
      <c r="B3248" s="125"/>
      <c r="C3248" s="125"/>
      <c r="D3248" s="125"/>
      <c r="E3248" s="125"/>
      <c r="F3248" s="126"/>
      <c r="G3248" s="126"/>
      <c r="H3248" s="127"/>
      <c r="I3248" s="125"/>
    </row>
    <row r="3249">
      <c r="A3249" s="125"/>
      <c r="B3249" s="125"/>
      <c r="C3249" s="125"/>
      <c r="D3249" s="125"/>
      <c r="E3249" s="125"/>
      <c r="F3249" s="126"/>
      <c r="G3249" s="126"/>
      <c r="H3249" s="126"/>
      <c r="I3249" s="125"/>
    </row>
    <row r="3250">
      <c r="A3250" s="125"/>
      <c r="B3250" s="125"/>
      <c r="C3250" s="125"/>
      <c r="D3250" s="125"/>
      <c r="E3250" s="125"/>
      <c r="F3250" s="126"/>
      <c r="G3250" s="126"/>
      <c r="H3250" s="127"/>
      <c r="I3250" s="125"/>
    </row>
    <row r="3251">
      <c r="A3251" s="125"/>
      <c r="B3251" s="125"/>
      <c r="C3251" s="125"/>
      <c r="D3251" s="125"/>
      <c r="E3251" s="125"/>
      <c r="F3251" s="126"/>
      <c r="G3251" s="126"/>
      <c r="H3251" s="126"/>
      <c r="I3251" s="125"/>
    </row>
    <row r="3252">
      <c r="A3252" s="125"/>
      <c r="B3252" s="125"/>
      <c r="C3252" s="125"/>
      <c r="D3252" s="125"/>
      <c r="E3252" s="125"/>
      <c r="F3252" s="126"/>
      <c r="G3252" s="126"/>
      <c r="H3252" s="126"/>
      <c r="I3252" s="125"/>
    </row>
    <row r="3253">
      <c r="A3253" s="125"/>
      <c r="B3253" s="125"/>
      <c r="C3253" s="125"/>
      <c r="D3253" s="125"/>
      <c r="E3253" s="125"/>
      <c r="F3253" s="126"/>
      <c r="G3253" s="126"/>
      <c r="H3253" s="127"/>
      <c r="I3253" s="125"/>
    </row>
    <row r="3254">
      <c r="A3254" s="125"/>
      <c r="B3254" s="125"/>
      <c r="C3254" s="125"/>
      <c r="D3254" s="125"/>
      <c r="E3254" s="125"/>
      <c r="F3254" s="126"/>
      <c r="G3254" s="126"/>
      <c r="H3254" s="126"/>
      <c r="I3254" s="125"/>
    </row>
    <row r="3255">
      <c r="A3255" s="125"/>
      <c r="B3255" s="125"/>
      <c r="C3255" s="125"/>
      <c r="D3255" s="125"/>
      <c r="E3255" s="125"/>
      <c r="F3255" s="126"/>
      <c r="G3255" s="126"/>
      <c r="H3255" s="127"/>
      <c r="I3255" s="125"/>
    </row>
    <row r="3256">
      <c r="A3256" s="125"/>
      <c r="B3256" s="125"/>
      <c r="C3256" s="125"/>
      <c r="D3256" s="125"/>
      <c r="E3256" s="125"/>
      <c r="F3256" s="126"/>
      <c r="G3256" s="126"/>
      <c r="H3256" s="126"/>
      <c r="I3256" s="125"/>
    </row>
    <row r="3257">
      <c r="A3257" s="125"/>
      <c r="B3257" s="125"/>
      <c r="C3257" s="125"/>
      <c r="D3257" s="125"/>
      <c r="E3257" s="125"/>
      <c r="F3257" s="126"/>
      <c r="G3257" s="126"/>
      <c r="H3257" s="127"/>
      <c r="I3257" s="125"/>
    </row>
    <row r="3258">
      <c r="A3258" s="125"/>
      <c r="B3258" s="125"/>
      <c r="C3258" s="125"/>
      <c r="D3258" s="125"/>
      <c r="E3258" s="125"/>
      <c r="F3258" s="126"/>
      <c r="G3258" s="126"/>
      <c r="H3258" s="127"/>
      <c r="I3258" s="125"/>
    </row>
    <row r="3259">
      <c r="A3259" s="125"/>
      <c r="B3259" s="125"/>
      <c r="C3259" s="125"/>
      <c r="D3259" s="125"/>
      <c r="E3259" s="125"/>
      <c r="F3259" s="126"/>
      <c r="G3259" s="126"/>
      <c r="H3259" s="127"/>
      <c r="I3259" s="125"/>
    </row>
    <row r="3260">
      <c r="A3260" s="125"/>
      <c r="B3260" s="125"/>
      <c r="C3260" s="125"/>
      <c r="D3260" s="125"/>
      <c r="E3260" s="125"/>
      <c r="F3260" s="126"/>
      <c r="G3260" s="126"/>
      <c r="H3260" s="127"/>
      <c r="I3260" s="125"/>
    </row>
    <row r="3261">
      <c r="A3261" s="125"/>
      <c r="B3261" s="125"/>
      <c r="C3261" s="125"/>
      <c r="D3261" s="125"/>
      <c r="E3261" s="125"/>
      <c r="F3261" s="126"/>
      <c r="G3261" s="126"/>
      <c r="H3261" s="127"/>
      <c r="I3261" s="125"/>
    </row>
    <row r="3262">
      <c r="A3262" s="125"/>
      <c r="B3262" s="125"/>
      <c r="C3262" s="125"/>
      <c r="D3262" s="125"/>
      <c r="E3262" s="125"/>
      <c r="F3262" s="126"/>
      <c r="G3262" s="126"/>
      <c r="H3262" s="126"/>
      <c r="I3262" s="125"/>
    </row>
    <row r="3263">
      <c r="A3263" s="125"/>
      <c r="B3263" s="125"/>
      <c r="C3263" s="125"/>
      <c r="D3263" s="125"/>
      <c r="E3263" s="125"/>
      <c r="F3263" s="126"/>
      <c r="G3263" s="126"/>
      <c r="H3263" s="127"/>
      <c r="I3263" s="125"/>
    </row>
    <row r="3264">
      <c r="A3264" s="125"/>
      <c r="B3264" s="125"/>
      <c r="C3264" s="125"/>
      <c r="D3264" s="125"/>
      <c r="E3264" s="125"/>
      <c r="F3264" s="126"/>
      <c r="G3264" s="126"/>
      <c r="H3264" s="126"/>
      <c r="I3264" s="125"/>
    </row>
    <row r="3265">
      <c r="A3265" s="125"/>
      <c r="B3265" s="125"/>
      <c r="C3265" s="125"/>
      <c r="D3265" s="125"/>
      <c r="E3265" s="125"/>
      <c r="F3265" s="126"/>
      <c r="G3265" s="126"/>
      <c r="H3265" s="127"/>
      <c r="I3265" s="125"/>
    </row>
    <row r="3266">
      <c r="A3266" s="125"/>
      <c r="B3266" s="125"/>
      <c r="C3266" s="125"/>
      <c r="D3266" s="125"/>
      <c r="E3266" s="125"/>
      <c r="F3266" s="126"/>
      <c r="G3266" s="126"/>
      <c r="H3266" s="127"/>
      <c r="I3266" s="125"/>
    </row>
    <row r="3267">
      <c r="A3267" s="125"/>
      <c r="B3267" s="125"/>
      <c r="C3267" s="125"/>
      <c r="D3267" s="125"/>
      <c r="E3267" s="125"/>
      <c r="F3267" s="126"/>
      <c r="G3267" s="126"/>
      <c r="H3267" s="127"/>
      <c r="I3267" s="125"/>
    </row>
    <row r="3268">
      <c r="A3268" s="125"/>
      <c r="B3268" s="125"/>
      <c r="C3268" s="125"/>
      <c r="D3268" s="125"/>
      <c r="E3268" s="125"/>
      <c r="F3268" s="126"/>
      <c r="G3268" s="126"/>
      <c r="H3268" s="127"/>
      <c r="I3268" s="125"/>
    </row>
    <row r="3269">
      <c r="A3269" s="125"/>
      <c r="B3269" s="125"/>
      <c r="C3269" s="125"/>
      <c r="D3269" s="125"/>
      <c r="E3269" s="125"/>
      <c r="F3269" s="126"/>
      <c r="G3269" s="126"/>
      <c r="H3269" s="126"/>
      <c r="I3269" s="125"/>
    </row>
    <row r="3270">
      <c r="A3270" s="125"/>
      <c r="B3270" s="125"/>
      <c r="C3270" s="125"/>
      <c r="D3270" s="125"/>
      <c r="E3270" s="125"/>
      <c r="F3270" s="126"/>
      <c r="G3270" s="126"/>
      <c r="H3270" s="127"/>
      <c r="I3270" s="125"/>
    </row>
    <row r="3271">
      <c r="A3271" s="125"/>
      <c r="B3271" s="125"/>
      <c r="C3271" s="125"/>
      <c r="D3271" s="125"/>
      <c r="E3271" s="125"/>
      <c r="F3271" s="126"/>
      <c r="G3271" s="126"/>
      <c r="H3271" s="127"/>
      <c r="I3271" s="125"/>
    </row>
    <row r="3272">
      <c r="A3272" s="125"/>
      <c r="B3272" s="125"/>
      <c r="C3272" s="125"/>
      <c r="D3272" s="125"/>
      <c r="E3272" s="125"/>
      <c r="F3272" s="126"/>
      <c r="G3272" s="126"/>
      <c r="H3272" s="127"/>
      <c r="I3272" s="125"/>
    </row>
    <row r="3273">
      <c r="A3273" s="125"/>
      <c r="B3273" s="125"/>
      <c r="C3273" s="125"/>
      <c r="D3273" s="125"/>
      <c r="E3273" s="125"/>
      <c r="F3273" s="126"/>
      <c r="G3273" s="126"/>
      <c r="H3273" s="127"/>
      <c r="I3273" s="125"/>
    </row>
    <row r="3274">
      <c r="A3274" s="125"/>
      <c r="B3274" s="125"/>
      <c r="C3274" s="125"/>
      <c r="D3274" s="125"/>
      <c r="E3274" s="125"/>
      <c r="F3274" s="126"/>
      <c r="G3274" s="126"/>
      <c r="H3274" s="127"/>
      <c r="I3274" s="125"/>
    </row>
    <row r="3275">
      <c r="A3275" s="125"/>
      <c r="B3275" s="125"/>
      <c r="C3275" s="125"/>
      <c r="D3275" s="125"/>
      <c r="E3275" s="125"/>
      <c r="F3275" s="126"/>
      <c r="G3275" s="126"/>
      <c r="H3275" s="127"/>
      <c r="I3275" s="125"/>
    </row>
    <row r="3276">
      <c r="A3276" s="125"/>
      <c r="B3276" s="125"/>
      <c r="C3276" s="125"/>
      <c r="D3276" s="125"/>
      <c r="E3276" s="125"/>
      <c r="F3276" s="126"/>
      <c r="G3276" s="126"/>
      <c r="H3276" s="127"/>
      <c r="I3276" s="125"/>
    </row>
    <row r="3277">
      <c r="A3277" s="125"/>
      <c r="B3277" s="125"/>
      <c r="C3277" s="125"/>
      <c r="D3277" s="125"/>
      <c r="E3277" s="125"/>
      <c r="F3277" s="126"/>
      <c r="G3277" s="126"/>
      <c r="H3277" s="127"/>
      <c r="I3277" s="125"/>
    </row>
    <row r="3278">
      <c r="A3278" s="125"/>
      <c r="B3278" s="125"/>
      <c r="C3278" s="125"/>
      <c r="D3278" s="125"/>
      <c r="E3278" s="125"/>
      <c r="F3278" s="126"/>
      <c r="G3278" s="126"/>
      <c r="H3278" s="127"/>
      <c r="I3278" s="125"/>
    </row>
    <row r="3279">
      <c r="A3279" s="125"/>
      <c r="B3279" s="125"/>
      <c r="C3279" s="125"/>
      <c r="D3279" s="125"/>
      <c r="E3279" s="125"/>
      <c r="F3279" s="126"/>
      <c r="G3279" s="126"/>
      <c r="H3279" s="126"/>
      <c r="I3279" s="125"/>
    </row>
    <row r="3280">
      <c r="A3280" s="125"/>
      <c r="B3280" s="125"/>
      <c r="C3280" s="125"/>
      <c r="D3280" s="125"/>
      <c r="E3280" s="125"/>
      <c r="F3280" s="126"/>
      <c r="G3280" s="126"/>
      <c r="H3280" s="126"/>
      <c r="I3280" s="125"/>
    </row>
    <row r="3281">
      <c r="A3281" s="125"/>
      <c r="B3281" s="125"/>
      <c r="C3281" s="125"/>
      <c r="D3281" s="125"/>
      <c r="E3281" s="125"/>
      <c r="F3281" s="126"/>
      <c r="G3281" s="126"/>
      <c r="H3281" s="127"/>
      <c r="I3281" s="125"/>
    </row>
    <row r="3282">
      <c r="A3282" s="125"/>
      <c r="B3282" s="125"/>
      <c r="C3282" s="125"/>
      <c r="D3282" s="125"/>
      <c r="E3282" s="125"/>
      <c r="F3282" s="126"/>
      <c r="G3282" s="126"/>
      <c r="H3282" s="127"/>
      <c r="I3282" s="125"/>
    </row>
    <row r="3283">
      <c r="A3283" s="125"/>
      <c r="B3283" s="125"/>
      <c r="C3283" s="125"/>
      <c r="D3283" s="125"/>
      <c r="E3283" s="125"/>
      <c r="F3283" s="126"/>
      <c r="G3283" s="126"/>
      <c r="H3283" s="127"/>
      <c r="I3283" s="125"/>
    </row>
    <row r="3284">
      <c r="A3284" s="125"/>
      <c r="B3284" s="125"/>
      <c r="C3284" s="125"/>
      <c r="D3284" s="125"/>
      <c r="E3284" s="125"/>
      <c r="F3284" s="126"/>
      <c r="G3284" s="126"/>
      <c r="H3284" s="127"/>
      <c r="I3284" s="125"/>
    </row>
    <row r="3285">
      <c r="A3285" s="125"/>
      <c r="B3285" s="125"/>
      <c r="C3285" s="125"/>
      <c r="D3285" s="125"/>
      <c r="E3285" s="125"/>
      <c r="F3285" s="126"/>
      <c r="G3285" s="126"/>
      <c r="H3285" s="127"/>
      <c r="I3285" s="125"/>
    </row>
    <row r="3286">
      <c r="A3286" s="125"/>
      <c r="B3286" s="125"/>
      <c r="C3286" s="125"/>
      <c r="D3286" s="125"/>
      <c r="E3286" s="125"/>
      <c r="F3286" s="126"/>
      <c r="G3286" s="126"/>
      <c r="H3286" s="127"/>
      <c r="I3286" s="125"/>
    </row>
    <row r="3287">
      <c r="A3287" s="125"/>
      <c r="B3287" s="125"/>
      <c r="C3287" s="125"/>
      <c r="D3287" s="125"/>
      <c r="E3287" s="125"/>
      <c r="F3287" s="126"/>
      <c r="G3287" s="126"/>
      <c r="H3287" s="127"/>
      <c r="I3287" s="125"/>
    </row>
    <row r="3288">
      <c r="A3288" s="125"/>
      <c r="B3288" s="125"/>
      <c r="C3288" s="125"/>
      <c r="D3288" s="125"/>
      <c r="E3288" s="125"/>
      <c r="F3288" s="126"/>
      <c r="G3288" s="126"/>
      <c r="H3288" s="127"/>
      <c r="I3288" s="125"/>
    </row>
    <row r="3289">
      <c r="A3289" s="125"/>
      <c r="B3289" s="125"/>
      <c r="C3289" s="125"/>
      <c r="D3289" s="125"/>
      <c r="E3289" s="125"/>
      <c r="F3289" s="126"/>
      <c r="G3289" s="126"/>
      <c r="H3289" s="127"/>
      <c r="I3289" s="125"/>
    </row>
    <row r="3290">
      <c r="A3290" s="125"/>
      <c r="B3290" s="125"/>
      <c r="C3290" s="125"/>
      <c r="D3290" s="125"/>
      <c r="E3290" s="125"/>
      <c r="F3290" s="126"/>
      <c r="G3290" s="126"/>
      <c r="H3290" s="127"/>
      <c r="I3290" s="125"/>
    </row>
    <row r="3291">
      <c r="A3291" s="125"/>
      <c r="B3291" s="125"/>
      <c r="C3291" s="125"/>
      <c r="D3291" s="125"/>
      <c r="E3291" s="125"/>
      <c r="F3291" s="126"/>
      <c r="G3291" s="126"/>
      <c r="H3291" s="127"/>
      <c r="I3291" s="125"/>
    </row>
    <row r="3292">
      <c r="A3292" s="125"/>
      <c r="B3292" s="125"/>
      <c r="C3292" s="125"/>
      <c r="D3292" s="125"/>
      <c r="E3292" s="125"/>
      <c r="F3292" s="126"/>
      <c r="G3292" s="126"/>
      <c r="H3292" s="127"/>
      <c r="I3292" s="125"/>
    </row>
    <row r="3293">
      <c r="A3293" s="125"/>
      <c r="B3293" s="125"/>
      <c r="C3293" s="125"/>
      <c r="D3293" s="125"/>
      <c r="E3293" s="125"/>
      <c r="F3293" s="126"/>
      <c r="G3293" s="126"/>
      <c r="H3293" s="127"/>
      <c r="I3293" s="125"/>
    </row>
    <row r="3294">
      <c r="A3294" s="125"/>
      <c r="B3294" s="125"/>
      <c r="C3294" s="125"/>
      <c r="D3294" s="125"/>
      <c r="E3294" s="125"/>
      <c r="F3294" s="126"/>
      <c r="G3294" s="126"/>
      <c r="H3294" s="127"/>
      <c r="I3294" s="125"/>
    </row>
    <row r="3295">
      <c r="A3295" s="125"/>
      <c r="B3295" s="125"/>
      <c r="C3295" s="125"/>
      <c r="D3295" s="125"/>
      <c r="E3295" s="125"/>
      <c r="F3295" s="126"/>
      <c r="G3295" s="126"/>
      <c r="H3295" s="127"/>
      <c r="I3295" s="125"/>
    </row>
    <row r="3296">
      <c r="A3296" s="125"/>
      <c r="B3296" s="125"/>
      <c r="C3296" s="125"/>
      <c r="D3296" s="125"/>
      <c r="E3296" s="125"/>
      <c r="F3296" s="126"/>
      <c r="G3296" s="126"/>
      <c r="H3296" s="127"/>
      <c r="I3296" s="125"/>
    </row>
    <row r="3297">
      <c r="A3297" s="125"/>
      <c r="B3297" s="125"/>
      <c r="C3297" s="125"/>
      <c r="D3297" s="125"/>
      <c r="E3297" s="125"/>
      <c r="F3297" s="126"/>
      <c r="G3297" s="126"/>
      <c r="H3297" s="127"/>
      <c r="I3297" s="125"/>
    </row>
    <row r="3298">
      <c r="A3298" s="125"/>
      <c r="B3298" s="125"/>
      <c r="C3298" s="125"/>
      <c r="D3298" s="125"/>
      <c r="E3298" s="125"/>
      <c r="F3298" s="126"/>
      <c r="G3298" s="126"/>
      <c r="H3298" s="126"/>
      <c r="I3298" s="125"/>
    </row>
    <row r="3299">
      <c r="A3299" s="125"/>
      <c r="B3299" s="125"/>
      <c r="C3299" s="125"/>
      <c r="D3299" s="125"/>
      <c r="E3299" s="125"/>
      <c r="F3299" s="126"/>
      <c r="G3299" s="126"/>
      <c r="H3299" s="127"/>
      <c r="I3299" s="125"/>
    </row>
    <row r="3300">
      <c r="A3300" s="125"/>
      <c r="B3300" s="125"/>
      <c r="C3300" s="125"/>
      <c r="D3300" s="125"/>
      <c r="E3300" s="125"/>
      <c r="F3300" s="126"/>
      <c r="G3300" s="126"/>
      <c r="H3300" s="127"/>
      <c r="I3300" s="125"/>
    </row>
    <row r="3301">
      <c r="A3301" s="125"/>
      <c r="B3301" s="125"/>
      <c r="C3301" s="125"/>
      <c r="D3301" s="125"/>
      <c r="E3301" s="125"/>
      <c r="F3301" s="126"/>
      <c r="G3301" s="126"/>
      <c r="H3301" s="126"/>
      <c r="I3301" s="125"/>
    </row>
    <row r="3302">
      <c r="A3302" s="125"/>
      <c r="B3302" s="125"/>
      <c r="C3302" s="125"/>
      <c r="D3302" s="125"/>
      <c r="E3302" s="125"/>
      <c r="F3302" s="126"/>
      <c r="G3302" s="126"/>
      <c r="H3302" s="127"/>
      <c r="I3302" s="125"/>
    </row>
    <row r="3303">
      <c r="A3303" s="125"/>
      <c r="B3303" s="125"/>
      <c r="C3303" s="125"/>
      <c r="D3303" s="125"/>
      <c r="E3303" s="125"/>
      <c r="F3303" s="126"/>
      <c r="G3303" s="126"/>
      <c r="H3303" s="127"/>
      <c r="I3303" s="125"/>
    </row>
    <row r="3304">
      <c r="A3304" s="125"/>
      <c r="B3304" s="125"/>
      <c r="C3304" s="125"/>
      <c r="D3304" s="125"/>
      <c r="E3304" s="125"/>
      <c r="F3304" s="126"/>
      <c r="G3304" s="126"/>
      <c r="H3304" s="127"/>
      <c r="I3304" s="125"/>
    </row>
    <row r="3305">
      <c r="A3305" s="125"/>
      <c r="B3305" s="125"/>
      <c r="C3305" s="125"/>
      <c r="D3305" s="125"/>
      <c r="E3305" s="125"/>
      <c r="F3305" s="126"/>
      <c r="G3305" s="126"/>
      <c r="H3305" s="127"/>
      <c r="I3305" s="125"/>
    </row>
    <row r="3306">
      <c r="A3306" s="125"/>
      <c r="B3306" s="125"/>
      <c r="C3306" s="125"/>
      <c r="D3306" s="125"/>
      <c r="E3306" s="125"/>
      <c r="F3306" s="126"/>
      <c r="G3306" s="126"/>
      <c r="H3306" s="127"/>
      <c r="I3306" s="125"/>
    </row>
    <row r="3307">
      <c r="A3307" s="125"/>
      <c r="B3307" s="125"/>
      <c r="C3307" s="125"/>
      <c r="D3307" s="125"/>
      <c r="E3307" s="125"/>
      <c r="F3307" s="126"/>
      <c r="G3307" s="126"/>
      <c r="H3307" s="127"/>
      <c r="I3307" s="125"/>
    </row>
    <row r="3308">
      <c r="A3308" s="125"/>
      <c r="B3308" s="125"/>
      <c r="C3308" s="125"/>
      <c r="D3308" s="125"/>
      <c r="E3308" s="125"/>
      <c r="F3308" s="126"/>
      <c r="G3308" s="126"/>
      <c r="H3308" s="127"/>
      <c r="I3308" s="125"/>
    </row>
    <row r="3309">
      <c r="A3309" s="125"/>
      <c r="B3309" s="125"/>
      <c r="C3309" s="125"/>
      <c r="D3309" s="125"/>
      <c r="E3309" s="125"/>
      <c r="F3309" s="126"/>
      <c r="G3309" s="126"/>
      <c r="H3309" s="127"/>
      <c r="I3309" s="125"/>
    </row>
    <row r="3310">
      <c r="A3310" s="125"/>
      <c r="B3310" s="125"/>
      <c r="C3310" s="125"/>
      <c r="D3310" s="125"/>
      <c r="E3310" s="125"/>
      <c r="F3310" s="126"/>
      <c r="G3310" s="126"/>
      <c r="H3310" s="127"/>
      <c r="I3310" s="125"/>
    </row>
    <row r="3311">
      <c r="A3311" s="125"/>
      <c r="B3311" s="125"/>
      <c r="C3311" s="125"/>
      <c r="D3311" s="125"/>
      <c r="E3311" s="125"/>
      <c r="F3311" s="126"/>
      <c r="G3311" s="126"/>
      <c r="H3311" s="127"/>
      <c r="I3311" s="125"/>
    </row>
    <row r="3312">
      <c r="A3312" s="125"/>
      <c r="B3312" s="125"/>
      <c r="C3312" s="125"/>
      <c r="D3312" s="125"/>
      <c r="E3312" s="125"/>
      <c r="F3312" s="126"/>
      <c r="G3312" s="126"/>
      <c r="H3312" s="126"/>
      <c r="I3312" s="125"/>
    </row>
    <row r="3313">
      <c r="A3313" s="125"/>
      <c r="B3313" s="125"/>
      <c r="C3313" s="125"/>
      <c r="D3313" s="125"/>
      <c r="E3313" s="125"/>
      <c r="F3313" s="126"/>
      <c r="G3313" s="126"/>
      <c r="H3313" s="127"/>
      <c r="I3313" s="125"/>
    </row>
    <row r="3314">
      <c r="A3314" s="125"/>
      <c r="B3314" s="125"/>
      <c r="C3314" s="125"/>
      <c r="D3314" s="125"/>
      <c r="E3314" s="125"/>
      <c r="F3314" s="126"/>
      <c r="G3314" s="126"/>
      <c r="H3314" s="127"/>
      <c r="I3314" s="125"/>
    </row>
    <row r="3315">
      <c r="A3315" s="125"/>
      <c r="B3315" s="125"/>
      <c r="C3315" s="125"/>
      <c r="D3315" s="125"/>
      <c r="E3315" s="125"/>
      <c r="F3315" s="126"/>
      <c r="G3315" s="126"/>
      <c r="H3315" s="127"/>
      <c r="I3315" s="125"/>
    </row>
    <row r="3316">
      <c r="A3316" s="125"/>
      <c r="B3316" s="125"/>
      <c r="C3316" s="125"/>
      <c r="D3316" s="125"/>
      <c r="E3316" s="125"/>
      <c r="F3316" s="126"/>
      <c r="G3316" s="126"/>
      <c r="H3316" s="127"/>
      <c r="I3316" s="125"/>
    </row>
    <row r="3317">
      <c r="A3317" s="125"/>
      <c r="B3317" s="125"/>
      <c r="C3317" s="125"/>
      <c r="D3317" s="125"/>
      <c r="E3317" s="125"/>
      <c r="F3317" s="126"/>
      <c r="G3317" s="126"/>
      <c r="H3317" s="126"/>
      <c r="I3317" s="125"/>
    </row>
    <row r="3318">
      <c r="A3318" s="125"/>
      <c r="B3318" s="125"/>
      <c r="C3318" s="125"/>
      <c r="D3318" s="125"/>
      <c r="E3318" s="125"/>
      <c r="F3318" s="126"/>
      <c r="G3318" s="126"/>
      <c r="H3318" s="127"/>
      <c r="I3318" s="125"/>
    </row>
    <row r="3319">
      <c r="A3319" s="125"/>
      <c r="B3319" s="125"/>
      <c r="C3319" s="125"/>
      <c r="D3319" s="125"/>
      <c r="E3319" s="125"/>
      <c r="F3319" s="126"/>
      <c r="G3319" s="126"/>
      <c r="H3319" s="127"/>
      <c r="I3319" s="125"/>
    </row>
    <row r="3320">
      <c r="A3320" s="125"/>
      <c r="B3320" s="125"/>
      <c r="C3320" s="125"/>
      <c r="D3320" s="125"/>
      <c r="E3320" s="125"/>
      <c r="F3320" s="126"/>
      <c r="G3320" s="126"/>
      <c r="H3320" s="127"/>
      <c r="I3320" s="125"/>
    </row>
    <row r="3321">
      <c r="A3321" s="125"/>
      <c r="B3321" s="125"/>
      <c r="C3321" s="125"/>
      <c r="D3321" s="125"/>
      <c r="E3321" s="125"/>
      <c r="F3321" s="126"/>
      <c r="G3321" s="126"/>
      <c r="H3321" s="126"/>
      <c r="I3321" s="125"/>
    </row>
    <row r="3322">
      <c r="A3322" s="125"/>
      <c r="B3322" s="125"/>
      <c r="C3322" s="125"/>
      <c r="D3322" s="125"/>
      <c r="E3322" s="125"/>
      <c r="F3322" s="126"/>
      <c r="G3322" s="126"/>
      <c r="H3322" s="127"/>
      <c r="I3322" s="125"/>
    </row>
    <row r="3323">
      <c r="A3323" s="125"/>
      <c r="B3323" s="125"/>
      <c r="C3323" s="125"/>
      <c r="D3323" s="125"/>
      <c r="E3323" s="125"/>
      <c r="F3323" s="126"/>
      <c r="G3323" s="126"/>
      <c r="H3323" s="127"/>
      <c r="I3323" s="125"/>
    </row>
    <row r="3324">
      <c r="A3324" s="125"/>
      <c r="B3324" s="125"/>
      <c r="C3324" s="125"/>
      <c r="D3324" s="125"/>
      <c r="E3324" s="125"/>
      <c r="F3324" s="126"/>
      <c r="G3324" s="126"/>
      <c r="H3324" s="126"/>
      <c r="I3324" s="125"/>
    </row>
    <row r="3325">
      <c r="A3325" s="125"/>
      <c r="B3325" s="125"/>
      <c r="C3325" s="125"/>
      <c r="D3325" s="125"/>
      <c r="E3325" s="125"/>
      <c r="F3325" s="126"/>
      <c r="G3325" s="126"/>
      <c r="H3325" s="127"/>
      <c r="I3325" s="125"/>
    </row>
    <row r="3326">
      <c r="A3326" s="125"/>
      <c r="B3326" s="125"/>
      <c r="C3326" s="125"/>
      <c r="D3326" s="125"/>
      <c r="E3326" s="125"/>
      <c r="F3326" s="126"/>
      <c r="G3326" s="126"/>
      <c r="H3326" s="127"/>
      <c r="I3326" s="125"/>
    </row>
    <row r="3327">
      <c r="A3327" s="125"/>
      <c r="B3327" s="125"/>
      <c r="C3327" s="125"/>
      <c r="D3327" s="125"/>
      <c r="E3327" s="125"/>
      <c r="F3327" s="126"/>
      <c r="G3327" s="126"/>
      <c r="H3327" s="127"/>
      <c r="I3327" s="125"/>
    </row>
    <row r="3328">
      <c r="A3328" s="125"/>
      <c r="B3328" s="125"/>
      <c r="C3328" s="125"/>
      <c r="D3328" s="125"/>
      <c r="E3328" s="125"/>
      <c r="F3328" s="126"/>
      <c r="G3328" s="126"/>
      <c r="H3328" s="127"/>
      <c r="I3328" s="125"/>
    </row>
    <row r="3329">
      <c r="A3329" s="125"/>
      <c r="B3329" s="125"/>
      <c r="C3329" s="125"/>
      <c r="D3329" s="125"/>
      <c r="E3329" s="125"/>
      <c r="F3329" s="126"/>
      <c r="G3329" s="126"/>
      <c r="H3329" s="127"/>
      <c r="I3329" s="125"/>
    </row>
    <row r="3330">
      <c r="A3330" s="125"/>
      <c r="B3330" s="125"/>
      <c r="C3330" s="125"/>
      <c r="D3330" s="125"/>
      <c r="E3330" s="125"/>
      <c r="F3330" s="126"/>
      <c r="G3330" s="126"/>
      <c r="H3330" s="126"/>
      <c r="I3330" s="125"/>
    </row>
    <row r="3331">
      <c r="A3331" s="125"/>
      <c r="B3331" s="125"/>
      <c r="C3331" s="125"/>
      <c r="D3331" s="125"/>
      <c r="E3331" s="125"/>
      <c r="F3331" s="126"/>
      <c r="G3331" s="126"/>
      <c r="H3331" s="127"/>
      <c r="I3331" s="125"/>
    </row>
    <row r="3332">
      <c r="A3332" s="125"/>
      <c r="B3332" s="125"/>
      <c r="C3332" s="125"/>
      <c r="D3332" s="125"/>
      <c r="E3332" s="125"/>
      <c r="F3332" s="126"/>
      <c r="G3332" s="126"/>
      <c r="H3332" s="126"/>
      <c r="I3332" s="125"/>
    </row>
    <row r="3333">
      <c r="A3333" s="125"/>
      <c r="B3333" s="125"/>
      <c r="C3333" s="125"/>
      <c r="D3333" s="125"/>
      <c r="E3333" s="125"/>
      <c r="F3333" s="126"/>
      <c r="G3333" s="126"/>
      <c r="H3333" s="127"/>
      <c r="I3333" s="125"/>
    </row>
    <row r="3334">
      <c r="A3334" s="125"/>
      <c r="B3334" s="125"/>
      <c r="C3334" s="125"/>
      <c r="D3334" s="125"/>
      <c r="E3334" s="125"/>
      <c r="F3334" s="126"/>
      <c r="G3334" s="126"/>
      <c r="H3334" s="126"/>
      <c r="I3334" s="125"/>
    </row>
    <row r="3335">
      <c r="A3335" s="125"/>
      <c r="B3335" s="125"/>
      <c r="C3335" s="125"/>
      <c r="D3335" s="125"/>
      <c r="E3335" s="125"/>
      <c r="F3335" s="126"/>
      <c r="G3335" s="126"/>
      <c r="H3335" s="127"/>
      <c r="I3335" s="125"/>
    </row>
    <row r="3336">
      <c r="A3336" s="125"/>
      <c r="B3336" s="125"/>
      <c r="C3336" s="125"/>
      <c r="D3336" s="125"/>
      <c r="E3336" s="125"/>
      <c r="F3336" s="126"/>
      <c r="G3336" s="126"/>
      <c r="H3336" s="127"/>
      <c r="I3336" s="125"/>
    </row>
    <row r="3337">
      <c r="A3337" s="125"/>
      <c r="B3337" s="125"/>
      <c r="C3337" s="125"/>
      <c r="D3337" s="125"/>
      <c r="E3337" s="125"/>
      <c r="F3337" s="126"/>
      <c r="G3337" s="126"/>
      <c r="H3337" s="127"/>
      <c r="I3337" s="125"/>
    </row>
    <row r="3338">
      <c r="A3338" s="125"/>
      <c r="B3338" s="125"/>
      <c r="C3338" s="125"/>
      <c r="D3338" s="125"/>
      <c r="E3338" s="125"/>
      <c r="F3338" s="126"/>
      <c r="G3338" s="126"/>
      <c r="H3338" s="126"/>
      <c r="I3338" s="125"/>
    </row>
    <row r="3339">
      <c r="A3339" s="125"/>
      <c r="B3339" s="125"/>
      <c r="C3339" s="125"/>
      <c r="D3339" s="125"/>
      <c r="E3339" s="125"/>
      <c r="F3339" s="126"/>
      <c r="G3339" s="126"/>
      <c r="H3339" s="126"/>
      <c r="I3339" s="125"/>
    </row>
    <row r="3340">
      <c r="A3340" s="125"/>
      <c r="B3340" s="125"/>
      <c r="C3340" s="125"/>
      <c r="D3340" s="125"/>
      <c r="E3340" s="125"/>
      <c r="F3340" s="126"/>
      <c r="G3340" s="126"/>
      <c r="H3340" s="127"/>
      <c r="I3340" s="125"/>
    </row>
    <row r="3341">
      <c r="A3341" s="125"/>
      <c r="B3341" s="125"/>
      <c r="C3341" s="125"/>
      <c r="D3341" s="125"/>
      <c r="E3341" s="125"/>
      <c r="F3341" s="126"/>
      <c r="G3341" s="126"/>
      <c r="H3341" s="127"/>
      <c r="I3341" s="125"/>
    </row>
    <row r="3342">
      <c r="A3342" s="125"/>
      <c r="B3342" s="125"/>
      <c r="C3342" s="125"/>
      <c r="D3342" s="125"/>
      <c r="E3342" s="125"/>
      <c r="F3342" s="126"/>
      <c r="G3342" s="126"/>
      <c r="H3342" s="127"/>
      <c r="I3342" s="125"/>
    </row>
    <row r="3343">
      <c r="A3343" s="125"/>
      <c r="B3343" s="125"/>
      <c r="C3343" s="125"/>
      <c r="D3343" s="125"/>
      <c r="E3343" s="125"/>
      <c r="F3343" s="126"/>
      <c r="G3343" s="126"/>
      <c r="H3343" s="127"/>
      <c r="I3343" s="125"/>
    </row>
    <row r="3344">
      <c r="A3344" s="125"/>
      <c r="B3344" s="125"/>
      <c r="C3344" s="125"/>
      <c r="D3344" s="125"/>
      <c r="E3344" s="125"/>
      <c r="F3344" s="126"/>
      <c r="G3344" s="126"/>
      <c r="H3344" s="127"/>
      <c r="I3344" s="125"/>
    </row>
    <row r="3345">
      <c r="A3345" s="125"/>
      <c r="B3345" s="125"/>
      <c r="C3345" s="125"/>
      <c r="D3345" s="125"/>
      <c r="E3345" s="125"/>
      <c r="F3345" s="126"/>
      <c r="G3345" s="126"/>
      <c r="H3345" s="127"/>
      <c r="I3345" s="125"/>
    </row>
    <row r="3346">
      <c r="A3346" s="125"/>
      <c r="B3346" s="125"/>
      <c r="C3346" s="125"/>
      <c r="D3346" s="125"/>
      <c r="E3346" s="125"/>
      <c r="F3346" s="126"/>
      <c r="G3346" s="126"/>
      <c r="H3346" s="127"/>
      <c r="I3346" s="125"/>
    </row>
    <row r="3347">
      <c r="A3347" s="125"/>
      <c r="B3347" s="125"/>
      <c r="C3347" s="125"/>
      <c r="D3347" s="125"/>
      <c r="E3347" s="125"/>
      <c r="F3347" s="126"/>
      <c r="G3347" s="126"/>
      <c r="H3347" s="126"/>
      <c r="I3347" s="125"/>
    </row>
    <row r="3348">
      <c r="A3348" s="125"/>
      <c r="B3348" s="125"/>
      <c r="C3348" s="125"/>
      <c r="D3348" s="125"/>
      <c r="E3348" s="125"/>
      <c r="F3348" s="126"/>
      <c r="G3348" s="126"/>
      <c r="H3348" s="127"/>
      <c r="I3348" s="125"/>
    </row>
    <row r="3349">
      <c r="A3349" s="125"/>
      <c r="B3349" s="125"/>
      <c r="C3349" s="125"/>
      <c r="D3349" s="125"/>
      <c r="E3349" s="125"/>
      <c r="F3349" s="126"/>
      <c r="G3349" s="126"/>
      <c r="H3349" s="127"/>
      <c r="I3349" s="125"/>
    </row>
    <row r="3350">
      <c r="A3350" s="125"/>
      <c r="B3350" s="125"/>
      <c r="C3350" s="125"/>
      <c r="D3350" s="125"/>
      <c r="E3350" s="125"/>
      <c r="F3350" s="126"/>
      <c r="G3350" s="126"/>
      <c r="H3350" s="127"/>
      <c r="I3350" s="125"/>
    </row>
    <row r="3351">
      <c r="A3351" s="125"/>
      <c r="B3351" s="125"/>
      <c r="C3351" s="125"/>
      <c r="D3351" s="125"/>
      <c r="E3351" s="125"/>
      <c r="F3351" s="126"/>
      <c r="G3351" s="126"/>
      <c r="H3351" s="127"/>
      <c r="I3351" s="125"/>
    </row>
    <row r="3352">
      <c r="A3352" s="125"/>
      <c r="B3352" s="125"/>
      <c r="C3352" s="125"/>
      <c r="D3352" s="125"/>
      <c r="E3352" s="125"/>
      <c r="F3352" s="126"/>
      <c r="G3352" s="126"/>
      <c r="H3352" s="127"/>
      <c r="I3352" s="125"/>
    </row>
    <row r="3353">
      <c r="A3353" s="125"/>
      <c r="B3353" s="125"/>
      <c r="C3353" s="125"/>
      <c r="D3353" s="125"/>
      <c r="E3353" s="125"/>
      <c r="F3353" s="126"/>
      <c r="G3353" s="126"/>
      <c r="H3353" s="126"/>
      <c r="I3353" s="125"/>
    </row>
    <row r="3354">
      <c r="A3354" s="125"/>
      <c r="B3354" s="125"/>
      <c r="C3354" s="125"/>
      <c r="D3354" s="125"/>
      <c r="E3354" s="125"/>
      <c r="F3354" s="126"/>
      <c r="G3354" s="126"/>
      <c r="H3354" s="127"/>
      <c r="I3354" s="125"/>
    </row>
    <row r="3355">
      <c r="A3355" s="125"/>
      <c r="B3355" s="125"/>
      <c r="C3355" s="125"/>
      <c r="D3355" s="125"/>
      <c r="E3355" s="125"/>
      <c r="F3355" s="126"/>
      <c r="G3355" s="126"/>
      <c r="H3355" s="126"/>
      <c r="I3355" s="125"/>
    </row>
    <row r="3356">
      <c r="A3356" s="125"/>
      <c r="B3356" s="125"/>
      <c r="C3356" s="125"/>
      <c r="D3356" s="125"/>
      <c r="E3356" s="125"/>
      <c r="F3356" s="126"/>
      <c r="G3356" s="126"/>
      <c r="H3356" s="126"/>
      <c r="I3356" s="125"/>
    </row>
    <row r="3357">
      <c r="A3357" s="125"/>
      <c r="B3357" s="125"/>
      <c r="C3357" s="125"/>
      <c r="D3357" s="125"/>
      <c r="E3357" s="125"/>
      <c r="F3357" s="126"/>
      <c r="G3357" s="126"/>
      <c r="H3357" s="127"/>
      <c r="I3357" s="125"/>
    </row>
    <row r="3358">
      <c r="A3358" s="125"/>
      <c r="B3358" s="125"/>
      <c r="C3358" s="125"/>
      <c r="D3358" s="125"/>
      <c r="E3358" s="125"/>
      <c r="F3358" s="126"/>
      <c r="G3358" s="126"/>
      <c r="H3358" s="127"/>
      <c r="I3358" s="125"/>
    </row>
    <row r="3359">
      <c r="A3359" s="125"/>
      <c r="B3359" s="125"/>
      <c r="C3359" s="125"/>
      <c r="D3359" s="125"/>
      <c r="E3359" s="125"/>
      <c r="F3359" s="126"/>
      <c r="G3359" s="126"/>
      <c r="H3359" s="127"/>
      <c r="I3359" s="125"/>
    </row>
    <row r="3360">
      <c r="A3360" s="125"/>
      <c r="B3360" s="125"/>
      <c r="C3360" s="125"/>
      <c r="D3360" s="125"/>
      <c r="E3360" s="125"/>
      <c r="F3360" s="126"/>
      <c r="G3360" s="126"/>
      <c r="H3360" s="127"/>
      <c r="I3360" s="125"/>
    </row>
    <row r="3361">
      <c r="A3361" s="125"/>
      <c r="B3361" s="125"/>
      <c r="C3361" s="125"/>
      <c r="D3361" s="125"/>
      <c r="E3361" s="125"/>
      <c r="F3361" s="126"/>
      <c r="G3361" s="126"/>
      <c r="H3361" s="127"/>
      <c r="I3361" s="125"/>
    </row>
    <row r="3362">
      <c r="A3362" s="125"/>
      <c r="B3362" s="125"/>
      <c r="C3362" s="125"/>
      <c r="D3362" s="125"/>
      <c r="E3362" s="125"/>
      <c r="F3362" s="126"/>
      <c r="G3362" s="126"/>
      <c r="H3362" s="126"/>
      <c r="I3362" s="125"/>
    </row>
    <row r="3363">
      <c r="A3363" s="125"/>
      <c r="B3363" s="125"/>
      <c r="C3363" s="125"/>
      <c r="D3363" s="125"/>
      <c r="E3363" s="125"/>
      <c r="F3363" s="126"/>
      <c r="G3363" s="126"/>
      <c r="H3363" s="127"/>
      <c r="I3363" s="125"/>
    </row>
    <row r="3364">
      <c r="A3364" s="125"/>
      <c r="B3364" s="125"/>
      <c r="C3364" s="125"/>
      <c r="D3364" s="125"/>
      <c r="E3364" s="125"/>
      <c r="F3364" s="126"/>
      <c r="G3364" s="126"/>
      <c r="H3364" s="126"/>
      <c r="I3364" s="125"/>
    </row>
  </sheetData>
  <autoFilter ref="$A$1:$I$3364">
    <sortState ref="A1:I3364">
      <sortCondition ref="D1:D3364"/>
      <sortCondition ref="A1:A3364"/>
    </sortState>
  </autoFilter>
  <conditionalFormatting sqref="F1:F3364">
    <cfRule type="expression" dxfId="49" priority="1">
      <formula>COUNTIF(F:F,F1)&gt;1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63"/>
    <col customWidth="1" min="2" max="2" width="27.0"/>
    <col customWidth="1" min="3" max="3" width="27.75"/>
    <col customWidth="1" min="4" max="4" width="24.88"/>
    <col customWidth="1" min="5" max="5" width="21.13"/>
    <col customWidth="1" min="6" max="6" width="24.88"/>
    <col customWidth="1" min="7" max="7" width="22.0"/>
    <col customWidth="1" min="8" max="8" width="25.88"/>
    <col customWidth="1" min="9" max="9" width="26.88"/>
    <col customWidth="1" min="10" max="10" width="28.13"/>
    <col customWidth="1" min="11" max="11" width="21.13"/>
    <col customWidth="1" min="12" max="12" width="23.88"/>
    <col customWidth="1" min="13" max="15" width="24.0"/>
  </cols>
  <sheetData>
    <row r="1" ht="27.75" customHeight="1">
      <c r="A1" s="128">
        <f>Settings!C5</f>
        <v>14</v>
      </c>
      <c r="B1" s="129" t="str">
        <f>'Teams &amp; Draft Order'!C6</f>
        <v>Sleeper Cell </v>
      </c>
      <c r="C1" s="129" t="str">
        <f>'Teams &amp; Draft Order'!C7</f>
        <v>Phantasm</v>
      </c>
      <c r="D1" s="130" t="str">
        <f>'Teams &amp; Draft Order'!C8</f>
        <v>Icelanders</v>
      </c>
      <c r="E1" s="130" t="str">
        <f>'Teams &amp; Draft Order'!C9</f>
        <v>El Nino</v>
      </c>
      <c r="F1" s="130" t="str">
        <f>'Teams &amp; Draft Order'!C10</f>
        <v>Buttheads</v>
      </c>
      <c r="G1" s="130" t="str">
        <f>'Teams &amp; Draft Order'!C11</f>
        <v>Big Boys Big Work</v>
      </c>
      <c r="H1" s="130" t="str">
        <f>'Teams &amp; Draft Order'!C12</f>
        <v>Turbo-Ginz</v>
      </c>
      <c r="I1" s="130" t="str">
        <f>'Teams &amp; Draft Order'!C13</f>
        <v>Luddite</v>
      </c>
      <c r="J1" s="130" t="str">
        <f>'Teams &amp; Draft Order'!C14</f>
        <v>Achaians</v>
      </c>
      <c r="K1" s="130" t="str">
        <f>'Teams &amp; Draft Order'!C15</f>
        <v>Daddy's Dogs</v>
      </c>
      <c r="L1" s="130" t="str">
        <f>'Teams &amp; Draft Order'!C16</f>
        <v>TDs and Beers</v>
      </c>
      <c r="M1" s="130" t="str">
        <f>'Teams &amp; Draft Order'!C17</f>
        <v>DD Riders</v>
      </c>
      <c r="N1" s="130" t="str">
        <f>'Teams &amp; Draft Order'!C18</f>
        <v>Nasty</v>
      </c>
      <c r="O1" s="130" t="str">
        <f>'Teams &amp; Draft Order'!C19</f>
        <v>Red Hammer</v>
      </c>
    </row>
    <row r="2" ht="27.75" customHeight="1">
      <c r="A2" s="131" t="s">
        <v>111</v>
      </c>
      <c r="B2" s="132" t="str">
        <f>IFERROR(__xludf.DUMMYFUNCTION("QUERY(HELP_HIDDEN!D4:D27, ""LIMIT 26"")"),"Aaron Rodgers – PIT 237 QB")</f>
        <v>Aaron Rodgers – PIT 237 QB</v>
      </c>
      <c r="C2" s="132" t="str">
        <f>IFERROR(__xludf.DUMMYFUNCTION("QUERY(HELP_HIDDEN!I4:I27, ""LIMIT 26"")"),"  ")</f>
        <v>  </v>
      </c>
      <c r="D2" s="132" t="str">
        <f>IFERROR(__xludf.DUMMYFUNCTION("QUERY(HELP_HIDDEN!N4:N27, ""LIMIT 26"")"),"  ")</f>
        <v>  </v>
      </c>
      <c r="E2" s="132" t="str">
        <f>IFERROR(__xludf.DUMMYFUNCTION("QUERY(HELP_HIDDEN!S4:S27, ""LIMIT 26"")"),"  ")</f>
        <v>  </v>
      </c>
      <c r="F2" s="132" t="str">
        <f>IFERROR(__xludf.DUMMYFUNCTION("QUERY(HELP_HIDDEN!X4:X27, ""LIMIT 26"")"),"  ")</f>
        <v>  </v>
      </c>
      <c r="G2" s="133" t="str">
        <f>IFERROR(__xludf.DUMMYFUNCTION("QUERY(HELP_HIDDEN!AC4:AC27, ""LIMIT 26"")"),"  ")</f>
        <v>  </v>
      </c>
      <c r="H2" s="132" t="str">
        <f>IFERROR(__xludf.DUMMYFUNCTION("QUERY(HELP_HIDDEN!AH4:AH27, ""LIMIT 26"")"),"  ")</f>
        <v>  </v>
      </c>
      <c r="I2" s="132" t="str">
        <f>IFERROR(__xludf.DUMMYFUNCTION("QUERY(HELP_HIDDEN!AM4:AM27, ""LIMIT 26"")"),"  ")</f>
        <v>  </v>
      </c>
      <c r="J2" s="132" t="str">
        <f>IFERROR(__xludf.DUMMYFUNCTION("QUERY(HELP_HIDDEN!AR4:AR27, ""LIMIT 26"")"),"  ")</f>
        <v>  </v>
      </c>
      <c r="K2" s="132" t="str">
        <f>IFERROR(__xludf.DUMMYFUNCTION("QUERY(HELP_HIDDEN!AW4:AW27, ""LIMIT 26"")"),"  ")</f>
        <v>  </v>
      </c>
      <c r="L2" s="132" t="str">
        <f>IFERROR(__xludf.DUMMYFUNCTION("QUERY(HELP_HIDDEN!BB4:BB27, ""LIMIT 26"")"),"  ")</f>
        <v>  </v>
      </c>
      <c r="M2" s="132" t="str">
        <f>IFERROR(__xludf.DUMMYFUNCTION("QUERY(HELP_HIDDEN!BG4:BG27, ""LIMIT 26"")"),"  ")</f>
        <v>  </v>
      </c>
      <c r="N2" s="132" t="str">
        <f>IFERROR(__xludf.DUMMYFUNCTION("QUERY(HELP_HIDDEN!BM4:BM27, ""LIMIT 26"")"),"  ")</f>
        <v>  </v>
      </c>
      <c r="O2" s="132" t="str">
        <f>IFERROR(__xludf.DUMMYFUNCTION("QUERY(HELP_HIDDEN!BR4:BR27, ""LIMIT 26"")"),"  ")</f>
        <v>  </v>
      </c>
    </row>
    <row r="3" ht="27.75" customHeight="1">
      <c r="A3" s="131" t="s">
        <v>111</v>
      </c>
      <c r="B3" s="132" t="str">
        <f>IFERROR(__xludf.DUMMYFUNCTION("""COMPUTED_VALUE"""),"  ")</f>
        <v>  </v>
      </c>
      <c r="C3" s="132" t="str">
        <f>IFERROR(__xludf.DUMMYFUNCTION("""COMPUTED_VALUE"""),"  ")</f>
        <v>  </v>
      </c>
      <c r="D3" s="132" t="str">
        <f>IFERROR(__xludf.DUMMYFUNCTION("""COMPUTED_VALUE"""),"  ")</f>
        <v>  </v>
      </c>
      <c r="E3" s="132" t="str">
        <f>IFERROR(__xludf.DUMMYFUNCTION("""COMPUTED_VALUE"""),"  ")</f>
        <v>  </v>
      </c>
      <c r="F3" s="132" t="str">
        <f>IFERROR(__xludf.DUMMYFUNCTION("""COMPUTED_VALUE"""),"  ")</f>
        <v>  </v>
      </c>
      <c r="G3" s="132" t="str">
        <f>IFERROR(__xludf.DUMMYFUNCTION("""COMPUTED_VALUE"""),"  ")</f>
        <v>  </v>
      </c>
      <c r="H3" s="132" t="str">
        <f>IFERROR(__xludf.DUMMYFUNCTION("""COMPUTED_VALUE"""),"  ")</f>
        <v>  </v>
      </c>
      <c r="I3" s="132" t="str">
        <f>IFERROR(__xludf.DUMMYFUNCTION("""COMPUTED_VALUE"""),"  ")</f>
        <v>  </v>
      </c>
      <c r="J3" s="132" t="str">
        <f>IFERROR(__xludf.DUMMYFUNCTION("""COMPUTED_VALUE"""),"  ")</f>
        <v>  </v>
      </c>
      <c r="K3" s="132" t="str">
        <f>IFERROR(__xludf.DUMMYFUNCTION("""COMPUTED_VALUE"""),"  ")</f>
        <v>  </v>
      </c>
      <c r="L3" s="132" t="str">
        <f>IFERROR(__xludf.DUMMYFUNCTION("""COMPUTED_VALUE"""),"  ")</f>
        <v>  </v>
      </c>
      <c r="M3" s="132" t="str">
        <f>IFERROR(__xludf.DUMMYFUNCTION("""COMPUTED_VALUE"""),"  ")</f>
        <v>  </v>
      </c>
      <c r="N3" s="132" t="str">
        <f>IFERROR(__xludf.DUMMYFUNCTION("""COMPUTED_VALUE"""),"  ")</f>
        <v>  </v>
      </c>
      <c r="O3" s="132" t="str">
        <f>IFERROR(__xludf.DUMMYFUNCTION("""COMPUTED_VALUE"""),"  ")</f>
        <v>  </v>
      </c>
    </row>
    <row r="4" ht="27.75" customHeight="1">
      <c r="A4" s="131" t="s">
        <v>84</v>
      </c>
      <c r="B4" s="132" t="str">
        <f>IFERROR(__xludf.DUMMYFUNCTION("""COMPUTED_VALUE"""),"  ")</f>
        <v>  </v>
      </c>
      <c r="C4" s="132" t="str">
        <f>IFERROR(__xludf.DUMMYFUNCTION("""COMPUTED_VALUE"""),"  ")</f>
        <v>  </v>
      </c>
      <c r="D4" s="132" t="str">
        <f>IFERROR(__xludf.DUMMYFUNCTION("""COMPUTED_VALUE"""),"  ")</f>
        <v>  </v>
      </c>
      <c r="E4" s="132" t="str">
        <f>IFERROR(__xludf.DUMMYFUNCTION("""COMPUTED_VALUE"""),"  ")</f>
        <v>  </v>
      </c>
      <c r="F4" s="132" t="str">
        <f>IFERROR(__xludf.DUMMYFUNCTION("""COMPUTED_VALUE"""),"  ")</f>
        <v>  </v>
      </c>
      <c r="G4" s="132" t="str">
        <f>IFERROR(__xludf.DUMMYFUNCTION("""COMPUTED_VALUE"""),"  ")</f>
        <v>  </v>
      </c>
      <c r="H4" s="132" t="str">
        <f>IFERROR(__xludf.DUMMYFUNCTION("""COMPUTED_VALUE"""),"  ")</f>
        <v>  </v>
      </c>
      <c r="I4" s="132" t="str">
        <f>IFERROR(__xludf.DUMMYFUNCTION("""COMPUTED_VALUE"""),"  ")</f>
        <v>  </v>
      </c>
      <c r="J4" s="132" t="str">
        <f>IFERROR(__xludf.DUMMYFUNCTION("""COMPUTED_VALUE"""),"  ")</f>
        <v>  </v>
      </c>
      <c r="K4" s="132" t="str">
        <f>IFERROR(__xludf.DUMMYFUNCTION("""COMPUTED_VALUE"""),"  ")</f>
        <v>  </v>
      </c>
      <c r="L4" s="132" t="str">
        <f>IFERROR(__xludf.DUMMYFUNCTION("""COMPUTED_VALUE"""),"  ")</f>
        <v>  </v>
      </c>
      <c r="M4" s="132" t="str">
        <f>IFERROR(__xludf.DUMMYFUNCTION("""COMPUTED_VALUE"""),"  ")</f>
        <v>  </v>
      </c>
      <c r="N4" s="132" t="str">
        <f>IFERROR(__xludf.DUMMYFUNCTION("""COMPUTED_VALUE"""),"  ")</f>
        <v>  </v>
      </c>
      <c r="O4" s="132" t="str">
        <f>IFERROR(__xludf.DUMMYFUNCTION("""COMPUTED_VALUE"""),"  ")</f>
        <v>  </v>
      </c>
    </row>
    <row r="5" ht="27.75" customHeight="1">
      <c r="A5" s="131" t="s">
        <v>86</v>
      </c>
      <c r="B5" s="132" t="str">
        <f>IFERROR(__xludf.DUMMYFUNCTION("""COMPUTED_VALUE"""),"  ")</f>
        <v>  </v>
      </c>
      <c r="C5" s="132" t="str">
        <f>IFERROR(__xludf.DUMMYFUNCTION("""COMPUTED_VALUE"""),"  ")</f>
        <v>  </v>
      </c>
      <c r="D5" s="132" t="str">
        <f>IFERROR(__xludf.DUMMYFUNCTION("""COMPUTED_VALUE"""),"  ")</f>
        <v>  </v>
      </c>
      <c r="E5" s="132" t="str">
        <f>IFERROR(__xludf.DUMMYFUNCTION("""COMPUTED_VALUE"""),"  ")</f>
        <v>  </v>
      </c>
      <c r="F5" s="132" t="str">
        <f>IFERROR(__xludf.DUMMYFUNCTION("""COMPUTED_VALUE"""),"  ")</f>
        <v>  </v>
      </c>
      <c r="G5" s="132" t="str">
        <f>IFERROR(__xludf.DUMMYFUNCTION("""COMPUTED_VALUE"""),"  ")</f>
        <v>  </v>
      </c>
      <c r="H5" s="132" t="str">
        <f>IFERROR(__xludf.DUMMYFUNCTION("""COMPUTED_VALUE"""),"  ")</f>
        <v>  </v>
      </c>
      <c r="I5" s="132" t="str">
        <f>IFERROR(__xludf.DUMMYFUNCTION("""COMPUTED_VALUE"""),"  ")</f>
        <v>  </v>
      </c>
      <c r="J5" s="132" t="str">
        <f>IFERROR(__xludf.DUMMYFUNCTION("""COMPUTED_VALUE"""),"  ")</f>
        <v>  </v>
      </c>
      <c r="K5" s="132" t="str">
        <f>IFERROR(__xludf.DUMMYFUNCTION("""COMPUTED_VALUE"""),"  ")</f>
        <v>  </v>
      </c>
      <c r="L5" s="132" t="str">
        <f>IFERROR(__xludf.DUMMYFUNCTION("""COMPUTED_VALUE"""),"  ")</f>
        <v>  </v>
      </c>
      <c r="M5" s="132" t="str">
        <f>IFERROR(__xludf.DUMMYFUNCTION("""COMPUTED_VALUE"""),"  ")</f>
        <v>  </v>
      </c>
      <c r="N5" s="132" t="str">
        <f>IFERROR(__xludf.DUMMYFUNCTION("""COMPUTED_VALUE"""),"  ")</f>
        <v>  </v>
      </c>
      <c r="O5" s="132" t="str">
        <f>IFERROR(__xludf.DUMMYFUNCTION("""COMPUTED_VALUE"""),"  ")</f>
        <v>  </v>
      </c>
    </row>
    <row r="6" ht="27.75" customHeight="1">
      <c r="A6" s="131" t="s">
        <v>87</v>
      </c>
      <c r="B6" s="134" t="str">
        <f>IFERROR(__xludf.DUMMYFUNCTION("""COMPUTED_VALUE"""),"  ")</f>
        <v>  </v>
      </c>
      <c r="C6" s="132" t="str">
        <f>IFERROR(__xludf.DUMMYFUNCTION("""COMPUTED_VALUE"""),"  ")</f>
        <v>  </v>
      </c>
      <c r="D6" s="132" t="str">
        <f>IFERROR(__xludf.DUMMYFUNCTION("""COMPUTED_VALUE"""),"  ")</f>
        <v>  </v>
      </c>
      <c r="E6" s="132" t="str">
        <f>IFERROR(__xludf.DUMMYFUNCTION("""COMPUTED_VALUE"""),"  ")</f>
        <v>  </v>
      </c>
      <c r="F6" s="132" t="str">
        <f>IFERROR(__xludf.DUMMYFUNCTION("""COMPUTED_VALUE"""),"  ")</f>
        <v>  </v>
      </c>
      <c r="G6" s="132" t="str">
        <f>IFERROR(__xludf.DUMMYFUNCTION("""COMPUTED_VALUE"""),"  ")</f>
        <v>  </v>
      </c>
      <c r="H6" s="132" t="str">
        <f>IFERROR(__xludf.DUMMYFUNCTION("""COMPUTED_VALUE"""),"  ")</f>
        <v>  </v>
      </c>
      <c r="I6" s="132" t="str">
        <f>IFERROR(__xludf.DUMMYFUNCTION("""COMPUTED_VALUE"""),"  ")</f>
        <v>  </v>
      </c>
      <c r="J6" s="132" t="str">
        <f>IFERROR(__xludf.DUMMYFUNCTION("""COMPUTED_VALUE"""),"  ")</f>
        <v>  </v>
      </c>
      <c r="K6" s="132" t="str">
        <f>IFERROR(__xludf.DUMMYFUNCTION("""COMPUTED_VALUE"""),"  ")</f>
        <v>  </v>
      </c>
      <c r="L6" s="132" t="str">
        <f>IFERROR(__xludf.DUMMYFUNCTION("""COMPUTED_VALUE"""),"  ")</f>
        <v>  </v>
      </c>
      <c r="M6" s="132" t="str">
        <f>IFERROR(__xludf.DUMMYFUNCTION("""COMPUTED_VALUE"""),"  ")</f>
        <v>  </v>
      </c>
      <c r="N6" s="132" t="str">
        <f>IFERROR(__xludf.DUMMYFUNCTION("""COMPUTED_VALUE"""),"  ")</f>
        <v>  </v>
      </c>
      <c r="O6" s="132" t="str">
        <f>IFERROR(__xludf.DUMMYFUNCTION("""COMPUTED_VALUE"""),"  ")</f>
        <v>  </v>
      </c>
    </row>
    <row r="7" ht="27.75" customHeight="1">
      <c r="A7" s="131" t="s">
        <v>88</v>
      </c>
      <c r="B7" s="132" t="str">
        <f>IFERROR(__xludf.DUMMYFUNCTION("""COMPUTED_VALUE"""),"  ")</f>
        <v>  </v>
      </c>
      <c r="C7" s="132" t="str">
        <f>IFERROR(__xludf.DUMMYFUNCTION("""COMPUTED_VALUE"""),"  ")</f>
        <v>  </v>
      </c>
      <c r="D7" s="132" t="str">
        <f>IFERROR(__xludf.DUMMYFUNCTION("""COMPUTED_VALUE"""),"  ")</f>
        <v>  </v>
      </c>
      <c r="E7" s="132" t="str">
        <f>IFERROR(__xludf.DUMMYFUNCTION("""COMPUTED_VALUE"""),"  ")</f>
        <v>  </v>
      </c>
      <c r="F7" s="132" t="str">
        <f>IFERROR(__xludf.DUMMYFUNCTION("""COMPUTED_VALUE"""),"  ")</f>
        <v>  </v>
      </c>
      <c r="G7" s="132" t="str">
        <f>IFERROR(__xludf.DUMMYFUNCTION("""COMPUTED_VALUE"""),"  ")</f>
        <v>  </v>
      </c>
      <c r="H7" s="132" t="str">
        <f>IFERROR(__xludf.DUMMYFUNCTION("""COMPUTED_VALUE"""),"  ")</f>
        <v>  </v>
      </c>
      <c r="I7" s="132" t="str">
        <f>IFERROR(__xludf.DUMMYFUNCTION("""COMPUTED_VALUE"""),"  ")</f>
        <v>  </v>
      </c>
      <c r="J7" s="132" t="str">
        <f>IFERROR(__xludf.DUMMYFUNCTION("""COMPUTED_VALUE"""),"  ")</f>
        <v>  </v>
      </c>
      <c r="K7" s="132" t="str">
        <f>IFERROR(__xludf.DUMMYFUNCTION("""COMPUTED_VALUE"""),"  ")</f>
        <v>  </v>
      </c>
      <c r="L7" s="132" t="str">
        <f>IFERROR(__xludf.DUMMYFUNCTION("""COMPUTED_VALUE"""),"  ")</f>
        <v>  </v>
      </c>
      <c r="M7" s="132" t="str">
        <f>IFERROR(__xludf.DUMMYFUNCTION("""COMPUTED_VALUE"""),"  ")</f>
        <v>  </v>
      </c>
      <c r="N7" s="132" t="str">
        <f>IFERROR(__xludf.DUMMYFUNCTION("""COMPUTED_VALUE"""),"  ")</f>
        <v>  </v>
      </c>
      <c r="O7" s="132" t="str">
        <f>IFERROR(__xludf.DUMMYFUNCTION("""COMPUTED_VALUE"""),"  ")</f>
        <v>  </v>
      </c>
    </row>
    <row r="8" ht="27.75" customHeight="1">
      <c r="A8" s="131" t="s">
        <v>89</v>
      </c>
      <c r="B8" s="132" t="str">
        <f>IFERROR(__xludf.DUMMYFUNCTION("""COMPUTED_VALUE"""),"  ")</f>
        <v>  </v>
      </c>
      <c r="C8" s="132" t="str">
        <f>IFERROR(__xludf.DUMMYFUNCTION("""COMPUTED_VALUE"""),"  ")</f>
        <v>  </v>
      </c>
      <c r="D8" s="132" t="str">
        <f>IFERROR(__xludf.DUMMYFUNCTION("""COMPUTED_VALUE"""),"  ")</f>
        <v>  </v>
      </c>
      <c r="E8" s="132" t="str">
        <f>IFERROR(__xludf.DUMMYFUNCTION("""COMPUTED_VALUE"""),"  ")</f>
        <v>  </v>
      </c>
      <c r="F8" s="132" t="str">
        <f>IFERROR(__xludf.DUMMYFUNCTION("""COMPUTED_VALUE"""),"  ")</f>
        <v>  </v>
      </c>
      <c r="G8" s="132" t="str">
        <f>IFERROR(__xludf.DUMMYFUNCTION("""COMPUTED_VALUE"""),"  ")</f>
        <v>  </v>
      </c>
      <c r="H8" s="132" t="str">
        <f>IFERROR(__xludf.DUMMYFUNCTION("""COMPUTED_VALUE"""),"  ")</f>
        <v>  </v>
      </c>
      <c r="I8" s="132" t="str">
        <f>IFERROR(__xludf.DUMMYFUNCTION("""COMPUTED_VALUE"""),"  ")</f>
        <v>  </v>
      </c>
      <c r="J8" s="132" t="str">
        <f>IFERROR(__xludf.DUMMYFUNCTION("""COMPUTED_VALUE"""),"  ")</f>
        <v>  </v>
      </c>
      <c r="K8" s="132" t="str">
        <f>IFERROR(__xludf.DUMMYFUNCTION("""COMPUTED_VALUE"""),"  ")</f>
        <v>  </v>
      </c>
      <c r="L8" s="132" t="str">
        <f>IFERROR(__xludf.DUMMYFUNCTION("""COMPUTED_VALUE"""),"  ")</f>
        <v>  </v>
      </c>
      <c r="M8" s="132" t="str">
        <f>IFERROR(__xludf.DUMMYFUNCTION("""COMPUTED_VALUE"""),"  ")</f>
        <v>  </v>
      </c>
      <c r="N8" s="132" t="str">
        <f>IFERROR(__xludf.DUMMYFUNCTION("""COMPUTED_VALUE"""),"  ")</f>
        <v>  </v>
      </c>
      <c r="O8" s="132" t="str">
        <f>IFERROR(__xludf.DUMMYFUNCTION("""COMPUTED_VALUE"""),"  ")</f>
        <v>  </v>
      </c>
    </row>
    <row r="9" ht="27.75" customHeight="1">
      <c r="A9" s="131" t="s">
        <v>90</v>
      </c>
      <c r="B9" s="132" t="str">
        <f>IFERROR(__xludf.DUMMYFUNCTION("""COMPUTED_VALUE"""),"  ")</f>
        <v>  </v>
      </c>
      <c r="C9" s="132" t="str">
        <f>IFERROR(__xludf.DUMMYFUNCTION("""COMPUTED_VALUE"""),"  ")</f>
        <v>  </v>
      </c>
      <c r="D9" s="132" t="str">
        <f>IFERROR(__xludf.DUMMYFUNCTION("""COMPUTED_VALUE"""),"  ")</f>
        <v>  </v>
      </c>
      <c r="E9" s="132" t="str">
        <f>IFERROR(__xludf.DUMMYFUNCTION("""COMPUTED_VALUE"""),"  ")</f>
        <v>  </v>
      </c>
      <c r="F9" s="132" t="str">
        <f>IFERROR(__xludf.DUMMYFUNCTION("""COMPUTED_VALUE"""),"  ")</f>
        <v>  </v>
      </c>
      <c r="G9" s="132" t="str">
        <f>IFERROR(__xludf.DUMMYFUNCTION("""COMPUTED_VALUE"""),"  ")</f>
        <v>  </v>
      </c>
      <c r="H9" s="132" t="str">
        <f>IFERROR(__xludf.DUMMYFUNCTION("""COMPUTED_VALUE"""),"  ")</f>
        <v>  </v>
      </c>
      <c r="I9" s="132" t="str">
        <f>IFERROR(__xludf.DUMMYFUNCTION("""COMPUTED_VALUE"""),"  ")</f>
        <v>  </v>
      </c>
      <c r="J9" s="132" t="str">
        <f>IFERROR(__xludf.DUMMYFUNCTION("""COMPUTED_VALUE"""),"  ")</f>
        <v>  </v>
      </c>
      <c r="K9" s="132" t="str">
        <f>IFERROR(__xludf.DUMMYFUNCTION("""COMPUTED_VALUE"""),"  ")</f>
        <v>  </v>
      </c>
      <c r="L9" s="132" t="str">
        <f>IFERROR(__xludf.DUMMYFUNCTION("""COMPUTED_VALUE"""),"  ")</f>
        <v>  </v>
      </c>
      <c r="M9" s="132" t="str">
        <f>IFERROR(__xludf.DUMMYFUNCTION("""COMPUTED_VALUE"""),"  ")</f>
        <v>  </v>
      </c>
      <c r="N9" s="132" t="str">
        <f>IFERROR(__xludf.DUMMYFUNCTION("""COMPUTED_VALUE"""),"  ")</f>
        <v>  </v>
      </c>
      <c r="O9" s="132" t="str">
        <f>IFERROR(__xludf.DUMMYFUNCTION("""COMPUTED_VALUE"""),"  ")</f>
        <v>  </v>
      </c>
    </row>
    <row r="10" ht="27.75" customHeight="1">
      <c r="A10" s="131" t="s">
        <v>91</v>
      </c>
      <c r="B10" s="134" t="str">
        <f>IFERROR(__xludf.DUMMYFUNCTION("""COMPUTED_VALUE"""),"  ")</f>
        <v>  </v>
      </c>
      <c r="C10" s="132" t="str">
        <f>IFERROR(__xludf.DUMMYFUNCTION("""COMPUTED_VALUE"""),"  ")</f>
        <v>  </v>
      </c>
      <c r="D10" s="132" t="str">
        <f>IFERROR(__xludf.DUMMYFUNCTION("""COMPUTED_VALUE"""),"  ")</f>
        <v>  </v>
      </c>
      <c r="E10" s="132" t="str">
        <f>IFERROR(__xludf.DUMMYFUNCTION("""COMPUTED_VALUE"""),"  ")</f>
        <v>  </v>
      </c>
      <c r="F10" s="132" t="str">
        <f>IFERROR(__xludf.DUMMYFUNCTION("""COMPUTED_VALUE"""),"  ")</f>
        <v>  </v>
      </c>
      <c r="G10" s="132" t="str">
        <f>IFERROR(__xludf.DUMMYFUNCTION("""COMPUTED_VALUE"""),"  ")</f>
        <v>  </v>
      </c>
      <c r="H10" s="132" t="str">
        <f>IFERROR(__xludf.DUMMYFUNCTION("""COMPUTED_VALUE"""),"  ")</f>
        <v>  </v>
      </c>
      <c r="I10" s="132" t="str">
        <f>IFERROR(__xludf.DUMMYFUNCTION("""COMPUTED_VALUE"""),"  ")</f>
        <v>  </v>
      </c>
      <c r="J10" s="132" t="str">
        <f>IFERROR(__xludf.DUMMYFUNCTION("""COMPUTED_VALUE"""),"  ")</f>
        <v>  </v>
      </c>
      <c r="K10" s="132" t="str">
        <f>IFERROR(__xludf.DUMMYFUNCTION("""COMPUTED_VALUE"""),"  ")</f>
        <v>  </v>
      </c>
      <c r="L10" s="132" t="str">
        <f>IFERROR(__xludf.DUMMYFUNCTION("""COMPUTED_VALUE"""),"  ")</f>
        <v>  </v>
      </c>
      <c r="M10" s="132" t="str">
        <f>IFERROR(__xludf.DUMMYFUNCTION("""COMPUTED_VALUE"""),"  ")</f>
        <v>  </v>
      </c>
      <c r="N10" s="132" t="str">
        <f>IFERROR(__xludf.DUMMYFUNCTION("""COMPUTED_VALUE"""),"  ")</f>
        <v>  </v>
      </c>
      <c r="O10" s="132" t="str">
        <f>IFERROR(__xludf.DUMMYFUNCTION("""COMPUTED_VALUE"""),"  ")</f>
        <v>  </v>
      </c>
    </row>
    <row r="11" ht="27.75" customHeight="1">
      <c r="A11" s="131" t="s">
        <v>92</v>
      </c>
      <c r="B11" s="132" t="str">
        <f>IFERROR(__xludf.DUMMYFUNCTION("""COMPUTED_VALUE"""),"  ")</f>
        <v>  </v>
      </c>
      <c r="C11" s="132" t="str">
        <f>IFERROR(__xludf.DUMMYFUNCTION("""COMPUTED_VALUE"""),"  ")</f>
        <v>  </v>
      </c>
      <c r="D11" s="132" t="str">
        <f>IFERROR(__xludf.DUMMYFUNCTION("""COMPUTED_VALUE"""),"  ")</f>
        <v>  </v>
      </c>
      <c r="E11" s="132" t="str">
        <f>IFERROR(__xludf.DUMMYFUNCTION("""COMPUTED_VALUE"""),"  ")</f>
        <v>  </v>
      </c>
      <c r="F11" s="132" t="str">
        <f>IFERROR(__xludf.DUMMYFUNCTION("""COMPUTED_VALUE"""),"  ")</f>
        <v>  </v>
      </c>
      <c r="G11" s="132" t="str">
        <f>IFERROR(__xludf.DUMMYFUNCTION("""COMPUTED_VALUE"""),"  ")</f>
        <v>  </v>
      </c>
      <c r="H11" s="132" t="str">
        <f>IFERROR(__xludf.DUMMYFUNCTION("""COMPUTED_VALUE"""),"  ")</f>
        <v>  </v>
      </c>
      <c r="I11" s="132" t="str">
        <f>IFERROR(__xludf.DUMMYFUNCTION("""COMPUTED_VALUE"""),"  ")</f>
        <v>  </v>
      </c>
      <c r="J11" s="132" t="str">
        <f>IFERROR(__xludf.DUMMYFUNCTION("""COMPUTED_VALUE"""),"  ")</f>
        <v>  </v>
      </c>
      <c r="K11" s="132" t="str">
        <f>IFERROR(__xludf.DUMMYFUNCTION("""COMPUTED_VALUE"""),"  ")</f>
        <v>  </v>
      </c>
      <c r="L11" s="132" t="str">
        <f>IFERROR(__xludf.DUMMYFUNCTION("""COMPUTED_VALUE"""),"  ")</f>
        <v>  </v>
      </c>
      <c r="M11" s="132" t="str">
        <f>IFERROR(__xludf.DUMMYFUNCTION("""COMPUTED_VALUE"""),"  ")</f>
        <v>  </v>
      </c>
      <c r="N11" s="132" t="str">
        <f>IFERROR(__xludf.DUMMYFUNCTION("""COMPUTED_VALUE"""),"  ")</f>
        <v>  </v>
      </c>
      <c r="O11" s="132" t="str">
        <f>IFERROR(__xludf.DUMMYFUNCTION("""COMPUTED_VALUE"""),"  ")</f>
        <v>  </v>
      </c>
    </row>
    <row r="12" ht="27.75" customHeight="1">
      <c r="A12" s="131" t="s">
        <v>93</v>
      </c>
      <c r="B12" s="132" t="str">
        <f>IFERROR(__xludf.DUMMYFUNCTION("""COMPUTED_VALUE"""),"  ")</f>
        <v>  </v>
      </c>
      <c r="C12" s="132" t="str">
        <f>IFERROR(__xludf.DUMMYFUNCTION("""COMPUTED_VALUE"""),"  ")</f>
        <v>  </v>
      </c>
      <c r="D12" s="132" t="str">
        <f>IFERROR(__xludf.DUMMYFUNCTION("""COMPUTED_VALUE"""),"  ")</f>
        <v>  </v>
      </c>
      <c r="E12" s="132" t="str">
        <f>IFERROR(__xludf.DUMMYFUNCTION("""COMPUTED_VALUE"""),"  ")</f>
        <v>  </v>
      </c>
      <c r="F12" s="132" t="str">
        <f>IFERROR(__xludf.DUMMYFUNCTION("""COMPUTED_VALUE"""),"  ")</f>
        <v>  </v>
      </c>
      <c r="G12" s="132" t="str">
        <f>IFERROR(__xludf.DUMMYFUNCTION("""COMPUTED_VALUE"""),"  ")</f>
        <v>  </v>
      </c>
      <c r="H12" s="132" t="str">
        <f>IFERROR(__xludf.DUMMYFUNCTION("""COMPUTED_VALUE"""),"  ")</f>
        <v>  </v>
      </c>
      <c r="I12" s="132" t="str">
        <f>IFERROR(__xludf.DUMMYFUNCTION("""COMPUTED_VALUE"""),"  ")</f>
        <v>  </v>
      </c>
      <c r="J12" s="132" t="str">
        <f>IFERROR(__xludf.DUMMYFUNCTION("""COMPUTED_VALUE"""),"  ")</f>
        <v>  </v>
      </c>
      <c r="K12" s="132" t="str">
        <f>IFERROR(__xludf.DUMMYFUNCTION("""COMPUTED_VALUE"""),"  ")</f>
        <v>  </v>
      </c>
      <c r="L12" s="132" t="str">
        <f>IFERROR(__xludf.DUMMYFUNCTION("""COMPUTED_VALUE"""),"  ")</f>
        <v>  </v>
      </c>
      <c r="M12" s="132" t="str">
        <f>IFERROR(__xludf.DUMMYFUNCTION("""COMPUTED_VALUE"""),"  ")</f>
        <v>  </v>
      </c>
      <c r="N12" s="132" t="str">
        <f>IFERROR(__xludf.DUMMYFUNCTION("""COMPUTED_VALUE"""),"  ")</f>
        <v>  </v>
      </c>
      <c r="O12" s="132" t="str">
        <f>IFERROR(__xludf.DUMMYFUNCTION("""COMPUTED_VALUE"""),"  ")</f>
        <v>  </v>
      </c>
    </row>
    <row r="13" ht="27.75" customHeight="1">
      <c r="A13" s="131" t="s">
        <v>94</v>
      </c>
      <c r="B13" s="132" t="str">
        <f>IFERROR(__xludf.DUMMYFUNCTION("""COMPUTED_VALUE"""),"  ")</f>
        <v>  </v>
      </c>
      <c r="C13" s="132" t="str">
        <f>IFERROR(__xludf.DUMMYFUNCTION("""COMPUTED_VALUE"""),"  ")</f>
        <v>  </v>
      </c>
      <c r="D13" s="132" t="str">
        <f>IFERROR(__xludf.DUMMYFUNCTION("""COMPUTED_VALUE"""),"  ")</f>
        <v>  </v>
      </c>
      <c r="E13" s="132" t="str">
        <f>IFERROR(__xludf.DUMMYFUNCTION("""COMPUTED_VALUE"""),"  ")</f>
        <v>  </v>
      </c>
      <c r="F13" s="132" t="str">
        <f>IFERROR(__xludf.DUMMYFUNCTION("""COMPUTED_VALUE"""),"  ")</f>
        <v>  </v>
      </c>
      <c r="G13" s="132" t="str">
        <f>IFERROR(__xludf.DUMMYFUNCTION("""COMPUTED_VALUE"""),"  ")</f>
        <v>  </v>
      </c>
      <c r="H13" s="132" t="str">
        <f>IFERROR(__xludf.DUMMYFUNCTION("""COMPUTED_VALUE"""),"  ")</f>
        <v>  </v>
      </c>
      <c r="I13" s="132" t="str">
        <f>IFERROR(__xludf.DUMMYFUNCTION("""COMPUTED_VALUE"""),"  ")</f>
        <v>  </v>
      </c>
      <c r="J13" s="132" t="str">
        <f>IFERROR(__xludf.DUMMYFUNCTION("""COMPUTED_VALUE"""),"  ")</f>
        <v>  </v>
      </c>
      <c r="K13" s="132" t="str">
        <f>IFERROR(__xludf.DUMMYFUNCTION("""COMPUTED_VALUE"""),"  ")</f>
        <v>  </v>
      </c>
      <c r="L13" s="132" t="str">
        <f>IFERROR(__xludf.DUMMYFUNCTION("""COMPUTED_VALUE"""),"  ")</f>
        <v>  </v>
      </c>
      <c r="M13" s="132" t="str">
        <f>IFERROR(__xludf.DUMMYFUNCTION("""COMPUTED_VALUE"""),"  ")</f>
        <v>  </v>
      </c>
      <c r="N13" s="132" t="str">
        <f>IFERROR(__xludf.DUMMYFUNCTION("""COMPUTED_VALUE"""),"  ")</f>
        <v>  </v>
      </c>
      <c r="O13" s="132" t="str">
        <f>IFERROR(__xludf.DUMMYFUNCTION("""COMPUTED_VALUE"""),"  ")</f>
        <v>  </v>
      </c>
    </row>
    <row r="14" ht="27.75" customHeight="1">
      <c r="A14" s="131" t="s">
        <v>95</v>
      </c>
      <c r="B14" s="132" t="str">
        <f>IFERROR(__xludf.DUMMYFUNCTION("""COMPUTED_VALUE"""),"  ")</f>
        <v>  </v>
      </c>
      <c r="C14" s="132" t="str">
        <f>IFERROR(__xludf.DUMMYFUNCTION("""COMPUTED_VALUE"""),"  ")</f>
        <v>  </v>
      </c>
      <c r="D14" s="132" t="str">
        <f>IFERROR(__xludf.DUMMYFUNCTION("""COMPUTED_VALUE"""),"  ")</f>
        <v>  </v>
      </c>
      <c r="E14" s="132" t="str">
        <f>IFERROR(__xludf.DUMMYFUNCTION("""COMPUTED_VALUE"""),"  ")</f>
        <v>  </v>
      </c>
      <c r="F14" s="132" t="str">
        <f>IFERROR(__xludf.DUMMYFUNCTION("""COMPUTED_VALUE"""),"  ")</f>
        <v>  </v>
      </c>
      <c r="G14" s="132" t="str">
        <f>IFERROR(__xludf.DUMMYFUNCTION("""COMPUTED_VALUE"""),"  ")</f>
        <v>  </v>
      </c>
      <c r="H14" s="132" t="str">
        <f>IFERROR(__xludf.DUMMYFUNCTION("""COMPUTED_VALUE"""),"  ")</f>
        <v>  </v>
      </c>
      <c r="I14" s="132" t="str">
        <f>IFERROR(__xludf.DUMMYFUNCTION("""COMPUTED_VALUE"""),"  ")</f>
        <v>  </v>
      </c>
      <c r="J14" s="132" t="str">
        <f>IFERROR(__xludf.DUMMYFUNCTION("""COMPUTED_VALUE"""),"  ")</f>
        <v>  </v>
      </c>
      <c r="K14" s="132" t="str">
        <f>IFERROR(__xludf.DUMMYFUNCTION("""COMPUTED_VALUE"""),"  ")</f>
        <v>  </v>
      </c>
      <c r="L14" s="132" t="str">
        <f>IFERROR(__xludf.DUMMYFUNCTION("""COMPUTED_VALUE"""),"  ")</f>
        <v>  </v>
      </c>
      <c r="M14" s="132" t="str">
        <f>IFERROR(__xludf.DUMMYFUNCTION("""COMPUTED_VALUE"""),"  ")</f>
        <v>  </v>
      </c>
      <c r="N14" s="132" t="str">
        <f>IFERROR(__xludf.DUMMYFUNCTION("""COMPUTED_VALUE"""),"  ")</f>
        <v>  </v>
      </c>
      <c r="O14" s="132" t="str">
        <f>IFERROR(__xludf.DUMMYFUNCTION("""COMPUTED_VALUE"""),"  ")</f>
        <v>  </v>
      </c>
    </row>
    <row r="15" ht="27.75" customHeight="1">
      <c r="A15" s="131" t="s">
        <v>96</v>
      </c>
      <c r="B15" s="132" t="str">
        <f>IFERROR(__xludf.DUMMYFUNCTION("""COMPUTED_VALUE"""),"  ")</f>
        <v>  </v>
      </c>
      <c r="C15" s="132" t="str">
        <f>IFERROR(__xludf.DUMMYFUNCTION("""COMPUTED_VALUE"""),"  ")</f>
        <v>  </v>
      </c>
      <c r="D15" s="132" t="str">
        <f>IFERROR(__xludf.DUMMYFUNCTION("""COMPUTED_VALUE"""),"  ")</f>
        <v>  </v>
      </c>
      <c r="E15" s="132" t="str">
        <f>IFERROR(__xludf.DUMMYFUNCTION("""COMPUTED_VALUE"""),"  ")</f>
        <v>  </v>
      </c>
      <c r="F15" s="132" t="str">
        <f>IFERROR(__xludf.DUMMYFUNCTION("""COMPUTED_VALUE"""),"  ")</f>
        <v>  </v>
      </c>
      <c r="G15" s="132" t="str">
        <f>IFERROR(__xludf.DUMMYFUNCTION("""COMPUTED_VALUE"""),"  ")</f>
        <v>  </v>
      </c>
      <c r="H15" s="132" t="str">
        <f>IFERROR(__xludf.DUMMYFUNCTION("""COMPUTED_VALUE"""),"  ")</f>
        <v>  </v>
      </c>
      <c r="I15" s="132" t="str">
        <f>IFERROR(__xludf.DUMMYFUNCTION("""COMPUTED_VALUE"""),"  ")</f>
        <v>  </v>
      </c>
      <c r="J15" s="132" t="str">
        <f>IFERROR(__xludf.DUMMYFUNCTION("""COMPUTED_VALUE"""),"  ")</f>
        <v>  </v>
      </c>
      <c r="K15" s="132" t="str">
        <f>IFERROR(__xludf.DUMMYFUNCTION("""COMPUTED_VALUE"""),"  ")</f>
        <v>  </v>
      </c>
      <c r="L15" s="132" t="str">
        <f>IFERROR(__xludf.DUMMYFUNCTION("""COMPUTED_VALUE"""),"  ")</f>
        <v>  </v>
      </c>
      <c r="M15" s="132" t="str">
        <f>IFERROR(__xludf.DUMMYFUNCTION("""COMPUTED_VALUE"""),"  ")</f>
        <v>  </v>
      </c>
      <c r="N15" s="132" t="str">
        <f>IFERROR(__xludf.DUMMYFUNCTION("""COMPUTED_VALUE"""),"  ")</f>
        <v>  </v>
      </c>
      <c r="O15" s="132" t="str">
        <f>IFERROR(__xludf.DUMMYFUNCTION("""COMPUTED_VALUE"""),"  ")</f>
        <v>  </v>
      </c>
    </row>
    <row r="16" ht="27.75" customHeight="1">
      <c r="A16" s="131" t="s">
        <v>97</v>
      </c>
      <c r="B16" s="132" t="str">
        <f>IFERROR(__xludf.DUMMYFUNCTION("""COMPUTED_VALUE"""),"  ")</f>
        <v>  </v>
      </c>
      <c r="C16" s="132" t="str">
        <f>IFERROR(__xludf.DUMMYFUNCTION("""COMPUTED_VALUE"""),"  ")</f>
        <v>  </v>
      </c>
      <c r="D16" s="132" t="str">
        <f>IFERROR(__xludf.DUMMYFUNCTION("""COMPUTED_VALUE"""),"  ")</f>
        <v>  </v>
      </c>
      <c r="E16" s="132" t="str">
        <f>IFERROR(__xludf.DUMMYFUNCTION("""COMPUTED_VALUE"""),"  ")</f>
        <v>  </v>
      </c>
      <c r="F16" s="132" t="str">
        <f>IFERROR(__xludf.DUMMYFUNCTION("""COMPUTED_VALUE"""),"  ")</f>
        <v>  </v>
      </c>
      <c r="G16" s="132" t="str">
        <f>IFERROR(__xludf.DUMMYFUNCTION("""COMPUTED_VALUE"""),"  ")</f>
        <v>  </v>
      </c>
      <c r="H16" s="132" t="str">
        <f>IFERROR(__xludf.DUMMYFUNCTION("""COMPUTED_VALUE"""),"  ")</f>
        <v>  </v>
      </c>
      <c r="I16" s="132" t="str">
        <f>IFERROR(__xludf.DUMMYFUNCTION("""COMPUTED_VALUE"""),"  ")</f>
        <v>  </v>
      </c>
      <c r="J16" s="132" t="str">
        <f>IFERROR(__xludf.DUMMYFUNCTION("""COMPUTED_VALUE"""),"  ")</f>
        <v>  </v>
      </c>
      <c r="K16" s="132" t="str">
        <f>IFERROR(__xludf.DUMMYFUNCTION("""COMPUTED_VALUE"""),"  ")</f>
        <v>  </v>
      </c>
      <c r="L16" s="132" t="str">
        <f>IFERROR(__xludf.DUMMYFUNCTION("""COMPUTED_VALUE"""),"  ")</f>
        <v>  </v>
      </c>
      <c r="M16" s="132" t="str">
        <f>IFERROR(__xludf.DUMMYFUNCTION("""COMPUTED_VALUE"""),"  ")</f>
        <v>  </v>
      </c>
      <c r="N16" s="132" t="str">
        <f>IFERROR(__xludf.DUMMYFUNCTION("""COMPUTED_VALUE"""),"  ")</f>
        <v>  </v>
      </c>
      <c r="O16" s="132" t="str">
        <f>IFERROR(__xludf.DUMMYFUNCTION("""COMPUTED_VALUE"""),"  ")</f>
        <v>  </v>
      </c>
    </row>
    <row r="17" ht="27.75" customHeight="1">
      <c r="A17" s="131" t="s">
        <v>98</v>
      </c>
      <c r="B17" s="132" t="str">
        <f>IFERROR(__xludf.DUMMYFUNCTION("""COMPUTED_VALUE"""),"  ")</f>
        <v>  </v>
      </c>
      <c r="C17" s="132" t="str">
        <f>IFERROR(__xludf.DUMMYFUNCTION("""COMPUTED_VALUE"""),"  ")</f>
        <v>  </v>
      </c>
      <c r="D17" s="132" t="str">
        <f>IFERROR(__xludf.DUMMYFUNCTION("""COMPUTED_VALUE"""),"  ")</f>
        <v>  </v>
      </c>
      <c r="E17" s="132" t="str">
        <f>IFERROR(__xludf.DUMMYFUNCTION("""COMPUTED_VALUE"""),"  ")</f>
        <v>  </v>
      </c>
      <c r="F17" s="132" t="str">
        <f>IFERROR(__xludf.DUMMYFUNCTION("""COMPUTED_VALUE"""),"  ")</f>
        <v>  </v>
      </c>
      <c r="G17" s="132" t="str">
        <f>IFERROR(__xludf.DUMMYFUNCTION("""COMPUTED_VALUE"""),"  ")</f>
        <v>  </v>
      </c>
      <c r="H17" s="132" t="str">
        <f>IFERROR(__xludf.DUMMYFUNCTION("""COMPUTED_VALUE"""),"  ")</f>
        <v>  </v>
      </c>
      <c r="I17" s="132" t="str">
        <f>IFERROR(__xludf.DUMMYFUNCTION("""COMPUTED_VALUE"""),"  ")</f>
        <v>  </v>
      </c>
      <c r="J17" s="132" t="str">
        <f>IFERROR(__xludf.DUMMYFUNCTION("""COMPUTED_VALUE"""),"  ")</f>
        <v>  </v>
      </c>
      <c r="K17" s="132" t="str">
        <f>IFERROR(__xludf.DUMMYFUNCTION("""COMPUTED_VALUE"""),"  ")</f>
        <v>  </v>
      </c>
      <c r="L17" s="132" t="str">
        <f>IFERROR(__xludf.DUMMYFUNCTION("""COMPUTED_VALUE"""),"  ")</f>
        <v>  </v>
      </c>
      <c r="M17" s="132" t="str">
        <f>IFERROR(__xludf.DUMMYFUNCTION("""COMPUTED_VALUE"""),"  ")</f>
        <v>  </v>
      </c>
      <c r="N17" s="132" t="str">
        <f>IFERROR(__xludf.DUMMYFUNCTION("""COMPUTED_VALUE"""),"  ")</f>
        <v>  </v>
      </c>
      <c r="O17" s="132" t="str">
        <f>IFERROR(__xludf.DUMMYFUNCTION("""COMPUTED_VALUE"""),"  ")</f>
        <v>  </v>
      </c>
    </row>
    <row r="18" ht="27.75" customHeight="1">
      <c r="A18" s="131" t="s">
        <v>99</v>
      </c>
      <c r="B18" s="132" t="str">
        <f>IFERROR(__xludf.DUMMYFUNCTION("""COMPUTED_VALUE"""),"  ")</f>
        <v>  </v>
      </c>
      <c r="C18" s="132" t="str">
        <f>IFERROR(__xludf.DUMMYFUNCTION("""COMPUTED_VALUE"""),"  ")</f>
        <v>  </v>
      </c>
      <c r="D18" s="132" t="str">
        <f>IFERROR(__xludf.DUMMYFUNCTION("""COMPUTED_VALUE"""),"  ")</f>
        <v>  </v>
      </c>
      <c r="E18" s="132" t="str">
        <f>IFERROR(__xludf.DUMMYFUNCTION("""COMPUTED_VALUE"""),"  ")</f>
        <v>  </v>
      </c>
      <c r="F18" s="132" t="str">
        <f>IFERROR(__xludf.DUMMYFUNCTION("""COMPUTED_VALUE"""),"  ")</f>
        <v>  </v>
      </c>
      <c r="G18" s="132" t="str">
        <f>IFERROR(__xludf.DUMMYFUNCTION("""COMPUTED_VALUE"""),"  ")</f>
        <v>  </v>
      </c>
      <c r="H18" s="132" t="str">
        <f>IFERROR(__xludf.DUMMYFUNCTION("""COMPUTED_VALUE"""),"  ")</f>
        <v>  </v>
      </c>
      <c r="I18" s="132" t="str">
        <f>IFERROR(__xludf.DUMMYFUNCTION("""COMPUTED_VALUE"""),"  ")</f>
        <v>  </v>
      </c>
      <c r="J18" s="132" t="str">
        <f>IFERROR(__xludf.DUMMYFUNCTION("""COMPUTED_VALUE"""),"  ")</f>
        <v>  </v>
      </c>
      <c r="K18" s="132" t="str">
        <f>IFERROR(__xludf.DUMMYFUNCTION("""COMPUTED_VALUE"""),"  ")</f>
        <v>  </v>
      </c>
      <c r="L18" s="132" t="str">
        <f>IFERROR(__xludf.DUMMYFUNCTION("""COMPUTED_VALUE"""),"  ")</f>
        <v>  </v>
      </c>
      <c r="M18" s="132" t="str">
        <f>IFERROR(__xludf.DUMMYFUNCTION("""COMPUTED_VALUE"""),"  ")</f>
        <v>  </v>
      </c>
      <c r="N18" s="132" t="str">
        <f>IFERROR(__xludf.DUMMYFUNCTION("""COMPUTED_VALUE"""),"  ")</f>
        <v>  </v>
      </c>
      <c r="O18" s="132" t="str">
        <f>IFERROR(__xludf.DUMMYFUNCTION("""COMPUTED_VALUE"""),"  ")</f>
        <v>  </v>
      </c>
    </row>
    <row r="19" ht="27.75" customHeight="1">
      <c r="A19" s="131" t="s">
        <v>100</v>
      </c>
      <c r="B19" s="132" t="str">
        <f>IFERROR(__xludf.DUMMYFUNCTION("""COMPUTED_VALUE"""),"  ")</f>
        <v>  </v>
      </c>
      <c r="C19" s="132" t="str">
        <f>IFERROR(__xludf.DUMMYFUNCTION("""COMPUTED_VALUE"""),"  ")</f>
        <v>  </v>
      </c>
      <c r="D19" s="132" t="str">
        <f>IFERROR(__xludf.DUMMYFUNCTION("""COMPUTED_VALUE"""),"  ")</f>
        <v>  </v>
      </c>
      <c r="E19" s="132" t="str">
        <f>IFERROR(__xludf.DUMMYFUNCTION("""COMPUTED_VALUE"""),"  ")</f>
        <v>  </v>
      </c>
      <c r="F19" s="132" t="str">
        <f>IFERROR(__xludf.DUMMYFUNCTION("""COMPUTED_VALUE"""),"  ")</f>
        <v>  </v>
      </c>
      <c r="G19" s="132" t="str">
        <f>IFERROR(__xludf.DUMMYFUNCTION("""COMPUTED_VALUE"""),"  ")</f>
        <v>  </v>
      </c>
      <c r="H19" s="132" t="str">
        <f>IFERROR(__xludf.DUMMYFUNCTION("""COMPUTED_VALUE"""),"  ")</f>
        <v>  </v>
      </c>
      <c r="I19" s="132" t="str">
        <f>IFERROR(__xludf.DUMMYFUNCTION("""COMPUTED_VALUE"""),"  ")</f>
        <v>  </v>
      </c>
      <c r="J19" s="132" t="str">
        <f>IFERROR(__xludf.DUMMYFUNCTION("""COMPUTED_VALUE"""),"  ")</f>
        <v>  </v>
      </c>
      <c r="K19" s="132" t="str">
        <f>IFERROR(__xludf.DUMMYFUNCTION("""COMPUTED_VALUE"""),"  ")</f>
        <v>  </v>
      </c>
      <c r="L19" s="132" t="str">
        <f>IFERROR(__xludf.DUMMYFUNCTION("""COMPUTED_VALUE"""),"  ")</f>
        <v>  </v>
      </c>
      <c r="M19" s="132" t="str">
        <f>IFERROR(__xludf.DUMMYFUNCTION("""COMPUTED_VALUE"""),"  ")</f>
        <v>  </v>
      </c>
      <c r="N19" s="132" t="str">
        <f>IFERROR(__xludf.DUMMYFUNCTION("""COMPUTED_VALUE"""),"  ")</f>
        <v>  </v>
      </c>
      <c r="O19" s="132" t="str">
        <f>IFERROR(__xludf.DUMMYFUNCTION("""COMPUTED_VALUE"""),"  ")</f>
        <v>  </v>
      </c>
    </row>
    <row r="20" ht="27.75" customHeight="1">
      <c r="A20" s="131" t="s">
        <v>101</v>
      </c>
      <c r="B20" s="132" t="str">
        <f>IFERROR(__xludf.DUMMYFUNCTION("""COMPUTED_VALUE"""),"  ")</f>
        <v>  </v>
      </c>
      <c r="C20" s="132" t="str">
        <f>IFERROR(__xludf.DUMMYFUNCTION("""COMPUTED_VALUE"""),"  ")</f>
        <v>  </v>
      </c>
      <c r="D20" s="132" t="str">
        <f>IFERROR(__xludf.DUMMYFUNCTION("""COMPUTED_VALUE"""),"  ")</f>
        <v>  </v>
      </c>
      <c r="E20" s="132" t="str">
        <f>IFERROR(__xludf.DUMMYFUNCTION("""COMPUTED_VALUE"""),"  ")</f>
        <v>  </v>
      </c>
      <c r="F20" s="132" t="str">
        <f>IFERROR(__xludf.DUMMYFUNCTION("""COMPUTED_VALUE"""),"  ")</f>
        <v>  </v>
      </c>
      <c r="G20" s="132" t="str">
        <f>IFERROR(__xludf.DUMMYFUNCTION("""COMPUTED_VALUE"""),"  ")</f>
        <v>  </v>
      </c>
      <c r="H20" s="132" t="str">
        <f>IFERROR(__xludf.DUMMYFUNCTION("""COMPUTED_VALUE"""),"  ")</f>
        <v>  </v>
      </c>
      <c r="I20" s="132" t="str">
        <f>IFERROR(__xludf.DUMMYFUNCTION("""COMPUTED_VALUE"""),"  ")</f>
        <v>  </v>
      </c>
      <c r="J20" s="132" t="str">
        <f>IFERROR(__xludf.DUMMYFUNCTION("""COMPUTED_VALUE"""),"  ")</f>
        <v>  </v>
      </c>
      <c r="K20" s="132" t="str">
        <f>IFERROR(__xludf.DUMMYFUNCTION("""COMPUTED_VALUE"""),"  ")</f>
        <v>  </v>
      </c>
      <c r="L20" s="132" t="str">
        <f>IFERROR(__xludf.DUMMYFUNCTION("""COMPUTED_VALUE"""),"  ")</f>
        <v>  </v>
      </c>
      <c r="M20" s="132" t="str">
        <f>IFERROR(__xludf.DUMMYFUNCTION("""COMPUTED_VALUE"""),"  ")</f>
        <v>  </v>
      </c>
      <c r="N20" s="132" t="str">
        <f>IFERROR(__xludf.DUMMYFUNCTION("""COMPUTED_VALUE"""),"  ")</f>
        <v>  </v>
      </c>
      <c r="O20" s="132" t="str">
        <f>IFERROR(__xludf.DUMMYFUNCTION("""COMPUTED_VALUE"""),"  ")</f>
        <v>  </v>
      </c>
    </row>
    <row r="21" ht="27.75" customHeight="1">
      <c r="A21" s="131" t="s">
        <v>102</v>
      </c>
      <c r="B21" s="132" t="str">
        <f>IFERROR(__xludf.DUMMYFUNCTION("""COMPUTED_VALUE"""),"  ")</f>
        <v>  </v>
      </c>
      <c r="C21" s="132" t="str">
        <f>IFERROR(__xludf.DUMMYFUNCTION("""COMPUTED_VALUE"""),"  ")</f>
        <v>  </v>
      </c>
      <c r="D21" s="132" t="str">
        <f>IFERROR(__xludf.DUMMYFUNCTION("""COMPUTED_VALUE"""),"  ")</f>
        <v>  </v>
      </c>
      <c r="E21" s="132" t="str">
        <f>IFERROR(__xludf.DUMMYFUNCTION("""COMPUTED_VALUE"""),"  ")</f>
        <v>  </v>
      </c>
      <c r="F21" s="132" t="str">
        <f>IFERROR(__xludf.DUMMYFUNCTION("""COMPUTED_VALUE"""),"  ")</f>
        <v>  </v>
      </c>
      <c r="G21" s="132" t="str">
        <f>IFERROR(__xludf.DUMMYFUNCTION("""COMPUTED_VALUE"""),"  ")</f>
        <v>  </v>
      </c>
      <c r="H21" s="132" t="str">
        <f>IFERROR(__xludf.DUMMYFUNCTION("""COMPUTED_VALUE"""),"  ")</f>
        <v>  </v>
      </c>
      <c r="I21" s="132" t="str">
        <f>IFERROR(__xludf.DUMMYFUNCTION("""COMPUTED_VALUE"""),"  ")</f>
        <v>  </v>
      </c>
      <c r="J21" s="132" t="str">
        <f>IFERROR(__xludf.DUMMYFUNCTION("""COMPUTED_VALUE"""),"  ")</f>
        <v>  </v>
      </c>
      <c r="K21" s="132" t="str">
        <f>IFERROR(__xludf.DUMMYFUNCTION("""COMPUTED_VALUE"""),"  ")</f>
        <v>  </v>
      </c>
      <c r="L21" s="132" t="str">
        <f>IFERROR(__xludf.DUMMYFUNCTION("""COMPUTED_VALUE"""),"  ")</f>
        <v>  </v>
      </c>
      <c r="M21" s="132" t="str">
        <f>IFERROR(__xludf.DUMMYFUNCTION("""COMPUTED_VALUE"""),"  ")</f>
        <v>  </v>
      </c>
      <c r="N21" s="132" t="str">
        <f>IFERROR(__xludf.DUMMYFUNCTION("""COMPUTED_VALUE"""),"  ")</f>
        <v>  </v>
      </c>
      <c r="O21" s="132" t="str">
        <f>IFERROR(__xludf.DUMMYFUNCTION("""COMPUTED_VALUE"""),"  ")</f>
        <v>  </v>
      </c>
    </row>
    <row r="22" ht="27.75" customHeight="1">
      <c r="A22" s="131" t="s">
        <v>103</v>
      </c>
      <c r="B22" s="132" t="str">
        <f>IFERROR(__xludf.DUMMYFUNCTION("""COMPUTED_VALUE"""),"  ")</f>
        <v>  </v>
      </c>
      <c r="C22" s="132" t="str">
        <f>IFERROR(__xludf.DUMMYFUNCTION("""COMPUTED_VALUE"""),"  ")</f>
        <v>  </v>
      </c>
      <c r="D22" s="132" t="str">
        <f>IFERROR(__xludf.DUMMYFUNCTION("""COMPUTED_VALUE"""),"  ")</f>
        <v>  </v>
      </c>
      <c r="E22" s="132" t="str">
        <f>IFERROR(__xludf.DUMMYFUNCTION("""COMPUTED_VALUE"""),"  ")</f>
        <v>  </v>
      </c>
      <c r="F22" s="132" t="str">
        <f>IFERROR(__xludf.DUMMYFUNCTION("""COMPUTED_VALUE"""),"  ")</f>
        <v>  </v>
      </c>
      <c r="G22" s="132" t="str">
        <f>IFERROR(__xludf.DUMMYFUNCTION("""COMPUTED_VALUE"""),"  ")</f>
        <v>  </v>
      </c>
      <c r="H22" s="132" t="str">
        <f>IFERROR(__xludf.DUMMYFUNCTION("""COMPUTED_VALUE"""),"  ")</f>
        <v>  </v>
      </c>
      <c r="I22" s="132" t="str">
        <f>IFERROR(__xludf.DUMMYFUNCTION("""COMPUTED_VALUE"""),"  ")</f>
        <v>  </v>
      </c>
      <c r="J22" s="132" t="str">
        <f>IFERROR(__xludf.DUMMYFUNCTION("""COMPUTED_VALUE"""),"  ")</f>
        <v>  </v>
      </c>
      <c r="K22" s="132" t="str">
        <f>IFERROR(__xludf.DUMMYFUNCTION("""COMPUTED_VALUE"""),"  ")</f>
        <v>  </v>
      </c>
      <c r="L22" s="132" t="str">
        <f>IFERROR(__xludf.DUMMYFUNCTION("""COMPUTED_VALUE"""),"  ")</f>
        <v>  </v>
      </c>
      <c r="M22" s="132" t="str">
        <f>IFERROR(__xludf.DUMMYFUNCTION("""COMPUTED_VALUE"""),"  ")</f>
        <v>  </v>
      </c>
      <c r="N22" s="132" t="str">
        <f>IFERROR(__xludf.DUMMYFUNCTION("""COMPUTED_VALUE"""),"  ")</f>
        <v>  </v>
      </c>
      <c r="O22" s="132" t="str">
        <f>IFERROR(__xludf.DUMMYFUNCTION("""COMPUTED_VALUE"""),"  ")</f>
        <v>  </v>
      </c>
    </row>
    <row r="23" ht="27.75" customHeight="1">
      <c r="A23" s="131" t="s">
        <v>104</v>
      </c>
      <c r="B23" s="132" t="str">
        <f>IFERROR(__xludf.DUMMYFUNCTION("""COMPUTED_VALUE"""),"  ")</f>
        <v>  </v>
      </c>
      <c r="C23" s="132" t="str">
        <f>IFERROR(__xludf.DUMMYFUNCTION("""COMPUTED_VALUE"""),"  ")</f>
        <v>  </v>
      </c>
      <c r="D23" s="132" t="str">
        <f>IFERROR(__xludf.DUMMYFUNCTION("""COMPUTED_VALUE"""),"  ")</f>
        <v>  </v>
      </c>
      <c r="E23" s="132" t="str">
        <f>IFERROR(__xludf.DUMMYFUNCTION("""COMPUTED_VALUE"""),"  ")</f>
        <v>  </v>
      </c>
      <c r="F23" s="132" t="str">
        <f>IFERROR(__xludf.DUMMYFUNCTION("""COMPUTED_VALUE"""),"  ")</f>
        <v>  </v>
      </c>
      <c r="G23" s="132" t="str">
        <f>IFERROR(__xludf.DUMMYFUNCTION("""COMPUTED_VALUE"""),"  ")</f>
        <v>  </v>
      </c>
      <c r="H23" s="132" t="str">
        <f>IFERROR(__xludf.DUMMYFUNCTION("""COMPUTED_VALUE"""),"  ")</f>
        <v>  </v>
      </c>
      <c r="I23" s="132" t="str">
        <f>IFERROR(__xludf.DUMMYFUNCTION("""COMPUTED_VALUE"""),"  ")</f>
        <v>  </v>
      </c>
      <c r="J23" s="132" t="str">
        <f>IFERROR(__xludf.DUMMYFUNCTION("""COMPUTED_VALUE"""),"  ")</f>
        <v>  </v>
      </c>
      <c r="K23" s="132" t="str">
        <f>IFERROR(__xludf.DUMMYFUNCTION("""COMPUTED_VALUE"""),"  ")</f>
        <v>  </v>
      </c>
      <c r="L23" s="132" t="str">
        <f>IFERROR(__xludf.DUMMYFUNCTION("""COMPUTED_VALUE"""),"  ")</f>
        <v>  </v>
      </c>
      <c r="M23" s="132" t="str">
        <f>IFERROR(__xludf.DUMMYFUNCTION("""COMPUTED_VALUE"""),"  ")</f>
        <v>  </v>
      </c>
      <c r="N23" s="132" t="str">
        <f>IFERROR(__xludf.DUMMYFUNCTION("""COMPUTED_VALUE"""),"  ")</f>
        <v>  </v>
      </c>
      <c r="O23" s="132" t="str">
        <f>IFERROR(__xludf.DUMMYFUNCTION("""COMPUTED_VALUE"""),"  ")</f>
        <v>  </v>
      </c>
    </row>
    <row r="24" ht="27.75" customHeight="1">
      <c r="A24" s="131" t="s">
        <v>105</v>
      </c>
      <c r="B24" s="132" t="str">
        <f>IFERROR(__xludf.DUMMYFUNCTION("""COMPUTED_VALUE"""),"  ")</f>
        <v>  </v>
      </c>
      <c r="C24" s="132" t="str">
        <f>IFERROR(__xludf.DUMMYFUNCTION("""COMPUTED_VALUE"""),"  ")</f>
        <v>  </v>
      </c>
      <c r="D24" s="132" t="str">
        <f>IFERROR(__xludf.DUMMYFUNCTION("""COMPUTED_VALUE"""),"  ")</f>
        <v>  </v>
      </c>
      <c r="E24" s="132" t="str">
        <f>IFERROR(__xludf.DUMMYFUNCTION("""COMPUTED_VALUE"""),"  ")</f>
        <v>  </v>
      </c>
      <c r="F24" s="132" t="str">
        <f>IFERROR(__xludf.DUMMYFUNCTION("""COMPUTED_VALUE"""),"  ")</f>
        <v>  </v>
      </c>
      <c r="G24" s="132" t="str">
        <f>IFERROR(__xludf.DUMMYFUNCTION("""COMPUTED_VALUE"""),"  ")</f>
        <v>  </v>
      </c>
      <c r="H24" s="132" t="str">
        <f>IFERROR(__xludf.DUMMYFUNCTION("""COMPUTED_VALUE"""),"  ")</f>
        <v>  </v>
      </c>
      <c r="I24" s="132" t="str">
        <f>IFERROR(__xludf.DUMMYFUNCTION("""COMPUTED_VALUE"""),"  ")</f>
        <v>  </v>
      </c>
      <c r="J24" s="132" t="str">
        <f>IFERROR(__xludf.DUMMYFUNCTION("""COMPUTED_VALUE"""),"  ")</f>
        <v>  </v>
      </c>
      <c r="K24" s="132" t="str">
        <f>IFERROR(__xludf.DUMMYFUNCTION("""COMPUTED_VALUE"""),"  ")</f>
        <v>  </v>
      </c>
      <c r="L24" s="132" t="str">
        <f>IFERROR(__xludf.DUMMYFUNCTION("""COMPUTED_VALUE"""),"  ")</f>
        <v>  </v>
      </c>
      <c r="M24" s="132" t="str">
        <f>IFERROR(__xludf.DUMMYFUNCTION("""COMPUTED_VALUE"""),"  ")</f>
        <v>  </v>
      </c>
      <c r="N24" s="132" t="str">
        <f>IFERROR(__xludf.DUMMYFUNCTION("""COMPUTED_VALUE"""),"  ")</f>
        <v>  </v>
      </c>
      <c r="O24" s="132" t="str">
        <f>IFERROR(__xludf.DUMMYFUNCTION("""COMPUTED_VALUE"""),"  ")</f>
        <v>  </v>
      </c>
    </row>
    <row r="25" ht="27.75" customHeight="1">
      <c r="A25" s="131" t="s">
        <v>106</v>
      </c>
      <c r="B25" s="135" t="str">
        <f>IFERROR(__xludf.DUMMYFUNCTION("""COMPUTED_VALUE"""),"  ")</f>
        <v>  </v>
      </c>
      <c r="C25" s="132" t="str">
        <f>IFERROR(__xludf.DUMMYFUNCTION("""COMPUTED_VALUE"""),"  ")</f>
        <v>  </v>
      </c>
      <c r="D25" s="132" t="str">
        <f>IFERROR(__xludf.DUMMYFUNCTION("""COMPUTED_VALUE"""),"  ")</f>
        <v>  </v>
      </c>
      <c r="E25" s="132" t="str">
        <f>IFERROR(__xludf.DUMMYFUNCTION("""COMPUTED_VALUE"""),"  ")</f>
        <v>  </v>
      </c>
      <c r="F25" s="132" t="str">
        <f>IFERROR(__xludf.DUMMYFUNCTION("""COMPUTED_VALUE"""),"  ")</f>
        <v>  </v>
      </c>
      <c r="G25" s="132" t="str">
        <f>IFERROR(__xludf.DUMMYFUNCTION("""COMPUTED_VALUE"""),"  ")</f>
        <v>  </v>
      </c>
      <c r="H25" s="132" t="str">
        <f>IFERROR(__xludf.DUMMYFUNCTION("""COMPUTED_VALUE"""),"  ")</f>
        <v>  </v>
      </c>
      <c r="I25" s="132" t="str">
        <f>IFERROR(__xludf.DUMMYFUNCTION("""COMPUTED_VALUE"""),"  ")</f>
        <v>  </v>
      </c>
      <c r="J25" s="132" t="str">
        <f>IFERROR(__xludf.DUMMYFUNCTION("""COMPUTED_VALUE"""),"  ")</f>
        <v>  </v>
      </c>
      <c r="K25" s="132" t="str">
        <f>IFERROR(__xludf.DUMMYFUNCTION("""COMPUTED_VALUE"""),"  ")</f>
        <v>  </v>
      </c>
      <c r="L25" s="132" t="str">
        <f>IFERROR(__xludf.DUMMYFUNCTION("""COMPUTED_VALUE"""),"  ")</f>
        <v>  </v>
      </c>
      <c r="M25" s="132" t="str">
        <f>IFERROR(__xludf.DUMMYFUNCTION("""COMPUTED_VALUE"""),"  ")</f>
        <v>  </v>
      </c>
      <c r="N25" s="132" t="str">
        <f>IFERROR(__xludf.DUMMYFUNCTION("""COMPUTED_VALUE"""),"  ")</f>
        <v>  </v>
      </c>
      <c r="O25" s="132" t="str">
        <f>IFERROR(__xludf.DUMMYFUNCTION("""COMPUTED_VALUE"""),"  ")</f>
        <v>  </v>
      </c>
    </row>
    <row r="26" ht="27.75" customHeight="1">
      <c r="A26" s="131" t="s">
        <v>109</v>
      </c>
      <c r="B26" s="132" t="str">
        <f>IFERROR(__xludf.DUMMYFUNCTION("""COMPUTED_VALUE"""),"  ")</f>
        <v>  </v>
      </c>
      <c r="C26" s="132" t="str">
        <f>IFERROR(__xludf.DUMMYFUNCTION("""COMPUTED_VALUE"""),"  ")</f>
        <v>  </v>
      </c>
      <c r="D26" s="132" t="str">
        <f>IFERROR(__xludf.DUMMYFUNCTION("""COMPUTED_VALUE"""),"  ")</f>
        <v>  </v>
      </c>
      <c r="E26" s="132" t="str">
        <f>IFERROR(__xludf.DUMMYFUNCTION("""COMPUTED_VALUE"""),"  ")</f>
        <v>  </v>
      </c>
      <c r="F26" s="132" t="str">
        <f>IFERROR(__xludf.DUMMYFUNCTION("""COMPUTED_VALUE"""),"  ")</f>
        <v>  </v>
      </c>
      <c r="G26" s="132" t="str">
        <f>IFERROR(__xludf.DUMMYFUNCTION("""COMPUTED_VALUE"""),"  ")</f>
        <v>  </v>
      </c>
      <c r="H26" s="132" t="str">
        <f>IFERROR(__xludf.DUMMYFUNCTION("""COMPUTED_VALUE"""),"  ")</f>
        <v>  </v>
      </c>
      <c r="I26" s="132" t="str">
        <f>IFERROR(__xludf.DUMMYFUNCTION("""COMPUTED_VALUE"""),"  ")</f>
        <v>  </v>
      </c>
      <c r="J26" s="132" t="str">
        <f>IFERROR(__xludf.DUMMYFUNCTION("""COMPUTED_VALUE"""),"  ")</f>
        <v>  </v>
      </c>
      <c r="K26" s="132" t="str">
        <f>IFERROR(__xludf.DUMMYFUNCTION("""COMPUTED_VALUE"""),"  ")</f>
        <v>  </v>
      </c>
      <c r="L26" s="132" t="str">
        <f>IFERROR(__xludf.DUMMYFUNCTION("""COMPUTED_VALUE"""),"  ")</f>
        <v>  </v>
      </c>
      <c r="M26" s="132" t="str">
        <f>IFERROR(__xludf.DUMMYFUNCTION("""COMPUTED_VALUE"""),"  ")</f>
        <v>  </v>
      </c>
      <c r="N26" s="132" t="str">
        <f>IFERROR(__xludf.DUMMYFUNCTION("""COMPUTED_VALUE"""),"  ")</f>
        <v>  </v>
      </c>
      <c r="O26" s="132" t="str">
        <f>IFERROR(__xludf.DUMMYFUNCTION("""COMPUTED_VALUE"""),"  ")</f>
        <v>  </v>
      </c>
    </row>
    <row r="27" ht="27.75" customHeight="1">
      <c r="A27" s="131" t="s">
        <v>110</v>
      </c>
      <c r="B27" s="132" t="str">
        <f>IFERROR(__xludf.DUMMYFUNCTION("""COMPUTED_VALUE"""),"  ")</f>
        <v>  </v>
      </c>
      <c r="C27" s="132" t="str">
        <f>IFERROR(__xludf.DUMMYFUNCTION("""COMPUTED_VALUE"""),"  ")</f>
        <v>  </v>
      </c>
      <c r="D27" s="132" t="str">
        <f>IFERROR(__xludf.DUMMYFUNCTION("""COMPUTED_VALUE"""),"  ")</f>
        <v>  </v>
      </c>
      <c r="E27" s="132" t="str">
        <f>IFERROR(__xludf.DUMMYFUNCTION("""COMPUTED_VALUE"""),"  ")</f>
        <v>  </v>
      </c>
      <c r="F27" s="132" t="str">
        <f>IFERROR(__xludf.DUMMYFUNCTION("""COMPUTED_VALUE"""),"  ")</f>
        <v>  </v>
      </c>
      <c r="G27" s="132" t="str">
        <f>IFERROR(__xludf.DUMMYFUNCTION("""COMPUTED_VALUE"""),"  ")</f>
        <v>  </v>
      </c>
      <c r="H27" s="132" t="str">
        <f>IFERROR(__xludf.DUMMYFUNCTION("""COMPUTED_VALUE"""),"  ")</f>
        <v>  </v>
      </c>
      <c r="I27" s="132" t="str">
        <f>IFERROR(__xludf.DUMMYFUNCTION("""COMPUTED_VALUE"""),"  ")</f>
        <v>  </v>
      </c>
      <c r="J27" s="132" t="str">
        <f>IFERROR(__xludf.DUMMYFUNCTION("""COMPUTED_VALUE"""),"  ")</f>
        <v>  </v>
      </c>
      <c r="K27" s="132" t="str">
        <f>IFERROR(__xludf.DUMMYFUNCTION("""COMPUTED_VALUE"""),"  ")</f>
        <v>  </v>
      </c>
      <c r="L27" s="132" t="str">
        <f>IFERROR(__xludf.DUMMYFUNCTION("""COMPUTED_VALUE"""),"  ")</f>
        <v>  </v>
      </c>
      <c r="M27" s="132" t="str">
        <f>IFERROR(__xludf.DUMMYFUNCTION("""COMPUTED_VALUE"""),"  ")</f>
        <v>  </v>
      </c>
      <c r="N27" s="132" t="str">
        <f>IFERROR(__xludf.DUMMYFUNCTION("""COMPUTED_VALUE"""),"  ")</f>
        <v>  </v>
      </c>
      <c r="O27" s="132" t="str">
        <f>IFERROR(__xludf.DUMMYFUNCTION("""COMPUTED_VALUE"""),"  ")</f>
        <v>  </v>
      </c>
    </row>
  </sheetData>
  <conditionalFormatting sqref="A1:O27">
    <cfRule type="cellIs" dxfId="7" priority="1" operator="equal">
      <formula>"FA"</formula>
    </cfRule>
  </conditionalFormatting>
  <conditionalFormatting sqref="A1:O27">
    <cfRule type="cellIs" dxfId="8" priority="2" operator="equal">
      <formula>"ARI"</formula>
    </cfRule>
  </conditionalFormatting>
  <conditionalFormatting sqref="A1:O27">
    <cfRule type="cellIs" dxfId="9" priority="3" operator="equal">
      <formula>"ATL"</formula>
    </cfRule>
  </conditionalFormatting>
  <conditionalFormatting sqref="A1:O27">
    <cfRule type="cellIs" dxfId="10" priority="4" operator="equal">
      <formula>"BAL"</formula>
    </cfRule>
  </conditionalFormatting>
  <conditionalFormatting sqref="A1:O27">
    <cfRule type="cellIs" dxfId="11" priority="5" operator="equal">
      <formula>"BUF"</formula>
    </cfRule>
  </conditionalFormatting>
  <conditionalFormatting sqref="A1:O27">
    <cfRule type="cellIs" dxfId="12" priority="6" operator="equal">
      <formula>"CAR"</formula>
    </cfRule>
  </conditionalFormatting>
  <conditionalFormatting sqref="A1:O27">
    <cfRule type="cellIs" dxfId="13" priority="7" operator="equal">
      <formula>"CHI"</formula>
    </cfRule>
  </conditionalFormatting>
  <conditionalFormatting sqref="A1:O27">
    <cfRule type="cellIs" dxfId="14" priority="8" operator="equal">
      <formula>"CIN"</formula>
    </cfRule>
  </conditionalFormatting>
  <conditionalFormatting sqref="A1:O27">
    <cfRule type="cellIs" dxfId="15" priority="9" operator="equal">
      <formula>"CLE"</formula>
    </cfRule>
  </conditionalFormatting>
  <conditionalFormatting sqref="A1:O27">
    <cfRule type="cellIs" dxfId="16" priority="10" operator="equal">
      <formula>"DAL"</formula>
    </cfRule>
  </conditionalFormatting>
  <conditionalFormatting sqref="A1:O27">
    <cfRule type="cellIs" dxfId="17" priority="11" operator="equal">
      <formula>"DEN"</formula>
    </cfRule>
  </conditionalFormatting>
  <conditionalFormatting sqref="A1:O27">
    <cfRule type="cellIs" dxfId="18" priority="12" operator="equal">
      <formula>"DET"</formula>
    </cfRule>
  </conditionalFormatting>
  <conditionalFormatting sqref="A1:O27">
    <cfRule type="cellIs" dxfId="19" priority="13" operator="equal">
      <formula>"GBP"</formula>
    </cfRule>
  </conditionalFormatting>
  <conditionalFormatting sqref="A1:O27">
    <cfRule type="cellIs" dxfId="20" priority="14" operator="equal">
      <formula>"HOU"</formula>
    </cfRule>
  </conditionalFormatting>
  <conditionalFormatting sqref="A1:O27">
    <cfRule type="cellIs" dxfId="21" priority="15" operator="equal">
      <formula>"IND"</formula>
    </cfRule>
  </conditionalFormatting>
  <conditionalFormatting sqref="A1:O27">
    <cfRule type="cellIs" dxfId="22" priority="16" operator="equal">
      <formula>"JAC"</formula>
    </cfRule>
  </conditionalFormatting>
  <conditionalFormatting sqref="A1:O27">
    <cfRule type="cellIs" dxfId="23" priority="17" operator="equal">
      <formula>"KCC"</formula>
    </cfRule>
  </conditionalFormatting>
  <conditionalFormatting sqref="A1:O27">
    <cfRule type="cellIs" dxfId="24" priority="18" operator="equal">
      <formula>"LAC"</formula>
    </cfRule>
  </conditionalFormatting>
  <conditionalFormatting sqref="A1:O27">
    <cfRule type="cellIs" dxfId="25" priority="19" operator="equal">
      <formula>"LAR"</formula>
    </cfRule>
  </conditionalFormatting>
  <conditionalFormatting sqref="A1:O27">
    <cfRule type="cellIs" dxfId="26" priority="20" operator="equal">
      <formula>"MIA"</formula>
    </cfRule>
  </conditionalFormatting>
  <conditionalFormatting sqref="A1:O27">
    <cfRule type="cellIs" dxfId="27" priority="21" operator="equal">
      <formula>"MIN"</formula>
    </cfRule>
  </conditionalFormatting>
  <conditionalFormatting sqref="A1:O27">
    <cfRule type="cellIs" dxfId="28" priority="22" operator="equal">
      <formula>"NEP"</formula>
    </cfRule>
  </conditionalFormatting>
  <conditionalFormatting sqref="A1:O27">
    <cfRule type="cellIs" dxfId="29" priority="23" operator="equal">
      <formula>"NOS"</formula>
    </cfRule>
  </conditionalFormatting>
  <conditionalFormatting sqref="A1:O27">
    <cfRule type="cellIs" dxfId="30" priority="24" operator="equal">
      <formula>"NYG"</formula>
    </cfRule>
  </conditionalFormatting>
  <conditionalFormatting sqref="A1:O27">
    <cfRule type="cellIs" dxfId="31" priority="25" operator="equal">
      <formula>"NYJ"</formula>
    </cfRule>
  </conditionalFormatting>
  <conditionalFormatting sqref="A1:O27">
    <cfRule type="cellIs" dxfId="32" priority="26" operator="equal">
      <formula>"LVR"</formula>
    </cfRule>
  </conditionalFormatting>
  <conditionalFormatting sqref="A1:O27">
    <cfRule type="cellIs" dxfId="33" priority="27" operator="equal">
      <formula>"PHI"</formula>
    </cfRule>
  </conditionalFormatting>
  <conditionalFormatting sqref="A1:O27">
    <cfRule type="cellIs" dxfId="34" priority="28" operator="equal">
      <formula>"PIT"</formula>
    </cfRule>
  </conditionalFormatting>
  <conditionalFormatting sqref="A1:O27">
    <cfRule type="cellIs" dxfId="35" priority="29" operator="equal">
      <formula>"SFO"</formula>
    </cfRule>
  </conditionalFormatting>
  <conditionalFormatting sqref="A1:O27">
    <cfRule type="cellIs" dxfId="36" priority="30" operator="equal">
      <formula>"SEA"</formula>
    </cfRule>
  </conditionalFormatting>
  <conditionalFormatting sqref="A1:O27">
    <cfRule type="cellIs" dxfId="37" priority="31" operator="equal">
      <formula>"TBB"</formula>
    </cfRule>
  </conditionalFormatting>
  <conditionalFormatting sqref="A1:O27">
    <cfRule type="cellIs" dxfId="38" priority="32" operator="equal">
      <formula>"TEN"</formula>
    </cfRule>
  </conditionalFormatting>
  <conditionalFormatting sqref="A1:O27">
    <cfRule type="cellIs" dxfId="39" priority="33" operator="equal">
      <formula>"WAS"</formula>
    </cfRule>
  </conditionalFormatting>
  <conditionalFormatting sqref="A1:O27">
    <cfRule type="cellIs" dxfId="40" priority="34" operator="equal">
      <formula>"QB"</formula>
    </cfRule>
  </conditionalFormatting>
  <conditionalFormatting sqref="A1:O27">
    <cfRule type="cellIs" dxfId="41" priority="35" operator="equal">
      <formula>"WR"</formula>
    </cfRule>
  </conditionalFormatting>
  <conditionalFormatting sqref="A1:O27">
    <cfRule type="cellIs" dxfId="1" priority="36" operator="equal">
      <formula>"RB"</formula>
    </cfRule>
  </conditionalFormatting>
  <conditionalFormatting sqref="A1:O27">
    <cfRule type="cellIs" dxfId="0" priority="37" operator="equal">
      <formula>"TE"</formula>
    </cfRule>
  </conditionalFormatting>
  <conditionalFormatting sqref="A1:O27">
    <cfRule type="cellIs" dxfId="43" priority="38" operator="equal">
      <formula>"DL"</formula>
    </cfRule>
  </conditionalFormatting>
  <conditionalFormatting sqref="A1:O27">
    <cfRule type="cellIs" dxfId="44" priority="39" operator="equal">
      <formula>"LB"</formula>
    </cfRule>
  </conditionalFormatting>
  <conditionalFormatting sqref="A1:O27">
    <cfRule type="cellIs" dxfId="45" priority="40" operator="equal">
      <formula>"DB"</formula>
    </cfRule>
  </conditionalFormatting>
  <conditionalFormatting sqref="A1:O27">
    <cfRule type="cellIs" dxfId="46" priority="41" operator="equal">
      <formula>"K"</formula>
    </cfRule>
  </conditionalFormatting>
  <conditionalFormatting sqref="A1:O27">
    <cfRule type="endsWith" dxfId="48" priority="42" operator="endsWith" text="D/ST">
      <formula>RIGHT((A1),LEN("D/ST"))=("D/ST")</formula>
    </cfRule>
  </conditionalFormatting>
  <conditionalFormatting sqref="A6:B6 A10:B10 A20 A24">
    <cfRule type="cellIs" dxfId="50" priority="43" operator="equal">
      <formula>"FA"</formula>
    </cfRule>
  </conditionalFormatting>
  <conditionalFormatting sqref="A6:B6 A10:B10 A20 A24">
    <cfRule type="cellIs" dxfId="51" priority="44" operator="equal">
      <formula>"ARI"</formula>
    </cfRule>
  </conditionalFormatting>
  <conditionalFormatting sqref="A6:B6 A10:B10 A20 A24">
    <cfRule type="cellIs" dxfId="52" priority="45" operator="equal">
      <formula>"ATL"</formula>
    </cfRule>
  </conditionalFormatting>
  <conditionalFormatting sqref="A6:B6 A10:B10 A20 A24">
    <cfRule type="cellIs" dxfId="53" priority="46" operator="equal">
      <formula>"BAL"</formula>
    </cfRule>
  </conditionalFormatting>
  <conditionalFormatting sqref="A6:B6 A10:B10 A20 A24">
    <cfRule type="cellIs" dxfId="54" priority="47" operator="equal">
      <formula>"BUF"</formula>
    </cfRule>
  </conditionalFormatting>
  <conditionalFormatting sqref="A6:B6 A10:B10 A20 A24">
    <cfRule type="cellIs" dxfId="55" priority="48" operator="equal">
      <formula>"CAR"</formula>
    </cfRule>
  </conditionalFormatting>
  <conditionalFormatting sqref="A6:B6 A10:B10 A20 A24">
    <cfRule type="cellIs" dxfId="56" priority="49" operator="equal">
      <formula>"CHI"</formula>
    </cfRule>
  </conditionalFormatting>
  <conditionalFormatting sqref="A6:B6 A10:B10 A20 A24">
    <cfRule type="cellIs" dxfId="57" priority="50" operator="equal">
      <formula>"CIN"</formula>
    </cfRule>
  </conditionalFormatting>
  <conditionalFormatting sqref="A6:B6 A10:B10 A20 A24">
    <cfRule type="cellIs" dxfId="58" priority="51" operator="equal">
      <formula>"CLE"</formula>
    </cfRule>
  </conditionalFormatting>
  <conditionalFormatting sqref="A6:B6 A10:B10 A20 A24">
    <cfRule type="cellIs" dxfId="59" priority="52" operator="equal">
      <formula>"DAL"</formula>
    </cfRule>
  </conditionalFormatting>
  <conditionalFormatting sqref="A6:B6 A10:B10 A20 A24">
    <cfRule type="cellIs" dxfId="60" priority="53" operator="equal">
      <formula>"DEN"</formula>
    </cfRule>
  </conditionalFormatting>
  <conditionalFormatting sqref="A6:B6 A10:B10 A20 A24">
    <cfRule type="cellIs" dxfId="61" priority="54" operator="equal">
      <formula>"DET"</formula>
    </cfRule>
  </conditionalFormatting>
  <conditionalFormatting sqref="A6:B6 A10:B10 A20 A24">
    <cfRule type="cellIs" dxfId="62" priority="55" operator="equal">
      <formula>"GBP"</formula>
    </cfRule>
  </conditionalFormatting>
  <conditionalFormatting sqref="A6:B6 A10:B10 A20 A24">
    <cfRule type="cellIs" dxfId="63" priority="56" operator="equal">
      <formula>"HOU"</formula>
    </cfRule>
  </conditionalFormatting>
  <conditionalFormatting sqref="A6:B6 A10:B10 A20 A24">
    <cfRule type="cellIs" dxfId="64" priority="57" operator="equal">
      <formula>"IND"</formula>
    </cfRule>
  </conditionalFormatting>
  <conditionalFormatting sqref="A6:B6 A10:B10 A20 A24">
    <cfRule type="cellIs" dxfId="65" priority="58" operator="equal">
      <formula>"JAC"</formula>
    </cfRule>
  </conditionalFormatting>
  <conditionalFormatting sqref="A6:B6 A10:B10 A20 A24">
    <cfRule type="cellIs" dxfId="66" priority="59" operator="equal">
      <formula>"KCC"</formula>
    </cfRule>
  </conditionalFormatting>
  <conditionalFormatting sqref="A6:B6 A10:B10 A20 A24">
    <cfRule type="cellIs" dxfId="67" priority="60" operator="equal">
      <formula>"LAC"</formula>
    </cfRule>
  </conditionalFormatting>
  <conditionalFormatting sqref="A6:B6 A10:B10 A20 A24">
    <cfRule type="cellIs" dxfId="68" priority="61" operator="equal">
      <formula>"LAR"</formula>
    </cfRule>
  </conditionalFormatting>
  <conditionalFormatting sqref="A6:B6 A10:B10 A20 A24">
    <cfRule type="cellIs" dxfId="69" priority="62" operator="equal">
      <formula>"MIA"</formula>
    </cfRule>
  </conditionalFormatting>
  <conditionalFormatting sqref="A6:B6 A10:B10 A20 A24">
    <cfRule type="cellIs" dxfId="70" priority="63" operator="equal">
      <formula>"MIN"</formula>
    </cfRule>
  </conditionalFormatting>
  <conditionalFormatting sqref="A6:B6 A10:B10 A20 A24">
    <cfRule type="cellIs" dxfId="71" priority="64" operator="equal">
      <formula>"NEP"</formula>
    </cfRule>
  </conditionalFormatting>
  <conditionalFormatting sqref="A6:B6 A10:B10 A20 A24">
    <cfRule type="cellIs" dxfId="72" priority="65" operator="equal">
      <formula>"NOS"</formula>
    </cfRule>
  </conditionalFormatting>
  <conditionalFormatting sqref="A6:B6 A10:B10 A20 A24">
    <cfRule type="cellIs" dxfId="73" priority="66" operator="equal">
      <formula>"NYG"</formula>
    </cfRule>
  </conditionalFormatting>
  <conditionalFormatting sqref="A6:B6 A10:B10 A20 A24">
    <cfRule type="cellIs" dxfId="74" priority="67" operator="equal">
      <formula>"NYJ"</formula>
    </cfRule>
  </conditionalFormatting>
  <conditionalFormatting sqref="A6:B6 A10:B10 A20 A24">
    <cfRule type="cellIs" dxfId="75" priority="68" operator="equal">
      <formula>"OAK"</formula>
    </cfRule>
  </conditionalFormatting>
  <conditionalFormatting sqref="A6:B6 A10:B10 A20 A24">
    <cfRule type="cellIs" dxfId="76" priority="69" operator="equal">
      <formula>"PHI"</formula>
    </cfRule>
  </conditionalFormatting>
  <conditionalFormatting sqref="A6:B6 A10:B10 A20 A24">
    <cfRule type="cellIs" dxfId="77" priority="70" operator="equal">
      <formula>"PIT"</formula>
    </cfRule>
  </conditionalFormatting>
  <conditionalFormatting sqref="A6:B6 A10:B10 A20 A24">
    <cfRule type="cellIs" dxfId="78" priority="71" operator="equal">
      <formula>"SFO"</formula>
    </cfRule>
  </conditionalFormatting>
  <conditionalFormatting sqref="A6:B6 A10:B10 A20 A24">
    <cfRule type="cellIs" dxfId="79" priority="72" operator="equal">
      <formula>"SEA"</formula>
    </cfRule>
  </conditionalFormatting>
  <conditionalFormatting sqref="A6:B6 A10:B10 A20 A24">
    <cfRule type="cellIs" dxfId="80" priority="73" operator="equal">
      <formula>"TBB"</formula>
    </cfRule>
  </conditionalFormatting>
  <conditionalFormatting sqref="A6:B6 A10:B10 A20 A24">
    <cfRule type="cellIs" dxfId="81" priority="74" operator="equal">
      <formula>"TEN"</formula>
    </cfRule>
  </conditionalFormatting>
  <conditionalFormatting sqref="A6:B6 A10:B10 A20 A24">
    <cfRule type="cellIs" dxfId="82" priority="75" operator="equal">
      <formula>"WAS"</formula>
    </cfRule>
  </conditionalFormatting>
  <conditionalFormatting sqref="A2:O27">
    <cfRule type="endsWith" dxfId="40" priority="76" operator="endsWith" text=" QB">
      <formula>RIGHT((A2),LEN(" QB"))=(" QB")</formula>
    </cfRule>
  </conditionalFormatting>
  <conditionalFormatting sqref="A2:O27">
    <cfRule type="endsWith" dxfId="41" priority="77" operator="endsWith" text=" WR">
      <formula>RIGHT((A2),LEN(" WR"))=(" WR")</formula>
    </cfRule>
  </conditionalFormatting>
  <conditionalFormatting sqref="A2:O27">
    <cfRule type="endsWith" dxfId="1" priority="78" operator="endsWith" text=" RB">
      <formula>RIGHT((A2),LEN(" RB"))=(" RB")</formula>
    </cfRule>
  </conditionalFormatting>
  <conditionalFormatting sqref="A2:O27">
    <cfRule type="endsWith" dxfId="0" priority="79" operator="endsWith" text=" TE">
      <formula>RIGHT((A2),LEN(" TE"))=(" TE")</formula>
    </cfRule>
  </conditionalFormatting>
  <conditionalFormatting sqref="A6:B6 A10:B10 A20 A24">
    <cfRule type="cellIs" dxfId="83" priority="80" operator="equal">
      <formula>"Draft"</formula>
    </cfRule>
  </conditionalFormatting>
  <conditionalFormatting sqref="A2:O27">
    <cfRule type="endsWith" dxfId="84" priority="81" operator="endsWith" text="T">
      <formula>RIGHT((A2),LEN("T"))=("T")</formula>
    </cfRule>
  </conditionalFormatting>
  <conditionalFormatting sqref="A2:O27">
    <cfRule type="endsWith" dxfId="85" priority="82" operator="endsWith" text="G">
      <formula>RIGHT((A2),LEN("G"))=("G")</formula>
    </cfRule>
  </conditionalFormatting>
  <conditionalFormatting sqref="A2:O27">
    <cfRule type="endsWith" dxfId="86" priority="83" operator="endsWith" text="C">
      <formula>RIGHT((A2),LEN("C"))=("C")</formula>
    </cfRule>
  </conditionalFormatting>
  <conditionalFormatting sqref="A2:O27">
    <cfRule type="endsWith" dxfId="43" priority="84" operator="endsWith" text="DI">
      <formula>RIGHT((A2),LEN("DI"))=("DI")</formula>
    </cfRule>
  </conditionalFormatting>
  <conditionalFormatting sqref="A2:O27">
    <cfRule type="endsWith" dxfId="48" priority="85" operator="endsWith" text="ED">
      <formula>RIGHT((A2),LEN("ED"))=("ED")</formula>
    </cfRule>
  </conditionalFormatting>
  <conditionalFormatting sqref="A2:O27">
    <cfRule type="endsWith" dxfId="44" priority="86" operator="endsWith" text="LB">
      <formula>RIGHT((A2),LEN("LB"))=("LB")</formula>
    </cfRule>
  </conditionalFormatting>
  <conditionalFormatting sqref="A2:O27">
    <cfRule type="endsWith" dxfId="87" priority="87" operator="endsWith" text="CB">
      <formula>RIGHT((A2),LEN("CB"))=("CB")</formula>
    </cfRule>
  </conditionalFormatting>
  <conditionalFormatting sqref="A2:O27">
    <cfRule type="endsWith" dxfId="45" priority="88" operator="endsWith" text="S">
      <formula>RIGHT((A2),LEN("S"))=("S")</formula>
    </cfRule>
  </conditionalFormatting>
  <conditionalFormatting sqref="A2:O27">
    <cfRule type="endsWith" dxfId="88" priority="89" operator="endsWith" text=" K">
      <formula>RIGHT((A2),LEN(" K"))=(" K")</formula>
    </cfRule>
  </conditionalFormatting>
  <conditionalFormatting sqref="A2:O27">
    <cfRule type="endsWith" dxfId="89" priority="90" operator="endsWith" text="P">
      <formula>RIGHT((A2),LEN("P"))=("P")</formula>
    </cfRule>
  </conditionalFormatting>
  <conditionalFormatting sqref="L1:M27">
    <cfRule type="expression" dxfId="4" priority="91">
      <formula>$A$1 &lt; 12</formula>
    </cfRule>
  </conditionalFormatting>
  <conditionalFormatting sqref="N1:O27">
    <cfRule type="expression" dxfId="4" priority="92">
      <formula>$A$1 &lt; 14</formula>
    </cfRule>
  </conditionalFormatting>
  <conditionalFormatting sqref="J1:K27">
    <cfRule type="expression" dxfId="4" priority="93">
      <formula>$A$1 &lt; 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9.0"/>
    <col customWidth="1" min="3" max="3" width="6.0"/>
    <col customWidth="1" min="4" max="4" width="5.88"/>
    <col customWidth="1" min="5" max="5" width="6.25"/>
    <col customWidth="1" min="6" max="6" width="5.63"/>
    <col customWidth="1" min="7" max="7" width="4.75"/>
    <col customWidth="1" min="8" max="8" width="7.25"/>
    <col customWidth="1" hidden="1" min="9" max="10" width="5.75"/>
    <col customWidth="1" hidden="1" min="11" max="11" width="5.88"/>
  </cols>
  <sheetData>
    <row r="1">
      <c r="A1" s="136" t="s">
        <v>81</v>
      </c>
      <c r="B1" s="136" t="s">
        <v>85</v>
      </c>
      <c r="C1" s="136" t="s">
        <v>28</v>
      </c>
      <c r="D1" s="136" t="s">
        <v>31</v>
      </c>
      <c r="E1" s="136" t="s">
        <v>35</v>
      </c>
      <c r="F1" s="136" t="s">
        <v>39</v>
      </c>
      <c r="G1" s="136" t="s">
        <v>40</v>
      </c>
      <c r="H1" s="136" t="s">
        <v>41</v>
      </c>
      <c r="I1" s="136" t="s">
        <v>42</v>
      </c>
      <c r="J1" s="136" t="s">
        <v>43</v>
      </c>
      <c r="K1" s="136" t="s">
        <v>44</v>
      </c>
    </row>
    <row r="2">
      <c r="A2" s="137" t="s">
        <v>457</v>
      </c>
      <c r="B2" s="138">
        <f t="shared" ref="B2:B33" si="1">SUM(C2:K2)</f>
        <v>0</v>
      </c>
      <c r="C2" s="138">
        <f>IF(Settings!$C$5=8, COUNTIFS('Draft (8 Teams)'!$E:$E,$A2,'Draft (8 Teams)'!$F:$F,C$1),
IF(Settings!$C$5=10, COUNTIFS('Draft (10 Teams)'!$E:$E,$A2,'Draft (10 Teams)'!$F:$F,C$1),
IF(Settings!$C$5=12, COUNTIFS('Draft (12 Teams)'!$E:$E,$A2,'Draft (12 Teams)'!$F:$F,C$1),
IF(Settings!$C$5=14, COUNTIFS('Draft '!$E:$E,$A2,'Draft '!$F:$F,C$1)))))</f>
        <v>0</v>
      </c>
      <c r="D2" s="138">
        <f>IF(Settings!$C$5=8, COUNTIFS('Draft (8 Teams)'!$E:$E,$A2,'Draft (8 Teams)'!$F:$F,D$1),
IF(Settings!$C$5=10, COUNTIFS('Draft (10 Teams)'!$E:$E,$A2,'Draft (10 Teams)'!$F:$F,D$1),
IF(Settings!$C$5=12, COUNTIFS('Draft (12 Teams)'!$E:$E,$A2,'Draft (12 Teams)'!$F:$F,D$1),
IF(Settings!$C$5=14, COUNTIFS('Draft '!$E:$E,$A2,'Draft '!$F:$F,D$1)))))</f>
        <v>0</v>
      </c>
      <c r="E2" s="138">
        <f>IF(Settings!$C$5=8, COUNTIFS('Draft (8 Teams)'!$E:$E,$A2,'Draft (8 Teams)'!$F:$F,E$1),
IF(Settings!$C$5=10, COUNTIFS('Draft (10 Teams)'!$E:$E,$A2,'Draft (10 Teams)'!$F:$F,E$1),
IF(Settings!$C$5=12, COUNTIFS('Draft (12 Teams)'!$E:$E,$A2,'Draft (12 Teams)'!$F:$F,E$1),
IF(Settings!$C$5=14, COUNTIFS('Draft '!$E:$E,$A2,'Draft '!$F:$F,E$1)))))</f>
        <v>0</v>
      </c>
      <c r="F2" s="138">
        <f>IF(Settings!$C$5=8, COUNTIFS('Draft (8 Teams)'!$E:$E,$A2,'Draft (8 Teams)'!$F:$F,F$1),
IF(Settings!$C$5=10, COUNTIFS('Draft (10 Teams)'!$E:$E,$A2,'Draft (10 Teams)'!$F:$F,F$1),
IF(Settings!$C$5=12, COUNTIFS('Draft (12 Teams)'!$E:$E,$A2,'Draft (12 Teams)'!$F:$F,F$1),
IF(Settings!$C$5=14, COUNTIFS('Draft '!$E:$E,$A2,'Draft '!$F:$F,F$1)))))</f>
        <v>0</v>
      </c>
      <c r="G2" s="138">
        <f>IF(Settings!$C$5=8, COUNTIFS('Draft (8 Teams)'!$E:$E,$A2,'Draft (8 Teams)'!$F:$F,G$1),
IF(Settings!$C$5=10, COUNTIFS('Draft (10 Teams)'!$E:$E,$A2,'Draft (10 Teams)'!$F:$F,G$1),
IF(Settings!$C$5=12, COUNTIFS('Draft (12 Teams)'!$E:$E,$A2,'Draft (12 Teams)'!$F:$F,G$1),
IF(Settings!$C$5=14, COUNTIFS('Draft '!$E:$E,$A2,'Draft '!$F:$F,G$1)))))</f>
        <v>0</v>
      </c>
      <c r="H2" s="138">
        <f>IF(Settings!$C$5=8, COUNTIFS('Draft (8 Teams)'!$E:$E,$A2,'Draft (8 Teams)'!$F:$F,H$1),
IF(Settings!$C$5=10, COUNTIFS('Draft (10 Teams)'!$E:$E,$A2,'Draft (10 Teams)'!$F:$F,H$1),
IF(Settings!$C$5=12, COUNTIFS('Draft (12 Teams)'!$E:$E,$A2,'Draft (12 Teams)'!$F:$F,H$1),
IF(Settings!$C$5=14, COUNTIFS('Draft '!$E:$E,$A2,'Draft '!$F:$F,H$1)))))</f>
        <v>0</v>
      </c>
      <c r="I2" s="138">
        <f>IF(Settings!$C$5=8, COUNTIFS('Draft (8 Teams)'!$E:$E,$A2,'Draft (8 Teams)'!$F:$F,I$1),
IF(Settings!$C$5=10, COUNTIFS('Draft (10 Teams)'!$E:$E,$A2,'Draft (10 Teams)'!$F:$F,I$1),
IF(Settings!$C$5=12, COUNTIFS('Draft (12 Teams)'!$E:$E,$A2,'Draft (12 Teams)'!$F:$F,I$1),
IF(Settings!$C$5=14, COUNTIFS('Draft '!$E:$E,$A2,'Draft '!$F:$F,I$1)))))</f>
        <v>0</v>
      </c>
      <c r="J2" s="138">
        <f>IF(Settings!$C$5=8, COUNTIFS('Draft (8 Teams)'!$E:$E,$A2,'Draft (8 Teams)'!$F:$F,J$1),
IF(Settings!$C$5=10, COUNTIFS('Draft (10 Teams)'!$E:$E,$A2,'Draft (10 Teams)'!$F:$F,J$1),
IF(Settings!$C$5=12, COUNTIFS('Draft (12 Teams)'!$E:$E,$A2,'Draft (12 Teams)'!$F:$F,J$1),
IF(Settings!$C$5=14, COUNTIFS('Draft '!$E:$E,$A2,'Draft '!$F:$F,J$1)))))</f>
        <v>0</v>
      </c>
      <c r="K2" s="138">
        <f>IF(Settings!$C$5=8, COUNTIFS('Draft (8 Teams)'!$E:$E,$A2,'Draft (8 Teams)'!$F:$F,K$1),
IF(Settings!$C$5=10, COUNTIFS('Draft (10 Teams)'!$E:$E,$A2,'Draft (10 Teams)'!$F:$F,K$1),
IF(Settings!$C$5=12, COUNTIFS('Draft (12 Teams)'!$E:$E,$A2,'Draft (12 Teams)'!$F:$F,K$1),
IF(Settings!$C$5=14, COUNTIFS('Draft '!$E:$E,$A2,'Draft '!$F:$F,K$1)))))</f>
        <v>0</v>
      </c>
    </row>
    <row r="3">
      <c r="A3" s="139" t="s">
        <v>458</v>
      </c>
      <c r="B3" s="140">
        <f t="shared" si="1"/>
        <v>0</v>
      </c>
      <c r="C3" s="140">
        <f>IF(Settings!$C$5=8, COUNTIFS('Draft (8 Teams)'!$E:$E,$A3,'Draft (8 Teams)'!$F:$F,C$1),
IF(Settings!$C$5=10, COUNTIFS('Draft (10 Teams)'!$E:$E,$A3,'Draft (10 Teams)'!$F:$F,C$1),
IF(Settings!$C$5=12, COUNTIFS('Draft (12 Teams)'!$E:$E,$A3,'Draft (12 Teams)'!$F:$F,C$1),
IF(Settings!$C$5=14, COUNTIFS('Draft '!$E:$E,$A3,'Draft '!$F:$F,C$1)))))</f>
        <v>0</v>
      </c>
      <c r="D3" s="140">
        <f>IF(Settings!$C$5=8, COUNTIFS('Draft (8 Teams)'!$E:$E,$A3,'Draft (8 Teams)'!$F:$F,D$1),
IF(Settings!$C$5=10, COUNTIFS('Draft (10 Teams)'!$E:$E,$A3,'Draft (10 Teams)'!$F:$F,D$1),
IF(Settings!$C$5=12, COUNTIFS('Draft (12 Teams)'!$E:$E,$A3,'Draft (12 Teams)'!$F:$F,D$1),
IF(Settings!$C$5=14, COUNTIFS('Draft '!$E:$E,$A3,'Draft '!$F:$F,D$1)))))</f>
        <v>0</v>
      </c>
      <c r="E3" s="140">
        <f>IF(Settings!$C$5=8, COUNTIFS('Draft (8 Teams)'!$E:$E,$A3,'Draft (8 Teams)'!$F:$F,E$1),
IF(Settings!$C$5=10, COUNTIFS('Draft (10 Teams)'!$E:$E,$A3,'Draft (10 Teams)'!$F:$F,E$1),
IF(Settings!$C$5=12, COUNTIFS('Draft (12 Teams)'!$E:$E,$A3,'Draft (12 Teams)'!$F:$F,E$1),
IF(Settings!$C$5=14, COUNTIFS('Draft '!$E:$E,$A3,'Draft '!$F:$F,E$1)))))</f>
        <v>0</v>
      </c>
      <c r="F3" s="140">
        <f>IF(Settings!$C$5=8, COUNTIFS('Draft (8 Teams)'!$E:$E,$A3,'Draft (8 Teams)'!$F:$F,F$1),
IF(Settings!$C$5=10, COUNTIFS('Draft (10 Teams)'!$E:$E,$A3,'Draft (10 Teams)'!$F:$F,F$1),
IF(Settings!$C$5=12, COUNTIFS('Draft (12 Teams)'!$E:$E,$A3,'Draft (12 Teams)'!$F:$F,F$1),
IF(Settings!$C$5=14, COUNTIFS('Draft '!$E:$E,$A3,'Draft '!$F:$F,F$1)))))</f>
        <v>0</v>
      </c>
      <c r="G3" s="140">
        <f>IF(Settings!$C$5=8, COUNTIFS('Draft (8 Teams)'!$E:$E,$A3,'Draft (8 Teams)'!$F:$F,G$1),
IF(Settings!$C$5=10, COUNTIFS('Draft (10 Teams)'!$E:$E,$A3,'Draft (10 Teams)'!$F:$F,G$1),
IF(Settings!$C$5=12, COUNTIFS('Draft (12 Teams)'!$E:$E,$A3,'Draft (12 Teams)'!$F:$F,G$1),
IF(Settings!$C$5=14, COUNTIFS('Draft '!$E:$E,$A3,'Draft '!$F:$F,G$1)))))</f>
        <v>0</v>
      </c>
      <c r="H3" s="140">
        <f>IF(Settings!$C$5=8, COUNTIFS('Draft (8 Teams)'!$E:$E,$A3,'Draft (8 Teams)'!$F:$F,H$1),
IF(Settings!$C$5=10, COUNTIFS('Draft (10 Teams)'!$E:$E,$A3,'Draft (10 Teams)'!$F:$F,H$1),
IF(Settings!$C$5=12, COUNTIFS('Draft (12 Teams)'!$E:$E,$A3,'Draft (12 Teams)'!$F:$F,H$1),
IF(Settings!$C$5=14, COUNTIFS('Draft '!$E:$E,$A3,'Draft '!$F:$F,H$1)))))</f>
        <v>0</v>
      </c>
      <c r="I3" s="140">
        <f>IF(Settings!$C$5=8, COUNTIFS('Draft (8 Teams)'!$E:$E,$A3,'Draft (8 Teams)'!$F:$F,I$1),
IF(Settings!$C$5=10, COUNTIFS('Draft (10 Teams)'!$E:$E,$A3,'Draft (10 Teams)'!$F:$F,I$1),
IF(Settings!$C$5=12, COUNTIFS('Draft (12 Teams)'!$E:$E,$A3,'Draft (12 Teams)'!$F:$F,I$1),
IF(Settings!$C$5=14, COUNTIFS('Draft '!$E:$E,$A3,'Draft '!$F:$F,I$1)))))</f>
        <v>0</v>
      </c>
      <c r="J3" s="140">
        <f>IF(Settings!$C$5=8, COUNTIFS('Draft (8 Teams)'!$E:$E,$A3,'Draft (8 Teams)'!$F:$F,J$1),
IF(Settings!$C$5=10, COUNTIFS('Draft (10 Teams)'!$E:$E,$A3,'Draft (10 Teams)'!$F:$F,J$1),
IF(Settings!$C$5=12, COUNTIFS('Draft (12 Teams)'!$E:$E,$A3,'Draft (12 Teams)'!$F:$F,J$1),
IF(Settings!$C$5=14, COUNTIFS('Draft '!$E:$E,$A3,'Draft '!$F:$F,J$1)))))</f>
        <v>0</v>
      </c>
      <c r="K3" s="140">
        <f>IF(Settings!$C$5=8, COUNTIFS('Draft (8 Teams)'!$E:$E,$A3,'Draft (8 Teams)'!$F:$F,K$1),
IF(Settings!$C$5=10, COUNTIFS('Draft (10 Teams)'!$E:$E,$A3,'Draft (10 Teams)'!$F:$F,K$1),
IF(Settings!$C$5=12, COUNTIFS('Draft (12 Teams)'!$E:$E,$A3,'Draft (12 Teams)'!$F:$F,K$1),
IF(Settings!$C$5=14, COUNTIFS('Draft '!$E:$E,$A3,'Draft '!$F:$F,K$1)))))</f>
        <v>0</v>
      </c>
    </row>
    <row r="4">
      <c r="A4" s="141" t="s">
        <v>459</v>
      </c>
      <c r="B4" s="138">
        <f t="shared" si="1"/>
        <v>0</v>
      </c>
      <c r="C4" s="138">
        <f>IF(Settings!$C$5=8, COUNTIFS('Draft (8 Teams)'!$E:$E,$A4,'Draft (8 Teams)'!$F:$F,C$1),
IF(Settings!$C$5=10, COUNTIFS('Draft (10 Teams)'!$E:$E,$A4,'Draft (10 Teams)'!$F:$F,C$1),
IF(Settings!$C$5=12, COUNTIFS('Draft (12 Teams)'!$E:$E,$A4,'Draft (12 Teams)'!$F:$F,C$1),
IF(Settings!$C$5=14, COUNTIFS('Draft '!$E:$E,$A4,'Draft '!$F:$F,C$1)))))</f>
        <v>0</v>
      </c>
      <c r="D4" s="138">
        <f>IF(Settings!$C$5=8, COUNTIFS('Draft (8 Teams)'!$E:$E,$A4,'Draft (8 Teams)'!$F:$F,D$1),
IF(Settings!$C$5=10, COUNTIFS('Draft (10 Teams)'!$E:$E,$A4,'Draft (10 Teams)'!$F:$F,D$1),
IF(Settings!$C$5=12, COUNTIFS('Draft (12 Teams)'!$E:$E,$A4,'Draft (12 Teams)'!$F:$F,D$1),
IF(Settings!$C$5=14, COUNTIFS('Draft '!$E:$E,$A4,'Draft '!$F:$F,D$1)))))</f>
        <v>0</v>
      </c>
      <c r="E4" s="138">
        <f>IF(Settings!$C$5=8, COUNTIFS('Draft (8 Teams)'!$E:$E,$A4,'Draft (8 Teams)'!$F:$F,E$1),
IF(Settings!$C$5=10, COUNTIFS('Draft (10 Teams)'!$E:$E,$A4,'Draft (10 Teams)'!$F:$F,E$1),
IF(Settings!$C$5=12, COUNTIFS('Draft (12 Teams)'!$E:$E,$A4,'Draft (12 Teams)'!$F:$F,E$1),
IF(Settings!$C$5=14, COUNTIFS('Draft '!$E:$E,$A4,'Draft '!$F:$F,E$1)))))</f>
        <v>0</v>
      </c>
      <c r="F4" s="138">
        <f>IF(Settings!$C$5=8, COUNTIFS('Draft (8 Teams)'!$E:$E,$A4,'Draft (8 Teams)'!$F:$F,F$1),
IF(Settings!$C$5=10, COUNTIFS('Draft (10 Teams)'!$E:$E,$A4,'Draft (10 Teams)'!$F:$F,F$1),
IF(Settings!$C$5=12, COUNTIFS('Draft (12 Teams)'!$E:$E,$A4,'Draft (12 Teams)'!$F:$F,F$1),
IF(Settings!$C$5=14, COUNTIFS('Draft '!$E:$E,$A4,'Draft '!$F:$F,F$1)))))</f>
        <v>0</v>
      </c>
      <c r="G4" s="138">
        <f>IF(Settings!$C$5=8, COUNTIFS('Draft (8 Teams)'!$E:$E,$A4,'Draft (8 Teams)'!$F:$F,G$1),
IF(Settings!$C$5=10, COUNTIFS('Draft (10 Teams)'!$E:$E,$A4,'Draft (10 Teams)'!$F:$F,G$1),
IF(Settings!$C$5=12, COUNTIFS('Draft (12 Teams)'!$E:$E,$A4,'Draft (12 Teams)'!$F:$F,G$1),
IF(Settings!$C$5=14, COUNTIFS('Draft '!$E:$E,$A4,'Draft '!$F:$F,G$1)))))</f>
        <v>0</v>
      </c>
      <c r="H4" s="138">
        <f>IF(Settings!$C$5=8, COUNTIFS('Draft (8 Teams)'!$E:$E,$A4,'Draft (8 Teams)'!$F:$F,H$1),
IF(Settings!$C$5=10, COUNTIFS('Draft (10 Teams)'!$E:$E,$A4,'Draft (10 Teams)'!$F:$F,H$1),
IF(Settings!$C$5=12, COUNTIFS('Draft (12 Teams)'!$E:$E,$A4,'Draft (12 Teams)'!$F:$F,H$1),
IF(Settings!$C$5=14, COUNTIFS('Draft '!$E:$E,$A4,'Draft '!$F:$F,H$1)))))</f>
        <v>0</v>
      </c>
      <c r="I4" s="138">
        <f>IF(Settings!$C$5=8, COUNTIFS('Draft (8 Teams)'!$E:$E,$A4,'Draft (8 Teams)'!$F:$F,I$1),
IF(Settings!$C$5=10, COUNTIFS('Draft (10 Teams)'!$E:$E,$A4,'Draft (10 Teams)'!$F:$F,I$1),
IF(Settings!$C$5=12, COUNTIFS('Draft (12 Teams)'!$E:$E,$A4,'Draft (12 Teams)'!$F:$F,I$1),
IF(Settings!$C$5=14, COUNTIFS('Draft '!$E:$E,$A4,'Draft '!$F:$F,I$1)))))</f>
        <v>0</v>
      </c>
      <c r="J4" s="138">
        <f>IF(Settings!$C$5=8, COUNTIFS('Draft (8 Teams)'!$E:$E,$A4,'Draft (8 Teams)'!$F:$F,J$1),
IF(Settings!$C$5=10, COUNTIFS('Draft (10 Teams)'!$E:$E,$A4,'Draft (10 Teams)'!$F:$F,J$1),
IF(Settings!$C$5=12, COUNTIFS('Draft (12 Teams)'!$E:$E,$A4,'Draft (12 Teams)'!$F:$F,J$1),
IF(Settings!$C$5=14, COUNTIFS('Draft '!$E:$E,$A4,'Draft '!$F:$F,J$1)))))</f>
        <v>0</v>
      </c>
      <c r="K4" s="138">
        <f>IF(Settings!$C$5=8, COUNTIFS('Draft (8 Teams)'!$E:$E,$A4,'Draft (8 Teams)'!$F:$F,K$1),
IF(Settings!$C$5=10, COUNTIFS('Draft (10 Teams)'!$E:$E,$A4,'Draft (10 Teams)'!$F:$F,K$1),
IF(Settings!$C$5=12, COUNTIFS('Draft (12 Teams)'!$E:$E,$A4,'Draft (12 Teams)'!$F:$F,K$1),
IF(Settings!$C$5=14, COUNTIFS('Draft '!$E:$E,$A4,'Draft '!$F:$F,K$1)))))</f>
        <v>0</v>
      </c>
    </row>
    <row r="5">
      <c r="A5" s="142" t="s">
        <v>460</v>
      </c>
      <c r="B5" s="140">
        <f t="shared" si="1"/>
        <v>0</v>
      </c>
      <c r="C5" s="140">
        <f>IF(Settings!$C$5=8, COUNTIFS('Draft (8 Teams)'!$E:$E,$A5,'Draft (8 Teams)'!$F:$F,C$1),
IF(Settings!$C$5=10, COUNTIFS('Draft (10 Teams)'!$E:$E,$A5,'Draft (10 Teams)'!$F:$F,C$1),
IF(Settings!$C$5=12, COUNTIFS('Draft (12 Teams)'!$E:$E,$A5,'Draft (12 Teams)'!$F:$F,C$1),
IF(Settings!$C$5=14, COUNTIFS('Draft '!$E:$E,$A5,'Draft '!$F:$F,C$1)))))</f>
        <v>0</v>
      </c>
      <c r="D5" s="140">
        <f>IF(Settings!$C$5=8, COUNTIFS('Draft (8 Teams)'!$E:$E,$A5,'Draft (8 Teams)'!$F:$F,D$1),
IF(Settings!$C$5=10, COUNTIFS('Draft (10 Teams)'!$E:$E,$A5,'Draft (10 Teams)'!$F:$F,D$1),
IF(Settings!$C$5=12, COUNTIFS('Draft (12 Teams)'!$E:$E,$A5,'Draft (12 Teams)'!$F:$F,D$1),
IF(Settings!$C$5=14, COUNTIFS('Draft '!$E:$E,$A5,'Draft '!$F:$F,D$1)))))</f>
        <v>0</v>
      </c>
      <c r="E5" s="140">
        <f>IF(Settings!$C$5=8, COUNTIFS('Draft (8 Teams)'!$E:$E,$A5,'Draft (8 Teams)'!$F:$F,E$1),
IF(Settings!$C$5=10, COUNTIFS('Draft (10 Teams)'!$E:$E,$A5,'Draft (10 Teams)'!$F:$F,E$1),
IF(Settings!$C$5=12, COUNTIFS('Draft (12 Teams)'!$E:$E,$A5,'Draft (12 Teams)'!$F:$F,E$1),
IF(Settings!$C$5=14, COUNTIFS('Draft '!$E:$E,$A5,'Draft '!$F:$F,E$1)))))</f>
        <v>0</v>
      </c>
      <c r="F5" s="140">
        <f>IF(Settings!$C$5=8, COUNTIFS('Draft (8 Teams)'!$E:$E,$A5,'Draft (8 Teams)'!$F:$F,F$1),
IF(Settings!$C$5=10, COUNTIFS('Draft (10 Teams)'!$E:$E,$A5,'Draft (10 Teams)'!$F:$F,F$1),
IF(Settings!$C$5=12, COUNTIFS('Draft (12 Teams)'!$E:$E,$A5,'Draft (12 Teams)'!$F:$F,F$1),
IF(Settings!$C$5=14, COUNTIFS('Draft '!$E:$E,$A5,'Draft '!$F:$F,F$1)))))</f>
        <v>0</v>
      </c>
      <c r="G5" s="140">
        <f>IF(Settings!$C$5=8, COUNTIFS('Draft (8 Teams)'!$E:$E,$A5,'Draft (8 Teams)'!$F:$F,G$1),
IF(Settings!$C$5=10, COUNTIFS('Draft (10 Teams)'!$E:$E,$A5,'Draft (10 Teams)'!$F:$F,G$1),
IF(Settings!$C$5=12, COUNTIFS('Draft (12 Teams)'!$E:$E,$A5,'Draft (12 Teams)'!$F:$F,G$1),
IF(Settings!$C$5=14, COUNTIFS('Draft '!$E:$E,$A5,'Draft '!$F:$F,G$1)))))</f>
        <v>0</v>
      </c>
      <c r="H5" s="140">
        <f>IF(Settings!$C$5=8, COUNTIFS('Draft (8 Teams)'!$E:$E,$A5,'Draft (8 Teams)'!$F:$F,H$1),
IF(Settings!$C$5=10, COUNTIFS('Draft (10 Teams)'!$E:$E,$A5,'Draft (10 Teams)'!$F:$F,H$1),
IF(Settings!$C$5=12, COUNTIFS('Draft (12 Teams)'!$E:$E,$A5,'Draft (12 Teams)'!$F:$F,H$1),
IF(Settings!$C$5=14, COUNTIFS('Draft '!$E:$E,$A5,'Draft '!$F:$F,H$1)))))</f>
        <v>0</v>
      </c>
      <c r="I5" s="140">
        <f>IF(Settings!$C$5=8, COUNTIFS('Draft (8 Teams)'!$E:$E,$A5,'Draft (8 Teams)'!$F:$F,I$1),
IF(Settings!$C$5=10, COUNTIFS('Draft (10 Teams)'!$E:$E,$A5,'Draft (10 Teams)'!$F:$F,I$1),
IF(Settings!$C$5=12, COUNTIFS('Draft (12 Teams)'!$E:$E,$A5,'Draft (12 Teams)'!$F:$F,I$1),
IF(Settings!$C$5=14, COUNTIFS('Draft '!$E:$E,$A5,'Draft '!$F:$F,I$1)))))</f>
        <v>0</v>
      </c>
      <c r="J5" s="140">
        <f>IF(Settings!$C$5=8, COUNTIFS('Draft (8 Teams)'!$E:$E,$A5,'Draft (8 Teams)'!$F:$F,J$1),
IF(Settings!$C$5=10, COUNTIFS('Draft (10 Teams)'!$E:$E,$A5,'Draft (10 Teams)'!$F:$F,J$1),
IF(Settings!$C$5=12, COUNTIFS('Draft (12 Teams)'!$E:$E,$A5,'Draft (12 Teams)'!$F:$F,J$1),
IF(Settings!$C$5=14, COUNTIFS('Draft '!$E:$E,$A5,'Draft '!$F:$F,J$1)))))</f>
        <v>0</v>
      </c>
      <c r="K5" s="140">
        <f>IF(Settings!$C$5=8, COUNTIFS('Draft (8 Teams)'!$E:$E,$A5,'Draft (8 Teams)'!$F:$F,K$1),
IF(Settings!$C$5=10, COUNTIFS('Draft (10 Teams)'!$E:$E,$A5,'Draft (10 Teams)'!$F:$F,K$1),
IF(Settings!$C$5=12, COUNTIFS('Draft (12 Teams)'!$E:$E,$A5,'Draft (12 Teams)'!$F:$F,K$1),
IF(Settings!$C$5=14, COUNTIFS('Draft '!$E:$E,$A5,'Draft '!$F:$F,K$1)))))</f>
        <v>0</v>
      </c>
    </row>
    <row r="6">
      <c r="A6" s="143" t="s">
        <v>461</v>
      </c>
      <c r="B6" s="138">
        <f t="shared" si="1"/>
        <v>0</v>
      </c>
      <c r="C6" s="138">
        <f>IF(Settings!$C$5=8, COUNTIFS('Draft (8 Teams)'!$E:$E,$A6,'Draft (8 Teams)'!$F:$F,C$1),
IF(Settings!$C$5=10, COUNTIFS('Draft (10 Teams)'!$E:$E,$A6,'Draft (10 Teams)'!$F:$F,C$1),
IF(Settings!$C$5=12, COUNTIFS('Draft (12 Teams)'!$E:$E,$A6,'Draft (12 Teams)'!$F:$F,C$1),
IF(Settings!$C$5=14, COUNTIFS('Draft '!$E:$E,$A6,'Draft '!$F:$F,C$1)))))</f>
        <v>0</v>
      </c>
      <c r="D6" s="138">
        <f>IF(Settings!$C$5=8, COUNTIFS('Draft (8 Teams)'!$E:$E,$A6,'Draft (8 Teams)'!$F:$F,D$1),
IF(Settings!$C$5=10, COUNTIFS('Draft (10 Teams)'!$E:$E,$A6,'Draft (10 Teams)'!$F:$F,D$1),
IF(Settings!$C$5=12, COUNTIFS('Draft (12 Teams)'!$E:$E,$A6,'Draft (12 Teams)'!$F:$F,D$1),
IF(Settings!$C$5=14, COUNTIFS('Draft '!$E:$E,$A6,'Draft '!$F:$F,D$1)))))</f>
        <v>0</v>
      </c>
      <c r="E6" s="138">
        <f>IF(Settings!$C$5=8, COUNTIFS('Draft (8 Teams)'!$E:$E,$A6,'Draft (8 Teams)'!$F:$F,E$1),
IF(Settings!$C$5=10, COUNTIFS('Draft (10 Teams)'!$E:$E,$A6,'Draft (10 Teams)'!$F:$F,E$1),
IF(Settings!$C$5=12, COUNTIFS('Draft (12 Teams)'!$E:$E,$A6,'Draft (12 Teams)'!$F:$F,E$1),
IF(Settings!$C$5=14, COUNTIFS('Draft '!$E:$E,$A6,'Draft '!$F:$F,E$1)))))</f>
        <v>0</v>
      </c>
      <c r="F6" s="138">
        <f>IF(Settings!$C$5=8, COUNTIFS('Draft (8 Teams)'!$E:$E,$A6,'Draft (8 Teams)'!$F:$F,F$1),
IF(Settings!$C$5=10, COUNTIFS('Draft (10 Teams)'!$E:$E,$A6,'Draft (10 Teams)'!$F:$F,F$1),
IF(Settings!$C$5=12, COUNTIFS('Draft (12 Teams)'!$E:$E,$A6,'Draft (12 Teams)'!$F:$F,F$1),
IF(Settings!$C$5=14, COUNTIFS('Draft '!$E:$E,$A6,'Draft '!$F:$F,F$1)))))</f>
        <v>0</v>
      </c>
      <c r="G6" s="138">
        <f>IF(Settings!$C$5=8, COUNTIFS('Draft (8 Teams)'!$E:$E,$A6,'Draft (8 Teams)'!$F:$F,G$1),
IF(Settings!$C$5=10, COUNTIFS('Draft (10 Teams)'!$E:$E,$A6,'Draft (10 Teams)'!$F:$F,G$1),
IF(Settings!$C$5=12, COUNTIFS('Draft (12 Teams)'!$E:$E,$A6,'Draft (12 Teams)'!$F:$F,G$1),
IF(Settings!$C$5=14, COUNTIFS('Draft '!$E:$E,$A6,'Draft '!$F:$F,G$1)))))</f>
        <v>0</v>
      </c>
      <c r="H6" s="138">
        <f>IF(Settings!$C$5=8, COUNTIFS('Draft (8 Teams)'!$E:$E,$A6,'Draft (8 Teams)'!$F:$F,H$1),
IF(Settings!$C$5=10, COUNTIFS('Draft (10 Teams)'!$E:$E,$A6,'Draft (10 Teams)'!$F:$F,H$1),
IF(Settings!$C$5=12, COUNTIFS('Draft (12 Teams)'!$E:$E,$A6,'Draft (12 Teams)'!$F:$F,H$1),
IF(Settings!$C$5=14, COUNTIFS('Draft '!$E:$E,$A6,'Draft '!$F:$F,H$1)))))</f>
        <v>0</v>
      </c>
      <c r="I6" s="138">
        <f>IF(Settings!$C$5=8, COUNTIFS('Draft (8 Teams)'!$E:$E,$A6,'Draft (8 Teams)'!$F:$F,I$1),
IF(Settings!$C$5=10, COUNTIFS('Draft (10 Teams)'!$E:$E,$A6,'Draft (10 Teams)'!$F:$F,I$1),
IF(Settings!$C$5=12, COUNTIFS('Draft (12 Teams)'!$E:$E,$A6,'Draft (12 Teams)'!$F:$F,I$1),
IF(Settings!$C$5=14, COUNTIFS('Draft '!$E:$E,$A6,'Draft '!$F:$F,I$1)))))</f>
        <v>0</v>
      </c>
      <c r="J6" s="138">
        <f>IF(Settings!$C$5=8, COUNTIFS('Draft (8 Teams)'!$E:$E,$A6,'Draft (8 Teams)'!$F:$F,J$1),
IF(Settings!$C$5=10, COUNTIFS('Draft (10 Teams)'!$E:$E,$A6,'Draft (10 Teams)'!$F:$F,J$1),
IF(Settings!$C$5=12, COUNTIFS('Draft (12 Teams)'!$E:$E,$A6,'Draft (12 Teams)'!$F:$F,J$1),
IF(Settings!$C$5=14, COUNTIFS('Draft '!$E:$E,$A6,'Draft '!$F:$F,J$1)))))</f>
        <v>0</v>
      </c>
      <c r="K6" s="138">
        <f>IF(Settings!$C$5=8, COUNTIFS('Draft (8 Teams)'!$E:$E,$A6,'Draft (8 Teams)'!$F:$F,K$1),
IF(Settings!$C$5=10, COUNTIFS('Draft (10 Teams)'!$E:$E,$A6,'Draft (10 Teams)'!$F:$F,K$1),
IF(Settings!$C$5=12, COUNTIFS('Draft (12 Teams)'!$E:$E,$A6,'Draft (12 Teams)'!$F:$F,K$1),
IF(Settings!$C$5=14, COUNTIFS('Draft '!$E:$E,$A6,'Draft '!$F:$F,K$1)))))</f>
        <v>0</v>
      </c>
    </row>
    <row r="7">
      <c r="A7" s="144" t="s">
        <v>462</v>
      </c>
      <c r="B7" s="140">
        <f t="shared" si="1"/>
        <v>0</v>
      </c>
      <c r="C7" s="140">
        <f>IF(Settings!$C$5=8, COUNTIFS('Draft (8 Teams)'!$E:$E,$A7,'Draft (8 Teams)'!$F:$F,C$1),
IF(Settings!$C$5=10, COUNTIFS('Draft (10 Teams)'!$E:$E,$A7,'Draft (10 Teams)'!$F:$F,C$1),
IF(Settings!$C$5=12, COUNTIFS('Draft (12 Teams)'!$E:$E,$A7,'Draft (12 Teams)'!$F:$F,C$1),
IF(Settings!$C$5=14, COUNTIFS('Draft '!$E:$E,$A7,'Draft '!$F:$F,C$1)))))</f>
        <v>0</v>
      </c>
      <c r="D7" s="140">
        <f>IF(Settings!$C$5=8, COUNTIFS('Draft (8 Teams)'!$E:$E,$A7,'Draft (8 Teams)'!$F:$F,D$1),
IF(Settings!$C$5=10, COUNTIFS('Draft (10 Teams)'!$E:$E,$A7,'Draft (10 Teams)'!$F:$F,D$1),
IF(Settings!$C$5=12, COUNTIFS('Draft (12 Teams)'!$E:$E,$A7,'Draft (12 Teams)'!$F:$F,D$1),
IF(Settings!$C$5=14, COUNTIFS('Draft '!$E:$E,$A7,'Draft '!$F:$F,D$1)))))</f>
        <v>0</v>
      </c>
      <c r="E7" s="140">
        <f>IF(Settings!$C$5=8, COUNTIFS('Draft (8 Teams)'!$E:$E,$A7,'Draft (8 Teams)'!$F:$F,E$1),
IF(Settings!$C$5=10, COUNTIFS('Draft (10 Teams)'!$E:$E,$A7,'Draft (10 Teams)'!$F:$F,E$1),
IF(Settings!$C$5=12, COUNTIFS('Draft (12 Teams)'!$E:$E,$A7,'Draft (12 Teams)'!$F:$F,E$1),
IF(Settings!$C$5=14, COUNTIFS('Draft '!$E:$E,$A7,'Draft '!$F:$F,E$1)))))</f>
        <v>0</v>
      </c>
      <c r="F7" s="140">
        <f>IF(Settings!$C$5=8, COUNTIFS('Draft (8 Teams)'!$E:$E,$A7,'Draft (8 Teams)'!$F:$F,F$1),
IF(Settings!$C$5=10, COUNTIFS('Draft (10 Teams)'!$E:$E,$A7,'Draft (10 Teams)'!$F:$F,F$1),
IF(Settings!$C$5=12, COUNTIFS('Draft (12 Teams)'!$E:$E,$A7,'Draft (12 Teams)'!$F:$F,F$1),
IF(Settings!$C$5=14, COUNTIFS('Draft '!$E:$E,$A7,'Draft '!$F:$F,F$1)))))</f>
        <v>0</v>
      </c>
      <c r="G7" s="140">
        <f>IF(Settings!$C$5=8, COUNTIFS('Draft (8 Teams)'!$E:$E,$A7,'Draft (8 Teams)'!$F:$F,G$1),
IF(Settings!$C$5=10, COUNTIFS('Draft (10 Teams)'!$E:$E,$A7,'Draft (10 Teams)'!$F:$F,G$1),
IF(Settings!$C$5=12, COUNTIFS('Draft (12 Teams)'!$E:$E,$A7,'Draft (12 Teams)'!$F:$F,G$1),
IF(Settings!$C$5=14, COUNTIFS('Draft '!$E:$E,$A7,'Draft '!$F:$F,G$1)))))</f>
        <v>0</v>
      </c>
      <c r="H7" s="140">
        <f>IF(Settings!$C$5=8, COUNTIFS('Draft (8 Teams)'!$E:$E,$A7,'Draft (8 Teams)'!$F:$F,H$1),
IF(Settings!$C$5=10, COUNTIFS('Draft (10 Teams)'!$E:$E,$A7,'Draft (10 Teams)'!$F:$F,H$1),
IF(Settings!$C$5=12, COUNTIFS('Draft (12 Teams)'!$E:$E,$A7,'Draft (12 Teams)'!$F:$F,H$1),
IF(Settings!$C$5=14, COUNTIFS('Draft '!$E:$E,$A7,'Draft '!$F:$F,H$1)))))</f>
        <v>0</v>
      </c>
      <c r="I7" s="140">
        <f>IF(Settings!$C$5=8, COUNTIFS('Draft (8 Teams)'!$E:$E,$A7,'Draft (8 Teams)'!$F:$F,I$1),
IF(Settings!$C$5=10, COUNTIFS('Draft (10 Teams)'!$E:$E,$A7,'Draft (10 Teams)'!$F:$F,I$1),
IF(Settings!$C$5=12, COUNTIFS('Draft (12 Teams)'!$E:$E,$A7,'Draft (12 Teams)'!$F:$F,I$1),
IF(Settings!$C$5=14, COUNTIFS('Draft '!$E:$E,$A7,'Draft '!$F:$F,I$1)))))</f>
        <v>0</v>
      </c>
      <c r="J7" s="140">
        <f>IF(Settings!$C$5=8, COUNTIFS('Draft (8 Teams)'!$E:$E,$A7,'Draft (8 Teams)'!$F:$F,J$1),
IF(Settings!$C$5=10, COUNTIFS('Draft (10 Teams)'!$E:$E,$A7,'Draft (10 Teams)'!$F:$F,J$1),
IF(Settings!$C$5=12, COUNTIFS('Draft (12 Teams)'!$E:$E,$A7,'Draft (12 Teams)'!$F:$F,J$1),
IF(Settings!$C$5=14, COUNTIFS('Draft '!$E:$E,$A7,'Draft '!$F:$F,J$1)))))</f>
        <v>0</v>
      </c>
      <c r="K7" s="140">
        <f>IF(Settings!$C$5=8, COUNTIFS('Draft (8 Teams)'!$E:$E,$A7,'Draft (8 Teams)'!$F:$F,K$1),
IF(Settings!$C$5=10, COUNTIFS('Draft (10 Teams)'!$E:$E,$A7,'Draft (10 Teams)'!$F:$F,K$1),
IF(Settings!$C$5=12, COUNTIFS('Draft (12 Teams)'!$E:$E,$A7,'Draft (12 Teams)'!$F:$F,K$1),
IF(Settings!$C$5=14, COUNTIFS('Draft '!$E:$E,$A7,'Draft '!$F:$F,K$1)))))</f>
        <v>0</v>
      </c>
    </row>
    <row r="8">
      <c r="A8" s="145" t="s">
        <v>463</v>
      </c>
      <c r="B8" s="138">
        <f t="shared" si="1"/>
        <v>0</v>
      </c>
      <c r="C8" s="138">
        <f>IF(Settings!$C$5=8, COUNTIFS('Draft (8 Teams)'!$E:$E,$A8,'Draft (8 Teams)'!$F:$F,C$1),
IF(Settings!$C$5=10, COUNTIFS('Draft (10 Teams)'!$E:$E,$A8,'Draft (10 Teams)'!$F:$F,C$1),
IF(Settings!$C$5=12, COUNTIFS('Draft (12 Teams)'!$E:$E,$A8,'Draft (12 Teams)'!$F:$F,C$1),
IF(Settings!$C$5=14, COUNTIFS('Draft '!$E:$E,$A8,'Draft '!$F:$F,C$1)))))</f>
        <v>0</v>
      </c>
      <c r="D8" s="138">
        <f>IF(Settings!$C$5=8, COUNTIFS('Draft (8 Teams)'!$E:$E,$A8,'Draft (8 Teams)'!$F:$F,D$1),
IF(Settings!$C$5=10, COUNTIFS('Draft (10 Teams)'!$E:$E,$A8,'Draft (10 Teams)'!$F:$F,D$1),
IF(Settings!$C$5=12, COUNTIFS('Draft (12 Teams)'!$E:$E,$A8,'Draft (12 Teams)'!$F:$F,D$1),
IF(Settings!$C$5=14, COUNTIFS('Draft '!$E:$E,$A8,'Draft '!$F:$F,D$1)))))</f>
        <v>0</v>
      </c>
      <c r="E8" s="138">
        <f>IF(Settings!$C$5=8, COUNTIFS('Draft (8 Teams)'!$E:$E,$A8,'Draft (8 Teams)'!$F:$F,E$1),
IF(Settings!$C$5=10, COUNTIFS('Draft (10 Teams)'!$E:$E,$A8,'Draft (10 Teams)'!$F:$F,E$1),
IF(Settings!$C$5=12, COUNTIFS('Draft (12 Teams)'!$E:$E,$A8,'Draft (12 Teams)'!$F:$F,E$1),
IF(Settings!$C$5=14, COUNTIFS('Draft '!$E:$E,$A8,'Draft '!$F:$F,E$1)))))</f>
        <v>0</v>
      </c>
      <c r="F8" s="138">
        <f>IF(Settings!$C$5=8, COUNTIFS('Draft (8 Teams)'!$E:$E,$A8,'Draft (8 Teams)'!$F:$F,F$1),
IF(Settings!$C$5=10, COUNTIFS('Draft (10 Teams)'!$E:$E,$A8,'Draft (10 Teams)'!$F:$F,F$1),
IF(Settings!$C$5=12, COUNTIFS('Draft (12 Teams)'!$E:$E,$A8,'Draft (12 Teams)'!$F:$F,F$1),
IF(Settings!$C$5=14, COUNTIFS('Draft '!$E:$E,$A8,'Draft '!$F:$F,F$1)))))</f>
        <v>0</v>
      </c>
      <c r="G8" s="138">
        <f>IF(Settings!$C$5=8, COUNTIFS('Draft (8 Teams)'!$E:$E,$A8,'Draft (8 Teams)'!$F:$F,G$1),
IF(Settings!$C$5=10, COUNTIFS('Draft (10 Teams)'!$E:$E,$A8,'Draft (10 Teams)'!$F:$F,G$1),
IF(Settings!$C$5=12, COUNTIFS('Draft (12 Teams)'!$E:$E,$A8,'Draft (12 Teams)'!$F:$F,G$1),
IF(Settings!$C$5=14, COUNTIFS('Draft '!$E:$E,$A8,'Draft '!$F:$F,G$1)))))</f>
        <v>0</v>
      </c>
      <c r="H8" s="138">
        <f>IF(Settings!$C$5=8, COUNTIFS('Draft (8 Teams)'!$E:$E,$A8,'Draft (8 Teams)'!$F:$F,H$1),
IF(Settings!$C$5=10, COUNTIFS('Draft (10 Teams)'!$E:$E,$A8,'Draft (10 Teams)'!$F:$F,H$1),
IF(Settings!$C$5=12, COUNTIFS('Draft (12 Teams)'!$E:$E,$A8,'Draft (12 Teams)'!$F:$F,H$1),
IF(Settings!$C$5=14, COUNTIFS('Draft '!$E:$E,$A8,'Draft '!$F:$F,H$1)))))</f>
        <v>0</v>
      </c>
      <c r="I8" s="138">
        <f>IF(Settings!$C$5=8, COUNTIFS('Draft (8 Teams)'!$E:$E,$A8,'Draft (8 Teams)'!$F:$F,I$1),
IF(Settings!$C$5=10, COUNTIFS('Draft (10 Teams)'!$E:$E,$A8,'Draft (10 Teams)'!$F:$F,I$1),
IF(Settings!$C$5=12, COUNTIFS('Draft (12 Teams)'!$E:$E,$A8,'Draft (12 Teams)'!$F:$F,I$1),
IF(Settings!$C$5=14, COUNTIFS('Draft '!$E:$E,$A8,'Draft '!$F:$F,I$1)))))</f>
        <v>0</v>
      </c>
      <c r="J8" s="138">
        <f>IF(Settings!$C$5=8, COUNTIFS('Draft (8 Teams)'!$E:$E,$A8,'Draft (8 Teams)'!$F:$F,J$1),
IF(Settings!$C$5=10, COUNTIFS('Draft (10 Teams)'!$E:$E,$A8,'Draft (10 Teams)'!$F:$F,J$1),
IF(Settings!$C$5=12, COUNTIFS('Draft (12 Teams)'!$E:$E,$A8,'Draft (12 Teams)'!$F:$F,J$1),
IF(Settings!$C$5=14, COUNTIFS('Draft '!$E:$E,$A8,'Draft '!$F:$F,J$1)))))</f>
        <v>0</v>
      </c>
      <c r="K8" s="138">
        <f>IF(Settings!$C$5=8, COUNTIFS('Draft (8 Teams)'!$E:$E,$A8,'Draft (8 Teams)'!$F:$F,K$1),
IF(Settings!$C$5=10, COUNTIFS('Draft (10 Teams)'!$E:$E,$A8,'Draft (10 Teams)'!$F:$F,K$1),
IF(Settings!$C$5=12, COUNTIFS('Draft (12 Teams)'!$E:$E,$A8,'Draft (12 Teams)'!$F:$F,K$1),
IF(Settings!$C$5=14, COUNTIFS('Draft '!$E:$E,$A8,'Draft '!$F:$F,K$1)))))</f>
        <v>0</v>
      </c>
    </row>
    <row r="9">
      <c r="A9" s="146" t="s">
        <v>464</v>
      </c>
      <c r="B9" s="140">
        <f t="shared" si="1"/>
        <v>0</v>
      </c>
      <c r="C9" s="140">
        <f>IF(Settings!$C$5=8, COUNTIFS('Draft (8 Teams)'!$E:$E,$A9,'Draft (8 Teams)'!$F:$F,C$1),
IF(Settings!$C$5=10, COUNTIFS('Draft (10 Teams)'!$E:$E,$A9,'Draft (10 Teams)'!$F:$F,C$1),
IF(Settings!$C$5=12, COUNTIFS('Draft (12 Teams)'!$E:$E,$A9,'Draft (12 Teams)'!$F:$F,C$1),
IF(Settings!$C$5=14, COUNTIFS('Draft '!$E:$E,$A9,'Draft '!$F:$F,C$1)))))</f>
        <v>0</v>
      </c>
      <c r="D9" s="140">
        <f>IF(Settings!$C$5=8, COUNTIFS('Draft (8 Teams)'!$E:$E,$A9,'Draft (8 Teams)'!$F:$F,D$1),
IF(Settings!$C$5=10, COUNTIFS('Draft (10 Teams)'!$E:$E,$A9,'Draft (10 Teams)'!$F:$F,D$1),
IF(Settings!$C$5=12, COUNTIFS('Draft (12 Teams)'!$E:$E,$A9,'Draft (12 Teams)'!$F:$F,D$1),
IF(Settings!$C$5=14, COUNTIFS('Draft '!$E:$E,$A9,'Draft '!$F:$F,D$1)))))</f>
        <v>0</v>
      </c>
      <c r="E9" s="140">
        <f>IF(Settings!$C$5=8, COUNTIFS('Draft (8 Teams)'!$E:$E,$A9,'Draft (8 Teams)'!$F:$F,E$1),
IF(Settings!$C$5=10, COUNTIFS('Draft (10 Teams)'!$E:$E,$A9,'Draft (10 Teams)'!$F:$F,E$1),
IF(Settings!$C$5=12, COUNTIFS('Draft (12 Teams)'!$E:$E,$A9,'Draft (12 Teams)'!$F:$F,E$1),
IF(Settings!$C$5=14, COUNTIFS('Draft '!$E:$E,$A9,'Draft '!$F:$F,E$1)))))</f>
        <v>0</v>
      </c>
      <c r="F9" s="140">
        <f>IF(Settings!$C$5=8, COUNTIFS('Draft (8 Teams)'!$E:$E,$A9,'Draft (8 Teams)'!$F:$F,F$1),
IF(Settings!$C$5=10, COUNTIFS('Draft (10 Teams)'!$E:$E,$A9,'Draft (10 Teams)'!$F:$F,F$1),
IF(Settings!$C$5=12, COUNTIFS('Draft (12 Teams)'!$E:$E,$A9,'Draft (12 Teams)'!$F:$F,F$1),
IF(Settings!$C$5=14, COUNTIFS('Draft '!$E:$E,$A9,'Draft '!$F:$F,F$1)))))</f>
        <v>0</v>
      </c>
      <c r="G9" s="140">
        <f>IF(Settings!$C$5=8, COUNTIFS('Draft (8 Teams)'!$E:$E,$A9,'Draft (8 Teams)'!$F:$F,G$1),
IF(Settings!$C$5=10, COUNTIFS('Draft (10 Teams)'!$E:$E,$A9,'Draft (10 Teams)'!$F:$F,G$1),
IF(Settings!$C$5=12, COUNTIFS('Draft (12 Teams)'!$E:$E,$A9,'Draft (12 Teams)'!$F:$F,G$1),
IF(Settings!$C$5=14, COUNTIFS('Draft '!$E:$E,$A9,'Draft '!$F:$F,G$1)))))</f>
        <v>0</v>
      </c>
      <c r="H9" s="140">
        <f>IF(Settings!$C$5=8, COUNTIFS('Draft (8 Teams)'!$E:$E,$A9,'Draft (8 Teams)'!$F:$F,H$1),
IF(Settings!$C$5=10, COUNTIFS('Draft (10 Teams)'!$E:$E,$A9,'Draft (10 Teams)'!$F:$F,H$1),
IF(Settings!$C$5=12, COUNTIFS('Draft (12 Teams)'!$E:$E,$A9,'Draft (12 Teams)'!$F:$F,H$1),
IF(Settings!$C$5=14, COUNTIFS('Draft '!$E:$E,$A9,'Draft '!$F:$F,H$1)))))</f>
        <v>0</v>
      </c>
      <c r="I9" s="140">
        <f>IF(Settings!$C$5=8, COUNTIFS('Draft (8 Teams)'!$E:$E,$A9,'Draft (8 Teams)'!$F:$F,I$1),
IF(Settings!$C$5=10, COUNTIFS('Draft (10 Teams)'!$E:$E,$A9,'Draft (10 Teams)'!$F:$F,I$1),
IF(Settings!$C$5=12, COUNTIFS('Draft (12 Teams)'!$E:$E,$A9,'Draft (12 Teams)'!$F:$F,I$1),
IF(Settings!$C$5=14, COUNTIFS('Draft '!$E:$E,$A9,'Draft '!$F:$F,I$1)))))</f>
        <v>0</v>
      </c>
      <c r="J9" s="140">
        <f>IF(Settings!$C$5=8, COUNTIFS('Draft (8 Teams)'!$E:$E,$A9,'Draft (8 Teams)'!$F:$F,J$1),
IF(Settings!$C$5=10, COUNTIFS('Draft (10 Teams)'!$E:$E,$A9,'Draft (10 Teams)'!$F:$F,J$1),
IF(Settings!$C$5=12, COUNTIFS('Draft (12 Teams)'!$E:$E,$A9,'Draft (12 Teams)'!$F:$F,J$1),
IF(Settings!$C$5=14, COUNTIFS('Draft '!$E:$E,$A9,'Draft '!$F:$F,J$1)))))</f>
        <v>0</v>
      </c>
      <c r="K9" s="140">
        <f>IF(Settings!$C$5=8, COUNTIFS('Draft (8 Teams)'!$E:$E,$A9,'Draft (8 Teams)'!$F:$F,K$1),
IF(Settings!$C$5=10, COUNTIFS('Draft (10 Teams)'!$E:$E,$A9,'Draft (10 Teams)'!$F:$F,K$1),
IF(Settings!$C$5=12, COUNTIFS('Draft (12 Teams)'!$E:$E,$A9,'Draft (12 Teams)'!$F:$F,K$1),
IF(Settings!$C$5=14, COUNTIFS('Draft '!$E:$E,$A9,'Draft '!$F:$F,K$1)))))</f>
        <v>0</v>
      </c>
    </row>
    <row r="10">
      <c r="A10" s="147" t="s">
        <v>465</v>
      </c>
      <c r="B10" s="138">
        <f t="shared" si="1"/>
        <v>0</v>
      </c>
      <c r="C10" s="138">
        <f>IF(Settings!$C$5=8, COUNTIFS('Draft (8 Teams)'!$E:$E,$A10,'Draft (8 Teams)'!$F:$F,C$1),
IF(Settings!$C$5=10, COUNTIFS('Draft (10 Teams)'!$E:$E,$A10,'Draft (10 Teams)'!$F:$F,C$1),
IF(Settings!$C$5=12, COUNTIFS('Draft (12 Teams)'!$E:$E,$A10,'Draft (12 Teams)'!$F:$F,C$1),
IF(Settings!$C$5=14, COUNTIFS('Draft '!$E:$E,$A10,'Draft '!$F:$F,C$1)))))</f>
        <v>0</v>
      </c>
      <c r="D10" s="138">
        <f>IF(Settings!$C$5=8, COUNTIFS('Draft (8 Teams)'!$E:$E,$A10,'Draft (8 Teams)'!$F:$F,D$1),
IF(Settings!$C$5=10, COUNTIFS('Draft (10 Teams)'!$E:$E,$A10,'Draft (10 Teams)'!$F:$F,D$1),
IF(Settings!$C$5=12, COUNTIFS('Draft (12 Teams)'!$E:$E,$A10,'Draft (12 Teams)'!$F:$F,D$1),
IF(Settings!$C$5=14, COUNTIFS('Draft '!$E:$E,$A10,'Draft '!$F:$F,D$1)))))</f>
        <v>0</v>
      </c>
      <c r="E10" s="138">
        <f>IF(Settings!$C$5=8, COUNTIFS('Draft (8 Teams)'!$E:$E,$A10,'Draft (8 Teams)'!$F:$F,E$1),
IF(Settings!$C$5=10, COUNTIFS('Draft (10 Teams)'!$E:$E,$A10,'Draft (10 Teams)'!$F:$F,E$1),
IF(Settings!$C$5=12, COUNTIFS('Draft (12 Teams)'!$E:$E,$A10,'Draft (12 Teams)'!$F:$F,E$1),
IF(Settings!$C$5=14, COUNTIFS('Draft '!$E:$E,$A10,'Draft '!$F:$F,E$1)))))</f>
        <v>0</v>
      </c>
      <c r="F10" s="138">
        <f>IF(Settings!$C$5=8, COUNTIFS('Draft (8 Teams)'!$E:$E,$A10,'Draft (8 Teams)'!$F:$F,F$1),
IF(Settings!$C$5=10, COUNTIFS('Draft (10 Teams)'!$E:$E,$A10,'Draft (10 Teams)'!$F:$F,F$1),
IF(Settings!$C$5=12, COUNTIFS('Draft (12 Teams)'!$E:$E,$A10,'Draft (12 Teams)'!$F:$F,F$1),
IF(Settings!$C$5=14, COUNTIFS('Draft '!$E:$E,$A10,'Draft '!$F:$F,F$1)))))</f>
        <v>0</v>
      </c>
      <c r="G10" s="138">
        <f>IF(Settings!$C$5=8, COUNTIFS('Draft (8 Teams)'!$E:$E,$A10,'Draft (8 Teams)'!$F:$F,G$1),
IF(Settings!$C$5=10, COUNTIFS('Draft (10 Teams)'!$E:$E,$A10,'Draft (10 Teams)'!$F:$F,G$1),
IF(Settings!$C$5=12, COUNTIFS('Draft (12 Teams)'!$E:$E,$A10,'Draft (12 Teams)'!$F:$F,G$1),
IF(Settings!$C$5=14, COUNTIFS('Draft '!$E:$E,$A10,'Draft '!$F:$F,G$1)))))</f>
        <v>0</v>
      </c>
      <c r="H10" s="138">
        <f>IF(Settings!$C$5=8, COUNTIFS('Draft (8 Teams)'!$E:$E,$A10,'Draft (8 Teams)'!$F:$F,H$1),
IF(Settings!$C$5=10, COUNTIFS('Draft (10 Teams)'!$E:$E,$A10,'Draft (10 Teams)'!$F:$F,H$1),
IF(Settings!$C$5=12, COUNTIFS('Draft (12 Teams)'!$E:$E,$A10,'Draft (12 Teams)'!$F:$F,H$1),
IF(Settings!$C$5=14, COUNTIFS('Draft '!$E:$E,$A10,'Draft '!$F:$F,H$1)))))</f>
        <v>0</v>
      </c>
      <c r="I10" s="138">
        <f>IF(Settings!$C$5=8, COUNTIFS('Draft (8 Teams)'!$E:$E,$A10,'Draft (8 Teams)'!$F:$F,I$1),
IF(Settings!$C$5=10, COUNTIFS('Draft (10 Teams)'!$E:$E,$A10,'Draft (10 Teams)'!$F:$F,I$1),
IF(Settings!$C$5=12, COUNTIFS('Draft (12 Teams)'!$E:$E,$A10,'Draft (12 Teams)'!$F:$F,I$1),
IF(Settings!$C$5=14, COUNTIFS('Draft '!$E:$E,$A10,'Draft '!$F:$F,I$1)))))</f>
        <v>0</v>
      </c>
      <c r="J10" s="138">
        <f>IF(Settings!$C$5=8, COUNTIFS('Draft (8 Teams)'!$E:$E,$A10,'Draft (8 Teams)'!$F:$F,J$1),
IF(Settings!$C$5=10, COUNTIFS('Draft (10 Teams)'!$E:$E,$A10,'Draft (10 Teams)'!$F:$F,J$1),
IF(Settings!$C$5=12, COUNTIFS('Draft (12 Teams)'!$E:$E,$A10,'Draft (12 Teams)'!$F:$F,J$1),
IF(Settings!$C$5=14, COUNTIFS('Draft '!$E:$E,$A10,'Draft '!$F:$F,J$1)))))</f>
        <v>0</v>
      </c>
      <c r="K10" s="138">
        <f>IF(Settings!$C$5=8, COUNTIFS('Draft (8 Teams)'!$E:$E,$A10,'Draft (8 Teams)'!$F:$F,K$1),
IF(Settings!$C$5=10, COUNTIFS('Draft (10 Teams)'!$E:$E,$A10,'Draft (10 Teams)'!$F:$F,K$1),
IF(Settings!$C$5=12, COUNTIFS('Draft (12 Teams)'!$E:$E,$A10,'Draft (12 Teams)'!$F:$F,K$1),
IF(Settings!$C$5=14, COUNTIFS('Draft '!$E:$E,$A10,'Draft '!$F:$F,K$1)))))</f>
        <v>0</v>
      </c>
    </row>
    <row r="11">
      <c r="A11" s="148" t="s">
        <v>466</v>
      </c>
      <c r="B11" s="140">
        <f t="shared" si="1"/>
        <v>0</v>
      </c>
      <c r="C11" s="140">
        <f>IF(Settings!$C$5=8, COUNTIFS('Draft (8 Teams)'!$E:$E,$A11,'Draft (8 Teams)'!$F:$F,C$1),
IF(Settings!$C$5=10, COUNTIFS('Draft (10 Teams)'!$E:$E,$A11,'Draft (10 Teams)'!$F:$F,C$1),
IF(Settings!$C$5=12, COUNTIFS('Draft (12 Teams)'!$E:$E,$A11,'Draft (12 Teams)'!$F:$F,C$1),
IF(Settings!$C$5=14, COUNTIFS('Draft '!$E:$E,$A11,'Draft '!$F:$F,C$1)))))</f>
        <v>0</v>
      </c>
      <c r="D11" s="140">
        <f>IF(Settings!$C$5=8, COUNTIFS('Draft (8 Teams)'!$E:$E,$A11,'Draft (8 Teams)'!$F:$F,D$1),
IF(Settings!$C$5=10, COUNTIFS('Draft (10 Teams)'!$E:$E,$A11,'Draft (10 Teams)'!$F:$F,D$1),
IF(Settings!$C$5=12, COUNTIFS('Draft (12 Teams)'!$E:$E,$A11,'Draft (12 Teams)'!$F:$F,D$1),
IF(Settings!$C$5=14, COUNTIFS('Draft '!$E:$E,$A11,'Draft '!$F:$F,D$1)))))</f>
        <v>0</v>
      </c>
      <c r="E11" s="140">
        <f>IF(Settings!$C$5=8, COUNTIFS('Draft (8 Teams)'!$E:$E,$A11,'Draft (8 Teams)'!$F:$F,E$1),
IF(Settings!$C$5=10, COUNTIFS('Draft (10 Teams)'!$E:$E,$A11,'Draft (10 Teams)'!$F:$F,E$1),
IF(Settings!$C$5=12, COUNTIFS('Draft (12 Teams)'!$E:$E,$A11,'Draft (12 Teams)'!$F:$F,E$1),
IF(Settings!$C$5=14, COUNTIFS('Draft '!$E:$E,$A11,'Draft '!$F:$F,E$1)))))</f>
        <v>0</v>
      </c>
      <c r="F11" s="140">
        <f>IF(Settings!$C$5=8, COUNTIFS('Draft (8 Teams)'!$E:$E,$A11,'Draft (8 Teams)'!$F:$F,F$1),
IF(Settings!$C$5=10, COUNTIFS('Draft (10 Teams)'!$E:$E,$A11,'Draft (10 Teams)'!$F:$F,F$1),
IF(Settings!$C$5=12, COUNTIFS('Draft (12 Teams)'!$E:$E,$A11,'Draft (12 Teams)'!$F:$F,F$1),
IF(Settings!$C$5=14, COUNTIFS('Draft '!$E:$E,$A11,'Draft '!$F:$F,F$1)))))</f>
        <v>0</v>
      </c>
      <c r="G11" s="140">
        <f>IF(Settings!$C$5=8, COUNTIFS('Draft (8 Teams)'!$E:$E,$A11,'Draft (8 Teams)'!$F:$F,G$1),
IF(Settings!$C$5=10, COUNTIFS('Draft (10 Teams)'!$E:$E,$A11,'Draft (10 Teams)'!$F:$F,G$1),
IF(Settings!$C$5=12, COUNTIFS('Draft (12 Teams)'!$E:$E,$A11,'Draft (12 Teams)'!$F:$F,G$1),
IF(Settings!$C$5=14, COUNTIFS('Draft '!$E:$E,$A11,'Draft '!$F:$F,G$1)))))</f>
        <v>0</v>
      </c>
      <c r="H11" s="140">
        <f>IF(Settings!$C$5=8, COUNTIFS('Draft (8 Teams)'!$E:$E,$A11,'Draft (8 Teams)'!$F:$F,H$1),
IF(Settings!$C$5=10, COUNTIFS('Draft (10 Teams)'!$E:$E,$A11,'Draft (10 Teams)'!$F:$F,H$1),
IF(Settings!$C$5=12, COUNTIFS('Draft (12 Teams)'!$E:$E,$A11,'Draft (12 Teams)'!$F:$F,H$1),
IF(Settings!$C$5=14, COUNTIFS('Draft '!$E:$E,$A11,'Draft '!$F:$F,H$1)))))</f>
        <v>0</v>
      </c>
      <c r="I11" s="140">
        <f>IF(Settings!$C$5=8, COUNTIFS('Draft (8 Teams)'!$E:$E,$A11,'Draft (8 Teams)'!$F:$F,I$1),
IF(Settings!$C$5=10, COUNTIFS('Draft (10 Teams)'!$E:$E,$A11,'Draft (10 Teams)'!$F:$F,I$1),
IF(Settings!$C$5=12, COUNTIFS('Draft (12 Teams)'!$E:$E,$A11,'Draft (12 Teams)'!$F:$F,I$1),
IF(Settings!$C$5=14, COUNTIFS('Draft '!$E:$E,$A11,'Draft '!$F:$F,I$1)))))</f>
        <v>0</v>
      </c>
      <c r="J11" s="140">
        <f>IF(Settings!$C$5=8, COUNTIFS('Draft (8 Teams)'!$E:$E,$A11,'Draft (8 Teams)'!$F:$F,J$1),
IF(Settings!$C$5=10, COUNTIFS('Draft (10 Teams)'!$E:$E,$A11,'Draft (10 Teams)'!$F:$F,J$1),
IF(Settings!$C$5=12, COUNTIFS('Draft (12 Teams)'!$E:$E,$A11,'Draft (12 Teams)'!$F:$F,J$1),
IF(Settings!$C$5=14, COUNTIFS('Draft '!$E:$E,$A11,'Draft '!$F:$F,J$1)))))</f>
        <v>0</v>
      </c>
      <c r="K11" s="140">
        <f>IF(Settings!$C$5=8, COUNTIFS('Draft (8 Teams)'!$E:$E,$A11,'Draft (8 Teams)'!$F:$F,K$1),
IF(Settings!$C$5=10, COUNTIFS('Draft (10 Teams)'!$E:$E,$A11,'Draft (10 Teams)'!$F:$F,K$1),
IF(Settings!$C$5=12, COUNTIFS('Draft (12 Teams)'!$E:$E,$A11,'Draft (12 Teams)'!$F:$F,K$1),
IF(Settings!$C$5=14, COUNTIFS('Draft '!$E:$E,$A11,'Draft '!$F:$F,K$1)))))</f>
        <v>0</v>
      </c>
    </row>
    <row r="12">
      <c r="A12" s="149" t="s">
        <v>467</v>
      </c>
      <c r="B12" s="138">
        <f t="shared" si="1"/>
        <v>0</v>
      </c>
      <c r="C12" s="138">
        <f>IF(Settings!$C$5=8, COUNTIFS('Draft (8 Teams)'!$E:$E,$A12,'Draft (8 Teams)'!$F:$F,C$1),
IF(Settings!$C$5=10, COUNTIFS('Draft (10 Teams)'!$E:$E,$A12,'Draft (10 Teams)'!$F:$F,C$1),
IF(Settings!$C$5=12, COUNTIFS('Draft (12 Teams)'!$E:$E,$A12,'Draft (12 Teams)'!$F:$F,C$1),
IF(Settings!$C$5=14, COUNTIFS('Draft '!$E:$E,$A12,'Draft '!$F:$F,C$1)))))</f>
        <v>0</v>
      </c>
      <c r="D12" s="138">
        <f>IF(Settings!$C$5=8, COUNTIFS('Draft (8 Teams)'!$E:$E,$A12,'Draft (8 Teams)'!$F:$F,D$1),
IF(Settings!$C$5=10, COUNTIFS('Draft (10 Teams)'!$E:$E,$A12,'Draft (10 Teams)'!$F:$F,D$1),
IF(Settings!$C$5=12, COUNTIFS('Draft (12 Teams)'!$E:$E,$A12,'Draft (12 Teams)'!$F:$F,D$1),
IF(Settings!$C$5=14, COUNTIFS('Draft '!$E:$E,$A12,'Draft '!$F:$F,D$1)))))</f>
        <v>0</v>
      </c>
      <c r="E12" s="138">
        <f>IF(Settings!$C$5=8, COUNTIFS('Draft (8 Teams)'!$E:$E,$A12,'Draft (8 Teams)'!$F:$F,E$1),
IF(Settings!$C$5=10, COUNTIFS('Draft (10 Teams)'!$E:$E,$A12,'Draft (10 Teams)'!$F:$F,E$1),
IF(Settings!$C$5=12, COUNTIFS('Draft (12 Teams)'!$E:$E,$A12,'Draft (12 Teams)'!$F:$F,E$1),
IF(Settings!$C$5=14, COUNTIFS('Draft '!$E:$E,$A12,'Draft '!$F:$F,E$1)))))</f>
        <v>0</v>
      </c>
      <c r="F12" s="138">
        <f>IF(Settings!$C$5=8, COUNTIFS('Draft (8 Teams)'!$E:$E,$A12,'Draft (8 Teams)'!$F:$F,F$1),
IF(Settings!$C$5=10, COUNTIFS('Draft (10 Teams)'!$E:$E,$A12,'Draft (10 Teams)'!$F:$F,F$1),
IF(Settings!$C$5=12, COUNTIFS('Draft (12 Teams)'!$E:$E,$A12,'Draft (12 Teams)'!$F:$F,F$1),
IF(Settings!$C$5=14, COUNTIFS('Draft '!$E:$E,$A12,'Draft '!$F:$F,F$1)))))</f>
        <v>0</v>
      </c>
      <c r="G12" s="138">
        <f>IF(Settings!$C$5=8, COUNTIFS('Draft (8 Teams)'!$E:$E,$A12,'Draft (8 Teams)'!$F:$F,G$1),
IF(Settings!$C$5=10, COUNTIFS('Draft (10 Teams)'!$E:$E,$A12,'Draft (10 Teams)'!$F:$F,G$1),
IF(Settings!$C$5=12, COUNTIFS('Draft (12 Teams)'!$E:$E,$A12,'Draft (12 Teams)'!$F:$F,G$1),
IF(Settings!$C$5=14, COUNTIFS('Draft '!$E:$E,$A12,'Draft '!$F:$F,G$1)))))</f>
        <v>0</v>
      </c>
      <c r="H12" s="138">
        <f>IF(Settings!$C$5=8, COUNTIFS('Draft (8 Teams)'!$E:$E,$A12,'Draft (8 Teams)'!$F:$F,H$1),
IF(Settings!$C$5=10, COUNTIFS('Draft (10 Teams)'!$E:$E,$A12,'Draft (10 Teams)'!$F:$F,H$1),
IF(Settings!$C$5=12, COUNTIFS('Draft (12 Teams)'!$E:$E,$A12,'Draft (12 Teams)'!$F:$F,H$1),
IF(Settings!$C$5=14, COUNTIFS('Draft '!$E:$E,$A12,'Draft '!$F:$F,H$1)))))</f>
        <v>0</v>
      </c>
      <c r="I12" s="138">
        <f>IF(Settings!$C$5=8, COUNTIFS('Draft (8 Teams)'!$E:$E,$A12,'Draft (8 Teams)'!$F:$F,I$1),
IF(Settings!$C$5=10, COUNTIFS('Draft (10 Teams)'!$E:$E,$A12,'Draft (10 Teams)'!$F:$F,I$1),
IF(Settings!$C$5=12, COUNTIFS('Draft (12 Teams)'!$E:$E,$A12,'Draft (12 Teams)'!$F:$F,I$1),
IF(Settings!$C$5=14, COUNTIFS('Draft '!$E:$E,$A12,'Draft '!$F:$F,I$1)))))</f>
        <v>0</v>
      </c>
      <c r="J12" s="138">
        <f>IF(Settings!$C$5=8, COUNTIFS('Draft (8 Teams)'!$E:$E,$A12,'Draft (8 Teams)'!$F:$F,J$1),
IF(Settings!$C$5=10, COUNTIFS('Draft (10 Teams)'!$E:$E,$A12,'Draft (10 Teams)'!$F:$F,J$1),
IF(Settings!$C$5=12, COUNTIFS('Draft (12 Teams)'!$E:$E,$A12,'Draft (12 Teams)'!$F:$F,J$1),
IF(Settings!$C$5=14, COUNTIFS('Draft '!$E:$E,$A12,'Draft '!$F:$F,J$1)))))</f>
        <v>0</v>
      </c>
      <c r="K12" s="138">
        <f>IF(Settings!$C$5=8, COUNTIFS('Draft (8 Teams)'!$E:$E,$A12,'Draft (8 Teams)'!$F:$F,K$1),
IF(Settings!$C$5=10, COUNTIFS('Draft (10 Teams)'!$E:$E,$A12,'Draft (10 Teams)'!$F:$F,K$1),
IF(Settings!$C$5=12, COUNTIFS('Draft (12 Teams)'!$E:$E,$A12,'Draft (12 Teams)'!$F:$F,K$1),
IF(Settings!$C$5=14, COUNTIFS('Draft '!$E:$E,$A12,'Draft '!$F:$F,K$1)))))</f>
        <v>0</v>
      </c>
    </row>
    <row r="13">
      <c r="A13" s="150" t="s">
        <v>468</v>
      </c>
      <c r="B13" s="140">
        <f t="shared" si="1"/>
        <v>0</v>
      </c>
      <c r="C13" s="140">
        <f>IF(Settings!$C$5=8, COUNTIFS('Draft (8 Teams)'!$E:$E,$A13,'Draft (8 Teams)'!$F:$F,C$1),
IF(Settings!$C$5=10, COUNTIFS('Draft (10 Teams)'!$E:$E,$A13,'Draft (10 Teams)'!$F:$F,C$1),
IF(Settings!$C$5=12, COUNTIFS('Draft (12 Teams)'!$E:$E,$A13,'Draft (12 Teams)'!$F:$F,C$1),
IF(Settings!$C$5=14, COUNTIFS('Draft '!$E:$E,$A13,'Draft '!$F:$F,C$1)))))</f>
        <v>0</v>
      </c>
      <c r="D13" s="140">
        <f>IF(Settings!$C$5=8, COUNTIFS('Draft (8 Teams)'!$E:$E,$A13,'Draft (8 Teams)'!$F:$F,D$1),
IF(Settings!$C$5=10, COUNTIFS('Draft (10 Teams)'!$E:$E,$A13,'Draft (10 Teams)'!$F:$F,D$1),
IF(Settings!$C$5=12, COUNTIFS('Draft (12 Teams)'!$E:$E,$A13,'Draft (12 Teams)'!$F:$F,D$1),
IF(Settings!$C$5=14, COUNTIFS('Draft '!$E:$E,$A13,'Draft '!$F:$F,D$1)))))</f>
        <v>0</v>
      </c>
      <c r="E13" s="140">
        <f>IF(Settings!$C$5=8, COUNTIFS('Draft (8 Teams)'!$E:$E,$A13,'Draft (8 Teams)'!$F:$F,E$1),
IF(Settings!$C$5=10, COUNTIFS('Draft (10 Teams)'!$E:$E,$A13,'Draft (10 Teams)'!$F:$F,E$1),
IF(Settings!$C$5=12, COUNTIFS('Draft (12 Teams)'!$E:$E,$A13,'Draft (12 Teams)'!$F:$F,E$1),
IF(Settings!$C$5=14, COUNTIFS('Draft '!$E:$E,$A13,'Draft '!$F:$F,E$1)))))</f>
        <v>0</v>
      </c>
      <c r="F13" s="140">
        <f>IF(Settings!$C$5=8, COUNTIFS('Draft (8 Teams)'!$E:$E,$A13,'Draft (8 Teams)'!$F:$F,F$1),
IF(Settings!$C$5=10, COUNTIFS('Draft (10 Teams)'!$E:$E,$A13,'Draft (10 Teams)'!$F:$F,F$1),
IF(Settings!$C$5=12, COUNTIFS('Draft (12 Teams)'!$E:$E,$A13,'Draft (12 Teams)'!$F:$F,F$1),
IF(Settings!$C$5=14, COUNTIFS('Draft '!$E:$E,$A13,'Draft '!$F:$F,F$1)))))</f>
        <v>0</v>
      </c>
      <c r="G13" s="140">
        <f>IF(Settings!$C$5=8, COUNTIFS('Draft (8 Teams)'!$E:$E,$A13,'Draft (8 Teams)'!$F:$F,G$1),
IF(Settings!$C$5=10, COUNTIFS('Draft (10 Teams)'!$E:$E,$A13,'Draft (10 Teams)'!$F:$F,G$1),
IF(Settings!$C$5=12, COUNTIFS('Draft (12 Teams)'!$E:$E,$A13,'Draft (12 Teams)'!$F:$F,G$1),
IF(Settings!$C$5=14, COUNTIFS('Draft '!$E:$E,$A13,'Draft '!$F:$F,G$1)))))</f>
        <v>0</v>
      </c>
      <c r="H13" s="140">
        <f>IF(Settings!$C$5=8, COUNTIFS('Draft (8 Teams)'!$E:$E,$A13,'Draft (8 Teams)'!$F:$F,H$1),
IF(Settings!$C$5=10, COUNTIFS('Draft (10 Teams)'!$E:$E,$A13,'Draft (10 Teams)'!$F:$F,H$1),
IF(Settings!$C$5=12, COUNTIFS('Draft (12 Teams)'!$E:$E,$A13,'Draft (12 Teams)'!$F:$F,H$1),
IF(Settings!$C$5=14, COUNTIFS('Draft '!$E:$E,$A13,'Draft '!$F:$F,H$1)))))</f>
        <v>0</v>
      </c>
      <c r="I13" s="140">
        <f>IF(Settings!$C$5=8, COUNTIFS('Draft (8 Teams)'!$E:$E,$A13,'Draft (8 Teams)'!$F:$F,I$1),
IF(Settings!$C$5=10, COUNTIFS('Draft (10 Teams)'!$E:$E,$A13,'Draft (10 Teams)'!$F:$F,I$1),
IF(Settings!$C$5=12, COUNTIFS('Draft (12 Teams)'!$E:$E,$A13,'Draft (12 Teams)'!$F:$F,I$1),
IF(Settings!$C$5=14, COUNTIFS('Draft '!$E:$E,$A13,'Draft '!$F:$F,I$1)))))</f>
        <v>0</v>
      </c>
      <c r="J13" s="140">
        <f>IF(Settings!$C$5=8, COUNTIFS('Draft (8 Teams)'!$E:$E,$A13,'Draft (8 Teams)'!$F:$F,J$1),
IF(Settings!$C$5=10, COUNTIFS('Draft (10 Teams)'!$E:$E,$A13,'Draft (10 Teams)'!$F:$F,J$1),
IF(Settings!$C$5=12, COUNTIFS('Draft (12 Teams)'!$E:$E,$A13,'Draft (12 Teams)'!$F:$F,J$1),
IF(Settings!$C$5=14, COUNTIFS('Draft '!$E:$E,$A13,'Draft '!$F:$F,J$1)))))</f>
        <v>0</v>
      </c>
      <c r="K13" s="140">
        <f>IF(Settings!$C$5=8, COUNTIFS('Draft (8 Teams)'!$E:$E,$A13,'Draft (8 Teams)'!$F:$F,K$1),
IF(Settings!$C$5=10, COUNTIFS('Draft (10 Teams)'!$E:$E,$A13,'Draft (10 Teams)'!$F:$F,K$1),
IF(Settings!$C$5=12, COUNTIFS('Draft (12 Teams)'!$E:$E,$A13,'Draft (12 Teams)'!$F:$F,K$1),
IF(Settings!$C$5=14, COUNTIFS('Draft '!$E:$E,$A13,'Draft '!$F:$F,K$1)))))</f>
        <v>0</v>
      </c>
    </row>
    <row r="14">
      <c r="A14" s="151" t="s">
        <v>469</v>
      </c>
      <c r="B14" s="138">
        <f t="shared" si="1"/>
        <v>0</v>
      </c>
      <c r="C14" s="138">
        <f>IF(Settings!$C$5=8, COUNTIFS('Draft (8 Teams)'!$E:$E,$A14,'Draft (8 Teams)'!$F:$F,C$1),
IF(Settings!$C$5=10, COUNTIFS('Draft (10 Teams)'!$E:$E,$A14,'Draft (10 Teams)'!$F:$F,C$1),
IF(Settings!$C$5=12, COUNTIFS('Draft (12 Teams)'!$E:$E,$A14,'Draft (12 Teams)'!$F:$F,C$1),
IF(Settings!$C$5=14, COUNTIFS('Draft '!$E:$E,$A14,'Draft '!$F:$F,C$1)))))</f>
        <v>0</v>
      </c>
      <c r="D14" s="138">
        <f>IF(Settings!$C$5=8, COUNTIFS('Draft (8 Teams)'!$E:$E,$A14,'Draft (8 Teams)'!$F:$F,D$1),
IF(Settings!$C$5=10, COUNTIFS('Draft (10 Teams)'!$E:$E,$A14,'Draft (10 Teams)'!$F:$F,D$1),
IF(Settings!$C$5=12, COUNTIFS('Draft (12 Teams)'!$E:$E,$A14,'Draft (12 Teams)'!$F:$F,D$1),
IF(Settings!$C$5=14, COUNTIFS('Draft '!$E:$E,$A14,'Draft '!$F:$F,D$1)))))</f>
        <v>0</v>
      </c>
      <c r="E14" s="138">
        <f>IF(Settings!$C$5=8, COUNTIFS('Draft (8 Teams)'!$E:$E,$A14,'Draft (8 Teams)'!$F:$F,E$1),
IF(Settings!$C$5=10, COUNTIFS('Draft (10 Teams)'!$E:$E,$A14,'Draft (10 Teams)'!$F:$F,E$1),
IF(Settings!$C$5=12, COUNTIFS('Draft (12 Teams)'!$E:$E,$A14,'Draft (12 Teams)'!$F:$F,E$1),
IF(Settings!$C$5=14, COUNTIFS('Draft '!$E:$E,$A14,'Draft '!$F:$F,E$1)))))</f>
        <v>0</v>
      </c>
      <c r="F14" s="138">
        <f>IF(Settings!$C$5=8, COUNTIFS('Draft (8 Teams)'!$E:$E,$A14,'Draft (8 Teams)'!$F:$F,F$1),
IF(Settings!$C$5=10, COUNTIFS('Draft (10 Teams)'!$E:$E,$A14,'Draft (10 Teams)'!$F:$F,F$1),
IF(Settings!$C$5=12, COUNTIFS('Draft (12 Teams)'!$E:$E,$A14,'Draft (12 Teams)'!$F:$F,F$1),
IF(Settings!$C$5=14, COUNTIFS('Draft '!$E:$E,$A14,'Draft '!$F:$F,F$1)))))</f>
        <v>0</v>
      </c>
      <c r="G14" s="138">
        <f>IF(Settings!$C$5=8, COUNTIFS('Draft (8 Teams)'!$E:$E,$A14,'Draft (8 Teams)'!$F:$F,G$1),
IF(Settings!$C$5=10, COUNTIFS('Draft (10 Teams)'!$E:$E,$A14,'Draft (10 Teams)'!$F:$F,G$1),
IF(Settings!$C$5=12, COUNTIFS('Draft (12 Teams)'!$E:$E,$A14,'Draft (12 Teams)'!$F:$F,G$1),
IF(Settings!$C$5=14, COUNTIFS('Draft '!$E:$E,$A14,'Draft '!$F:$F,G$1)))))</f>
        <v>0</v>
      </c>
      <c r="H14" s="138">
        <f>IF(Settings!$C$5=8, COUNTIFS('Draft (8 Teams)'!$E:$E,$A14,'Draft (8 Teams)'!$F:$F,H$1),
IF(Settings!$C$5=10, COUNTIFS('Draft (10 Teams)'!$E:$E,$A14,'Draft (10 Teams)'!$F:$F,H$1),
IF(Settings!$C$5=12, COUNTIFS('Draft (12 Teams)'!$E:$E,$A14,'Draft (12 Teams)'!$F:$F,H$1),
IF(Settings!$C$5=14, COUNTIFS('Draft '!$E:$E,$A14,'Draft '!$F:$F,H$1)))))</f>
        <v>0</v>
      </c>
      <c r="I14" s="138">
        <f>IF(Settings!$C$5=8, COUNTIFS('Draft (8 Teams)'!$E:$E,$A14,'Draft (8 Teams)'!$F:$F,I$1),
IF(Settings!$C$5=10, COUNTIFS('Draft (10 Teams)'!$E:$E,$A14,'Draft (10 Teams)'!$F:$F,I$1),
IF(Settings!$C$5=12, COUNTIFS('Draft (12 Teams)'!$E:$E,$A14,'Draft (12 Teams)'!$F:$F,I$1),
IF(Settings!$C$5=14, COUNTIFS('Draft '!$E:$E,$A14,'Draft '!$F:$F,I$1)))))</f>
        <v>0</v>
      </c>
      <c r="J14" s="138">
        <f>IF(Settings!$C$5=8, COUNTIFS('Draft (8 Teams)'!$E:$E,$A14,'Draft (8 Teams)'!$F:$F,J$1),
IF(Settings!$C$5=10, COUNTIFS('Draft (10 Teams)'!$E:$E,$A14,'Draft (10 Teams)'!$F:$F,J$1),
IF(Settings!$C$5=12, COUNTIFS('Draft (12 Teams)'!$E:$E,$A14,'Draft (12 Teams)'!$F:$F,J$1),
IF(Settings!$C$5=14, COUNTIFS('Draft '!$E:$E,$A14,'Draft '!$F:$F,J$1)))))</f>
        <v>0</v>
      </c>
      <c r="K14" s="138">
        <f>IF(Settings!$C$5=8, COUNTIFS('Draft (8 Teams)'!$E:$E,$A14,'Draft (8 Teams)'!$F:$F,K$1),
IF(Settings!$C$5=10, COUNTIFS('Draft (10 Teams)'!$E:$E,$A14,'Draft (10 Teams)'!$F:$F,K$1),
IF(Settings!$C$5=12, COUNTIFS('Draft (12 Teams)'!$E:$E,$A14,'Draft (12 Teams)'!$F:$F,K$1),
IF(Settings!$C$5=14, COUNTIFS('Draft '!$E:$E,$A14,'Draft '!$F:$F,K$1)))))</f>
        <v>0</v>
      </c>
    </row>
    <row r="15">
      <c r="A15" s="152" t="s">
        <v>470</v>
      </c>
      <c r="B15" s="140">
        <f t="shared" si="1"/>
        <v>0</v>
      </c>
      <c r="C15" s="140">
        <f>IF(Settings!$C$5=8, COUNTIFS('Draft (8 Teams)'!$E:$E,$A15,'Draft (8 Teams)'!$F:$F,C$1),
IF(Settings!$C$5=10, COUNTIFS('Draft (10 Teams)'!$E:$E,$A15,'Draft (10 Teams)'!$F:$F,C$1),
IF(Settings!$C$5=12, COUNTIFS('Draft (12 Teams)'!$E:$E,$A15,'Draft (12 Teams)'!$F:$F,C$1),
IF(Settings!$C$5=14, COUNTIFS('Draft '!$E:$E,$A15,'Draft '!$F:$F,C$1)))))</f>
        <v>0</v>
      </c>
      <c r="D15" s="140">
        <f>IF(Settings!$C$5=8, COUNTIFS('Draft (8 Teams)'!$E:$E,$A15,'Draft (8 Teams)'!$F:$F,D$1),
IF(Settings!$C$5=10, COUNTIFS('Draft (10 Teams)'!$E:$E,$A15,'Draft (10 Teams)'!$F:$F,D$1),
IF(Settings!$C$5=12, COUNTIFS('Draft (12 Teams)'!$E:$E,$A15,'Draft (12 Teams)'!$F:$F,D$1),
IF(Settings!$C$5=14, COUNTIFS('Draft '!$E:$E,$A15,'Draft '!$F:$F,D$1)))))</f>
        <v>0</v>
      </c>
      <c r="E15" s="140">
        <f>IF(Settings!$C$5=8, COUNTIFS('Draft (8 Teams)'!$E:$E,$A15,'Draft (8 Teams)'!$F:$F,E$1),
IF(Settings!$C$5=10, COUNTIFS('Draft (10 Teams)'!$E:$E,$A15,'Draft (10 Teams)'!$F:$F,E$1),
IF(Settings!$C$5=12, COUNTIFS('Draft (12 Teams)'!$E:$E,$A15,'Draft (12 Teams)'!$F:$F,E$1),
IF(Settings!$C$5=14, COUNTIFS('Draft '!$E:$E,$A15,'Draft '!$F:$F,E$1)))))</f>
        <v>0</v>
      </c>
      <c r="F15" s="140">
        <f>IF(Settings!$C$5=8, COUNTIFS('Draft (8 Teams)'!$E:$E,$A15,'Draft (8 Teams)'!$F:$F,F$1),
IF(Settings!$C$5=10, COUNTIFS('Draft (10 Teams)'!$E:$E,$A15,'Draft (10 Teams)'!$F:$F,F$1),
IF(Settings!$C$5=12, COUNTIFS('Draft (12 Teams)'!$E:$E,$A15,'Draft (12 Teams)'!$F:$F,F$1),
IF(Settings!$C$5=14, COUNTIFS('Draft '!$E:$E,$A15,'Draft '!$F:$F,F$1)))))</f>
        <v>0</v>
      </c>
      <c r="G15" s="140">
        <f>IF(Settings!$C$5=8, COUNTIFS('Draft (8 Teams)'!$E:$E,$A15,'Draft (8 Teams)'!$F:$F,G$1),
IF(Settings!$C$5=10, COUNTIFS('Draft (10 Teams)'!$E:$E,$A15,'Draft (10 Teams)'!$F:$F,G$1),
IF(Settings!$C$5=12, COUNTIFS('Draft (12 Teams)'!$E:$E,$A15,'Draft (12 Teams)'!$F:$F,G$1),
IF(Settings!$C$5=14, COUNTIFS('Draft '!$E:$E,$A15,'Draft '!$F:$F,G$1)))))</f>
        <v>0</v>
      </c>
      <c r="H15" s="140">
        <f>IF(Settings!$C$5=8, COUNTIFS('Draft (8 Teams)'!$E:$E,$A15,'Draft (8 Teams)'!$F:$F,H$1),
IF(Settings!$C$5=10, COUNTIFS('Draft (10 Teams)'!$E:$E,$A15,'Draft (10 Teams)'!$F:$F,H$1),
IF(Settings!$C$5=12, COUNTIFS('Draft (12 Teams)'!$E:$E,$A15,'Draft (12 Teams)'!$F:$F,H$1),
IF(Settings!$C$5=14, COUNTIFS('Draft '!$E:$E,$A15,'Draft '!$F:$F,H$1)))))</f>
        <v>0</v>
      </c>
      <c r="I15" s="140">
        <f>IF(Settings!$C$5=8, COUNTIFS('Draft (8 Teams)'!$E:$E,$A15,'Draft (8 Teams)'!$F:$F,I$1),
IF(Settings!$C$5=10, COUNTIFS('Draft (10 Teams)'!$E:$E,$A15,'Draft (10 Teams)'!$F:$F,I$1),
IF(Settings!$C$5=12, COUNTIFS('Draft (12 Teams)'!$E:$E,$A15,'Draft (12 Teams)'!$F:$F,I$1),
IF(Settings!$C$5=14, COUNTIFS('Draft '!$E:$E,$A15,'Draft '!$F:$F,I$1)))))</f>
        <v>0</v>
      </c>
      <c r="J15" s="140">
        <f>IF(Settings!$C$5=8, COUNTIFS('Draft (8 Teams)'!$E:$E,$A15,'Draft (8 Teams)'!$F:$F,J$1),
IF(Settings!$C$5=10, COUNTIFS('Draft (10 Teams)'!$E:$E,$A15,'Draft (10 Teams)'!$F:$F,J$1),
IF(Settings!$C$5=12, COUNTIFS('Draft (12 Teams)'!$E:$E,$A15,'Draft (12 Teams)'!$F:$F,J$1),
IF(Settings!$C$5=14, COUNTIFS('Draft '!$E:$E,$A15,'Draft '!$F:$F,J$1)))))</f>
        <v>0</v>
      </c>
      <c r="K15" s="140">
        <f>IF(Settings!$C$5=8, COUNTIFS('Draft (8 Teams)'!$E:$E,$A15,'Draft (8 Teams)'!$F:$F,K$1),
IF(Settings!$C$5=10, COUNTIFS('Draft (10 Teams)'!$E:$E,$A15,'Draft (10 Teams)'!$F:$F,K$1),
IF(Settings!$C$5=12, COUNTIFS('Draft (12 Teams)'!$E:$E,$A15,'Draft (12 Teams)'!$F:$F,K$1),
IF(Settings!$C$5=14, COUNTIFS('Draft '!$E:$E,$A15,'Draft '!$F:$F,K$1)))))</f>
        <v>0</v>
      </c>
    </row>
    <row r="16">
      <c r="A16" s="153" t="s">
        <v>471</v>
      </c>
      <c r="B16" s="138">
        <f t="shared" si="1"/>
        <v>0</v>
      </c>
      <c r="C16" s="138">
        <f>IF(Settings!$C$5=8, COUNTIFS('Draft (8 Teams)'!$E:$E,$A16,'Draft (8 Teams)'!$F:$F,C$1),
IF(Settings!$C$5=10, COUNTIFS('Draft (10 Teams)'!$E:$E,$A16,'Draft (10 Teams)'!$F:$F,C$1),
IF(Settings!$C$5=12, COUNTIFS('Draft (12 Teams)'!$E:$E,$A16,'Draft (12 Teams)'!$F:$F,C$1),
IF(Settings!$C$5=14, COUNTIFS('Draft '!$E:$E,$A16,'Draft '!$F:$F,C$1)))))</f>
        <v>0</v>
      </c>
      <c r="D16" s="138">
        <f>IF(Settings!$C$5=8, COUNTIFS('Draft (8 Teams)'!$E:$E,$A16,'Draft (8 Teams)'!$F:$F,D$1),
IF(Settings!$C$5=10, COUNTIFS('Draft (10 Teams)'!$E:$E,$A16,'Draft (10 Teams)'!$F:$F,D$1),
IF(Settings!$C$5=12, COUNTIFS('Draft (12 Teams)'!$E:$E,$A16,'Draft (12 Teams)'!$F:$F,D$1),
IF(Settings!$C$5=14, COUNTIFS('Draft '!$E:$E,$A16,'Draft '!$F:$F,D$1)))))</f>
        <v>0</v>
      </c>
      <c r="E16" s="138">
        <f>IF(Settings!$C$5=8, COUNTIFS('Draft (8 Teams)'!$E:$E,$A16,'Draft (8 Teams)'!$F:$F,E$1),
IF(Settings!$C$5=10, COUNTIFS('Draft (10 Teams)'!$E:$E,$A16,'Draft (10 Teams)'!$F:$F,E$1),
IF(Settings!$C$5=12, COUNTIFS('Draft (12 Teams)'!$E:$E,$A16,'Draft (12 Teams)'!$F:$F,E$1),
IF(Settings!$C$5=14, COUNTIFS('Draft '!$E:$E,$A16,'Draft '!$F:$F,E$1)))))</f>
        <v>0</v>
      </c>
      <c r="F16" s="138">
        <f>IF(Settings!$C$5=8, COUNTIFS('Draft (8 Teams)'!$E:$E,$A16,'Draft (8 Teams)'!$F:$F,F$1),
IF(Settings!$C$5=10, COUNTIFS('Draft (10 Teams)'!$E:$E,$A16,'Draft (10 Teams)'!$F:$F,F$1),
IF(Settings!$C$5=12, COUNTIFS('Draft (12 Teams)'!$E:$E,$A16,'Draft (12 Teams)'!$F:$F,F$1),
IF(Settings!$C$5=14, COUNTIFS('Draft '!$E:$E,$A16,'Draft '!$F:$F,F$1)))))</f>
        <v>0</v>
      </c>
      <c r="G16" s="138">
        <f>IF(Settings!$C$5=8, COUNTIFS('Draft (8 Teams)'!$E:$E,$A16,'Draft (8 Teams)'!$F:$F,G$1),
IF(Settings!$C$5=10, COUNTIFS('Draft (10 Teams)'!$E:$E,$A16,'Draft (10 Teams)'!$F:$F,G$1),
IF(Settings!$C$5=12, COUNTIFS('Draft (12 Teams)'!$E:$E,$A16,'Draft (12 Teams)'!$F:$F,G$1),
IF(Settings!$C$5=14, COUNTIFS('Draft '!$E:$E,$A16,'Draft '!$F:$F,G$1)))))</f>
        <v>0</v>
      </c>
      <c r="H16" s="138">
        <f>IF(Settings!$C$5=8, COUNTIFS('Draft (8 Teams)'!$E:$E,$A16,'Draft (8 Teams)'!$F:$F,H$1),
IF(Settings!$C$5=10, COUNTIFS('Draft (10 Teams)'!$E:$E,$A16,'Draft (10 Teams)'!$F:$F,H$1),
IF(Settings!$C$5=12, COUNTIFS('Draft (12 Teams)'!$E:$E,$A16,'Draft (12 Teams)'!$F:$F,H$1),
IF(Settings!$C$5=14, COUNTIFS('Draft '!$E:$E,$A16,'Draft '!$F:$F,H$1)))))</f>
        <v>0</v>
      </c>
      <c r="I16" s="138">
        <f>IF(Settings!$C$5=8, COUNTIFS('Draft (8 Teams)'!$E:$E,$A16,'Draft (8 Teams)'!$F:$F,I$1),
IF(Settings!$C$5=10, COUNTIFS('Draft (10 Teams)'!$E:$E,$A16,'Draft (10 Teams)'!$F:$F,I$1),
IF(Settings!$C$5=12, COUNTIFS('Draft (12 Teams)'!$E:$E,$A16,'Draft (12 Teams)'!$F:$F,I$1),
IF(Settings!$C$5=14, COUNTIFS('Draft '!$E:$E,$A16,'Draft '!$F:$F,I$1)))))</f>
        <v>0</v>
      </c>
      <c r="J16" s="138">
        <f>IF(Settings!$C$5=8, COUNTIFS('Draft (8 Teams)'!$E:$E,$A16,'Draft (8 Teams)'!$F:$F,J$1),
IF(Settings!$C$5=10, COUNTIFS('Draft (10 Teams)'!$E:$E,$A16,'Draft (10 Teams)'!$F:$F,J$1),
IF(Settings!$C$5=12, COUNTIFS('Draft (12 Teams)'!$E:$E,$A16,'Draft (12 Teams)'!$F:$F,J$1),
IF(Settings!$C$5=14, COUNTIFS('Draft '!$E:$E,$A16,'Draft '!$F:$F,J$1)))))</f>
        <v>0</v>
      </c>
      <c r="K16" s="138">
        <f>IF(Settings!$C$5=8, COUNTIFS('Draft (8 Teams)'!$E:$E,$A16,'Draft (8 Teams)'!$F:$F,K$1),
IF(Settings!$C$5=10, COUNTIFS('Draft (10 Teams)'!$E:$E,$A16,'Draft (10 Teams)'!$F:$F,K$1),
IF(Settings!$C$5=12, COUNTIFS('Draft (12 Teams)'!$E:$E,$A16,'Draft (12 Teams)'!$F:$F,K$1),
IF(Settings!$C$5=14, COUNTIFS('Draft '!$E:$E,$A16,'Draft '!$F:$F,K$1)))))</f>
        <v>0</v>
      </c>
    </row>
    <row r="17">
      <c r="A17" s="154" t="s">
        <v>472</v>
      </c>
      <c r="B17" s="140">
        <f t="shared" si="1"/>
        <v>0</v>
      </c>
      <c r="C17" s="140">
        <f>IF(Settings!$C$5=8, COUNTIFS('Draft (8 Teams)'!$E:$E,$A17,'Draft (8 Teams)'!$F:$F,C$1),
IF(Settings!$C$5=10, COUNTIFS('Draft (10 Teams)'!$E:$E,$A17,'Draft (10 Teams)'!$F:$F,C$1),
IF(Settings!$C$5=12, COUNTIFS('Draft (12 Teams)'!$E:$E,$A17,'Draft (12 Teams)'!$F:$F,C$1),
IF(Settings!$C$5=14, COUNTIFS('Draft '!$E:$E,$A17,'Draft '!$F:$F,C$1)))))</f>
        <v>0</v>
      </c>
      <c r="D17" s="140">
        <f>IF(Settings!$C$5=8, COUNTIFS('Draft (8 Teams)'!$E:$E,$A17,'Draft (8 Teams)'!$F:$F,D$1),
IF(Settings!$C$5=10, COUNTIFS('Draft (10 Teams)'!$E:$E,$A17,'Draft (10 Teams)'!$F:$F,D$1),
IF(Settings!$C$5=12, COUNTIFS('Draft (12 Teams)'!$E:$E,$A17,'Draft (12 Teams)'!$F:$F,D$1),
IF(Settings!$C$5=14, COUNTIFS('Draft '!$E:$E,$A17,'Draft '!$F:$F,D$1)))))</f>
        <v>0</v>
      </c>
      <c r="E17" s="140">
        <f>IF(Settings!$C$5=8, COUNTIFS('Draft (8 Teams)'!$E:$E,$A17,'Draft (8 Teams)'!$F:$F,E$1),
IF(Settings!$C$5=10, COUNTIFS('Draft (10 Teams)'!$E:$E,$A17,'Draft (10 Teams)'!$F:$F,E$1),
IF(Settings!$C$5=12, COUNTIFS('Draft (12 Teams)'!$E:$E,$A17,'Draft (12 Teams)'!$F:$F,E$1),
IF(Settings!$C$5=14, COUNTIFS('Draft '!$E:$E,$A17,'Draft '!$F:$F,E$1)))))</f>
        <v>0</v>
      </c>
      <c r="F17" s="140">
        <f>IF(Settings!$C$5=8, COUNTIFS('Draft (8 Teams)'!$E:$E,$A17,'Draft (8 Teams)'!$F:$F,F$1),
IF(Settings!$C$5=10, COUNTIFS('Draft (10 Teams)'!$E:$E,$A17,'Draft (10 Teams)'!$F:$F,F$1),
IF(Settings!$C$5=12, COUNTIFS('Draft (12 Teams)'!$E:$E,$A17,'Draft (12 Teams)'!$F:$F,F$1),
IF(Settings!$C$5=14, COUNTIFS('Draft '!$E:$E,$A17,'Draft '!$F:$F,F$1)))))</f>
        <v>0</v>
      </c>
      <c r="G17" s="140">
        <f>IF(Settings!$C$5=8, COUNTIFS('Draft (8 Teams)'!$E:$E,$A17,'Draft (8 Teams)'!$F:$F,G$1),
IF(Settings!$C$5=10, COUNTIFS('Draft (10 Teams)'!$E:$E,$A17,'Draft (10 Teams)'!$F:$F,G$1),
IF(Settings!$C$5=12, COUNTIFS('Draft (12 Teams)'!$E:$E,$A17,'Draft (12 Teams)'!$F:$F,G$1),
IF(Settings!$C$5=14, COUNTIFS('Draft '!$E:$E,$A17,'Draft '!$F:$F,G$1)))))</f>
        <v>0</v>
      </c>
      <c r="H17" s="140">
        <f>IF(Settings!$C$5=8, COUNTIFS('Draft (8 Teams)'!$E:$E,$A17,'Draft (8 Teams)'!$F:$F,H$1),
IF(Settings!$C$5=10, COUNTIFS('Draft (10 Teams)'!$E:$E,$A17,'Draft (10 Teams)'!$F:$F,H$1),
IF(Settings!$C$5=12, COUNTIFS('Draft (12 Teams)'!$E:$E,$A17,'Draft (12 Teams)'!$F:$F,H$1),
IF(Settings!$C$5=14, COUNTIFS('Draft '!$E:$E,$A17,'Draft '!$F:$F,H$1)))))</f>
        <v>0</v>
      </c>
      <c r="I17" s="140">
        <f>IF(Settings!$C$5=8, COUNTIFS('Draft (8 Teams)'!$E:$E,$A17,'Draft (8 Teams)'!$F:$F,I$1),
IF(Settings!$C$5=10, COUNTIFS('Draft (10 Teams)'!$E:$E,$A17,'Draft (10 Teams)'!$F:$F,I$1),
IF(Settings!$C$5=12, COUNTIFS('Draft (12 Teams)'!$E:$E,$A17,'Draft (12 Teams)'!$F:$F,I$1),
IF(Settings!$C$5=14, COUNTIFS('Draft '!$E:$E,$A17,'Draft '!$F:$F,I$1)))))</f>
        <v>0</v>
      </c>
      <c r="J17" s="140">
        <f>IF(Settings!$C$5=8, COUNTIFS('Draft (8 Teams)'!$E:$E,$A17,'Draft (8 Teams)'!$F:$F,J$1),
IF(Settings!$C$5=10, COUNTIFS('Draft (10 Teams)'!$E:$E,$A17,'Draft (10 Teams)'!$F:$F,J$1),
IF(Settings!$C$5=12, COUNTIFS('Draft (12 Teams)'!$E:$E,$A17,'Draft (12 Teams)'!$F:$F,J$1),
IF(Settings!$C$5=14, COUNTIFS('Draft '!$E:$E,$A17,'Draft '!$F:$F,J$1)))))</f>
        <v>0</v>
      </c>
      <c r="K17" s="140">
        <f>IF(Settings!$C$5=8, COUNTIFS('Draft (8 Teams)'!$E:$E,$A17,'Draft (8 Teams)'!$F:$F,K$1),
IF(Settings!$C$5=10, COUNTIFS('Draft (10 Teams)'!$E:$E,$A17,'Draft (10 Teams)'!$F:$F,K$1),
IF(Settings!$C$5=12, COUNTIFS('Draft (12 Teams)'!$E:$E,$A17,'Draft (12 Teams)'!$F:$F,K$1),
IF(Settings!$C$5=14, COUNTIFS('Draft '!$E:$E,$A17,'Draft '!$F:$F,K$1)))))</f>
        <v>0</v>
      </c>
    </row>
    <row r="18">
      <c r="A18" s="155" t="s">
        <v>473</v>
      </c>
      <c r="B18" s="138">
        <f t="shared" si="1"/>
        <v>0</v>
      </c>
      <c r="C18" s="138">
        <f>IF(Settings!$C$5=8, COUNTIFS('Draft (8 Teams)'!$E:$E,$A18,'Draft (8 Teams)'!$F:$F,C$1),
IF(Settings!$C$5=10, COUNTIFS('Draft (10 Teams)'!$E:$E,$A18,'Draft (10 Teams)'!$F:$F,C$1),
IF(Settings!$C$5=12, COUNTIFS('Draft (12 Teams)'!$E:$E,$A18,'Draft (12 Teams)'!$F:$F,C$1),
IF(Settings!$C$5=14, COUNTIFS('Draft '!$E:$E,$A18,'Draft '!$F:$F,C$1)))))</f>
        <v>0</v>
      </c>
      <c r="D18" s="138">
        <f>IF(Settings!$C$5=8, COUNTIFS('Draft (8 Teams)'!$E:$E,$A18,'Draft (8 Teams)'!$F:$F,D$1),
IF(Settings!$C$5=10, COUNTIFS('Draft (10 Teams)'!$E:$E,$A18,'Draft (10 Teams)'!$F:$F,D$1),
IF(Settings!$C$5=12, COUNTIFS('Draft (12 Teams)'!$E:$E,$A18,'Draft (12 Teams)'!$F:$F,D$1),
IF(Settings!$C$5=14, COUNTIFS('Draft '!$E:$E,$A18,'Draft '!$F:$F,D$1)))))</f>
        <v>0</v>
      </c>
      <c r="E18" s="138">
        <f>IF(Settings!$C$5=8, COUNTIFS('Draft (8 Teams)'!$E:$E,$A18,'Draft (8 Teams)'!$F:$F,E$1),
IF(Settings!$C$5=10, COUNTIFS('Draft (10 Teams)'!$E:$E,$A18,'Draft (10 Teams)'!$F:$F,E$1),
IF(Settings!$C$5=12, COUNTIFS('Draft (12 Teams)'!$E:$E,$A18,'Draft (12 Teams)'!$F:$F,E$1),
IF(Settings!$C$5=14, COUNTIFS('Draft '!$E:$E,$A18,'Draft '!$F:$F,E$1)))))</f>
        <v>0</v>
      </c>
      <c r="F18" s="138">
        <f>IF(Settings!$C$5=8, COUNTIFS('Draft (8 Teams)'!$E:$E,$A18,'Draft (8 Teams)'!$F:$F,F$1),
IF(Settings!$C$5=10, COUNTIFS('Draft (10 Teams)'!$E:$E,$A18,'Draft (10 Teams)'!$F:$F,F$1),
IF(Settings!$C$5=12, COUNTIFS('Draft (12 Teams)'!$E:$E,$A18,'Draft (12 Teams)'!$F:$F,F$1),
IF(Settings!$C$5=14, COUNTIFS('Draft '!$E:$E,$A18,'Draft '!$F:$F,F$1)))))</f>
        <v>0</v>
      </c>
      <c r="G18" s="138">
        <f>IF(Settings!$C$5=8, COUNTIFS('Draft (8 Teams)'!$E:$E,$A18,'Draft (8 Teams)'!$F:$F,G$1),
IF(Settings!$C$5=10, COUNTIFS('Draft (10 Teams)'!$E:$E,$A18,'Draft (10 Teams)'!$F:$F,G$1),
IF(Settings!$C$5=12, COUNTIFS('Draft (12 Teams)'!$E:$E,$A18,'Draft (12 Teams)'!$F:$F,G$1),
IF(Settings!$C$5=14, COUNTIFS('Draft '!$E:$E,$A18,'Draft '!$F:$F,G$1)))))</f>
        <v>0</v>
      </c>
      <c r="H18" s="138">
        <f>IF(Settings!$C$5=8, COUNTIFS('Draft (8 Teams)'!$E:$E,$A18,'Draft (8 Teams)'!$F:$F,H$1),
IF(Settings!$C$5=10, COUNTIFS('Draft (10 Teams)'!$E:$E,$A18,'Draft (10 Teams)'!$F:$F,H$1),
IF(Settings!$C$5=12, COUNTIFS('Draft (12 Teams)'!$E:$E,$A18,'Draft (12 Teams)'!$F:$F,H$1),
IF(Settings!$C$5=14, COUNTIFS('Draft '!$E:$E,$A18,'Draft '!$F:$F,H$1)))))</f>
        <v>0</v>
      </c>
      <c r="I18" s="138">
        <f>IF(Settings!$C$5=8, COUNTIFS('Draft (8 Teams)'!$E:$E,$A18,'Draft (8 Teams)'!$F:$F,I$1),
IF(Settings!$C$5=10, COUNTIFS('Draft (10 Teams)'!$E:$E,$A18,'Draft (10 Teams)'!$F:$F,I$1),
IF(Settings!$C$5=12, COUNTIFS('Draft (12 Teams)'!$E:$E,$A18,'Draft (12 Teams)'!$F:$F,I$1),
IF(Settings!$C$5=14, COUNTIFS('Draft '!$E:$E,$A18,'Draft '!$F:$F,I$1)))))</f>
        <v>0</v>
      </c>
      <c r="J18" s="138">
        <f>IF(Settings!$C$5=8, COUNTIFS('Draft (8 Teams)'!$E:$E,$A18,'Draft (8 Teams)'!$F:$F,J$1),
IF(Settings!$C$5=10, COUNTIFS('Draft (10 Teams)'!$E:$E,$A18,'Draft (10 Teams)'!$F:$F,J$1),
IF(Settings!$C$5=12, COUNTIFS('Draft (12 Teams)'!$E:$E,$A18,'Draft (12 Teams)'!$F:$F,J$1),
IF(Settings!$C$5=14, COUNTIFS('Draft '!$E:$E,$A18,'Draft '!$F:$F,J$1)))))</f>
        <v>0</v>
      </c>
      <c r="K18" s="138">
        <f>IF(Settings!$C$5=8, COUNTIFS('Draft (8 Teams)'!$E:$E,$A18,'Draft (8 Teams)'!$F:$F,K$1),
IF(Settings!$C$5=10, COUNTIFS('Draft (10 Teams)'!$E:$E,$A18,'Draft (10 Teams)'!$F:$F,K$1),
IF(Settings!$C$5=12, COUNTIFS('Draft (12 Teams)'!$E:$E,$A18,'Draft (12 Teams)'!$F:$F,K$1),
IF(Settings!$C$5=14, COUNTIFS('Draft '!$E:$E,$A18,'Draft '!$F:$F,K$1)))))</f>
        <v>0</v>
      </c>
    </row>
    <row r="19">
      <c r="A19" s="156" t="s">
        <v>474</v>
      </c>
      <c r="B19" s="140">
        <f t="shared" si="1"/>
        <v>0</v>
      </c>
      <c r="C19" s="140">
        <f>IF(Settings!$C$5=8, COUNTIFS('Draft (8 Teams)'!$E:$E,$A19,'Draft (8 Teams)'!$F:$F,C$1),
IF(Settings!$C$5=10, COUNTIFS('Draft (10 Teams)'!$E:$E,$A19,'Draft (10 Teams)'!$F:$F,C$1),
IF(Settings!$C$5=12, COUNTIFS('Draft (12 Teams)'!$E:$E,$A19,'Draft (12 Teams)'!$F:$F,C$1),
IF(Settings!$C$5=14, COUNTIFS('Draft '!$E:$E,$A19,'Draft '!$F:$F,C$1)))))</f>
        <v>0</v>
      </c>
      <c r="D19" s="140">
        <f>IF(Settings!$C$5=8, COUNTIFS('Draft (8 Teams)'!$E:$E,$A19,'Draft (8 Teams)'!$F:$F,D$1),
IF(Settings!$C$5=10, COUNTIFS('Draft (10 Teams)'!$E:$E,$A19,'Draft (10 Teams)'!$F:$F,D$1),
IF(Settings!$C$5=12, COUNTIFS('Draft (12 Teams)'!$E:$E,$A19,'Draft (12 Teams)'!$F:$F,D$1),
IF(Settings!$C$5=14, COUNTIFS('Draft '!$E:$E,$A19,'Draft '!$F:$F,D$1)))))</f>
        <v>0</v>
      </c>
      <c r="E19" s="140">
        <f>IF(Settings!$C$5=8, COUNTIFS('Draft (8 Teams)'!$E:$E,$A19,'Draft (8 Teams)'!$F:$F,E$1),
IF(Settings!$C$5=10, COUNTIFS('Draft (10 Teams)'!$E:$E,$A19,'Draft (10 Teams)'!$F:$F,E$1),
IF(Settings!$C$5=12, COUNTIFS('Draft (12 Teams)'!$E:$E,$A19,'Draft (12 Teams)'!$F:$F,E$1),
IF(Settings!$C$5=14, COUNTIFS('Draft '!$E:$E,$A19,'Draft '!$F:$F,E$1)))))</f>
        <v>0</v>
      </c>
      <c r="F19" s="140">
        <f>IF(Settings!$C$5=8, COUNTIFS('Draft (8 Teams)'!$E:$E,$A19,'Draft (8 Teams)'!$F:$F,F$1),
IF(Settings!$C$5=10, COUNTIFS('Draft (10 Teams)'!$E:$E,$A19,'Draft (10 Teams)'!$F:$F,F$1),
IF(Settings!$C$5=12, COUNTIFS('Draft (12 Teams)'!$E:$E,$A19,'Draft (12 Teams)'!$F:$F,F$1),
IF(Settings!$C$5=14, COUNTIFS('Draft '!$E:$E,$A19,'Draft '!$F:$F,F$1)))))</f>
        <v>0</v>
      </c>
      <c r="G19" s="140">
        <f>IF(Settings!$C$5=8, COUNTIFS('Draft (8 Teams)'!$E:$E,$A19,'Draft (8 Teams)'!$F:$F,G$1),
IF(Settings!$C$5=10, COUNTIFS('Draft (10 Teams)'!$E:$E,$A19,'Draft (10 Teams)'!$F:$F,G$1),
IF(Settings!$C$5=12, COUNTIFS('Draft (12 Teams)'!$E:$E,$A19,'Draft (12 Teams)'!$F:$F,G$1),
IF(Settings!$C$5=14, COUNTIFS('Draft '!$E:$E,$A19,'Draft '!$F:$F,G$1)))))</f>
        <v>0</v>
      </c>
      <c r="H19" s="140">
        <f>IF(Settings!$C$5=8, COUNTIFS('Draft (8 Teams)'!$E:$E,$A19,'Draft (8 Teams)'!$F:$F,H$1),
IF(Settings!$C$5=10, COUNTIFS('Draft (10 Teams)'!$E:$E,$A19,'Draft (10 Teams)'!$F:$F,H$1),
IF(Settings!$C$5=12, COUNTIFS('Draft (12 Teams)'!$E:$E,$A19,'Draft (12 Teams)'!$F:$F,H$1),
IF(Settings!$C$5=14, COUNTIFS('Draft '!$E:$E,$A19,'Draft '!$F:$F,H$1)))))</f>
        <v>0</v>
      </c>
      <c r="I19" s="140">
        <f>IF(Settings!$C$5=8, COUNTIFS('Draft (8 Teams)'!$E:$E,$A19,'Draft (8 Teams)'!$F:$F,I$1),
IF(Settings!$C$5=10, COUNTIFS('Draft (10 Teams)'!$E:$E,$A19,'Draft (10 Teams)'!$F:$F,I$1),
IF(Settings!$C$5=12, COUNTIFS('Draft (12 Teams)'!$E:$E,$A19,'Draft (12 Teams)'!$F:$F,I$1),
IF(Settings!$C$5=14, COUNTIFS('Draft '!$E:$E,$A19,'Draft '!$F:$F,I$1)))))</f>
        <v>0</v>
      </c>
      <c r="J19" s="140">
        <f>IF(Settings!$C$5=8, COUNTIFS('Draft (8 Teams)'!$E:$E,$A19,'Draft (8 Teams)'!$F:$F,J$1),
IF(Settings!$C$5=10, COUNTIFS('Draft (10 Teams)'!$E:$E,$A19,'Draft (10 Teams)'!$F:$F,J$1),
IF(Settings!$C$5=12, COUNTIFS('Draft (12 Teams)'!$E:$E,$A19,'Draft (12 Teams)'!$F:$F,J$1),
IF(Settings!$C$5=14, COUNTIFS('Draft '!$E:$E,$A19,'Draft '!$F:$F,J$1)))))</f>
        <v>0</v>
      </c>
      <c r="K19" s="140">
        <f>IF(Settings!$C$5=8, COUNTIFS('Draft (8 Teams)'!$E:$E,$A19,'Draft (8 Teams)'!$F:$F,K$1),
IF(Settings!$C$5=10, COUNTIFS('Draft (10 Teams)'!$E:$E,$A19,'Draft (10 Teams)'!$F:$F,K$1),
IF(Settings!$C$5=12, COUNTIFS('Draft (12 Teams)'!$E:$E,$A19,'Draft (12 Teams)'!$F:$F,K$1),
IF(Settings!$C$5=14, COUNTIFS('Draft '!$E:$E,$A19,'Draft '!$F:$F,K$1)))))</f>
        <v>0</v>
      </c>
    </row>
    <row r="20">
      <c r="A20" s="157" t="s">
        <v>475</v>
      </c>
      <c r="B20" s="138">
        <f t="shared" si="1"/>
        <v>0</v>
      </c>
      <c r="C20" s="138">
        <f>IF(Settings!$C$5=8, COUNTIFS('Draft (8 Teams)'!$E:$E,$A20,'Draft (8 Teams)'!$F:$F,C$1),
IF(Settings!$C$5=10, COUNTIFS('Draft (10 Teams)'!$E:$E,$A20,'Draft (10 Teams)'!$F:$F,C$1),
IF(Settings!$C$5=12, COUNTIFS('Draft (12 Teams)'!$E:$E,$A20,'Draft (12 Teams)'!$F:$F,C$1),
IF(Settings!$C$5=14, COUNTIFS('Draft '!$E:$E,$A20,'Draft '!$F:$F,C$1)))))</f>
        <v>0</v>
      </c>
      <c r="D20" s="138">
        <f>IF(Settings!$C$5=8, COUNTIFS('Draft (8 Teams)'!$E:$E,$A20,'Draft (8 Teams)'!$F:$F,D$1),
IF(Settings!$C$5=10, COUNTIFS('Draft (10 Teams)'!$E:$E,$A20,'Draft (10 Teams)'!$F:$F,D$1),
IF(Settings!$C$5=12, COUNTIFS('Draft (12 Teams)'!$E:$E,$A20,'Draft (12 Teams)'!$F:$F,D$1),
IF(Settings!$C$5=14, COUNTIFS('Draft '!$E:$E,$A20,'Draft '!$F:$F,D$1)))))</f>
        <v>0</v>
      </c>
      <c r="E20" s="138">
        <f>IF(Settings!$C$5=8, COUNTIFS('Draft (8 Teams)'!$E:$E,$A20,'Draft (8 Teams)'!$F:$F,E$1),
IF(Settings!$C$5=10, COUNTIFS('Draft (10 Teams)'!$E:$E,$A20,'Draft (10 Teams)'!$F:$F,E$1),
IF(Settings!$C$5=12, COUNTIFS('Draft (12 Teams)'!$E:$E,$A20,'Draft (12 Teams)'!$F:$F,E$1),
IF(Settings!$C$5=14, COUNTIFS('Draft '!$E:$E,$A20,'Draft '!$F:$F,E$1)))))</f>
        <v>0</v>
      </c>
      <c r="F20" s="138">
        <f>IF(Settings!$C$5=8, COUNTIFS('Draft (8 Teams)'!$E:$E,$A20,'Draft (8 Teams)'!$F:$F,F$1),
IF(Settings!$C$5=10, COUNTIFS('Draft (10 Teams)'!$E:$E,$A20,'Draft (10 Teams)'!$F:$F,F$1),
IF(Settings!$C$5=12, COUNTIFS('Draft (12 Teams)'!$E:$E,$A20,'Draft (12 Teams)'!$F:$F,F$1),
IF(Settings!$C$5=14, COUNTIFS('Draft '!$E:$E,$A20,'Draft '!$F:$F,F$1)))))</f>
        <v>0</v>
      </c>
      <c r="G20" s="138">
        <f>IF(Settings!$C$5=8, COUNTIFS('Draft (8 Teams)'!$E:$E,$A20,'Draft (8 Teams)'!$F:$F,G$1),
IF(Settings!$C$5=10, COUNTIFS('Draft (10 Teams)'!$E:$E,$A20,'Draft (10 Teams)'!$F:$F,G$1),
IF(Settings!$C$5=12, COUNTIFS('Draft (12 Teams)'!$E:$E,$A20,'Draft (12 Teams)'!$F:$F,G$1),
IF(Settings!$C$5=14, COUNTIFS('Draft '!$E:$E,$A20,'Draft '!$F:$F,G$1)))))</f>
        <v>0</v>
      </c>
      <c r="H20" s="138">
        <f>IF(Settings!$C$5=8, COUNTIFS('Draft (8 Teams)'!$E:$E,$A20,'Draft (8 Teams)'!$F:$F,H$1),
IF(Settings!$C$5=10, COUNTIFS('Draft (10 Teams)'!$E:$E,$A20,'Draft (10 Teams)'!$F:$F,H$1),
IF(Settings!$C$5=12, COUNTIFS('Draft (12 Teams)'!$E:$E,$A20,'Draft (12 Teams)'!$F:$F,H$1),
IF(Settings!$C$5=14, COUNTIFS('Draft '!$E:$E,$A20,'Draft '!$F:$F,H$1)))))</f>
        <v>0</v>
      </c>
      <c r="I20" s="138">
        <f>IF(Settings!$C$5=8, COUNTIFS('Draft (8 Teams)'!$E:$E,$A20,'Draft (8 Teams)'!$F:$F,I$1),
IF(Settings!$C$5=10, COUNTIFS('Draft (10 Teams)'!$E:$E,$A20,'Draft (10 Teams)'!$F:$F,I$1),
IF(Settings!$C$5=12, COUNTIFS('Draft (12 Teams)'!$E:$E,$A20,'Draft (12 Teams)'!$F:$F,I$1),
IF(Settings!$C$5=14, COUNTIFS('Draft '!$E:$E,$A20,'Draft '!$F:$F,I$1)))))</f>
        <v>0</v>
      </c>
      <c r="J20" s="138">
        <f>IF(Settings!$C$5=8, COUNTIFS('Draft (8 Teams)'!$E:$E,$A20,'Draft (8 Teams)'!$F:$F,J$1),
IF(Settings!$C$5=10, COUNTIFS('Draft (10 Teams)'!$E:$E,$A20,'Draft (10 Teams)'!$F:$F,J$1),
IF(Settings!$C$5=12, COUNTIFS('Draft (12 Teams)'!$E:$E,$A20,'Draft (12 Teams)'!$F:$F,J$1),
IF(Settings!$C$5=14, COUNTIFS('Draft '!$E:$E,$A20,'Draft '!$F:$F,J$1)))))</f>
        <v>0</v>
      </c>
      <c r="K20" s="138">
        <f>IF(Settings!$C$5=8, COUNTIFS('Draft (8 Teams)'!$E:$E,$A20,'Draft (8 Teams)'!$F:$F,K$1),
IF(Settings!$C$5=10, COUNTIFS('Draft (10 Teams)'!$E:$E,$A20,'Draft (10 Teams)'!$F:$F,K$1),
IF(Settings!$C$5=12, COUNTIFS('Draft (12 Teams)'!$E:$E,$A20,'Draft (12 Teams)'!$F:$F,K$1),
IF(Settings!$C$5=14, COUNTIFS('Draft '!$E:$E,$A20,'Draft '!$F:$F,K$1)))))</f>
        <v>0</v>
      </c>
    </row>
    <row r="21">
      <c r="A21" s="158" t="s">
        <v>476</v>
      </c>
      <c r="B21" s="140">
        <f t="shared" si="1"/>
        <v>0</v>
      </c>
      <c r="C21" s="140">
        <f>IF(Settings!$C$5=8, COUNTIFS('Draft (8 Teams)'!$E:$E,$A21,'Draft (8 Teams)'!$F:$F,C$1),
IF(Settings!$C$5=10, COUNTIFS('Draft (10 Teams)'!$E:$E,$A21,'Draft (10 Teams)'!$F:$F,C$1),
IF(Settings!$C$5=12, COUNTIFS('Draft (12 Teams)'!$E:$E,$A21,'Draft (12 Teams)'!$F:$F,C$1),
IF(Settings!$C$5=14, COUNTIFS('Draft '!$E:$E,$A21,'Draft '!$F:$F,C$1)))))</f>
        <v>0</v>
      </c>
      <c r="D21" s="140">
        <f>IF(Settings!$C$5=8, COUNTIFS('Draft (8 Teams)'!$E:$E,$A21,'Draft (8 Teams)'!$F:$F,D$1),
IF(Settings!$C$5=10, COUNTIFS('Draft (10 Teams)'!$E:$E,$A21,'Draft (10 Teams)'!$F:$F,D$1),
IF(Settings!$C$5=12, COUNTIFS('Draft (12 Teams)'!$E:$E,$A21,'Draft (12 Teams)'!$F:$F,D$1),
IF(Settings!$C$5=14, COUNTIFS('Draft '!$E:$E,$A21,'Draft '!$F:$F,D$1)))))</f>
        <v>0</v>
      </c>
      <c r="E21" s="140">
        <f>IF(Settings!$C$5=8, COUNTIFS('Draft (8 Teams)'!$E:$E,$A21,'Draft (8 Teams)'!$F:$F,E$1),
IF(Settings!$C$5=10, COUNTIFS('Draft (10 Teams)'!$E:$E,$A21,'Draft (10 Teams)'!$F:$F,E$1),
IF(Settings!$C$5=12, COUNTIFS('Draft (12 Teams)'!$E:$E,$A21,'Draft (12 Teams)'!$F:$F,E$1),
IF(Settings!$C$5=14, COUNTIFS('Draft '!$E:$E,$A21,'Draft '!$F:$F,E$1)))))</f>
        <v>0</v>
      </c>
      <c r="F21" s="140">
        <f>IF(Settings!$C$5=8, COUNTIFS('Draft (8 Teams)'!$E:$E,$A21,'Draft (8 Teams)'!$F:$F,F$1),
IF(Settings!$C$5=10, COUNTIFS('Draft (10 Teams)'!$E:$E,$A21,'Draft (10 Teams)'!$F:$F,F$1),
IF(Settings!$C$5=12, COUNTIFS('Draft (12 Teams)'!$E:$E,$A21,'Draft (12 Teams)'!$F:$F,F$1),
IF(Settings!$C$5=14, COUNTIFS('Draft '!$E:$E,$A21,'Draft '!$F:$F,F$1)))))</f>
        <v>0</v>
      </c>
      <c r="G21" s="140">
        <f>IF(Settings!$C$5=8, COUNTIFS('Draft (8 Teams)'!$E:$E,$A21,'Draft (8 Teams)'!$F:$F,G$1),
IF(Settings!$C$5=10, COUNTIFS('Draft (10 Teams)'!$E:$E,$A21,'Draft (10 Teams)'!$F:$F,G$1),
IF(Settings!$C$5=12, COUNTIFS('Draft (12 Teams)'!$E:$E,$A21,'Draft (12 Teams)'!$F:$F,G$1),
IF(Settings!$C$5=14, COUNTIFS('Draft '!$E:$E,$A21,'Draft '!$F:$F,G$1)))))</f>
        <v>0</v>
      </c>
      <c r="H21" s="140">
        <f>IF(Settings!$C$5=8, COUNTIFS('Draft (8 Teams)'!$E:$E,$A21,'Draft (8 Teams)'!$F:$F,H$1),
IF(Settings!$C$5=10, COUNTIFS('Draft (10 Teams)'!$E:$E,$A21,'Draft (10 Teams)'!$F:$F,H$1),
IF(Settings!$C$5=12, COUNTIFS('Draft (12 Teams)'!$E:$E,$A21,'Draft (12 Teams)'!$F:$F,H$1),
IF(Settings!$C$5=14, COUNTIFS('Draft '!$E:$E,$A21,'Draft '!$F:$F,H$1)))))</f>
        <v>0</v>
      </c>
      <c r="I21" s="140">
        <f>IF(Settings!$C$5=8, COUNTIFS('Draft (8 Teams)'!$E:$E,$A21,'Draft (8 Teams)'!$F:$F,I$1),
IF(Settings!$C$5=10, COUNTIFS('Draft (10 Teams)'!$E:$E,$A21,'Draft (10 Teams)'!$F:$F,I$1),
IF(Settings!$C$5=12, COUNTIFS('Draft (12 Teams)'!$E:$E,$A21,'Draft (12 Teams)'!$F:$F,I$1),
IF(Settings!$C$5=14, COUNTIFS('Draft '!$E:$E,$A21,'Draft '!$F:$F,I$1)))))</f>
        <v>0</v>
      </c>
      <c r="J21" s="140">
        <f>IF(Settings!$C$5=8, COUNTIFS('Draft (8 Teams)'!$E:$E,$A21,'Draft (8 Teams)'!$F:$F,J$1),
IF(Settings!$C$5=10, COUNTIFS('Draft (10 Teams)'!$E:$E,$A21,'Draft (10 Teams)'!$F:$F,J$1),
IF(Settings!$C$5=12, COUNTIFS('Draft (12 Teams)'!$E:$E,$A21,'Draft (12 Teams)'!$F:$F,J$1),
IF(Settings!$C$5=14, COUNTIFS('Draft '!$E:$E,$A21,'Draft '!$F:$F,J$1)))))</f>
        <v>0</v>
      </c>
      <c r="K21" s="140">
        <f>IF(Settings!$C$5=8, COUNTIFS('Draft (8 Teams)'!$E:$E,$A21,'Draft (8 Teams)'!$F:$F,K$1),
IF(Settings!$C$5=10, COUNTIFS('Draft (10 Teams)'!$E:$E,$A21,'Draft (10 Teams)'!$F:$F,K$1),
IF(Settings!$C$5=12, COUNTIFS('Draft (12 Teams)'!$E:$E,$A21,'Draft (12 Teams)'!$F:$F,K$1),
IF(Settings!$C$5=14, COUNTIFS('Draft '!$E:$E,$A21,'Draft '!$F:$F,K$1)))))</f>
        <v>0</v>
      </c>
    </row>
    <row r="22">
      <c r="A22" s="159" t="s">
        <v>477</v>
      </c>
      <c r="B22" s="138">
        <f t="shared" si="1"/>
        <v>0</v>
      </c>
      <c r="C22" s="138">
        <f>IF(Settings!$C$5=8, COUNTIFS('Draft (8 Teams)'!$E:$E,$A22,'Draft (8 Teams)'!$F:$F,C$1),
IF(Settings!$C$5=10, COUNTIFS('Draft (10 Teams)'!$E:$E,$A22,'Draft (10 Teams)'!$F:$F,C$1),
IF(Settings!$C$5=12, COUNTIFS('Draft (12 Teams)'!$E:$E,$A22,'Draft (12 Teams)'!$F:$F,C$1),
IF(Settings!$C$5=14, COUNTIFS('Draft '!$E:$E,$A22,'Draft '!$F:$F,C$1)))))</f>
        <v>0</v>
      </c>
      <c r="D22" s="138">
        <f>IF(Settings!$C$5=8, COUNTIFS('Draft (8 Teams)'!$E:$E,$A22,'Draft (8 Teams)'!$F:$F,D$1),
IF(Settings!$C$5=10, COUNTIFS('Draft (10 Teams)'!$E:$E,$A22,'Draft (10 Teams)'!$F:$F,D$1),
IF(Settings!$C$5=12, COUNTIFS('Draft (12 Teams)'!$E:$E,$A22,'Draft (12 Teams)'!$F:$F,D$1),
IF(Settings!$C$5=14, COUNTIFS('Draft '!$E:$E,$A22,'Draft '!$F:$F,D$1)))))</f>
        <v>0</v>
      </c>
      <c r="E22" s="138">
        <f>IF(Settings!$C$5=8, COUNTIFS('Draft (8 Teams)'!$E:$E,$A22,'Draft (8 Teams)'!$F:$F,E$1),
IF(Settings!$C$5=10, COUNTIFS('Draft (10 Teams)'!$E:$E,$A22,'Draft (10 Teams)'!$F:$F,E$1),
IF(Settings!$C$5=12, COUNTIFS('Draft (12 Teams)'!$E:$E,$A22,'Draft (12 Teams)'!$F:$F,E$1),
IF(Settings!$C$5=14, COUNTIFS('Draft '!$E:$E,$A22,'Draft '!$F:$F,E$1)))))</f>
        <v>0</v>
      </c>
      <c r="F22" s="138">
        <f>IF(Settings!$C$5=8, COUNTIFS('Draft (8 Teams)'!$E:$E,$A22,'Draft (8 Teams)'!$F:$F,F$1),
IF(Settings!$C$5=10, COUNTIFS('Draft (10 Teams)'!$E:$E,$A22,'Draft (10 Teams)'!$F:$F,F$1),
IF(Settings!$C$5=12, COUNTIFS('Draft (12 Teams)'!$E:$E,$A22,'Draft (12 Teams)'!$F:$F,F$1),
IF(Settings!$C$5=14, COUNTIFS('Draft '!$E:$E,$A22,'Draft '!$F:$F,F$1)))))</f>
        <v>0</v>
      </c>
      <c r="G22" s="138">
        <f>IF(Settings!$C$5=8, COUNTIFS('Draft (8 Teams)'!$E:$E,$A22,'Draft (8 Teams)'!$F:$F,G$1),
IF(Settings!$C$5=10, COUNTIFS('Draft (10 Teams)'!$E:$E,$A22,'Draft (10 Teams)'!$F:$F,G$1),
IF(Settings!$C$5=12, COUNTIFS('Draft (12 Teams)'!$E:$E,$A22,'Draft (12 Teams)'!$F:$F,G$1),
IF(Settings!$C$5=14, COUNTIFS('Draft '!$E:$E,$A22,'Draft '!$F:$F,G$1)))))</f>
        <v>0</v>
      </c>
      <c r="H22" s="138">
        <f>IF(Settings!$C$5=8, COUNTIFS('Draft (8 Teams)'!$E:$E,$A22,'Draft (8 Teams)'!$F:$F,H$1),
IF(Settings!$C$5=10, COUNTIFS('Draft (10 Teams)'!$E:$E,$A22,'Draft (10 Teams)'!$F:$F,H$1),
IF(Settings!$C$5=12, COUNTIFS('Draft (12 Teams)'!$E:$E,$A22,'Draft (12 Teams)'!$F:$F,H$1),
IF(Settings!$C$5=14, COUNTIFS('Draft '!$E:$E,$A22,'Draft '!$F:$F,H$1)))))</f>
        <v>0</v>
      </c>
      <c r="I22" s="138">
        <f>IF(Settings!$C$5=8, COUNTIFS('Draft (8 Teams)'!$E:$E,$A22,'Draft (8 Teams)'!$F:$F,I$1),
IF(Settings!$C$5=10, COUNTIFS('Draft (10 Teams)'!$E:$E,$A22,'Draft (10 Teams)'!$F:$F,I$1),
IF(Settings!$C$5=12, COUNTIFS('Draft (12 Teams)'!$E:$E,$A22,'Draft (12 Teams)'!$F:$F,I$1),
IF(Settings!$C$5=14, COUNTIFS('Draft '!$E:$E,$A22,'Draft '!$F:$F,I$1)))))</f>
        <v>0</v>
      </c>
      <c r="J22" s="138">
        <f>IF(Settings!$C$5=8, COUNTIFS('Draft (8 Teams)'!$E:$E,$A22,'Draft (8 Teams)'!$F:$F,J$1),
IF(Settings!$C$5=10, COUNTIFS('Draft (10 Teams)'!$E:$E,$A22,'Draft (10 Teams)'!$F:$F,J$1),
IF(Settings!$C$5=12, COUNTIFS('Draft (12 Teams)'!$E:$E,$A22,'Draft (12 Teams)'!$F:$F,J$1),
IF(Settings!$C$5=14, COUNTIFS('Draft '!$E:$E,$A22,'Draft '!$F:$F,J$1)))))</f>
        <v>0</v>
      </c>
      <c r="K22" s="138">
        <f>IF(Settings!$C$5=8, COUNTIFS('Draft (8 Teams)'!$E:$E,$A22,'Draft (8 Teams)'!$F:$F,K$1),
IF(Settings!$C$5=10, COUNTIFS('Draft (10 Teams)'!$E:$E,$A22,'Draft (10 Teams)'!$F:$F,K$1),
IF(Settings!$C$5=12, COUNTIFS('Draft (12 Teams)'!$E:$E,$A22,'Draft (12 Teams)'!$F:$F,K$1),
IF(Settings!$C$5=14, COUNTIFS('Draft '!$E:$E,$A22,'Draft '!$F:$F,K$1)))))</f>
        <v>0</v>
      </c>
    </row>
    <row r="23">
      <c r="A23" s="160" t="s">
        <v>478</v>
      </c>
      <c r="B23" s="140">
        <f t="shared" si="1"/>
        <v>0</v>
      </c>
      <c r="C23" s="140">
        <f>IF(Settings!$C$5=8, COUNTIFS('Draft (8 Teams)'!$E:$E,$A23,'Draft (8 Teams)'!$F:$F,C$1),
IF(Settings!$C$5=10, COUNTIFS('Draft (10 Teams)'!$E:$E,$A23,'Draft (10 Teams)'!$F:$F,C$1),
IF(Settings!$C$5=12, COUNTIFS('Draft (12 Teams)'!$E:$E,$A23,'Draft (12 Teams)'!$F:$F,C$1),
IF(Settings!$C$5=14, COUNTIFS('Draft '!$E:$E,$A23,'Draft '!$F:$F,C$1)))))</f>
        <v>0</v>
      </c>
      <c r="D23" s="140">
        <f>IF(Settings!$C$5=8, COUNTIFS('Draft (8 Teams)'!$E:$E,$A23,'Draft (8 Teams)'!$F:$F,D$1),
IF(Settings!$C$5=10, COUNTIFS('Draft (10 Teams)'!$E:$E,$A23,'Draft (10 Teams)'!$F:$F,D$1),
IF(Settings!$C$5=12, COUNTIFS('Draft (12 Teams)'!$E:$E,$A23,'Draft (12 Teams)'!$F:$F,D$1),
IF(Settings!$C$5=14, COUNTIFS('Draft '!$E:$E,$A23,'Draft '!$F:$F,D$1)))))</f>
        <v>0</v>
      </c>
      <c r="E23" s="140">
        <f>IF(Settings!$C$5=8, COUNTIFS('Draft (8 Teams)'!$E:$E,$A23,'Draft (8 Teams)'!$F:$F,E$1),
IF(Settings!$C$5=10, COUNTIFS('Draft (10 Teams)'!$E:$E,$A23,'Draft (10 Teams)'!$F:$F,E$1),
IF(Settings!$C$5=12, COUNTIFS('Draft (12 Teams)'!$E:$E,$A23,'Draft (12 Teams)'!$F:$F,E$1),
IF(Settings!$C$5=14, COUNTIFS('Draft '!$E:$E,$A23,'Draft '!$F:$F,E$1)))))</f>
        <v>0</v>
      </c>
      <c r="F23" s="140">
        <f>IF(Settings!$C$5=8, COUNTIFS('Draft (8 Teams)'!$E:$E,$A23,'Draft (8 Teams)'!$F:$F,F$1),
IF(Settings!$C$5=10, COUNTIFS('Draft (10 Teams)'!$E:$E,$A23,'Draft (10 Teams)'!$F:$F,F$1),
IF(Settings!$C$5=12, COUNTIFS('Draft (12 Teams)'!$E:$E,$A23,'Draft (12 Teams)'!$F:$F,F$1),
IF(Settings!$C$5=14, COUNTIFS('Draft '!$E:$E,$A23,'Draft '!$F:$F,F$1)))))</f>
        <v>0</v>
      </c>
      <c r="G23" s="140">
        <f>IF(Settings!$C$5=8, COUNTIFS('Draft (8 Teams)'!$E:$E,$A23,'Draft (8 Teams)'!$F:$F,G$1),
IF(Settings!$C$5=10, COUNTIFS('Draft (10 Teams)'!$E:$E,$A23,'Draft (10 Teams)'!$F:$F,G$1),
IF(Settings!$C$5=12, COUNTIFS('Draft (12 Teams)'!$E:$E,$A23,'Draft (12 Teams)'!$F:$F,G$1),
IF(Settings!$C$5=14, COUNTIFS('Draft '!$E:$E,$A23,'Draft '!$F:$F,G$1)))))</f>
        <v>0</v>
      </c>
      <c r="H23" s="140">
        <f>IF(Settings!$C$5=8, COUNTIFS('Draft (8 Teams)'!$E:$E,$A23,'Draft (8 Teams)'!$F:$F,H$1),
IF(Settings!$C$5=10, COUNTIFS('Draft (10 Teams)'!$E:$E,$A23,'Draft (10 Teams)'!$F:$F,H$1),
IF(Settings!$C$5=12, COUNTIFS('Draft (12 Teams)'!$E:$E,$A23,'Draft (12 Teams)'!$F:$F,H$1),
IF(Settings!$C$5=14, COUNTIFS('Draft '!$E:$E,$A23,'Draft '!$F:$F,H$1)))))</f>
        <v>0</v>
      </c>
      <c r="I23" s="140">
        <f>IF(Settings!$C$5=8, COUNTIFS('Draft (8 Teams)'!$E:$E,$A23,'Draft (8 Teams)'!$F:$F,I$1),
IF(Settings!$C$5=10, COUNTIFS('Draft (10 Teams)'!$E:$E,$A23,'Draft (10 Teams)'!$F:$F,I$1),
IF(Settings!$C$5=12, COUNTIFS('Draft (12 Teams)'!$E:$E,$A23,'Draft (12 Teams)'!$F:$F,I$1),
IF(Settings!$C$5=14, COUNTIFS('Draft '!$E:$E,$A23,'Draft '!$F:$F,I$1)))))</f>
        <v>0</v>
      </c>
      <c r="J23" s="140">
        <f>IF(Settings!$C$5=8, COUNTIFS('Draft (8 Teams)'!$E:$E,$A23,'Draft (8 Teams)'!$F:$F,J$1),
IF(Settings!$C$5=10, COUNTIFS('Draft (10 Teams)'!$E:$E,$A23,'Draft (10 Teams)'!$F:$F,J$1),
IF(Settings!$C$5=12, COUNTIFS('Draft (12 Teams)'!$E:$E,$A23,'Draft (12 Teams)'!$F:$F,J$1),
IF(Settings!$C$5=14, COUNTIFS('Draft '!$E:$E,$A23,'Draft '!$F:$F,J$1)))))</f>
        <v>0</v>
      </c>
      <c r="K23" s="140">
        <f>IF(Settings!$C$5=8, COUNTIFS('Draft (8 Teams)'!$E:$E,$A23,'Draft (8 Teams)'!$F:$F,K$1),
IF(Settings!$C$5=10, COUNTIFS('Draft (10 Teams)'!$E:$E,$A23,'Draft (10 Teams)'!$F:$F,K$1),
IF(Settings!$C$5=12, COUNTIFS('Draft (12 Teams)'!$E:$E,$A23,'Draft (12 Teams)'!$F:$F,K$1),
IF(Settings!$C$5=14, COUNTIFS('Draft '!$E:$E,$A23,'Draft '!$F:$F,K$1)))))</f>
        <v>0</v>
      </c>
    </row>
    <row r="24">
      <c r="A24" s="161" t="s">
        <v>479</v>
      </c>
      <c r="B24" s="138">
        <f t="shared" si="1"/>
        <v>0</v>
      </c>
      <c r="C24" s="138">
        <f>IF(Settings!$C$5=8, COUNTIFS('Draft (8 Teams)'!$E:$E,$A24,'Draft (8 Teams)'!$F:$F,C$1),
IF(Settings!$C$5=10, COUNTIFS('Draft (10 Teams)'!$E:$E,$A24,'Draft (10 Teams)'!$F:$F,C$1),
IF(Settings!$C$5=12, COUNTIFS('Draft (12 Teams)'!$E:$E,$A24,'Draft (12 Teams)'!$F:$F,C$1),
IF(Settings!$C$5=14, COUNTIFS('Draft '!$E:$E,$A24,'Draft '!$F:$F,C$1)))))</f>
        <v>0</v>
      </c>
      <c r="D24" s="138">
        <f>IF(Settings!$C$5=8, COUNTIFS('Draft (8 Teams)'!$E:$E,$A24,'Draft (8 Teams)'!$F:$F,D$1),
IF(Settings!$C$5=10, COUNTIFS('Draft (10 Teams)'!$E:$E,$A24,'Draft (10 Teams)'!$F:$F,D$1),
IF(Settings!$C$5=12, COUNTIFS('Draft (12 Teams)'!$E:$E,$A24,'Draft (12 Teams)'!$F:$F,D$1),
IF(Settings!$C$5=14, COUNTIFS('Draft '!$E:$E,$A24,'Draft '!$F:$F,D$1)))))</f>
        <v>0</v>
      </c>
      <c r="E24" s="138">
        <f>IF(Settings!$C$5=8, COUNTIFS('Draft (8 Teams)'!$E:$E,$A24,'Draft (8 Teams)'!$F:$F,E$1),
IF(Settings!$C$5=10, COUNTIFS('Draft (10 Teams)'!$E:$E,$A24,'Draft (10 Teams)'!$F:$F,E$1),
IF(Settings!$C$5=12, COUNTIFS('Draft (12 Teams)'!$E:$E,$A24,'Draft (12 Teams)'!$F:$F,E$1),
IF(Settings!$C$5=14, COUNTIFS('Draft '!$E:$E,$A24,'Draft '!$F:$F,E$1)))))</f>
        <v>0</v>
      </c>
      <c r="F24" s="138">
        <f>IF(Settings!$C$5=8, COUNTIFS('Draft (8 Teams)'!$E:$E,$A24,'Draft (8 Teams)'!$F:$F,F$1),
IF(Settings!$C$5=10, COUNTIFS('Draft (10 Teams)'!$E:$E,$A24,'Draft (10 Teams)'!$F:$F,F$1),
IF(Settings!$C$5=12, COUNTIFS('Draft (12 Teams)'!$E:$E,$A24,'Draft (12 Teams)'!$F:$F,F$1),
IF(Settings!$C$5=14, COUNTIFS('Draft '!$E:$E,$A24,'Draft '!$F:$F,F$1)))))</f>
        <v>0</v>
      </c>
      <c r="G24" s="138">
        <f>IF(Settings!$C$5=8, COUNTIFS('Draft (8 Teams)'!$E:$E,$A24,'Draft (8 Teams)'!$F:$F,G$1),
IF(Settings!$C$5=10, COUNTIFS('Draft (10 Teams)'!$E:$E,$A24,'Draft (10 Teams)'!$F:$F,G$1),
IF(Settings!$C$5=12, COUNTIFS('Draft (12 Teams)'!$E:$E,$A24,'Draft (12 Teams)'!$F:$F,G$1),
IF(Settings!$C$5=14, COUNTIFS('Draft '!$E:$E,$A24,'Draft '!$F:$F,G$1)))))</f>
        <v>0</v>
      </c>
      <c r="H24" s="138">
        <f>IF(Settings!$C$5=8, COUNTIFS('Draft (8 Teams)'!$E:$E,$A24,'Draft (8 Teams)'!$F:$F,H$1),
IF(Settings!$C$5=10, COUNTIFS('Draft (10 Teams)'!$E:$E,$A24,'Draft (10 Teams)'!$F:$F,H$1),
IF(Settings!$C$5=12, COUNTIFS('Draft (12 Teams)'!$E:$E,$A24,'Draft (12 Teams)'!$F:$F,H$1),
IF(Settings!$C$5=14, COUNTIFS('Draft '!$E:$E,$A24,'Draft '!$F:$F,H$1)))))</f>
        <v>0</v>
      </c>
      <c r="I24" s="138">
        <f>IF(Settings!$C$5=8, COUNTIFS('Draft (8 Teams)'!$E:$E,$A24,'Draft (8 Teams)'!$F:$F,I$1),
IF(Settings!$C$5=10, COUNTIFS('Draft (10 Teams)'!$E:$E,$A24,'Draft (10 Teams)'!$F:$F,I$1),
IF(Settings!$C$5=12, COUNTIFS('Draft (12 Teams)'!$E:$E,$A24,'Draft (12 Teams)'!$F:$F,I$1),
IF(Settings!$C$5=14, COUNTIFS('Draft '!$E:$E,$A24,'Draft '!$F:$F,I$1)))))</f>
        <v>0</v>
      </c>
      <c r="J24" s="138">
        <f>IF(Settings!$C$5=8, COUNTIFS('Draft (8 Teams)'!$E:$E,$A24,'Draft (8 Teams)'!$F:$F,J$1),
IF(Settings!$C$5=10, COUNTIFS('Draft (10 Teams)'!$E:$E,$A24,'Draft (10 Teams)'!$F:$F,J$1),
IF(Settings!$C$5=12, COUNTIFS('Draft (12 Teams)'!$E:$E,$A24,'Draft (12 Teams)'!$F:$F,J$1),
IF(Settings!$C$5=14, COUNTIFS('Draft '!$E:$E,$A24,'Draft '!$F:$F,J$1)))))</f>
        <v>0</v>
      </c>
      <c r="K24" s="138">
        <f>IF(Settings!$C$5=8, COUNTIFS('Draft (8 Teams)'!$E:$E,$A24,'Draft (8 Teams)'!$F:$F,K$1),
IF(Settings!$C$5=10, COUNTIFS('Draft (10 Teams)'!$E:$E,$A24,'Draft (10 Teams)'!$F:$F,K$1),
IF(Settings!$C$5=12, COUNTIFS('Draft (12 Teams)'!$E:$E,$A24,'Draft (12 Teams)'!$F:$F,K$1),
IF(Settings!$C$5=14, COUNTIFS('Draft '!$E:$E,$A24,'Draft '!$F:$F,K$1)))))</f>
        <v>0</v>
      </c>
    </row>
    <row r="25">
      <c r="A25" s="162" t="s">
        <v>480</v>
      </c>
      <c r="B25" s="140">
        <f t="shared" si="1"/>
        <v>0</v>
      </c>
      <c r="C25" s="140">
        <f>IF(Settings!$C$5=8, COUNTIFS('Draft (8 Teams)'!$E:$E,$A25,'Draft (8 Teams)'!$F:$F,C$1),
IF(Settings!$C$5=10, COUNTIFS('Draft (10 Teams)'!$E:$E,$A25,'Draft (10 Teams)'!$F:$F,C$1),
IF(Settings!$C$5=12, COUNTIFS('Draft (12 Teams)'!$E:$E,$A25,'Draft (12 Teams)'!$F:$F,C$1),
IF(Settings!$C$5=14, COUNTIFS('Draft '!$E:$E,$A25,'Draft '!$F:$F,C$1)))))</f>
        <v>0</v>
      </c>
      <c r="D25" s="140">
        <f>IF(Settings!$C$5=8, COUNTIFS('Draft (8 Teams)'!$E:$E,$A25,'Draft (8 Teams)'!$F:$F,D$1),
IF(Settings!$C$5=10, COUNTIFS('Draft (10 Teams)'!$E:$E,$A25,'Draft (10 Teams)'!$F:$F,D$1),
IF(Settings!$C$5=12, COUNTIFS('Draft (12 Teams)'!$E:$E,$A25,'Draft (12 Teams)'!$F:$F,D$1),
IF(Settings!$C$5=14, COUNTIFS('Draft '!$E:$E,$A25,'Draft '!$F:$F,D$1)))))</f>
        <v>0</v>
      </c>
      <c r="E25" s="140">
        <f>IF(Settings!$C$5=8, COUNTIFS('Draft (8 Teams)'!$E:$E,$A25,'Draft (8 Teams)'!$F:$F,E$1),
IF(Settings!$C$5=10, COUNTIFS('Draft (10 Teams)'!$E:$E,$A25,'Draft (10 Teams)'!$F:$F,E$1),
IF(Settings!$C$5=12, COUNTIFS('Draft (12 Teams)'!$E:$E,$A25,'Draft (12 Teams)'!$F:$F,E$1),
IF(Settings!$C$5=14, COUNTIFS('Draft '!$E:$E,$A25,'Draft '!$F:$F,E$1)))))</f>
        <v>0</v>
      </c>
      <c r="F25" s="140">
        <f>IF(Settings!$C$5=8, COUNTIFS('Draft (8 Teams)'!$E:$E,$A25,'Draft (8 Teams)'!$F:$F,F$1),
IF(Settings!$C$5=10, COUNTIFS('Draft (10 Teams)'!$E:$E,$A25,'Draft (10 Teams)'!$F:$F,F$1),
IF(Settings!$C$5=12, COUNTIFS('Draft (12 Teams)'!$E:$E,$A25,'Draft (12 Teams)'!$F:$F,F$1),
IF(Settings!$C$5=14, COUNTIFS('Draft '!$E:$E,$A25,'Draft '!$F:$F,F$1)))))</f>
        <v>0</v>
      </c>
      <c r="G25" s="140">
        <f>IF(Settings!$C$5=8, COUNTIFS('Draft (8 Teams)'!$E:$E,$A25,'Draft (8 Teams)'!$F:$F,G$1),
IF(Settings!$C$5=10, COUNTIFS('Draft (10 Teams)'!$E:$E,$A25,'Draft (10 Teams)'!$F:$F,G$1),
IF(Settings!$C$5=12, COUNTIFS('Draft (12 Teams)'!$E:$E,$A25,'Draft (12 Teams)'!$F:$F,G$1),
IF(Settings!$C$5=14, COUNTIFS('Draft '!$E:$E,$A25,'Draft '!$F:$F,G$1)))))</f>
        <v>0</v>
      </c>
      <c r="H25" s="140">
        <f>IF(Settings!$C$5=8, COUNTIFS('Draft (8 Teams)'!$E:$E,$A25,'Draft (8 Teams)'!$F:$F,H$1),
IF(Settings!$C$5=10, COUNTIFS('Draft (10 Teams)'!$E:$E,$A25,'Draft (10 Teams)'!$F:$F,H$1),
IF(Settings!$C$5=12, COUNTIFS('Draft (12 Teams)'!$E:$E,$A25,'Draft (12 Teams)'!$F:$F,H$1),
IF(Settings!$C$5=14, COUNTIFS('Draft '!$E:$E,$A25,'Draft '!$F:$F,H$1)))))</f>
        <v>0</v>
      </c>
      <c r="I25" s="140">
        <f>IF(Settings!$C$5=8, COUNTIFS('Draft (8 Teams)'!$E:$E,$A25,'Draft (8 Teams)'!$F:$F,I$1),
IF(Settings!$C$5=10, COUNTIFS('Draft (10 Teams)'!$E:$E,$A25,'Draft (10 Teams)'!$F:$F,I$1),
IF(Settings!$C$5=12, COUNTIFS('Draft (12 Teams)'!$E:$E,$A25,'Draft (12 Teams)'!$F:$F,I$1),
IF(Settings!$C$5=14, COUNTIFS('Draft '!$E:$E,$A25,'Draft '!$F:$F,I$1)))))</f>
        <v>0</v>
      </c>
      <c r="J25" s="140">
        <f>IF(Settings!$C$5=8, COUNTIFS('Draft (8 Teams)'!$E:$E,$A25,'Draft (8 Teams)'!$F:$F,J$1),
IF(Settings!$C$5=10, COUNTIFS('Draft (10 Teams)'!$E:$E,$A25,'Draft (10 Teams)'!$F:$F,J$1),
IF(Settings!$C$5=12, COUNTIFS('Draft (12 Teams)'!$E:$E,$A25,'Draft (12 Teams)'!$F:$F,J$1),
IF(Settings!$C$5=14, COUNTIFS('Draft '!$E:$E,$A25,'Draft '!$F:$F,J$1)))))</f>
        <v>0</v>
      </c>
      <c r="K25" s="140">
        <f>IF(Settings!$C$5=8, COUNTIFS('Draft (8 Teams)'!$E:$E,$A25,'Draft (8 Teams)'!$F:$F,K$1),
IF(Settings!$C$5=10, COUNTIFS('Draft (10 Teams)'!$E:$E,$A25,'Draft (10 Teams)'!$F:$F,K$1),
IF(Settings!$C$5=12, COUNTIFS('Draft (12 Teams)'!$E:$E,$A25,'Draft (12 Teams)'!$F:$F,K$1),
IF(Settings!$C$5=14, COUNTIFS('Draft '!$E:$E,$A25,'Draft '!$F:$F,K$1)))))</f>
        <v>0</v>
      </c>
    </row>
    <row r="26">
      <c r="A26" s="163" t="s">
        <v>481</v>
      </c>
      <c r="B26" s="138">
        <f t="shared" si="1"/>
        <v>0</v>
      </c>
      <c r="C26" s="138">
        <f>IF(Settings!$C$5=8, COUNTIFS('Draft (8 Teams)'!$E:$E,$A26,'Draft (8 Teams)'!$F:$F,C$1),
IF(Settings!$C$5=10, COUNTIFS('Draft (10 Teams)'!$E:$E,$A26,'Draft (10 Teams)'!$F:$F,C$1),
IF(Settings!$C$5=12, COUNTIFS('Draft (12 Teams)'!$E:$E,$A26,'Draft (12 Teams)'!$F:$F,C$1),
IF(Settings!$C$5=14, COUNTIFS('Draft '!$E:$E,$A26,'Draft '!$F:$F,C$1)))))</f>
        <v>0</v>
      </c>
      <c r="D26" s="138">
        <f>IF(Settings!$C$5=8, COUNTIFS('Draft (8 Teams)'!$E:$E,$A26,'Draft (8 Teams)'!$F:$F,D$1),
IF(Settings!$C$5=10, COUNTIFS('Draft (10 Teams)'!$E:$E,$A26,'Draft (10 Teams)'!$F:$F,D$1),
IF(Settings!$C$5=12, COUNTIFS('Draft (12 Teams)'!$E:$E,$A26,'Draft (12 Teams)'!$F:$F,D$1),
IF(Settings!$C$5=14, COUNTIFS('Draft '!$E:$E,$A26,'Draft '!$F:$F,D$1)))))</f>
        <v>0</v>
      </c>
      <c r="E26" s="138">
        <f>IF(Settings!$C$5=8, COUNTIFS('Draft (8 Teams)'!$E:$E,$A26,'Draft (8 Teams)'!$F:$F,E$1),
IF(Settings!$C$5=10, COUNTIFS('Draft (10 Teams)'!$E:$E,$A26,'Draft (10 Teams)'!$F:$F,E$1),
IF(Settings!$C$5=12, COUNTIFS('Draft (12 Teams)'!$E:$E,$A26,'Draft (12 Teams)'!$F:$F,E$1),
IF(Settings!$C$5=14, COUNTIFS('Draft '!$E:$E,$A26,'Draft '!$F:$F,E$1)))))</f>
        <v>0</v>
      </c>
      <c r="F26" s="138">
        <f>IF(Settings!$C$5=8, COUNTIFS('Draft (8 Teams)'!$E:$E,$A26,'Draft (8 Teams)'!$F:$F,F$1),
IF(Settings!$C$5=10, COUNTIFS('Draft (10 Teams)'!$E:$E,$A26,'Draft (10 Teams)'!$F:$F,F$1),
IF(Settings!$C$5=12, COUNTIFS('Draft (12 Teams)'!$E:$E,$A26,'Draft (12 Teams)'!$F:$F,F$1),
IF(Settings!$C$5=14, COUNTIFS('Draft '!$E:$E,$A26,'Draft '!$F:$F,F$1)))))</f>
        <v>0</v>
      </c>
      <c r="G26" s="138">
        <f>IF(Settings!$C$5=8, COUNTIFS('Draft (8 Teams)'!$E:$E,$A26,'Draft (8 Teams)'!$F:$F,G$1),
IF(Settings!$C$5=10, COUNTIFS('Draft (10 Teams)'!$E:$E,$A26,'Draft (10 Teams)'!$F:$F,G$1),
IF(Settings!$C$5=12, COUNTIFS('Draft (12 Teams)'!$E:$E,$A26,'Draft (12 Teams)'!$F:$F,G$1),
IF(Settings!$C$5=14, COUNTIFS('Draft '!$E:$E,$A26,'Draft '!$F:$F,G$1)))))</f>
        <v>0</v>
      </c>
      <c r="H26" s="138">
        <f>IF(Settings!$C$5=8, COUNTIFS('Draft (8 Teams)'!$E:$E,$A26,'Draft (8 Teams)'!$F:$F,H$1),
IF(Settings!$C$5=10, COUNTIFS('Draft (10 Teams)'!$E:$E,$A26,'Draft (10 Teams)'!$F:$F,H$1),
IF(Settings!$C$5=12, COUNTIFS('Draft (12 Teams)'!$E:$E,$A26,'Draft (12 Teams)'!$F:$F,H$1),
IF(Settings!$C$5=14, COUNTIFS('Draft '!$E:$E,$A26,'Draft '!$F:$F,H$1)))))</f>
        <v>0</v>
      </c>
      <c r="I26" s="138">
        <f>IF(Settings!$C$5=8, COUNTIFS('Draft (8 Teams)'!$E:$E,$A26,'Draft (8 Teams)'!$F:$F,I$1),
IF(Settings!$C$5=10, COUNTIFS('Draft (10 Teams)'!$E:$E,$A26,'Draft (10 Teams)'!$F:$F,I$1),
IF(Settings!$C$5=12, COUNTIFS('Draft (12 Teams)'!$E:$E,$A26,'Draft (12 Teams)'!$F:$F,I$1),
IF(Settings!$C$5=14, COUNTIFS('Draft '!$E:$E,$A26,'Draft '!$F:$F,I$1)))))</f>
        <v>0</v>
      </c>
      <c r="J26" s="138">
        <f>IF(Settings!$C$5=8, COUNTIFS('Draft (8 Teams)'!$E:$E,$A26,'Draft (8 Teams)'!$F:$F,J$1),
IF(Settings!$C$5=10, COUNTIFS('Draft (10 Teams)'!$E:$E,$A26,'Draft (10 Teams)'!$F:$F,J$1),
IF(Settings!$C$5=12, COUNTIFS('Draft (12 Teams)'!$E:$E,$A26,'Draft (12 Teams)'!$F:$F,J$1),
IF(Settings!$C$5=14, COUNTIFS('Draft '!$E:$E,$A26,'Draft '!$F:$F,J$1)))))</f>
        <v>0</v>
      </c>
      <c r="K26" s="138">
        <f>IF(Settings!$C$5=8, COUNTIFS('Draft (8 Teams)'!$E:$E,$A26,'Draft (8 Teams)'!$F:$F,K$1),
IF(Settings!$C$5=10, COUNTIFS('Draft (10 Teams)'!$E:$E,$A26,'Draft (10 Teams)'!$F:$F,K$1),
IF(Settings!$C$5=12, COUNTIFS('Draft (12 Teams)'!$E:$E,$A26,'Draft (12 Teams)'!$F:$F,K$1),
IF(Settings!$C$5=14, COUNTIFS('Draft '!$E:$E,$A26,'Draft '!$F:$F,K$1)))))</f>
        <v>0</v>
      </c>
    </row>
    <row r="27">
      <c r="A27" s="164" t="s">
        <v>482</v>
      </c>
      <c r="B27" s="140">
        <f t="shared" si="1"/>
        <v>0</v>
      </c>
      <c r="C27" s="140">
        <f>IF(Settings!$C$5=8, COUNTIFS('Draft (8 Teams)'!$E:$E,$A27,'Draft (8 Teams)'!$F:$F,C$1),
IF(Settings!$C$5=10, COUNTIFS('Draft (10 Teams)'!$E:$E,$A27,'Draft (10 Teams)'!$F:$F,C$1),
IF(Settings!$C$5=12, COUNTIFS('Draft (12 Teams)'!$E:$E,$A27,'Draft (12 Teams)'!$F:$F,C$1),
IF(Settings!$C$5=14, COUNTIFS('Draft '!$E:$E,$A27,'Draft '!$F:$F,C$1)))))</f>
        <v>0</v>
      </c>
      <c r="D27" s="140">
        <f>IF(Settings!$C$5=8, COUNTIFS('Draft (8 Teams)'!$E:$E,$A27,'Draft (8 Teams)'!$F:$F,D$1),
IF(Settings!$C$5=10, COUNTIFS('Draft (10 Teams)'!$E:$E,$A27,'Draft (10 Teams)'!$F:$F,D$1),
IF(Settings!$C$5=12, COUNTIFS('Draft (12 Teams)'!$E:$E,$A27,'Draft (12 Teams)'!$F:$F,D$1),
IF(Settings!$C$5=14, COUNTIFS('Draft '!$E:$E,$A27,'Draft '!$F:$F,D$1)))))</f>
        <v>0</v>
      </c>
      <c r="E27" s="140">
        <f>IF(Settings!$C$5=8, COUNTIFS('Draft (8 Teams)'!$E:$E,$A27,'Draft (8 Teams)'!$F:$F,E$1),
IF(Settings!$C$5=10, COUNTIFS('Draft (10 Teams)'!$E:$E,$A27,'Draft (10 Teams)'!$F:$F,E$1),
IF(Settings!$C$5=12, COUNTIFS('Draft (12 Teams)'!$E:$E,$A27,'Draft (12 Teams)'!$F:$F,E$1),
IF(Settings!$C$5=14, COUNTIFS('Draft '!$E:$E,$A27,'Draft '!$F:$F,E$1)))))</f>
        <v>0</v>
      </c>
      <c r="F27" s="140">
        <f>IF(Settings!$C$5=8, COUNTIFS('Draft (8 Teams)'!$E:$E,$A27,'Draft (8 Teams)'!$F:$F,F$1),
IF(Settings!$C$5=10, COUNTIFS('Draft (10 Teams)'!$E:$E,$A27,'Draft (10 Teams)'!$F:$F,F$1),
IF(Settings!$C$5=12, COUNTIFS('Draft (12 Teams)'!$E:$E,$A27,'Draft (12 Teams)'!$F:$F,F$1),
IF(Settings!$C$5=14, COUNTIFS('Draft '!$E:$E,$A27,'Draft '!$F:$F,F$1)))))</f>
        <v>0</v>
      </c>
      <c r="G27" s="140">
        <f>IF(Settings!$C$5=8, COUNTIFS('Draft (8 Teams)'!$E:$E,$A27,'Draft (8 Teams)'!$F:$F,G$1),
IF(Settings!$C$5=10, COUNTIFS('Draft (10 Teams)'!$E:$E,$A27,'Draft (10 Teams)'!$F:$F,G$1),
IF(Settings!$C$5=12, COUNTIFS('Draft (12 Teams)'!$E:$E,$A27,'Draft (12 Teams)'!$F:$F,G$1),
IF(Settings!$C$5=14, COUNTIFS('Draft '!$E:$E,$A27,'Draft '!$F:$F,G$1)))))</f>
        <v>0</v>
      </c>
      <c r="H27" s="140">
        <f>IF(Settings!$C$5=8, COUNTIFS('Draft (8 Teams)'!$E:$E,$A27,'Draft (8 Teams)'!$F:$F,H$1),
IF(Settings!$C$5=10, COUNTIFS('Draft (10 Teams)'!$E:$E,$A27,'Draft (10 Teams)'!$F:$F,H$1),
IF(Settings!$C$5=12, COUNTIFS('Draft (12 Teams)'!$E:$E,$A27,'Draft (12 Teams)'!$F:$F,H$1),
IF(Settings!$C$5=14, COUNTIFS('Draft '!$E:$E,$A27,'Draft '!$F:$F,H$1)))))</f>
        <v>0</v>
      </c>
      <c r="I27" s="140">
        <f>IF(Settings!$C$5=8, COUNTIFS('Draft (8 Teams)'!$E:$E,$A27,'Draft (8 Teams)'!$F:$F,I$1),
IF(Settings!$C$5=10, COUNTIFS('Draft (10 Teams)'!$E:$E,$A27,'Draft (10 Teams)'!$F:$F,I$1),
IF(Settings!$C$5=12, COUNTIFS('Draft (12 Teams)'!$E:$E,$A27,'Draft (12 Teams)'!$F:$F,I$1),
IF(Settings!$C$5=14, COUNTIFS('Draft '!$E:$E,$A27,'Draft '!$F:$F,I$1)))))</f>
        <v>0</v>
      </c>
      <c r="J27" s="140">
        <f>IF(Settings!$C$5=8, COUNTIFS('Draft (8 Teams)'!$E:$E,$A27,'Draft (8 Teams)'!$F:$F,J$1),
IF(Settings!$C$5=10, COUNTIFS('Draft (10 Teams)'!$E:$E,$A27,'Draft (10 Teams)'!$F:$F,J$1),
IF(Settings!$C$5=12, COUNTIFS('Draft (12 Teams)'!$E:$E,$A27,'Draft (12 Teams)'!$F:$F,J$1),
IF(Settings!$C$5=14, COUNTIFS('Draft '!$E:$E,$A27,'Draft '!$F:$F,J$1)))))</f>
        <v>0</v>
      </c>
      <c r="K27" s="140">
        <f>IF(Settings!$C$5=8, COUNTIFS('Draft (8 Teams)'!$E:$E,$A27,'Draft (8 Teams)'!$F:$F,K$1),
IF(Settings!$C$5=10, COUNTIFS('Draft (10 Teams)'!$E:$E,$A27,'Draft (10 Teams)'!$F:$F,K$1),
IF(Settings!$C$5=12, COUNTIFS('Draft (12 Teams)'!$E:$E,$A27,'Draft (12 Teams)'!$F:$F,K$1),
IF(Settings!$C$5=14, COUNTIFS('Draft '!$E:$E,$A27,'Draft '!$F:$F,K$1)))))</f>
        <v>0</v>
      </c>
    </row>
    <row r="28">
      <c r="A28" s="165" t="s">
        <v>483</v>
      </c>
      <c r="B28" s="138">
        <f t="shared" si="1"/>
        <v>0</v>
      </c>
      <c r="C28" s="138">
        <f>IF(Settings!$C$5=8, COUNTIFS('Draft (8 Teams)'!$E:$E,$A28,'Draft (8 Teams)'!$F:$F,C$1),
IF(Settings!$C$5=10, COUNTIFS('Draft (10 Teams)'!$E:$E,$A28,'Draft (10 Teams)'!$F:$F,C$1),
IF(Settings!$C$5=12, COUNTIFS('Draft (12 Teams)'!$E:$E,$A28,'Draft (12 Teams)'!$F:$F,C$1),
IF(Settings!$C$5=14, COUNTIFS('Draft '!$E:$E,$A28,'Draft '!$F:$F,C$1)))))</f>
        <v>0</v>
      </c>
      <c r="D28" s="138">
        <f>IF(Settings!$C$5=8, COUNTIFS('Draft (8 Teams)'!$E:$E,$A28,'Draft (8 Teams)'!$F:$F,D$1),
IF(Settings!$C$5=10, COUNTIFS('Draft (10 Teams)'!$E:$E,$A28,'Draft (10 Teams)'!$F:$F,D$1),
IF(Settings!$C$5=12, COUNTIFS('Draft (12 Teams)'!$E:$E,$A28,'Draft (12 Teams)'!$F:$F,D$1),
IF(Settings!$C$5=14, COUNTIFS('Draft '!$E:$E,$A28,'Draft '!$F:$F,D$1)))))</f>
        <v>0</v>
      </c>
      <c r="E28" s="138">
        <f>IF(Settings!$C$5=8, COUNTIFS('Draft (8 Teams)'!$E:$E,$A28,'Draft (8 Teams)'!$F:$F,E$1),
IF(Settings!$C$5=10, COUNTIFS('Draft (10 Teams)'!$E:$E,$A28,'Draft (10 Teams)'!$F:$F,E$1),
IF(Settings!$C$5=12, COUNTIFS('Draft (12 Teams)'!$E:$E,$A28,'Draft (12 Teams)'!$F:$F,E$1),
IF(Settings!$C$5=14, COUNTIFS('Draft '!$E:$E,$A28,'Draft '!$F:$F,E$1)))))</f>
        <v>0</v>
      </c>
      <c r="F28" s="138">
        <f>IF(Settings!$C$5=8, COUNTIFS('Draft (8 Teams)'!$E:$E,$A28,'Draft (8 Teams)'!$F:$F,F$1),
IF(Settings!$C$5=10, COUNTIFS('Draft (10 Teams)'!$E:$E,$A28,'Draft (10 Teams)'!$F:$F,F$1),
IF(Settings!$C$5=12, COUNTIFS('Draft (12 Teams)'!$E:$E,$A28,'Draft (12 Teams)'!$F:$F,F$1),
IF(Settings!$C$5=14, COUNTIFS('Draft '!$E:$E,$A28,'Draft '!$F:$F,F$1)))))</f>
        <v>0</v>
      </c>
      <c r="G28" s="138">
        <f>IF(Settings!$C$5=8, COUNTIFS('Draft (8 Teams)'!$E:$E,$A28,'Draft (8 Teams)'!$F:$F,G$1),
IF(Settings!$C$5=10, COUNTIFS('Draft (10 Teams)'!$E:$E,$A28,'Draft (10 Teams)'!$F:$F,G$1),
IF(Settings!$C$5=12, COUNTIFS('Draft (12 Teams)'!$E:$E,$A28,'Draft (12 Teams)'!$F:$F,G$1),
IF(Settings!$C$5=14, COUNTIFS('Draft '!$E:$E,$A28,'Draft '!$F:$F,G$1)))))</f>
        <v>0</v>
      </c>
      <c r="H28" s="138">
        <f>IF(Settings!$C$5=8, COUNTIFS('Draft (8 Teams)'!$E:$E,$A28,'Draft (8 Teams)'!$F:$F,H$1),
IF(Settings!$C$5=10, COUNTIFS('Draft (10 Teams)'!$E:$E,$A28,'Draft (10 Teams)'!$F:$F,H$1),
IF(Settings!$C$5=12, COUNTIFS('Draft (12 Teams)'!$E:$E,$A28,'Draft (12 Teams)'!$F:$F,H$1),
IF(Settings!$C$5=14, COUNTIFS('Draft '!$E:$E,$A28,'Draft '!$F:$F,H$1)))))</f>
        <v>0</v>
      </c>
      <c r="I28" s="138">
        <f>IF(Settings!$C$5=8, COUNTIFS('Draft (8 Teams)'!$E:$E,$A28,'Draft (8 Teams)'!$F:$F,I$1),
IF(Settings!$C$5=10, COUNTIFS('Draft (10 Teams)'!$E:$E,$A28,'Draft (10 Teams)'!$F:$F,I$1),
IF(Settings!$C$5=12, COUNTIFS('Draft (12 Teams)'!$E:$E,$A28,'Draft (12 Teams)'!$F:$F,I$1),
IF(Settings!$C$5=14, COUNTIFS('Draft '!$E:$E,$A28,'Draft '!$F:$F,I$1)))))</f>
        <v>0</v>
      </c>
      <c r="J28" s="138">
        <f>IF(Settings!$C$5=8, COUNTIFS('Draft (8 Teams)'!$E:$E,$A28,'Draft (8 Teams)'!$F:$F,J$1),
IF(Settings!$C$5=10, COUNTIFS('Draft (10 Teams)'!$E:$E,$A28,'Draft (10 Teams)'!$F:$F,J$1),
IF(Settings!$C$5=12, COUNTIFS('Draft (12 Teams)'!$E:$E,$A28,'Draft (12 Teams)'!$F:$F,J$1),
IF(Settings!$C$5=14, COUNTIFS('Draft '!$E:$E,$A28,'Draft '!$F:$F,J$1)))))</f>
        <v>0</v>
      </c>
      <c r="K28" s="138">
        <f>IF(Settings!$C$5=8, COUNTIFS('Draft (8 Teams)'!$E:$E,$A28,'Draft (8 Teams)'!$F:$F,K$1),
IF(Settings!$C$5=10, COUNTIFS('Draft (10 Teams)'!$E:$E,$A28,'Draft (10 Teams)'!$F:$F,K$1),
IF(Settings!$C$5=12, COUNTIFS('Draft (12 Teams)'!$E:$E,$A28,'Draft (12 Teams)'!$F:$F,K$1),
IF(Settings!$C$5=14, COUNTIFS('Draft '!$E:$E,$A28,'Draft '!$F:$F,K$1)))))</f>
        <v>0</v>
      </c>
    </row>
    <row r="29">
      <c r="A29" s="166" t="s">
        <v>484</v>
      </c>
      <c r="B29" s="140">
        <f t="shared" si="1"/>
        <v>0</v>
      </c>
      <c r="C29" s="140">
        <f>IF(Settings!$C$5=8, COUNTIFS('Draft (8 Teams)'!$E:$E,$A29,'Draft (8 Teams)'!$F:$F,C$1),
IF(Settings!$C$5=10, COUNTIFS('Draft (10 Teams)'!$E:$E,$A29,'Draft (10 Teams)'!$F:$F,C$1),
IF(Settings!$C$5=12, COUNTIFS('Draft (12 Teams)'!$E:$E,$A29,'Draft (12 Teams)'!$F:$F,C$1),
IF(Settings!$C$5=14, COUNTIFS('Draft '!$E:$E,$A29,'Draft '!$F:$F,C$1)))))</f>
        <v>0</v>
      </c>
      <c r="D29" s="140">
        <f>IF(Settings!$C$5=8, COUNTIFS('Draft (8 Teams)'!$E:$E,$A29,'Draft (8 Teams)'!$F:$F,D$1),
IF(Settings!$C$5=10, COUNTIFS('Draft (10 Teams)'!$E:$E,$A29,'Draft (10 Teams)'!$F:$F,D$1),
IF(Settings!$C$5=12, COUNTIFS('Draft (12 Teams)'!$E:$E,$A29,'Draft (12 Teams)'!$F:$F,D$1),
IF(Settings!$C$5=14, COUNTIFS('Draft '!$E:$E,$A29,'Draft '!$F:$F,D$1)))))</f>
        <v>0</v>
      </c>
      <c r="E29" s="140">
        <f>IF(Settings!$C$5=8, COUNTIFS('Draft (8 Teams)'!$E:$E,$A29,'Draft (8 Teams)'!$F:$F,E$1),
IF(Settings!$C$5=10, COUNTIFS('Draft (10 Teams)'!$E:$E,$A29,'Draft (10 Teams)'!$F:$F,E$1),
IF(Settings!$C$5=12, COUNTIFS('Draft (12 Teams)'!$E:$E,$A29,'Draft (12 Teams)'!$F:$F,E$1),
IF(Settings!$C$5=14, COUNTIFS('Draft '!$E:$E,$A29,'Draft '!$F:$F,E$1)))))</f>
        <v>0</v>
      </c>
      <c r="F29" s="140">
        <f>IF(Settings!$C$5=8, COUNTIFS('Draft (8 Teams)'!$E:$E,$A29,'Draft (8 Teams)'!$F:$F,F$1),
IF(Settings!$C$5=10, COUNTIFS('Draft (10 Teams)'!$E:$E,$A29,'Draft (10 Teams)'!$F:$F,F$1),
IF(Settings!$C$5=12, COUNTIFS('Draft (12 Teams)'!$E:$E,$A29,'Draft (12 Teams)'!$F:$F,F$1),
IF(Settings!$C$5=14, COUNTIFS('Draft '!$E:$E,$A29,'Draft '!$F:$F,F$1)))))</f>
        <v>0</v>
      </c>
      <c r="G29" s="140">
        <f>IF(Settings!$C$5=8, COUNTIFS('Draft (8 Teams)'!$E:$E,$A29,'Draft (8 Teams)'!$F:$F,G$1),
IF(Settings!$C$5=10, COUNTIFS('Draft (10 Teams)'!$E:$E,$A29,'Draft (10 Teams)'!$F:$F,G$1),
IF(Settings!$C$5=12, COUNTIFS('Draft (12 Teams)'!$E:$E,$A29,'Draft (12 Teams)'!$F:$F,G$1),
IF(Settings!$C$5=14, COUNTIFS('Draft '!$E:$E,$A29,'Draft '!$F:$F,G$1)))))</f>
        <v>0</v>
      </c>
      <c r="H29" s="140">
        <f>IF(Settings!$C$5=8, COUNTIFS('Draft (8 Teams)'!$E:$E,$A29,'Draft (8 Teams)'!$F:$F,H$1),
IF(Settings!$C$5=10, COUNTIFS('Draft (10 Teams)'!$E:$E,$A29,'Draft (10 Teams)'!$F:$F,H$1),
IF(Settings!$C$5=12, COUNTIFS('Draft (12 Teams)'!$E:$E,$A29,'Draft (12 Teams)'!$F:$F,H$1),
IF(Settings!$C$5=14, COUNTIFS('Draft '!$E:$E,$A29,'Draft '!$F:$F,H$1)))))</f>
        <v>0</v>
      </c>
      <c r="I29" s="140">
        <f>IF(Settings!$C$5=8, COUNTIFS('Draft (8 Teams)'!$E:$E,$A29,'Draft (8 Teams)'!$F:$F,I$1),
IF(Settings!$C$5=10, COUNTIFS('Draft (10 Teams)'!$E:$E,$A29,'Draft (10 Teams)'!$F:$F,I$1),
IF(Settings!$C$5=12, COUNTIFS('Draft (12 Teams)'!$E:$E,$A29,'Draft (12 Teams)'!$F:$F,I$1),
IF(Settings!$C$5=14, COUNTIFS('Draft '!$E:$E,$A29,'Draft '!$F:$F,I$1)))))</f>
        <v>0</v>
      </c>
      <c r="J29" s="140">
        <f>IF(Settings!$C$5=8, COUNTIFS('Draft (8 Teams)'!$E:$E,$A29,'Draft (8 Teams)'!$F:$F,J$1),
IF(Settings!$C$5=10, COUNTIFS('Draft (10 Teams)'!$E:$E,$A29,'Draft (10 Teams)'!$F:$F,J$1),
IF(Settings!$C$5=12, COUNTIFS('Draft (12 Teams)'!$E:$E,$A29,'Draft (12 Teams)'!$F:$F,J$1),
IF(Settings!$C$5=14, COUNTIFS('Draft '!$E:$E,$A29,'Draft '!$F:$F,J$1)))))</f>
        <v>0</v>
      </c>
      <c r="K29" s="140">
        <f>IF(Settings!$C$5=8, COUNTIFS('Draft (8 Teams)'!$E:$E,$A29,'Draft (8 Teams)'!$F:$F,K$1),
IF(Settings!$C$5=10, COUNTIFS('Draft (10 Teams)'!$E:$E,$A29,'Draft (10 Teams)'!$F:$F,K$1),
IF(Settings!$C$5=12, COUNTIFS('Draft (12 Teams)'!$E:$E,$A29,'Draft (12 Teams)'!$F:$F,K$1),
IF(Settings!$C$5=14, COUNTIFS('Draft '!$E:$E,$A29,'Draft '!$F:$F,K$1)))))</f>
        <v>0</v>
      </c>
    </row>
    <row r="30">
      <c r="A30" s="167" t="s">
        <v>485</v>
      </c>
      <c r="B30" s="138">
        <f t="shared" si="1"/>
        <v>0</v>
      </c>
      <c r="C30" s="138">
        <f>IF(Settings!$C$5=8, COUNTIFS('Draft (8 Teams)'!$E:$E,$A30,'Draft (8 Teams)'!$F:$F,C$1),
IF(Settings!$C$5=10, COUNTIFS('Draft (10 Teams)'!$E:$E,$A30,'Draft (10 Teams)'!$F:$F,C$1),
IF(Settings!$C$5=12, COUNTIFS('Draft (12 Teams)'!$E:$E,$A30,'Draft (12 Teams)'!$F:$F,C$1),
IF(Settings!$C$5=14, COUNTIFS('Draft '!$E:$E,$A30,'Draft '!$F:$F,C$1)))))</f>
        <v>0</v>
      </c>
      <c r="D30" s="138">
        <f>IF(Settings!$C$5=8, COUNTIFS('Draft (8 Teams)'!$E:$E,$A30,'Draft (8 Teams)'!$F:$F,D$1),
IF(Settings!$C$5=10, COUNTIFS('Draft (10 Teams)'!$E:$E,$A30,'Draft (10 Teams)'!$F:$F,D$1),
IF(Settings!$C$5=12, COUNTIFS('Draft (12 Teams)'!$E:$E,$A30,'Draft (12 Teams)'!$F:$F,D$1),
IF(Settings!$C$5=14, COUNTIFS('Draft '!$E:$E,$A30,'Draft '!$F:$F,D$1)))))</f>
        <v>0</v>
      </c>
      <c r="E30" s="138">
        <f>IF(Settings!$C$5=8, COUNTIFS('Draft (8 Teams)'!$E:$E,$A30,'Draft (8 Teams)'!$F:$F,E$1),
IF(Settings!$C$5=10, COUNTIFS('Draft (10 Teams)'!$E:$E,$A30,'Draft (10 Teams)'!$F:$F,E$1),
IF(Settings!$C$5=12, COUNTIFS('Draft (12 Teams)'!$E:$E,$A30,'Draft (12 Teams)'!$F:$F,E$1),
IF(Settings!$C$5=14, COUNTIFS('Draft '!$E:$E,$A30,'Draft '!$F:$F,E$1)))))</f>
        <v>0</v>
      </c>
      <c r="F30" s="138">
        <f>IF(Settings!$C$5=8, COUNTIFS('Draft (8 Teams)'!$E:$E,$A30,'Draft (8 Teams)'!$F:$F,F$1),
IF(Settings!$C$5=10, COUNTIFS('Draft (10 Teams)'!$E:$E,$A30,'Draft (10 Teams)'!$F:$F,F$1),
IF(Settings!$C$5=12, COUNTIFS('Draft (12 Teams)'!$E:$E,$A30,'Draft (12 Teams)'!$F:$F,F$1),
IF(Settings!$C$5=14, COUNTIFS('Draft '!$E:$E,$A30,'Draft '!$F:$F,F$1)))))</f>
        <v>0</v>
      </c>
      <c r="G30" s="138">
        <f>IF(Settings!$C$5=8, COUNTIFS('Draft (8 Teams)'!$E:$E,$A30,'Draft (8 Teams)'!$F:$F,G$1),
IF(Settings!$C$5=10, COUNTIFS('Draft (10 Teams)'!$E:$E,$A30,'Draft (10 Teams)'!$F:$F,G$1),
IF(Settings!$C$5=12, COUNTIFS('Draft (12 Teams)'!$E:$E,$A30,'Draft (12 Teams)'!$F:$F,G$1),
IF(Settings!$C$5=14, COUNTIFS('Draft '!$E:$E,$A30,'Draft '!$F:$F,G$1)))))</f>
        <v>0</v>
      </c>
      <c r="H30" s="138">
        <f>IF(Settings!$C$5=8, COUNTIFS('Draft (8 Teams)'!$E:$E,$A30,'Draft (8 Teams)'!$F:$F,H$1),
IF(Settings!$C$5=10, COUNTIFS('Draft (10 Teams)'!$E:$E,$A30,'Draft (10 Teams)'!$F:$F,H$1),
IF(Settings!$C$5=12, COUNTIFS('Draft (12 Teams)'!$E:$E,$A30,'Draft (12 Teams)'!$F:$F,H$1),
IF(Settings!$C$5=14, COUNTIFS('Draft '!$E:$E,$A30,'Draft '!$F:$F,H$1)))))</f>
        <v>0</v>
      </c>
      <c r="I30" s="138">
        <f>IF(Settings!$C$5=8, COUNTIFS('Draft (8 Teams)'!$E:$E,$A30,'Draft (8 Teams)'!$F:$F,I$1),
IF(Settings!$C$5=10, COUNTIFS('Draft (10 Teams)'!$E:$E,$A30,'Draft (10 Teams)'!$F:$F,I$1),
IF(Settings!$C$5=12, COUNTIFS('Draft (12 Teams)'!$E:$E,$A30,'Draft (12 Teams)'!$F:$F,I$1),
IF(Settings!$C$5=14, COUNTIFS('Draft '!$E:$E,$A30,'Draft '!$F:$F,I$1)))))</f>
        <v>0</v>
      </c>
      <c r="J30" s="138">
        <f>IF(Settings!$C$5=8, COUNTIFS('Draft (8 Teams)'!$E:$E,$A30,'Draft (8 Teams)'!$F:$F,J$1),
IF(Settings!$C$5=10, COUNTIFS('Draft (10 Teams)'!$E:$E,$A30,'Draft (10 Teams)'!$F:$F,J$1),
IF(Settings!$C$5=12, COUNTIFS('Draft (12 Teams)'!$E:$E,$A30,'Draft (12 Teams)'!$F:$F,J$1),
IF(Settings!$C$5=14, COUNTIFS('Draft '!$E:$E,$A30,'Draft '!$F:$F,J$1)))))</f>
        <v>0</v>
      </c>
      <c r="K30" s="138">
        <f>IF(Settings!$C$5=8, COUNTIFS('Draft (8 Teams)'!$E:$E,$A30,'Draft (8 Teams)'!$F:$F,K$1),
IF(Settings!$C$5=10, COUNTIFS('Draft (10 Teams)'!$E:$E,$A30,'Draft (10 Teams)'!$F:$F,K$1),
IF(Settings!$C$5=12, COUNTIFS('Draft (12 Teams)'!$E:$E,$A30,'Draft (12 Teams)'!$F:$F,K$1),
IF(Settings!$C$5=14, COUNTIFS('Draft '!$E:$E,$A30,'Draft '!$F:$F,K$1)))))</f>
        <v>0</v>
      </c>
    </row>
    <row r="31">
      <c r="A31" s="168" t="s">
        <v>486</v>
      </c>
      <c r="B31" s="140">
        <f t="shared" si="1"/>
        <v>0</v>
      </c>
      <c r="C31" s="140">
        <f>IF(Settings!$C$5=8, COUNTIFS('Draft (8 Teams)'!$E:$E,$A31,'Draft (8 Teams)'!$F:$F,C$1),
IF(Settings!$C$5=10, COUNTIFS('Draft (10 Teams)'!$E:$E,$A31,'Draft (10 Teams)'!$F:$F,C$1),
IF(Settings!$C$5=12, COUNTIFS('Draft (12 Teams)'!$E:$E,$A31,'Draft (12 Teams)'!$F:$F,C$1),
IF(Settings!$C$5=14, COUNTIFS('Draft '!$E:$E,$A31,'Draft '!$F:$F,C$1)))))</f>
        <v>0</v>
      </c>
      <c r="D31" s="140">
        <f>IF(Settings!$C$5=8, COUNTIFS('Draft (8 Teams)'!$E:$E,$A31,'Draft (8 Teams)'!$F:$F,D$1),
IF(Settings!$C$5=10, COUNTIFS('Draft (10 Teams)'!$E:$E,$A31,'Draft (10 Teams)'!$F:$F,D$1),
IF(Settings!$C$5=12, COUNTIFS('Draft (12 Teams)'!$E:$E,$A31,'Draft (12 Teams)'!$F:$F,D$1),
IF(Settings!$C$5=14, COUNTIFS('Draft '!$E:$E,$A31,'Draft '!$F:$F,D$1)))))</f>
        <v>0</v>
      </c>
      <c r="E31" s="140">
        <f>IF(Settings!$C$5=8, COUNTIFS('Draft (8 Teams)'!$E:$E,$A31,'Draft (8 Teams)'!$F:$F,E$1),
IF(Settings!$C$5=10, COUNTIFS('Draft (10 Teams)'!$E:$E,$A31,'Draft (10 Teams)'!$F:$F,E$1),
IF(Settings!$C$5=12, COUNTIFS('Draft (12 Teams)'!$E:$E,$A31,'Draft (12 Teams)'!$F:$F,E$1),
IF(Settings!$C$5=14, COUNTIFS('Draft '!$E:$E,$A31,'Draft '!$F:$F,E$1)))))</f>
        <v>0</v>
      </c>
      <c r="F31" s="140">
        <f>IF(Settings!$C$5=8, COUNTIFS('Draft (8 Teams)'!$E:$E,$A31,'Draft (8 Teams)'!$F:$F,F$1),
IF(Settings!$C$5=10, COUNTIFS('Draft (10 Teams)'!$E:$E,$A31,'Draft (10 Teams)'!$F:$F,F$1),
IF(Settings!$C$5=12, COUNTIFS('Draft (12 Teams)'!$E:$E,$A31,'Draft (12 Teams)'!$F:$F,F$1),
IF(Settings!$C$5=14, COUNTIFS('Draft '!$E:$E,$A31,'Draft '!$F:$F,F$1)))))</f>
        <v>0</v>
      </c>
      <c r="G31" s="140">
        <f>IF(Settings!$C$5=8, COUNTIFS('Draft (8 Teams)'!$E:$E,$A31,'Draft (8 Teams)'!$F:$F,G$1),
IF(Settings!$C$5=10, COUNTIFS('Draft (10 Teams)'!$E:$E,$A31,'Draft (10 Teams)'!$F:$F,G$1),
IF(Settings!$C$5=12, COUNTIFS('Draft (12 Teams)'!$E:$E,$A31,'Draft (12 Teams)'!$F:$F,G$1),
IF(Settings!$C$5=14, COUNTIFS('Draft '!$E:$E,$A31,'Draft '!$F:$F,G$1)))))</f>
        <v>0</v>
      </c>
      <c r="H31" s="140">
        <f>IF(Settings!$C$5=8, COUNTIFS('Draft (8 Teams)'!$E:$E,$A31,'Draft (8 Teams)'!$F:$F,H$1),
IF(Settings!$C$5=10, COUNTIFS('Draft (10 Teams)'!$E:$E,$A31,'Draft (10 Teams)'!$F:$F,H$1),
IF(Settings!$C$5=12, COUNTIFS('Draft (12 Teams)'!$E:$E,$A31,'Draft (12 Teams)'!$F:$F,H$1),
IF(Settings!$C$5=14, COUNTIFS('Draft '!$E:$E,$A31,'Draft '!$F:$F,H$1)))))</f>
        <v>0</v>
      </c>
      <c r="I31" s="140">
        <f>IF(Settings!$C$5=8, COUNTIFS('Draft (8 Teams)'!$E:$E,$A31,'Draft (8 Teams)'!$F:$F,I$1),
IF(Settings!$C$5=10, COUNTIFS('Draft (10 Teams)'!$E:$E,$A31,'Draft (10 Teams)'!$F:$F,I$1),
IF(Settings!$C$5=12, COUNTIFS('Draft (12 Teams)'!$E:$E,$A31,'Draft (12 Teams)'!$F:$F,I$1),
IF(Settings!$C$5=14, COUNTIFS('Draft '!$E:$E,$A31,'Draft '!$F:$F,I$1)))))</f>
        <v>0</v>
      </c>
      <c r="J31" s="140">
        <f>IF(Settings!$C$5=8, COUNTIFS('Draft (8 Teams)'!$E:$E,$A31,'Draft (8 Teams)'!$F:$F,J$1),
IF(Settings!$C$5=10, COUNTIFS('Draft (10 Teams)'!$E:$E,$A31,'Draft (10 Teams)'!$F:$F,J$1),
IF(Settings!$C$5=12, COUNTIFS('Draft (12 Teams)'!$E:$E,$A31,'Draft (12 Teams)'!$F:$F,J$1),
IF(Settings!$C$5=14, COUNTIFS('Draft '!$E:$E,$A31,'Draft '!$F:$F,J$1)))))</f>
        <v>0</v>
      </c>
      <c r="K31" s="140">
        <f>IF(Settings!$C$5=8, COUNTIFS('Draft (8 Teams)'!$E:$E,$A31,'Draft (8 Teams)'!$F:$F,K$1),
IF(Settings!$C$5=10, COUNTIFS('Draft (10 Teams)'!$E:$E,$A31,'Draft (10 Teams)'!$F:$F,K$1),
IF(Settings!$C$5=12, COUNTIFS('Draft (12 Teams)'!$E:$E,$A31,'Draft (12 Teams)'!$F:$F,K$1),
IF(Settings!$C$5=14, COUNTIFS('Draft '!$E:$E,$A31,'Draft '!$F:$F,K$1)))))</f>
        <v>0</v>
      </c>
    </row>
    <row r="32">
      <c r="A32" s="169" t="s">
        <v>487</v>
      </c>
      <c r="B32" s="138">
        <f t="shared" si="1"/>
        <v>0</v>
      </c>
      <c r="C32" s="138">
        <f>IF(Settings!$C$5=8, COUNTIFS('Draft (8 Teams)'!$E:$E,$A32,'Draft (8 Teams)'!$F:$F,C$1),
IF(Settings!$C$5=10, COUNTIFS('Draft (10 Teams)'!$E:$E,$A32,'Draft (10 Teams)'!$F:$F,C$1),
IF(Settings!$C$5=12, COUNTIFS('Draft (12 Teams)'!$E:$E,$A32,'Draft (12 Teams)'!$F:$F,C$1),
IF(Settings!$C$5=14, COUNTIFS('Draft '!$E:$E,$A32,'Draft '!$F:$F,C$1)))))</f>
        <v>0</v>
      </c>
      <c r="D32" s="138">
        <f>IF(Settings!$C$5=8, COUNTIFS('Draft (8 Teams)'!$E:$E,$A32,'Draft (8 Teams)'!$F:$F,D$1),
IF(Settings!$C$5=10, COUNTIFS('Draft (10 Teams)'!$E:$E,$A32,'Draft (10 Teams)'!$F:$F,D$1),
IF(Settings!$C$5=12, COUNTIFS('Draft (12 Teams)'!$E:$E,$A32,'Draft (12 Teams)'!$F:$F,D$1),
IF(Settings!$C$5=14, COUNTIFS('Draft '!$E:$E,$A32,'Draft '!$F:$F,D$1)))))</f>
        <v>0</v>
      </c>
      <c r="E32" s="138">
        <f>IF(Settings!$C$5=8, COUNTIFS('Draft (8 Teams)'!$E:$E,$A32,'Draft (8 Teams)'!$F:$F,E$1),
IF(Settings!$C$5=10, COUNTIFS('Draft (10 Teams)'!$E:$E,$A32,'Draft (10 Teams)'!$F:$F,E$1),
IF(Settings!$C$5=12, COUNTIFS('Draft (12 Teams)'!$E:$E,$A32,'Draft (12 Teams)'!$F:$F,E$1),
IF(Settings!$C$5=14, COUNTIFS('Draft '!$E:$E,$A32,'Draft '!$F:$F,E$1)))))</f>
        <v>0</v>
      </c>
      <c r="F32" s="138">
        <f>IF(Settings!$C$5=8, COUNTIFS('Draft (8 Teams)'!$E:$E,$A32,'Draft (8 Teams)'!$F:$F,F$1),
IF(Settings!$C$5=10, COUNTIFS('Draft (10 Teams)'!$E:$E,$A32,'Draft (10 Teams)'!$F:$F,F$1),
IF(Settings!$C$5=12, COUNTIFS('Draft (12 Teams)'!$E:$E,$A32,'Draft (12 Teams)'!$F:$F,F$1),
IF(Settings!$C$5=14, COUNTIFS('Draft '!$E:$E,$A32,'Draft '!$F:$F,F$1)))))</f>
        <v>0</v>
      </c>
      <c r="G32" s="138">
        <f>IF(Settings!$C$5=8, COUNTIFS('Draft (8 Teams)'!$E:$E,$A32,'Draft (8 Teams)'!$F:$F,G$1),
IF(Settings!$C$5=10, COUNTIFS('Draft (10 Teams)'!$E:$E,$A32,'Draft (10 Teams)'!$F:$F,G$1),
IF(Settings!$C$5=12, COUNTIFS('Draft (12 Teams)'!$E:$E,$A32,'Draft (12 Teams)'!$F:$F,G$1),
IF(Settings!$C$5=14, COUNTIFS('Draft '!$E:$E,$A32,'Draft '!$F:$F,G$1)))))</f>
        <v>0</v>
      </c>
      <c r="H32" s="138">
        <f>IF(Settings!$C$5=8, COUNTIFS('Draft (8 Teams)'!$E:$E,$A32,'Draft (8 Teams)'!$F:$F,H$1),
IF(Settings!$C$5=10, COUNTIFS('Draft (10 Teams)'!$E:$E,$A32,'Draft (10 Teams)'!$F:$F,H$1),
IF(Settings!$C$5=12, COUNTIFS('Draft (12 Teams)'!$E:$E,$A32,'Draft (12 Teams)'!$F:$F,H$1),
IF(Settings!$C$5=14, COUNTIFS('Draft '!$E:$E,$A32,'Draft '!$F:$F,H$1)))))</f>
        <v>0</v>
      </c>
      <c r="I32" s="138">
        <f>IF(Settings!$C$5=8, COUNTIFS('Draft (8 Teams)'!$E:$E,$A32,'Draft (8 Teams)'!$F:$F,I$1),
IF(Settings!$C$5=10, COUNTIFS('Draft (10 Teams)'!$E:$E,$A32,'Draft (10 Teams)'!$F:$F,I$1),
IF(Settings!$C$5=12, COUNTIFS('Draft (12 Teams)'!$E:$E,$A32,'Draft (12 Teams)'!$F:$F,I$1),
IF(Settings!$C$5=14, COUNTIFS('Draft '!$E:$E,$A32,'Draft '!$F:$F,I$1)))))</f>
        <v>0</v>
      </c>
      <c r="J32" s="138">
        <f>IF(Settings!$C$5=8, COUNTIFS('Draft (8 Teams)'!$E:$E,$A32,'Draft (8 Teams)'!$F:$F,J$1),
IF(Settings!$C$5=10, COUNTIFS('Draft (10 Teams)'!$E:$E,$A32,'Draft (10 Teams)'!$F:$F,J$1),
IF(Settings!$C$5=12, COUNTIFS('Draft (12 Teams)'!$E:$E,$A32,'Draft (12 Teams)'!$F:$F,J$1),
IF(Settings!$C$5=14, COUNTIFS('Draft '!$E:$E,$A32,'Draft '!$F:$F,J$1)))))</f>
        <v>0</v>
      </c>
      <c r="K32" s="138">
        <f>IF(Settings!$C$5=8, COUNTIFS('Draft (8 Teams)'!$E:$E,$A32,'Draft (8 Teams)'!$F:$F,K$1),
IF(Settings!$C$5=10, COUNTIFS('Draft (10 Teams)'!$E:$E,$A32,'Draft (10 Teams)'!$F:$F,K$1),
IF(Settings!$C$5=12, COUNTIFS('Draft (12 Teams)'!$E:$E,$A32,'Draft (12 Teams)'!$F:$F,K$1),
IF(Settings!$C$5=14, COUNTIFS('Draft '!$E:$E,$A32,'Draft '!$F:$F,K$1)))))</f>
        <v>0</v>
      </c>
    </row>
    <row r="33">
      <c r="A33" s="170" t="s">
        <v>488</v>
      </c>
      <c r="B33" s="140">
        <f t="shared" si="1"/>
        <v>0</v>
      </c>
      <c r="C33" s="140">
        <f>IF(Settings!$C$5=8, COUNTIFS('Draft (8 Teams)'!$E:$E,$A33,'Draft (8 Teams)'!$F:$F,C$1),
IF(Settings!$C$5=10, COUNTIFS('Draft (10 Teams)'!$E:$E,$A33,'Draft (10 Teams)'!$F:$F,C$1),
IF(Settings!$C$5=12, COUNTIFS('Draft (12 Teams)'!$E:$E,$A33,'Draft (12 Teams)'!$F:$F,C$1),
IF(Settings!$C$5=14, COUNTIFS('Draft '!$E:$E,$A33,'Draft '!$F:$F,C$1)))))</f>
        <v>0</v>
      </c>
      <c r="D33" s="140">
        <f>IF(Settings!$C$5=8, COUNTIFS('Draft (8 Teams)'!$E:$E,$A33,'Draft (8 Teams)'!$F:$F,D$1),
IF(Settings!$C$5=10, COUNTIFS('Draft (10 Teams)'!$E:$E,$A33,'Draft (10 Teams)'!$F:$F,D$1),
IF(Settings!$C$5=12, COUNTIFS('Draft (12 Teams)'!$E:$E,$A33,'Draft (12 Teams)'!$F:$F,D$1),
IF(Settings!$C$5=14, COUNTIFS('Draft '!$E:$E,$A33,'Draft '!$F:$F,D$1)))))</f>
        <v>0</v>
      </c>
      <c r="E33" s="140">
        <f>IF(Settings!$C$5=8, COUNTIFS('Draft (8 Teams)'!$E:$E,$A33,'Draft (8 Teams)'!$F:$F,E$1),
IF(Settings!$C$5=10, COUNTIFS('Draft (10 Teams)'!$E:$E,$A33,'Draft (10 Teams)'!$F:$F,E$1),
IF(Settings!$C$5=12, COUNTIFS('Draft (12 Teams)'!$E:$E,$A33,'Draft (12 Teams)'!$F:$F,E$1),
IF(Settings!$C$5=14, COUNTIFS('Draft '!$E:$E,$A33,'Draft '!$F:$F,E$1)))))</f>
        <v>0</v>
      </c>
      <c r="F33" s="140">
        <f>IF(Settings!$C$5=8, COUNTIFS('Draft (8 Teams)'!$E:$E,$A33,'Draft (8 Teams)'!$F:$F,F$1),
IF(Settings!$C$5=10, COUNTIFS('Draft (10 Teams)'!$E:$E,$A33,'Draft (10 Teams)'!$F:$F,F$1),
IF(Settings!$C$5=12, COUNTIFS('Draft (12 Teams)'!$E:$E,$A33,'Draft (12 Teams)'!$F:$F,F$1),
IF(Settings!$C$5=14, COUNTIFS('Draft '!$E:$E,$A33,'Draft '!$F:$F,F$1)))))</f>
        <v>0</v>
      </c>
      <c r="G33" s="140">
        <f>IF(Settings!$C$5=8, COUNTIFS('Draft (8 Teams)'!$E:$E,$A33,'Draft (8 Teams)'!$F:$F,G$1),
IF(Settings!$C$5=10, COUNTIFS('Draft (10 Teams)'!$E:$E,$A33,'Draft (10 Teams)'!$F:$F,G$1),
IF(Settings!$C$5=12, COUNTIFS('Draft (12 Teams)'!$E:$E,$A33,'Draft (12 Teams)'!$F:$F,G$1),
IF(Settings!$C$5=14, COUNTIFS('Draft '!$E:$E,$A33,'Draft '!$F:$F,G$1)))))</f>
        <v>0</v>
      </c>
      <c r="H33" s="140">
        <f>IF(Settings!$C$5=8, COUNTIFS('Draft (8 Teams)'!$E:$E,$A33,'Draft (8 Teams)'!$F:$F,H$1),
IF(Settings!$C$5=10, COUNTIFS('Draft (10 Teams)'!$E:$E,$A33,'Draft (10 Teams)'!$F:$F,H$1),
IF(Settings!$C$5=12, COUNTIFS('Draft (12 Teams)'!$E:$E,$A33,'Draft (12 Teams)'!$F:$F,H$1),
IF(Settings!$C$5=14, COUNTIFS('Draft '!$E:$E,$A33,'Draft '!$F:$F,H$1)))))</f>
        <v>0</v>
      </c>
      <c r="I33" s="140">
        <f>IF(Settings!$C$5=8, COUNTIFS('Draft (8 Teams)'!$E:$E,$A33,'Draft (8 Teams)'!$F:$F,I$1),
IF(Settings!$C$5=10, COUNTIFS('Draft (10 Teams)'!$E:$E,$A33,'Draft (10 Teams)'!$F:$F,I$1),
IF(Settings!$C$5=12, COUNTIFS('Draft (12 Teams)'!$E:$E,$A33,'Draft (12 Teams)'!$F:$F,I$1),
IF(Settings!$C$5=14, COUNTIFS('Draft '!$E:$E,$A33,'Draft '!$F:$F,I$1)))))</f>
        <v>0</v>
      </c>
      <c r="J33" s="140">
        <f>IF(Settings!$C$5=8, COUNTIFS('Draft (8 Teams)'!$E:$E,$A33,'Draft (8 Teams)'!$F:$F,J$1),
IF(Settings!$C$5=10, COUNTIFS('Draft (10 Teams)'!$E:$E,$A33,'Draft (10 Teams)'!$F:$F,J$1),
IF(Settings!$C$5=12, COUNTIFS('Draft (12 Teams)'!$E:$E,$A33,'Draft (12 Teams)'!$F:$F,J$1),
IF(Settings!$C$5=14, COUNTIFS('Draft '!$E:$E,$A33,'Draft '!$F:$F,J$1)))))</f>
        <v>0</v>
      </c>
      <c r="K33" s="140">
        <f>IF(Settings!$C$5=8, COUNTIFS('Draft (8 Teams)'!$E:$E,$A33,'Draft (8 Teams)'!$F:$F,K$1),
IF(Settings!$C$5=10, COUNTIFS('Draft (10 Teams)'!$E:$E,$A33,'Draft (10 Teams)'!$F:$F,K$1),
IF(Settings!$C$5=12, COUNTIFS('Draft (12 Teams)'!$E:$E,$A33,'Draft (12 Teams)'!$F:$F,K$1),
IF(Settings!$C$5=14, COUNTIFS('Draft '!$E:$E,$A33,'Draft '!$F:$F,K$1)))))</f>
        <v>0</v>
      </c>
    </row>
  </sheetData>
  <autoFilter ref="$A$1:$K$33">
    <sortState ref="A1:K33">
      <sortCondition ref="A1:A33"/>
      <sortCondition descending="1" ref="B1:B33"/>
    </sortState>
  </autoFilter>
  <conditionalFormatting sqref="A1:A33">
    <cfRule type="cellIs" dxfId="50" priority="1" operator="equal">
      <formula>"FA"</formula>
    </cfRule>
  </conditionalFormatting>
  <conditionalFormatting sqref="A1:A33">
    <cfRule type="cellIs" dxfId="51" priority="2" operator="equal">
      <formula>"ARI"</formula>
    </cfRule>
  </conditionalFormatting>
  <conditionalFormatting sqref="A1:A33">
    <cfRule type="cellIs" dxfId="52" priority="3" operator="equal">
      <formula>"ATL"</formula>
    </cfRule>
  </conditionalFormatting>
  <conditionalFormatting sqref="A1:A33">
    <cfRule type="cellIs" dxfId="53" priority="4" operator="equal">
      <formula>"BAL"</formula>
    </cfRule>
  </conditionalFormatting>
  <conditionalFormatting sqref="A1:A33">
    <cfRule type="cellIs" dxfId="54" priority="5" operator="equal">
      <formula>"BUF"</formula>
    </cfRule>
  </conditionalFormatting>
  <conditionalFormatting sqref="A1:A33">
    <cfRule type="cellIs" dxfId="55" priority="6" operator="equal">
      <formula>"CAR"</formula>
    </cfRule>
  </conditionalFormatting>
  <conditionalFormatting sqref="A1:A33">
    <cfRule type="cellIs" dxfId="56" priority="7" operator="equal">
      <formula>"CHI"</formula>
    </cfRule>
  </conditionalFormatting>
  <conditionalFormatting sqref="A1:A33">
    <cfRule type="cellIs" dxfId="57" priority="8" operator="equal">
      <formula>"CIN"</formula>
    </cfRule>
  </conditionalFormatting>
  <conditionalFormatting sqref="A1:A33">
    <cfRule type="cellIs" dxfId="58" priority="9" operator="equal">
      <formula>"CLE"</formula>
    </cfRule>
  </conditionalFormatting>
  <conditionalFormatting sqref="A1:A33">
    <cfRule type="cellIs" dxfId="59" priority="10" operator="equal">
      <formula>"DAL"</formula>
    </cfRule>
  </conditionalFormatting>
  <conditionalFormatting sqref="A1:A33">
    <cfRule type="cellIs" dxfId="60" priority="11" operator="equal">
      <formula>"DEN"</formula>
    </cfRule>
  </conditionalFormatting>
  <conditionalFormatting sqref="A1:A33">
    <cfRule type="cellIs" dxfId="61" priority="12" operator="equal">
      <formula>"DET"</formula>
    </cfRule>
  </conditionalFormatting>
  <conditionalFormatting sqref="A1:A33">
    <cfRule type="cellIs" dxfId="62" priority="13" operator="equal">
      <formula>"GBP"</formula>
    </cfRule>
  </conditionalFormatting>
  <conditionalFormatting sqref="A1:A33">
    <cfRule type="cellIs" dxfId="63" priority="14" operator="equal">
      <formula>"HOU"</formula>
    </cfRule>
  </conditionalFormatting>
  <conditionalFormatting sqref="A1:A33">
    <cfRule type="cellIs" dxfId="64" priority="15" operator="equal">
      <formula>"IND"</formula>
    </cfRule>
  </conditionalFormatting>
  <conditionalFormatting sqref="A1:A33">
    <cfRule type="cellIs" dxfId="65" priority="16" operator="equal">
      <formula>"JAC"</formula>
    </cfRule>
  </conditionalFormatting>
  <conditionalFormatting sqref="A1:A33">
    <cfRule type="cellIs" dxfId="66" priority="17" operator="equal">
      <formula>"KCC"</formula>
    </cfRule>
  </conditionalFormatting>
  <conditionalFormatting sqref="A1:A33">
    <cfRule type="cellIs" dxfId="67" priority="18" operator="equal">
      <formula>"LAC"</formula>
    </cfRule>
  </conditionalFormatting>
  <conditionalFormatting sqref="A1:A33">
    <cfRule type="cellIs" dxfId="68" priority="19" operator="equal">
      <formula>"LAR"</formula>
    </cfRule>
  </conditionalFormatting>
  <conditionalFormatting sqref="A1:A33">
    <cfRule type="cellIs" dxfId="69" priority="20" operator="equal">
      <formula>"MIA"</formula>
    </cfRule>
  </conditionalFormatting>
  <conditionalFormatting sqref="A1:A33">
    <cfRule type="cellIs" dxfId="70" priority="21" operator="equal">
      <formula>"MIN"</formula>
    </cfRule>
  </conditionalFormatting>
  <conditionalFormatting sqref="A1:A33">
    <cfRule type="cellIs" dxfId="71" priority="22" operator="equal">
      <formula>"NEP"</formula>
    </cfRule>
  </conditionalFormatting>
  <conditionalFormatting sqref="A1:A33">
    <cfRule type="cellIs" dxfId="72" priority="23" operator="equal">
      <formula>"NOS"</formula>
    </cfRule>
  </conditionalFormatting>
  <conditionalFormatting sqref="A1:A33">
    <cfRule type="cellIs" dxfId="73" priority="24" operator="equal">
      <formula>"NYG"</formula>
    </cfRule>
  </conditionalFormatting>
  <conditionalFormatting sqref="A1:A33">
    <cfRule type="cellIs" dxfId="74" priority="25" operator="equal">
      <formula>"NYJ"</formula>
    </cfRule>
  </conditionalFormatting>
  <conditionalFormatting sqref="A1:A33">
    <cfRule type="cellIs" dxfId="75" priority="26" operator="equal">
      <formula>"LVR"</formula>
    </cfRule>
  </conditionalFormatting>
  <conditionalFormatting sqref="A1:A33">
    <cfRule type="cellIs" dxfId="76" priority="27" operator="equal">
      <formula>"PHI"</formula>
    </cfRule>
  </conditionalFormatting>
  <conditionalFormatting sqref="A1:A33">
    <cfRule type="cellIs" dxfId="77" priority="28" operator="equal">
      <formula>"PIT"</formula>
    </cfRule>
  </conditionalFormatting>
  <conditionalFormatting sqref="A1:A33">
    <cfRule type="cellIs" dxfId="78" priority="29" operator="equal">
      <formula>"SFO"</formula>
    </cfRule>
  </conditionalFormatting>
  <conditionalFormatting sqref="A1:A33">
    <cfRule type="cellIs" dxfId="79" priority="30" operator="equal">
      <formula>"SEA"</formula>
    </cfRule>
  </conditionalFormatting>
  <conditionalFormatting sqref="A1:A33">
    <cfRule type="cellIs" dxfId="80" priority="31" operator="equal">
      <formula>"TBB"</formula>
    </cfRule>
  </conditionalFormatting>
  <conditionalFormatting sqref="A1:A33">
    <cfRule type="cellIs" dxfId="81" priority="32" operator="equal">
      <formula>"TEN"</formula>
    </cfRule>
  </conditionalFormatting>
  <conditionalFormatting sqref="A1:A33">
    <cfRule type="cellIs" dxfId="82" priority="33" operator="equal">
      <formula>"WAS"</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9.0"/>
    <col customWidth="1" min="3" max="3" width="6.0"/>
    <col customWidth="1" min="4" max="4" width="5.88"/>
    <col customWidth="1" min="5" max="5" width="6.25"/>
    <col customWidth="1" min="6" max="6" width="5.63"/>
    <col customWidth="1" min="7" max="7" width="4.75"/>
    <col customWidth="1" min="8" max="8" width="7.25"/>
    <col customWidth="1" hidden="1" min="9" max="9" width="5.13"/>
    <col customWidth="1" hidden="1" min="10" max="11" width="5.75"/>
  </cols>
  <sheetData>
    <row r="1">
      <c r="A1" s="171" t="str">
        <f>IF(A2="","ENTER TEAMS FIRST","Team")</f>
        <v>Team</v>
      </c>
      <c r="B1" s="171" t="s">
        <v>85</v>
      </c>
      <c r="C1" s="171" t="s">
        <v>28</v>
      </c>
      <c r="D1" s="171" t="s">
        <v>31</v>
      </c>
      <c r="E1" s="171" t="s">
        <v>35</v>
      </c>
      <c r="F1" s="171" t="s">
        <v>39</v>
      </c>
      <c r="G1" s="171" t="s">
        <v>40</v>
      </c>
      <c r="H1" s="171" t="s">
        <v>41</v>
      </c>
      <c r="I1" s="171" t="s">
        <v>42</v>
      </c>
      <c r="J1" s="171" t="s">
        <v>43</v>
      </c>
      <c r="K1" s="171" t="s">
        <v>44</v>
      </c>
    </row>
    <row r="2">
      <c r="A2" s="172" t="str">
        <f>'Teams &amp; Draft Order'!C6</f>
        <v>Sleeper Cell </v>
      </c>
      <c r="B2" s="173">
        <f t="shared" ref="B2:B15" si="1">SUM(C2:K2)</f>
        <v>1</v>
      </c>
      <c r="C2" s="173">
        <f>IF(Settings!$C$5=8, COUNTIFS('Draft (8 Teams)'!$C:$C,$A2,'Draft (8 Teams)'!$F:$F,C$1),
IF(Settings!$C$5=10, COUNTIFS('Draft (10 Teams)'!$C:$C,$A2,'Draft (10 Teams)'!$F:$F,C$1),
IF(Settings!$C$5=12, COUNTIFS('Draft (12 Teams)'!$C:$C,$A2,'Draft (12 Teams)'!$F:$F,C$1),
IF(Settings!$C$5=14, COUNTIFS('Draft '!$C:$C,$A2,'Draft '!$F:$F,C$1)))))</f>
        <v>1</v>
      </c>
      <c r="D2" s="173">
        <f>IF(Settings!$C$5=8, COUNTIFS('Draft (8 Teams)'!$C:$C,$A2,'Draft (8 Teams)'!$F:$F,D$1),
IF(Settings!$C$5=10, COUNTIFS('Draft (10 Teams)'!$C:$C,$A2,'Draft (10 Teams)'!$F:$F,D$1),
IF(Settings!$C$5=12, COUNTIFS('Draft (12 Teams)'!$C:$C,$A2,'Draft (12 Teams)'!$F:$F,D$1),
IF(Settings!$C$5=14, COUNTIFS('Draft '!$C:$C,$A2,'Draft '!$F:$F,D$1)))))</f>
        <v>0</v>
      </c>
      <c r="E2" s="173">
        <f>IF(Settings!$C$5=8, COUNTIFS('Draft (8 Teams)'!$C:$C,$A2,'Draft (8 Teams)'!$F:$F,E$1),
IF(Settings!$C$5=10, COUNTIFS('Draft (10 Teams)'!$C:$C,$A2,'Draft (10 Teams)'!$F:$F,E$1),
IF(Settings!$C$5=12, COUNTIFS('Draft (12 Teams)'!$C:$C,$A2,'Draft (12 Teams)'!$F:$F,E$1),
IF(Settings!$C$5=14, COUNTIFS('Draft '!$C:$C,$A2,'Draft '!$F:$F,E$1)))))</f>
        <v>0</v>
      </c>
      <c r="F2" s="173">
        <f>IF(Settings!$C$5=8, COUNTIFS('Draft (8 Teams)'!$C:$C,$A2,'Draft (8 Teams)'!$F:$F,F$1),
IF(Settings!$C$5=10, COUNTIFS('Draft (10 Teams)'!$C:$C,$A2,'Draft (10 Teams)'!$F:$F,F$1),
IF(Settings!$C$5=12, COUNTIFS('Draft (12 Teams)'!$C:$C,$A2,'Draft (12 Teams)'!$F:$F,F$1),
IF(Settings!$C$5=14, COUNTIFS('Draft '!$C:$C,$A2,'Draft '!$F:$F,F$1)))))</f>
        <v>0</v>
      </c>
      <c r="G2" s="173">
        <f>IF(Settings!$C$5=8, COUNTIFS('Draft (8 Teams)'!$C:$C,$A2,'Draft (8 Teams)'!$F:$F,G$1),
IF(Settings!$C$5=10, COUNTIFS('Draft (10 Teams)'!$C:$C,$A2,'Draft (10 Teams)'!$F:$F,G$1),
IF(Settings!$C$5=12, COUNTIFS('Draft (12 Teams)'!$C:$C,$A2,'Draft (12 Teams)'!$F:$F,G$1),
IF(Settings!$C$5=14, COUNTIFS('Draft '!$C:$C,$A2,'Draft '!$F:$F,G$1)))))</f>
        <v>0</v>
      </c>
      <c r="H2" s="173">
        <f>IF(Settings!$C$5=8, COUNTIFS('Draft (8 Teams)'!$C:$C,$A2,'Draft (8 Teams)'!$F:$F,H$1),
IF(Settings!$C$5=10, COUNTIFS('Draft (10 Teams)'!$C:$C,$A2,'Draft (10 Teams)'!$F:$F,H$1),
IF(Settings!$C$5=12, COUNTIFS('Draft (12 Teams)'!$C:$C,$A2,'Draft (12 Teams)'!$F:$F,H$1),
IF(Settings!$C$5=14, COUNTIFS('Draft '!$C:$C,$A2,'Draft '!$F:$F,H$1)))))</f>
        <v>0</v>
      </c>
      <c r="I2" s="173">
        <f>IF(Settings!$C$5=8, COUNTIFS('Draft (8 Teams)'!$C:$C,$A2,'Draft (8 Teams)'!$F:$F,I$1),
IF(Settings!$C$5=10, COUNTIFS('Draft (10 Teams)'!$C:$C,$A2,'Draft (10 Teams)'!$F:$F,I$1),
IF(Settings!$C$5=12, COUNTIFS('Draft (12 Teams)'!$C:$C,$A2,'Draft (12 Teams)'!$F:$F,I$1),
IF(Settings!$C$5=14, COUNTIFS('Draft '!$C:$C,$A2,'Draft '!$F:$F,I$1)))))</f>
        <v>0</v>
      </c>
      <c r="J2" s="173">
        <f>IF(Settings!$C$5=8, COUNTIFS('Draft (8 Teams)'!$C:$C,$A2,'Draft (8 Teams)'!$F:$F,J$1),
IF(Settings!$C$5=10, COUNTIFS('Draft (10 Teams)'!$C:$C,$A2,'Draft (10 Teams)'!$F:$F,J$1),
IF(Settings!$C$5=12, COUNTIFS('Draft (12 Teams)'!$C:$C,$A2,'Draft (12 Teams)'!$F:$F,J$1),
IF(Settings!$C$5=14, COUNTIFS('Draft '!$C:$C,$A2,'Draft '!$F:$F,J$1)))))</f>
        <v>0</v>
      </c>
      <c r="K2" s="173">
        <f>IF(Settings!$C$5=8, COUNTIFS('Draft (8 Teams)'!$C:$C,$A2,'Draft (8 Teams)'!$F:$F,K$1),
IF(Settings!$C$5=10, COUNTIFS('Draft (10 Teams)'!$C:$C,$A2,'Draft (10 Teams)'!$F:$F,K$1),
IF(Settings!$C$5=12, COUNTIFS('Draft (12 Teams)'!$C:$C,$A2,'Draft (12 Teams)'!$F:$F,K$1),
IF(Settings!$C$5=14, COUNTIFS('Draft '!$C:$C,$A2,'Draft '!$F:$F,K$1)))))</f>
        <v>0</v>
      </c>
    </row>
    <row r="3">
      <c r="A3" s="174" t="str">
        <f>'Teams &amp; Draft Order'!C7</f>
        <v>Phantasm</v>
      </c>
      <c r="B3" s="175">
        <f t="shared" si="1"/>
        <v>0</v>
      </c>
      <c r="C3" s="175">
        <f>IF(Settings!$C$5=8, COUNTIFS('Draft (8 Teams)'!$C:$C,$A3,'Draft (8 Teams)'!$F:$F,C$1),
IF(Settings!$C$5=10, COUNTIFS('Draft (10 Teams)'!$C:$C,$A3,'Draft (10 Teams)'!$F:$F,C$1),
IF(Settings!$C$5=12, COUNTIFS('Draft (12 Teams)'!$C:$C,$A3,'Draft (12 Teams)'!$F:$F,C$1),
IF(Settings!$C$5=14, COUNTIFS('Draft '!$C:$C,$A3,'Draft '!$F:$F,C$1)))))</f>
        <v>0</v>
      </c>
      <c r="D3" s="175">
        <f>IF(Settings!$C$5=8, COUNTIFS('Draft (8 Teams)'!$C:$C,$A3,'Draft (8 Teams)'!$F:$F,D$1),
IF(Settings!$C$5=10, COUNTIFS('Draft (10 Teams)'!$C:$C,$A3,'Draft (10 Teams)'!$F:$F,D$1),
IF(Settings!$C$5=12, COUNTIFS('Draft (12 Teams)'!$C:$C,$A3,'Draft (12 Teams)'!$F:$F,D$1),
IF(Settings!$C$5=14, COUNTIFS('Draft '!$C:$C,$A3,'Draft '!$F:$F,D$1)))))</f>
        <v>0</v>
      </c>
      <c r="E3" s="175">
        <f>IF(Settings!$C$5=8, COUNTIFS('Draft (8 Teams)'!$C:$C,$A3,'Draft (8 Teams)'!$F:$F,E$1),
IF(Settings!$C$5=10, COUNTIFS('Draft (10 Teams)'!$C:$C,$A3,'Draft (10 Teams)'!$F:$F,E$1),
IF(Settings!$C$5=12, COUNTIFS('Draft (12 Teams)'!$C:$C,$A3,'Draft (12 Teams)'!$F:$F,E$1),
IF(Settings!$C$5=14, COUNTIFS('Draft '!$C:$C,$A3,'Draft '!$F:$F,E$1)))))</f>
        <v>0</v>
      </c>
      <c r="F3" s="175">
        <f>IF(Settings!$C$5=8, COUNTIFS('Draft (8 Teams)'!$C:$C,$A3,'Draft (8 Teams)'!$F:$F,F$1),
IF(Settings!$C$5=10, COUNTIFS('Draft (10 Teams)'!$C:$C,$A3,'Draft (10 Teams)'!$F:$F,F$1),
IF(Settings!$C$5=12, COUNTIFS('Draft (12 Teams)'!$C:$C,$A3,'Draft (12 Teams)'!$F:$F,F$1),
IF(Settings!$C$5=14, COUNTIFS('Draft '!$C:$C,$A3,'Draft '!$F:$F,F$1)))))</f>
        <v>0</v>
      </c>
      <c r="G3" s="175">
        <f>IF(Settings!$C$5=8, COUNTIFS('Draft (8 Teams)'!$C:$C,$A3,'Draft (8 Teams)'!$F:$F,G$1),
IF(Settings!$C$5=10, COUNTIFS('Draft (10 Teams)'!$C:$C,$A3,'Draft (10 Teams)'!$F:$F,G$1),
IF(Settings!$C$5=12, COUNTIFS('Draft (12 Teams)'!$C:$C,$A3,'Draft (12 Teams)'!$F:$F,G$1),
IF(Settings!$C$5=14, COUNTIFS('Draft '!$C:$C,$A3,'Draft '!$F:$F,G$1)))))</f>
        <v>0</v>
      </c>
      <c r="H3" s="175">
        <f>IF(Settings!$C$5=8, COUNTIFS('Draft (8 Teams)'!$C:$C,$A3,'Draft (8 Teams)'!$F:$F,H$1),
IF(Settings!$C$5=10, COUNTIFS('Draft (10 Teams)'!$C:$C,$A3,'Draft (10 Teams)'!$F:$F,H$1),
IF(Settings!$C$5=12, COUNTIFS('Draft (12 Teams)'!$C:$C,$A3,'Draft (12 Teams)'!$F:$F,H$1),
IF(Settings!$C$5=14, COUNTIFS('Draft '!$C:$C,$A3,'Draft '!$F:$F,H$1)))))</f>
        <v>0</v>
      </c>
      <c r="I3" s="175">
        <f>IF(Settings!$C$5=8, COUNTIFS('Draft (8 Teams)'!$C:$C,$A3,'Draft (8 Teams)'!$F:$F,I$1),
IF(Settings!$C$5=10, COUNTIFS('Draft (10 Teams)'!$C:$C,$A3,'Draft (10 Teams)'!$F:$F,I$1),
IF(Settings!$C$5=12, COUNTIFS('Draft (12 Teams)'!$C:$C,$A3,'Draft (12 Teams)'!$F:$F,I$1),
IF(Settings!$C$5=14, COUNTIFS('Draft '!$C:$C,$A3,'Draft '!$F:$F,I$1)))))</f>
        <v>0</v>
      </c>
      <c r="J3" s="175">
        <f>IF(Settings!$C$5=8, COUNTIFS('Draft (8 Teams)'!$C:$C,$A3,'Draft (8 Teams)'!$F:$F,J$1),
IF(Settings!$C$5=10, COUNTIFS('Draft (10 Teams)'!$C:$C,$A3,'Draft (10 Teams)'!$F:$F,J$1),
IF(Settings!$C$5=12, COUNTIFS('Draft (12 Teams)'!$C:$C,$A3,'Draft (12 Teams)'!$F:$F,J$1),
IF(Settings!$C$5=14, COUNTIFS('Draft '!$C:$C,$A3,'Draft '!$F:$F,J$1)))))</f>
        <v>0</v>
      </c>
      <c r="K3" s="175">
        <f>IF(Settings!$C$5=8, COUNTIFS('Draft (8 Teams)'!$C:$C,$A3,'Draft (8 Teams)'!$F:$F,K$1),
IF(Settings!$C$5=10, COUNTIFS('Draft (10 Teams)'!$C:$C,$A3,'Draft (10 Teams)'!$F:$F,K$1),
IF(Settings!$C$5=12, COUNTIFS('Draft (12 Teams)'!$C:$C,$A3,'Draft (12 Teams)'!$F:$F,K$1),
IF(Settings!$C$5=14, COUNTIFS('Draft '!$C:$C,$A3,'Draft '!$F:$F,K$1)))))</f>
        <v>0</v>
      </c>
    </row>
    <row r="4">
      <c r="A4" s="172" t="str">
        <f>'Teams &amp; Draft Order'!C8</f>
        <v>Icelanders</v>
      </c>
      <c r="B4" s="173">
        <f t="shared" si="1"/>
        <v>0</v>
      </c>
      <c r="C4" s="173">
        <f>IF(Settings!$C$5=8, COUNTIFS('Draft (8 Teams)'!$C:$C,$A4,'Draft (8 Teams)'!$F:$F,C$1),
IF(Settings!$C$5=10, COUNTIFS('Draft (10 Teams)'!$C:$C,$A4,'Draft (10 Teams)'!$F:$F,C$1),
IF(Settings!$C$5=12, COUNTIFS('Draft (12 Teams)'!$C:$C,$A4,'Draft (12 Teams)'!$F:$F,C$1),
IF(Settings!$C$5=14, COUNTIFS('Draft '!$C:$C,$A4,'Draft '!$F:$F,C$1)))))</f>
        <v>0</v>
      </c>
      <c r="D4" s="173">
        <f>IF(Settings!$C$5=8, COUNTIFS('Draft (8 Teams)'!$C:$C,$A4,'Draft (8 Teams)'!$F:$F,D$1),
IF(Settings!$C$5=10, COUNTIFS('Draft (10 Teams)'!$C:$C,$A4,'Draft (10 Teams)'!$F:$F,D$1),
IF(Settings!$C$5=12, COUNTIFS('Draft (12 Teams)'!$C:$C,$A4,'Draft (12 Teams)'!$F:$F,D$1),
IF(Settings!$C$5=14, COUNTIFS('Draft '!$C:$C,$A4,'Draft '!$F:$F,D$1)))))</f>
        <v>0</v>
      </c>
      <c r="E4" s="173">
        <f>IF(Settings!$C$5=8, COUNTIFS('Draft (8 Teams)'!$C:$C,$A4,'Draft (8 Teams)'!$F:$F,E$1),
IF(Settings!$C$5=10, COUNTIFS('Draft (10 Teams)'!$C:$C,$A4,'Draft (10 Teams)'!$F:$F,E$1),
IF(Settings!$C$5=12, COUNTIFS('Draft (12 Teams)'!$C:$C,$A4,'Draft (12 Teams)'!$F:$F,E$1),
IF(Settings!$C$5=14, COUNTIFS('Draft '!$C:$C,$A4,'Draft '!$F:$F,E$1)))))</f>
        <v>0</v>
      </c>
      <c r="F4" s="173">
        <f>IF(Settings!$C$5=8, COUNTIFS('Draft (8 Teams)'!$C:$C,$A4,'Draft (8 Teams)'!$F:$F,F$1),
IF(Settings!$C$5=10, COUNTIFS('Draft (10 Teams)'!$C:$C,$A4,'Draft (10 Teams)'!$F:$F,F$1),
IF(Settings!$C$5=12, COUNTIFS('Draft (12 Teams)'!$C:$C,$A4,'Draft (12 Teams)'!$F:$F,F$1),
IF(Settings!$C$5=14, COUNTIFS('Draft '!$C:$C,$A4,'Draft '!$F:$F,F$1)))))</f>
        <v>0</v>
      </c>
      <c r="G4" s="173">
        <f>IF(Settings!$C$5=8, COUNTIFS('Draft (8 Teams)'!$C:$C,$A4,'Draft (8 Teams)'!$F:$F,G$1),
IF(Settings!$C$5=10, COUNTIFS('Draft (10 Teams)'!$C:$C,$A4,'Draft (10 Teams)'!$F:$F,G$1),
IF(Settings!$C$5=12, COUNTIFS('Draft (12 Teams)'!$C:$C,$A4,'Draft (12 Teams)'!$F:$F,G$1),
IF(Settings!$C$5=14, COUNTIFS('Draft '!$C:$C,$A4,'Draft '!$F:$F,G$1)))))</f>
        <v>0</v>
      </c>
      <c r="H4" s="173">
        <f>IF(Settings!$C$5=8, COUNTIFS('Draft (8 Teams)'!$C:$C,$A4,'Draft (8 Teams)'!$F:$F,H$1),
IF(Settings!$C$5=10, COUNTIFS('Draft (10 Teams)'!$C:$C,$A4,'Draft (10 Teams)'!$F:$F,H$1),
IF(Settings!$C$5=12, COUNTIFS('Draft (12 Teams)'!$C:$C,$A4,'Draft (12 Teams)'!$F:$F,H$1),
IF(Settings!$C$5=14, COUNTIFS('Draft '!$C:$C,$A4,'Draft '!$F:$F,H$1)))))</f>
        <v>0</v>
      </c>
      <c r="I4" s="173">
        <f>IF(Settings!$C$5=8, COUNTIFS('Draft (8 Teams)'!$C:$C,$A4,'Draft (8 Teams)'!$F:$F,I$1),
IF(Settings!$C$5=10, COUNTIFS('Draft (10 Teams)'!$C:$C,$A4,'Draft (10 Teams)'!$F:$F,I$1),
IF(Settings!$C$5=12, COUNTIFS('Draft (12 Teams)'!$C:$C,$A4,'Draft (12 Teams)'!$F:$F,I$1),
IF(Settings!$C$5=14, COUNTIFS('Draft '!$C:$C,$A4,'Draft '!$F:$F,I$1)))))</f>
        <v>0</v>
      </c>
      <c r="J4" s="173">
        <f>IF(Settings!$C$5=8, COUNTIFS('Draft (8 Teams)'!$C:$C,$A4,'Draft (8 Teams)'!$F:$F,J$1),
IF(Settings!$C$5=10, COUNTIFS('Draft (10 Teams)'!$C:$C,$A4,'Draft (10 Teams)'!$F:$F,J$1),
IF(Settings!$C$5=12, COUNTIFS('Draft (12 Teams)'!$C:$C,$A4,'Draft (12 Teams)'!$F:$F,J$1),
IF(Settings!$C$5=14, COUNTIFS('Draft '!$C:$C,$A4,'Draft '!$F:$F,J$1)))))</f>
        <v>0</v>
      </c>
      <c r="K4" s="173">
        <f>IF(Settings!$C$5=8, COUNTIFS('Draft (8 Teams)'!$C:$C,$A4,'Draft (8 Teams)'!$F:$F,K$1),
IF(Settings!$C$5=10, COUNTIFS('Draft (10 Teams)'!$C:$C,$A4,'Draft (10 Teams)'!$F:$F,K$1),
IF(Settings!$C$5=12, COUNTIFS('Draft (12 Teams)'!$C:$C,$A4,'Draft (12 Teams)'!$F:$F,K$1),
IF(Settings!$C$5=14, COUNTIFS('Draft '!$C:$C,$A4,'Draft '!$F:$F,K$1)))))</f>
        <v>0</v>
      </c>
    </row>
    <row r="5">
      <c r="A5" s="174" t="str">
        <f>'Teams &amp; Draft Order'!C9</f>
        <v>El Nino</v>
      </c>
      <c r="B5" s="175">
        <f t="shared" si="1"/>
        <v>0</v>
      </c>
      <c r="C5" s="175">
        <f>IF(Settings!$C$5=8, COUNTIFS('Draft (8 Teams)'!$C:$C,$A5,'Draft (8 Teams)'!$F:$F,C$1),
IF(Settings!$C$5=10, COUNTIFS('Draft (10 Teams)'!$C:$C,$A5,'Draft (10 Teams)'!$F:$F,C$1),
IF(Settings!$C$5=12, COUNTIFS('Draft (12 Teams)'!$C:$C,$A5,'Draft (12 Teams)'!$F:$F,C$1),
IF(Settings!$C$5=14, COUNTIFS('Draft '!$C:$C,$A5,'Draft '!$F:$F,C$1)))))</f>
        <v>0</v>
      </c>
      <c r="D5" s="175">
        <f>IF(Settings!$C$5=8, COUNTIFS('Draft (8 Teams)'!$C:$C,$A5,'Draft (8 Teams)'!$F:$F,D$1),
IF(Settings!$C$5=10, COUNTIFS('Draft (10 Teams)'!$C:$C,$A5,'Draft (10 Teams)'!$F:$F,D$1),
IF(Settings!$C$5=12, COUNTIFS('Draft (12 Teams)'!$C:$C,$A5,'Draft (12 Teams)'!$F:$F,D$1),
IF(Settings!$C$5=14, COUNTIFS('Draft '!$C:$C,$A5,'Draft '!$F:$F,D$1)))))</f>
        <v>0</v>
      </c>
      <c r="E5" s="175">
        <f>IF(Settings!$C$5=8, COUNTIFS('Draft (8 Teams)'!$C:$C,$A5,'Draft (8 Teams)'!$F:$F,E$1),
IF(Settings!$C$5=10, COUNTIFS('Draft (10 Teams)'!$C:$C,$A5,'Draft (10 Teams)'!$F:$F,E$1),
IF(Settings!$C$5=12, COUNTIFS('Draft (12 Teams)'!$C:$C,$A5,'Draft (12 Teams)'!$F:$F,E$1),
IF(Settings!$C$5=14, COUNTIFS('Draft '!$C:$C,$A5,'Draft '!$F:$F,E$1)))))</f>
        <v>0</v>
      </c>
      <c r="F5" s="175">
        <f>IF(Settings!$C$5=8, COUNTIFS('Draft (8 Teams)'!$C:$C,$A5,'Draft (8 Teams)'!$F:$F,F$1),
IF(Settings!$C$5=10, COUNTIFS('Draft (10 Teams)'!$C:$C,$A5,'Draft (10 Teams)'!$F:$F,F$1),
IF(Settings!$C$5=12, COUNTIFS('Draft (12 Teams)'!$C:$C,$A5,'Draft (12 Teams)'!$F:$F,F$1),
IF(Settings!$C$5=14, COUNTIFS('Draft '!$C:$C,$A5,'Draft '!$F:$F,F$1)))))</f>
        <v>0</v>
      </c>
      <c r="G5" s="175">
        <f>IF(Settings!$C$5=8, COUNTIFS('Draft (8 Teams)'!$C:$C,$A5,'Draft (8 Teams)'!$F:$F,G$1),
IF(Settings!$C$5=10, COUNTIFS('Draft (10 Teams)'!$C:$C,$A5,'Draft (10 Teams)'!$F:$F,G$1),
IF(Settings!$C$5=12, COUNTIFS('Draft (12 Teams)'!$C:$C,$A5,'Draft (12 Teams)'!$F:$F,G$1),
IF(Settings!$C$5=14, COUNTIFS('Draft '!$C:$C,$A5,'Draft '!$F:$F,G$1)))))</f>
        <v>0</v>
      </c>
      <c r="H5" s="175">
        <f>IF(Settings!$C$5=8, COUNTIFS('Draft (8 Teams)'!$C:$C,$A5,'Draft (8 Teams)'!$F:$F,H$1),
IF(Settings!$C$5=10, COUNTIFS('Draft (10 Teams)'!$C:$C,$A5,'Draft (10 Teams)'!$F:$F,H$1),
IF(Settings!$C$5=12, COUNTIFS('Draft (12 Teams)'!$C:$C,$A5,'Draft (12 Teams)'!$F:$F,H$1),
IF(Settings!$C$5=14, COUNTIFS('Draft '!$C:$C,$A5,'Draft '!$F:$F,H$1)))))</f>
        <v>0</v>
      </c>
      <c r="I5" s="175">
        <f>IF(Settings!$C$5=8, COUNTIFS('Draft (8 Teams)'!$C:$C,$A5,'Draft (8 Teams)'!$F:$F,I$1),
IF(Settings!$C$5=10, COUNTIFS('Draft (10 Teams)'!$C:$C,$A5,'Draft (10 Teams)'!$F:$F,I$1),
IF(Settings!$C$5=12, COUNTIFS('Draft (12 Teams)'!$C:$C,$A5,'Draft (12 Teams)'!$F:$F,I$1),
IF(Settings!$C$5=14, COUNTIFS('Draft '!$C:$C,$A5,'Draft '!$F:$F,I$1)))))</f>
        <v>0</v>
      </c>
      <c r="J5" s="175">
        <f>IF(Settings!$C$5=8, COUNTIFS('Draft (8 Teams)'!$C:$C,$A5,'Draft (8 Teams)'!$F:$F,J$1),
IF(Settings!$C$5=10, COUNTIFS('Draft (10 Teams)'!$C:$C,$A5,'Draft (10 Teams)'!$F:$F,J$1),
IF(Settings!$C$5=12, COUNTIFS('Draft (12 Teams)'!$C:$C,$A5,'Draft (12 Teams)'!$F:$F,J$1),
IF(Settings!$C$5=14, COUNTIFS('Draft '!$C:$C,$A5,'Draft '!$F:$F,J$1)))))</f>
        <v>0</v>
      </c>
      <c r="K5" s="175">
        <f>IF(Settings!$C$5=8, COUNTIFS('Draft (8 Teams)'!$C:$C,$A5,'Draft (8 Teams)'!$F:$F,K$1),
IF(Settings!$C$5=10, COUNTIFS('Draft (10 Teams)'!$C:$C,$A5,'Draft (10 Teams)'!$F:$F,K$1),
IF(Settings!$C$5=12, COUNTIFS('Draft (12 Teams)'!$C:$C,$A5,'Draft (12 Teams)'!$F:$F,K$1),
IF(Settings!$C$5=14, COUNTIFS('Draft '!$C:$C,$A5,'Draft '!$F:$F,K$1)))))</f>
        <v>0</v>
      </c>
    </row>
    <row r="6">
      <c r="A6" s="172" t="str">
        <f>'Teams &amp; Draft Order'!C10</f>
        <v>Buttheads</v>
      </c>
      <c r="B6" s="173">
        <f t="shared" si="1"/>
        <v>0</v>
      </c>
      <c r="C6" s="173">
        <f>IF(Settings!$C$5=8, COUNTIFS('Draft (8 Teams)'!$C:$C,$A6,'Draft (8 Teams)'!$F:$F,C$1),
IF(Settings!$C$5=10, COUNTIFS('Draft (10 Teams)'!$C:$C,$A6,'Draft (10 Teams)'!$F:$F,C$1),
IF(Settings!$C$5=12, COUNTIFS('Draft (12 Teams)'!$C:$C,$A6,'Draft (12 Teams)'!$F:$F,C$1),
IF(Settings!$C$5=14, COUNTIFS('Draft '!$C:$C,$A6,'Draft '!$F:$F,C$1)))))</f>
        <v>0</v>
      </c>
      <c r="D6" s="173">
        <f>IF(Settings!$C$5=8, COUNTIFS('Draft (8 Teams)'!$C:$C,$A6,'Draft (8 Teams)'!$F:$F,D$1),
IF(Settings!$C$5=10, COUNTIFS('Draft (10 Teams)'!$C:$C,$A6,'Draft (10 Teams)'!$F:$F,D$1),
IF(Settings!$C$5=12, COUNTIFS('Draft (12 Teams)'!$C:$C,$A6,'Draft (12 Teams)'!$F:$F,D$1),
IF(Settings!$C$5=14, COUNTIFS('Draft '!$C:$C,$A6,'Draft '!$F:$F,D$1)))))</f>
        <v>0</v>
      </c>
      <c r="E6" s="173">
        <f>IF(Settings!$C$5=8, COUNTIFS('Draft (8 Teams)'!$C:$C,$A6,'Draft (8 Teams)'!$F:$F,E$1),
IF(Settings!$C$5=10, COUNTIFS('Draft (10 Teams)'!$C:$C,$A6,'Draft (10 Teams)'!$F:$F,E$1),
IF(Settings!$C$5=12, COUNTIFS('Draft (12 Teams)'!$C:$C,$A6,'Draft (12 Teams)'!$F:$F,E$1),
IF(Settings!$C$5=14, COUNTIFS('Draft '!$C:$C,$A6,'Draft '!$F:$F,E$1)))))</f>
        <v>0</v>
      </c>
      <c r="F6" s="173">
        <f>IF(Settings!$C$5=8, COUNTIFS('Draft (8 Teams)'!$C:$C,$A6,'Draft (8 Teams)'!$F:$F,F$1),
IF(Settings!$C$5=10, COUNTIFS('Draft (10 Teams)'!$C:$C,$A6,'Draft (10 Teams)'!$F:$F,F$1),
IF(Settings!$C$5=12, COUNTIFS('Draft (12 Teams)'!$C:$C,$A6,'Draft (12 Teams)'!$F:$F,F$1),
IF(Settings!$C$5=14, COUNTIFS('Draft '!$C:$C,$A6,'Draft '!$F:$F,F$1)))))</f>
        <v>0</v>
      </c>
      <c r="G6" s="173">
        <f>IF(Settings!$C$5=8, COUNTIFS('Draft (8 Teams)'!$C:$C,$A6,'Draft (8 Teams)'!$F:$F,G$1),
IF(Settings!$C$5=10, COUNTIFS('Draft (10 Teams)'!$C:$C,$A6,'Draft (10 Teams)'!$F:$F,G$1),
IF(Settings!$C$5=12, COUNTIFS('Draft (12 Teams)'!$C:$C,$A6,'Draft (12 Teams)'!$F:$F,G$1),
IF(Settings!$C$5=14, COUNTIFS('Draft '!$C:$C,$A6,'Draft '!$F:$F,G$1)))))</f>
        <v>0</v>
      </c>
      <c r="H6" s="173">
        <f>IF(Settings!$C$5=8, COUNTIFS('Draft (8 Teams)'!$C:$C,$A6,'Draft (8 Teams)'!$F:$F,H$1),
IF(Settings!$C$5=10, COUNTIFS('Draft (10 Teams)'!$C:$C,$A6,'Draft (10 Teams)'!$F:$F,H$1),
IF(Settings!$C$5=12, COUNTIFS('Draft (12 Teams)'!$C:$C,$A6,'Draft (12 Teams)'!$F:$F,H$1),
IF(Settings!$C$5=14, COUNTIFS('Draft '!$C:$C,$A6,'Draft '!$F:$F,H$1)))))</f>
        <v>0</v>
      </c>
      <c r="I6" s="173">
        <f>IF(Settings!$C$5=8, COUNTIFS('Draft (8 Teams)'!$C:$C,$A6,'Draft (8 Teams)'!$F:$F,I$1),
IF(Settings!$C$5=10, COUNTIFS('Draft (10 Teams)'!$C:$C,$A6,'Draft (10 Teams)'!$F:$F,I$1),
IF(Settings!$C$5=12, COUNTIFS('Draft (12 Teams)'!$C:$C,$A6,'Draft (12 Teams)'!$F:$F,I$1),
IF(Settings!$C$5=14, COUNTIFS('Draft '!$C:$C,$A6,'Draft '!$F:$F,I$1)))))</f>
        <v>0</v>
      </c>
      <c r="J6" s="173">
        <f>IF(Settings!$C$5=8, COUNTIFS('Draft (8 Teams)'!$C:$C,$A6,'Draft (8 Teams)'!$F:$F,J$1),
IF(Settings!$C$5=10, COUNTIFS('Draft (10 Teams)'!$C:$C,$A6,'Draft (10 Teams)'!$F:$F,J$1),
IF(Settings!$C$5=12, COUNTIFS('Draft (12 Teams)'!$C:$C,$A6,'Draft (12 Teams)'!$F:$F,J$1),
IF(Settings!$C$5=14, COUNTIFS('Draft '!$C:$C,$A6,'Draft '!$F:$F,J$1)))))</f>
        <v>0</v>
      </c>
      <c r="K6" s="173">
        <f>IF(Settings!$C$5=8, COUNTIFS('Draft (8 Teams)'!$C:$C,$A6,'Draft (8 Teams)'!$F:$F,K$1),
IF(Settings!$C$5=10, COUNTIFS('Draft (10 Teams)'!$C:$C,$A6,'Draft (10 Teams)'!$F:$F,K$1),
IF(Settings!$C$5=12, COUNTIFS('Draft (12 Teams)'!$C:$C,$A6,'Draft (12 Teams)'!$F:$F,K$1),
IF(Settings!$C$5=14, COUNTIFS('Draft '!$C:$C,$A6,'Draft '!$F:$F,K$1)))))</f>
        <v>0</v>
      </c>
    </row>
    <row r="7">
      <c r="A7" s="174" t="str">
        <f>'Teams &amp; Draft Order'!C11</f>
        <v>Big Boys Big Work</v>
      </c>
      <c r="B7" s="175">
        <f t="shared" si="1"/>
        <v>0</v>
      </c>
      <c r="C7" s="175">
        <f>IF(Settings!$C$5=8, COUNTIFS('Draft (8 Teams)'!$C:$C,$A7,'Draft (8 Teams)'!$F:$F,C$1),
IF(Settings!$C$5=10, COUNTIFS('Draft (10 Teams)'!$C:$C,$A7,'Draft (10 Teams)'!$F:$F,C$1),
IF(Settings!$C$5=12, COUNTIFS('Draft (12 Teams)'!$C:$C,$A7,'Draft (12 Teams)'!$F:$F,C$1),
IF(Settings!$C$5=14, COUNTIFS('Draft '!$C:$C,$A7,'Draft '!$F:$F,C$1)))))</f>
        <v>0</v>
      </c>
      <c r="D7" s="175">
        <f>IF(Settings!$C$5=8, COUNTIFS('Draft (8 Teams)'!$C:$C,$A7,'Draft (8 Teams)'!$F:$F,D$1),
IF(Settings!$C$5=10, COUNTIFS('Draft (10 Teams)'!$C:$C,$A7,'Draft (10 Teams)'!$F:$F,D$1),
IF(Settings!$C$5=12, COUNTIFS('Draft (12 Teams)'!$C:$C,$A7,'Draft (12 Teams)'!$F:$F,D$1),
IF(Settings!$C$5=14, COUNTIFS('Draft '!$C:$C,$A7,'Draft '!$F:$F,D$1)))))</f>
        <v>0</v>
      </c>
      <c r="E7" s="175">
        <f>IF(Settings!$C$5=8, COUNTIFS('Draft (8 Teams)'!$C:$C,$A7,'Draft (8 Teams)'!$F:$F,E$1),
IF(Settings!$C$5=10, COUNTIFS('Draft (10 Teams)'!$C:$C,$A7,'Draft (10 Teams)'!$F:$F,E$1),
IF(Settings!$C$5=12, COUNTIFS('Draft (12 Teams)'!$C:$C,$A7,'Draft (12 Teams)'!$F:$F,E$1),
IF(Settings!$C$5=14, COUNTIFS('Draft '!$C:$C,$A7,'Draft '!$F:$F,E$1)))))</f>
        <v>0</v>
      </c>
      <c r="F7" s="175">
        <f>IF(Settings!$C$5=8, COUNTIFS('Draft (8 Teams)'!$C:$C,$A7,'Draft (8 Teams)'!$F:$F,F$1),
IF(Settings!$C$5=10, COUNTIFS('Draft (10 Teams)'!$C:$C,$A7,'Draft (10 Teams)'!$F:$F,F$1),
IF(Settings!$C$5=12, COUNTIFS('Draft (12 Teams)'!$C:$C,$A7,'Draft (12 Teams)'!$F:$F,F$1),
IF(Settings!$C$5=14, COUNTIFS('Draft '!$C:$C,$A7,'Draft '!$F:$F,F$1)))))</f>
        <v>0</v>
      </c>
      <c r="G7" s="175">
        <f>IF(Settings!$C$5=8, COUNTIFS('Draft (8 Teams)'!$C:$C,$A7,'Draft (8 Teams)'!$F:$F,G$1),
IF(Settings!$C$5=10, COUNTIFS('Draft (10 Teams)'!$C:$C,$A7,'Draft (10 Teams)'!$F:$F,G$1),
IF(Settings!$C$5=12, COUNTIFS('Draft (12 Teams)'!$C:$C,$A7,'Draft (12 Teams)'!$F:$F,G$1),
IF(Settings!$C$5=14, COUNTIFS('Draft '!$C:$C,$A7,'Draft '!$F:$F,G$1)))))</f>
        <v>0</v>
      </c>
      <c r="H7" s="175">
        <f>IF(Settings!$C$5=8, COUNTIFS('Draft (8 Teams)'!$C:$C,$A7,'Draft (8 Teams)'!$F:$F,H$1),
IF(Settings!$C$5=10, COUNTIFS('Draft (10 Teams)'!$C:$C,$A7,'Draft (10 Teams)'!$F:$F,H$1),
IF(Settings!$C$5=12, COUNTIFS('Draft (12 Teams)'!$C:$C,$A7,'Draft (12 Teams)'!$F:$F,H$1),
IF(Settings!$C$5=14, COUNTIFS('Draft '!$C:$C,$A7,'Draft '!$F:$F,H$1)))))</f>
        <v>0</v>
      </c>
      <c r="I7" s="175">
        <f>IF(Settings!$C$5=8, COUNTIFS('Draft (8 Teams)'!$C:$C,$A7,'Draft (8 Teams)'!$F:$F,I$1),
IF(Settings!$C$5=10, COUNTIFS('Draft (10 Teams)'!$C:$C,$A7,'Draft (10 Teams)'!$F:$F,I$1),
IF(Settings!$C$5=12, COUNTIFS('Draft (12 Teams)'!$C:$C,$A7,'Draft (12 Teams)'!$F:$F,I$1),
IF(Settings!$C$5=14, COUNTIFS('Draft '!$C:$C,$A7,'Draft '!$F:$F,I$1)))))</f>
        <v>0</v>
      </c>
      <c r="J7" s="175">
        <f>IF(Settings!$C$5=8, COUNTIFS('Draft (8 Teams)'!$C:$C,$A7,'Draft (8 Teams)'!$F:$F,J$1),
IF(Settings!$C$5=10, COUNTIFS('Draft (10 Teams)'!$C:$C,$A7,'Draft (10 Teams)'!$F:$F,J$1),
IF(Settings!$C$5=12, COUNTIFS('Draft (12 Teams)'!$C:$C,$A7,'Draft (12 Teams)'!$F:$F,J$1),
IF(Settings!$C$5=14, COUNTIFS('Draft '!$C:$C,$A7,'Draft '!$F:$F,J$1)))))</f>
        <v>0</v>
      </c>
      <c r="K7" s="175">
        <f>IF(Settings!$C$5=8, COUNTIFS('Draft (8 Teams)'!$C:$C,$A7,'Draft (8 Teams)'!$F:$F,K$1),
IF(Settings!$C$5=10, COUNTIFS('Draft (10 Teams)'!$C:$C,$A7,'Draft (10 Teams)'!$F:$F,K$1),
IF(Settings!$C$5=12, COUNTIFS('Draft (12 Teams)'!$C:$C,$A7,'Draft (12 Teams)'!$F:$F,K$1),
IF(Settings!$C$5=14, COUNTIFS('Draft '!$C:$C,$A7,'Draft '!$F:$F,K$1)))))</f>
        <v>0</v>
      </c>
    </row>
    <row r="8">
      <c r="A8" s="172" t="str">
        <f>'Teams &amp; Draft Order'!C12</f>
        <v>Turbo-Ginz</v>
      </c>
      <c r="B8" s="173">
        <f t="shared" si="1"/>
        <v>0</v>
      </c>
      <c r="C8" s="173">
        <f>IF(Settings!$C$5=8, COUNTIFS('Draft (8 Teams)'!$C:$C,$A8,'Draft (8 Teams)'!$F:$F,C$1),
IF(Settings!$C$5=10, COUNTIFS('Draft (10 Teams)'!$C:$C,$A8,'Draft (10 Teams)'!$F:$F,C$1),
IF(Settings!$C$5=12, COUNTIFS('Draft (12 Teams)'!$C:$C,$A8,'Draft (12 Teams)'!$F:$F,C$1),
IF(Settings!$C$5=14, COUNTIFS('Draft '!$C:$C,$A8,'Draft '!$F:$F,C$1)))))</f>
        <v>0</v>
      </c>
      <c r="D8" s="173">
        <f>IF(Settings!$C$5=8, COUNTIFS('Draft (8 Teams)'!$C:$C,$A8,'Draft (8 Teams)'!$F:$F,D$1),
IF(Settings!$C$5=10, COUNTIFS('Draft (10 Teams)'!$C:$C,$A8,'Draft (10 Teams)'!$F:$F,D$1),
IF(Settings!$C$5=12, COUNTIFS('Draft (12 Teams)'!$C:$C,$A8,'Draft (12 Teams)'!$F:$F,D$1),
IF(Settings!$C$5=14, COUNTIFS('Draft '!$C:$C,$A8,'Draft '!$F:$F,D$1)))))</f>
        <v>0</v>
      </c>
      <c r="E8" s="173">
        <f>IF(Settings!$C$5=8, COUNTIFS('Draft (8 Teams)'!$C:$C,$A8,'Draft (8 Teams)'!$F:$F,E$1),
IF(Settings!$C$5=10, COUNTIFS('Draft (10 Teams)'!$C:$C,$A8,'Draft (10 Teams)'!$F:$F,E$1),
IF(Settings!$C$5=12, COUNTIFS('Draft (12 Teams)'!$C:$C,$A8,'Draft (12 Teams)'!$F:$F,E$1),
IF(Settings!$C$5=14, COUNTIFS('Draft '!$C:$C,$A8,'Draft '!$F:$F,E$1)))))</f>
        <v>0</v>
      </c>
      <c r="F8" s="173">
        <f>IF(Settings!$C$5=8, COUNTIFS('Draft (8 Teams)'!$C:$C,$A8,'Draft (8 Teams)'!$F:$F,F$1),
IF(Settings!$C$5=10, COUNTIFS('Draft (10 Teams)'!$C:$C,$A8,'Draft (10 Teams)'!$F:$F,F$1),
IF(Settings!$C$5=12, COUNTIFS('Draft (12 Teams)'!$C:$C,$A8,'Draft (12 Teams)'!$F:$F,F$1),
IF(Settings!$C$5=14, COUNTIFS('Draft '!$C:$C,$A8,'Draft '!$F:$F,F$1)))))</f>
        <v>0</v>
      </c>
      <c r="G8" s="173">
        <f>IF(Settings!$C$5=8, COUNTIFS('Draft (8 Teams)'!$C:$C,$A8,'Draft (8 Teams)'!$F:$F,G$1),
IF(Settings!$C$5=10, COUNTIFS('Draft (10 Teams)'!$C:$C,$A8,'Draft (10 Teams)'!$F:$F,G$1),
IF(Settings!$C$5=12, COUNTIFS('Draft (12 Teams)'!$C:$C,$A8,'Draft (12 Teams)'!$F:$F,G$1),
IF(Settings!$C$5=14, COUNTIFS('Draft '!$C:$C,$A8,'Draft '!$F:$F,G$1)))))</f>
        <v>0</v>
      </c>
      <c r="H8" s="173">
        <f>IF(Settings!$C$5=8, COUNTIFS('Draft (8 Teams)'!$C:$C,$A8,'Draft (8 Teams)'!$F:$F,H$1),
IF(Settings!$C$5=10, COUNTIFS('Draft (10 Teams)'!$C:$C,$A8,'Draft (10 Teams)'!$F:$F,H$1),
IF(Settings!$C$5=12, COUNTIFS('Draft (12 Teams)'!$C:$C,$A8,'Draft (12 Teams)'!$F:$F,H$1),
IF(Settings!$C$5=14, COUNTIFS('Draft '!$C:$C,$A8,'Draft '!$F:$F,H$1)))))</f>
        <v>0</v>
      </c>
      <c r="I8" s="173">
        <f>IF(Settings!$C$5=8, COUNTIFS('Draft (8 Teams)'!$C:$C,$A8,'Draft (8 Teams)'!$F:$F,I$1),
IF(Settings!$C$5=10, COUNTIFS('Draft (10 Teams)'!$C:$C,$A8,'Draft (10 Teams)'!$F:$F,I$1),
IF(Settings!$C$5=12, COUNTIFS('Draft (12 Teams)'!$C:$C,$A8,'Draft (12 Teams)'!$F:$F,I$1),
IF(Settings!$C$5=14, COUNTIFS('Draft '!$C:$C,$A8,'Draft '!$F:$F,I$1)))))</f>
        <v>0</v>
      </c>
      <c r="J8" s="173">
        <f>IF(Settings!$C$5=8, COUNTIFS('Draft (8 Teams)'!$C:$C,$A8,'Draft (8 Teams)'!$F:$F,J$1),
IF(Settings!$C$5=10, COUNTIFS('Draft (10 Teams)'!$C:$C,$A8,'Draft (10 Teams)'!$F:$F,J$1),
IF(Settings!$C$5=12, COUNTIFS('Draft (12 Teams)'!$C:$C,$A8,'Draft (12 Teams)'!$F:$F,J$1),
IF(Settings!$C$5=14, COUNTIFS('Draft '!$C:$C,$A8,'Draft '!$F:$F,J$1)))))</f>
        <v>0</v>
      </c>
      <c r="K8" s="173">
        <f>IF(Settings!$C$5=8, COUNTIFS('Draft (8 Teams)'!$C:$C,$A8,'Draft (8 Teams)'!$F:$F,K$1),
IF(Settings!$C$5=10, COUNTIFS('Draft (10 Teams)'!$C:$C,$A8,'Draft (10 Teams)'!$F:$F,K$1),
IF(Settings!$C$5=12, COUNTIFS('Draft (12 Teams)'!$C:$C,$A8,'Draft (12 Teams)'!$F:$F,K$1),
IF(Settings!$C$5=14, COUNTIFS('Draft '!$C:$C,$A8,'Draft '!$F:$F,K$1)))))</f>
        <v>0</v>
      </c>
    </row>
    <row r="9">
      <c r="A9" s="174" t="str">
        <f>'Teams &amp; Draft Order'!C13</f>
        <v>Luddite</v>
      </c>
      <c r="B9" s="175">
        <f t="shared" si="1"/>
        <v>0</v>
      </c>
      <c r="C9" s="175">
        <f>IF(Settings!$C$5=8, COUNTIFS('Draft (8 Teams)'!$C:$C,$A9,'Draft (8 Teams)'!$F:$F,C$1),
IF(Settings!$C$5=10, COUNTIFS('Draft (10 Teams)'!$C:$C,$A9,'Draft (10 Teams)'!$F:$F,C$1),
IF(Settings!$C$5=12, COUNTIFS('Draft (12 Teams)'!$C:$C,$A9,'Draft (12 Teams)'!$F:$F,C$1),
IF(Settings!$C$5=14, COUNTIFS('Draft '!$C:$C,$A9,'Draft '!$F:$F,C$1)))))</f>
        <v>0</v>
      </c>
      <c r="D9" s="175">
        <f>IF(Settings!$C$5=8, COUNTIFS('Draft (8 Teams)'!$C:$C,$A9,'Draft (8 Teams)'!$F:$F,D$1),
IF(Settings!$C$5=10, COUNTIFS('Draft (10 Teams)'!$C:$C,$A9,'Draft (10 Teams)'!$F:$F,D$1),
IF(Settings!$C$5=12, COUNTIFS('Draft (12 Teams)'!$C:$C,$A9,'Draft (12 Teams)'!$F:$F,D$1),
IF(Settings!$C$5=14, COUNTIFS('Draft '!$C:$C,$A9,'Draft '!$F:$F,D$1)))))</f>
        <v>0</v>
      </c>
      <c r="E9" s="175">
        <f>IF(Settings!$C$5=8, COUNTIFS('Draft (8 Teams)'!$C:$C,$A9,'Draft (8 Teams)'!$F:$F,E$1),
IF(Settings!$C$5=10, COUNTIFS('Draft (10 Teams)'!$C:$C,$A9,'Draft (10 Teams)'!$F:$F,E$1),
IF(Settings!$C$5=12, COUNTIFS('Draft (12 Teams)'!$C:$C,$A9,'Draft (12 Teams)'!$F:$F,E$1),
IF(Settings!$C$5=14, COUNTIFS('Draft '!$C:$C,$A9,'Draft '!$F:$F,E$1)))))</f>
        <v>0</v>
      </c>
      <c r="F9" s="175">
        <f>IF(Settings!$C$5=8, COUNTIFS('Draft (8 Teams)'!$C:$C,$A9,'Draft (8 Teams)'!$F:$F,F$1),
IF(Settings!$C$5=10, COUNTIFS('Draft (10 Teams)'!$C:$C,$A9,'Draft (10 Teams)'!$F:$F,F$1),
IF(Settings!$C$5=12, COUNTIFS('Draft (12 Teams)'!$C:$C,$A9,'Draft (12 Teams)'!$F:$F,F$1),
IF(Settings!$C$5=14, COUNTIFS('Draft '!$C:$C,$A9,'Draft '!$F:$F,F$1)))))</f>
        <v>0</v>
      </c>
      <c r="G9" s="175">
        <f>IF(Settings!$C$5=8, COUNTIFS('Draft (8 Teams)'!$C:$C,$A9,'Draft (8 Teams)'!$F:$F,G$1),
IF(Settings!$C$5=10, COUNTIFS('Draft (10 Teams)'!$C:$C,$A9,'Draft (10 Teams)'!$F:$F,G$1),
IF(Settings!$C$5=12, COUNTIFS('Draft (12 Teams)'!$C:$C,$A9,'Draft (12 Teams)'!$F:$F,G$1),
IF(Settings!$C$5=14, COUNTIFS('Draft '!$C:$C,$A9,'Draft '!$F:$F,G$1)))))</f>
        <v>0</v>
      </c>
      <c r="H9" s="175">
        <f>IF(Settings!$C$5=8, COUNTIFS('Draft (8 Teams)'!$C:$C,$A9,'Draft (8 Teams)'!$F:$F,H$1),
IF(Settings!$C$5=10, COUNTIFS('Draft (10 Teams)'!$C:$C,$A9,'Draft (10 Teams)'!$F:$F,H$1),
IF(Settings!$C$5=12, COUNTIFS('Draft (12 Teams)'!$C:$C,$A9,'Draft (12 Teams)'!$F:$F,H$1),
IF(Settings!$C$5=14, COUNTIFS('Draft '!$C:$C,$A9,'Draft '!$F:$F,H$1)))))</f>
        <v>0</v>
      </c>
      <c r="I9" s="175">
        <f>IF(Settings!$C$5=8, COUNTIFS('Draft (8 Teams)'!$C:$C,$A9,'Draft (8 Teams)'!$F:$F,I$1),
IF(Settings!$C$5=10, COUNTIFS('Draft (10 Teams)'!$C:$C,$A9,'Draft (10 Teams)'!$F:$F,I$1),
IF(Settings!$C$5=12, COUNTIFS('Draft (12 Teams)'!$C:$C,$A9,'Draft (12 Teams)'!$F:$F,I$1),
IF(Settings!$C$5=14, COUNTIFS('Draft '!$C:$C,$A9,'Draft '!$F:$F,I$1)))))</f>
        <v>0</v>
      </c>
      <c r="J9" s="175">
        <f>IF(Settings!$C$5=8, COUNTIFS('Draft (8 Teams)'!$C:$C,$A9,'Draft (8 Teams)'!$F:$F,J$1),
IF(Settings!$C$5=10, COUNTIFS('Draft (10 Teams)'!$C:$C,$A9,'Draft (10 Teams)'!$F:$F,J$1),
IF(Settings!$C$5=12, COUNTIFS('Draft (12 Teams)'!$C:$C,$A9,'Draft (12 Teams)'!$F:$F,J$1),
IF(Settings!$C$5=14, COUNTIFS('Draft '!$C:$C,$A9,'Draft '!$F:$F,J$1)))))</f>
        <v>0</v>
      </c>
      <c r="K9" s="175">
        <f>IF(Settings!$C$5=8, COUNTIFS('Draft (8 Teams)'!$C:$C,$A9,'Draft (8 Teams)'!$F:$F,K$1),
IF(Settings!$C$5=10, COUNTIFS('Draft (10 Teams)'!$C:$C,$A9,'Draft (10 Teams)'!$F:$F,K$1),
IF(Settings!$C$5=12, COUNTIFS('Draft (12 Teams)'!$C:$C,$A9,'Draft (12 Teams)'!$F:$F,K$1),
IF(Settings!$C$5=14, COUNTIFS('Draft '!$C:$C,$A9,'Draft '!$F:$F,K$1)))))</f>
        <v>0</v>
      </c>
    </row>
    <row r="10">
      <c r="A10" s="172" t="str">
        <f>'Teams &amp; Draft Order'!C14</f>
        <v>Achaians</v>
      </c>
      <c r="B10" s="173">
        <f t="shared" si="1"/>
        <v>0</v>
      </c>
      <c r="C10" s="173">
        <f>IF(Settings!$C$5=8, COUNTIFS('Draft (8 Teams)'!$C:$C,$A10,'Draft (8 Teams)'!$F:$F,C$1),
IF(Settings!$C$5=10, COUNTIFS('Draft (10 Teams)'!$C:$C,$A10,'Draft (10 Teams)'!$F:$F,C$1),
IF(Settings!$C$5=12, COUNTIFS('Draft (12 Teams)'!$C:$C,$A10,'Draft (12 Teams)'!$F:$F,C$1),
IF(Settings!$C$5=14, COUNTIFS('Draft '!$C:$C,$A10,'Draft '!$F:$F,C$1)))))</f>
        <v>0</v>
      </c>
      <c r="D10" s="173">
        <f>IF(Settings!$C$5=8, COUNTIFS('Draft (8 Teams)'!$C:$C,$A10,'Draft (8 Teams)'!$F:$F,D$1),
IF(Settings!$C$5=10, COUNTIFS('Draft (10 Teams)'!$C:$C,$A10,'Draft (10 Teams)'!$F:$F,D$1),
IF(Settings!$C$5=12, COUNTIFS('Draft (12 Teams)'!$C:$C,$A10,'Draft (12 Teams)'!$F:$F,D$1),
IF(Settings!$C$5=14, COUNTIFS('Draft '!$C:$C,$A10,'Draft '!$F:$F,D$1)))))</f>
        <v>0</v>
      </c>
      <c r="E10" s="173">
        <f>IF(Settings!$C$5=8, COUNTIFS('Draft (8 Teams)'!$C:$C,$A10,'Draft (8 Teams)'!$F:$F,E$1),
IF(Settings!$C$5=10, COUNTIFS('Draft (10 Teams)'!$C:$C,$A10,'Draft (10 Teams)'!$F:$F,E$1),
IF(Settings!$C$5=12, COUNTIFS('Draft (12 Teams)'!$C:$C,$A10,'Draft (12 Teams)'!$F:$F,E$1),
IF(Settings!$C$5=14, COUNTIFS('Draft '!$C:$C,$A10,'Draft '!$F:$F,E$1)))))</f>
        <v>0</v>
      </c>
      <c r="F10" s="173">
        <f>IF(Settings!$C$5=8, COUNTIFS('Draft (8 Teams)'!$C:$C,$A10,'Draft (8 Teams)'!$F:$F,F$1),
IF(Settings!$C$5=10, COUNTIFS('Draft (10 Teams)'!$C:$C,$A10,'Draft (10 Teams)'!$F:$F,F$1),
IF(Settings!$C$5=12, COUNTIFS('Draft (12 Teams)'!$C:$C,$A10,'Draft (12 Teams)'!$F:$F,F$1),
IF(Settings!$C$5=14, COUNTIFS('Draft '!$C:$C,$A10,'Draft '!$F:$F,F$1)))))</f>
        <v>0</v>
      </c>
      <c r="G10" s="173">
        <f>IF(Settings!$C$5=8, COUNTIFS('Draft (8 Teams)'!$C:$C,$A10,'Draft (8 Teams)'!$F:$F,G$1),
IF(Settings!$C$5=10, COUNTIFS('Draft (10 Teams)'!$C:$C,$A10,'Draft (10 Teams)'!$F:$F,G$1),
IF(Settings!$C$5=12, COUNTIFS('Draft (12 Teams)'!$C:$C,$A10,'Draft (12 Teams)'!$F:$F,G$1),
IF(Settings!$C$5=14, COUNTIFS('Draft '!$C:$C,$A10,'Draft '!$F:$F,G$1)))))</f>
        <v>0</v>
      </c>
      <c r="H10" s="173">
        <f>IF(Settings!$C$5=8, COUNTIFS('Draft (8 Teams)'!$C:$C,$A10,'Draft (8 Teams)'!$F:$F,H$1),
IF(Settings!$C$5=10, COUNTIFS('Draft (10 Teams)'!$C:$C,$A10,'Draft (10 Teams)'!$F:$F,H$1),
IF(Settings!$C$5=12, COUNTIFS('Draft (12 Teams)'!$C:$C,$A10,'Draft (12 Teams)'!$F:$F,H$1),
IF(Settings!$C$5=14, COUNTIFS('Draft '!$C:$C,$A10,'Draft '!$F:$F,H$1)))))</f>
        <v>0</v>
      </c>
      <c r="I10" s="173">
        <f>IF(Settings!$C$5=8, COUNTIFS('Draft (8 Teams)'!$C:$C,$A10,'Draft (8 Teams)'!$F:$F,I$1),
IF(Settings!$C$5=10, COUNTIFS('Draft (10 Teams)'!$C:$C,$A10,'Draft (10 Teams)'!$F:$F,I$1),
IF(Settings!$C$5=12, COUNTIFS('Draft (12 Teams)'!$C:$C,$A10,'Draft (12 Teams)'!$F:$F,I$1),
IF(Settings!$C$5=14, COUNTIFS('Draft '!$C:$C,$A10,'Draft '!$F:$F,I$1)))))</f>
        <v>0</v>
      </c>
      <c r="J10" s="173">
        <f>IF(Settings!$C$5=8, COUNTIFS('Draft (8 Teams)'!$C:$C,$A10,'Draft (8 Teams)'!$F:$F,J$1),
IF(Settings!$C$5=10, COUNTIFS('Draft (10 Teams)'!$C:$C,$A10,'Draft (10 Teams)'!$F:$F,J$1),
IF(Settings!$C$5=12, COUNTIFS('Draft (12 Teams)'!$C:$C,$A10,'Draft (12 Teams)'!$F:$F,J$1),
IF(Settings!$C$5=14, COUNTIFS('Draft '!$C:$C,$A10,'Draft '!$F:$F,J$1)))))</f>
        <v>0</v>
      </c>
      <c r="K10" s="173">
        <f>IF(Settings!$C$5=8, COUNTIFS('Draft (8 Teams)'!$C:$C,$A10,'Draft (8 Teams)'!$F:$F,K$1),
IF(Settings!$C$5=10, COUNTIFS('Draft (10 Teams)'!$C:$C,$A10,'Draft (10 Teams)'!$F:$F,K$1),
IF(Settings!$C$5=12, COUNTIFS('Draft (12 Teams)'!$C:$C,$A10,'Draft (12 Teams)'!$F:$F,K$1),
IF(Settings!$C$5=14, COUNTIFS('Draft '!$C:$C,$A10,'Draft '!$F:$F,K$1)))))</f>
        <v>0</v>
      </c>
    </row>
    <row r="11">
      <c r="A11" s="174" t="str">
        <f>'Teams &amp; Draft Order'!C15</f>
        <v>Daddy's Dogs</v>
      </c>
      <c r="B11" s="175">
        <f t="shared" si="1"/>
        <v>0</v>
      </c>
      <c r="C11" s="175">
        <f>IF(Settings!$C$5=8, COUNTIFS('Draft (8 Teams)'!$C:$C,$A11,'Draft (8 Teams)'!$F:$F,C$1),
IF(Settings!$C$5=10, COUNTIFS('Draft (10 Teams)'!$C:$C,$A11,'Draft (10 Teams)'!$F:$F,C$1),
IF(Settings!$C$5=12, COUNTIFS('Draft (12 Teams)'!$C:$C,$A11,'Draft (12 Teams)'!$F:$F,C$1),
IF(Settings!$C$5=14, COUNTIFS('Draft '!$C:$C,$A11,'Draft '!$F:$F,C$1)))))</f>
        <v>0</v>
      </c>
      <c r="D11" s="175">
        <f>IF(Settings!$C$5=8, COUNTIFS('Draft (8 Teams)'!$C:$C,$A11,'Draft (8 Teams)'!$F:$F,D$1),
IF(Settings!$C$5=10, COUNTIFS('Draft (10 Teams)'!$C:$C,$A11,'Draft (10 Teams)'!$F:$F,D$1),
IF(Settings!$C$5=12, COUNTIFS('Draft (12 Teams)'!$C:$C,$A11,'Draft (12 Teams)'!$F:$F,D$1),
IF(Settings!$C$5=14, COUNTIFS('Draft '!$C:$C,$A11,'Draft '!$F:$F,D$1)))))</f>
        <v>0</v>
      </c>
      <c r="E11" s="175">
        <f>IF(Settings!$C$5=8, COUNTIFS('Draft (8 Teams)'!$C:$C,$A11,'Draft (8 Teams)'!$F:$F,E$1),
IF(Settings!$C$5=10, COUNTIFS('Draft (10 Teams)'!$C:$C,$A11,'Draft (10 Teams)'!$F:$F,E$1),
IF(Settings!$C$5=12, COUNTIFS('Draft (12 Teams)'!$C:$C,$A11,'Draft (12 Teams)'!$F:$F,E$1),
IF(Settings!$C$5=14, COUNTIFS('Draft '!$C:$C,$A11,'Draft '!$F:$F,E$1)))))</f>
        <v>0</v>
      </c>
      <c r="F11" s="175">
        <f>IF(Settings!$C$5=8, COUNTIFS('Draft (8 Teams)'!$C:$C,$A11,'Draft (8 Teams)'!$F:$F,F$1),
IF(Settings!$C$5=10, COUNTIFS('Draft (10 Teams)'!$C:$C,$A11,'Draft (10 Teams)'!$F:$F,F$1),
IF(Settings!$C$5=12, COUNTIFS('Draft (12 Teams)'!$C:$C,$A11,'Draft (12 Teams)'!$F:$F,F$1),
IF(Settings!$C$5=14, COUNTIFS('Draft '!$C:$C,$A11,'Draft '!$F:$F,F$1)))))</f>
        <v>0</v>
      </c>
      <c r="G11" s="175">
        <f>IF(Settings!$C$5=8, COUNTIFS('Draft (8 Teams)'!$C:$C,$A11,'Draft (8 Teams)'!$F:$F,G$1),
IF(Settings!$C$5=10, COUNTIFS('Draft (10 Teams)'!$C:$C,$A11,'Draft (10 Teams)'!$F:$F,G$1),
IF(Settings!$C$5=12, COUNTIFS('Draft (12 Teams)'!$C:$C,$A11,'Draft (12 Teams)'!$F:$F,G$1),
IF(Settings!$C$5=14, COUNTIFS('Draft '!$C:$C,$A11,'Draft '!$F:$F,G$1)))))</f>
        <v>0</v>
      </c>
      <c r="H11" s="175">
        <f>IF(Settings!$C$5=8, COUNTIFS('Draft (8 Teams)'!$C:$C,$A11,'Draft (8 Teams)'!$F:$F,H$1),
IF(Settings!$C$5=10, COUNTIFS('Draft (10 Teams)'!$C:$C,$A11,'Draft (10 Teams)'!$F:$F,H$1),
IF(Settings!$C$5=12, COUNTIFS('Draft (12 Teams)'!$C:$C,$A11,'Draft (12 Teams)'!$F:$F,H$1),
IF(Settings!$C$5=14, COUNTIFS('Draft '!$C:$C,$A11,'Draft '!$F:$F,H$1)))))</f>
        <v>0</v>
      </c>
      <c r="I11" s="175">
        <f>IF(Settings!$C$5=8, COUNTIFS('Draft (8 Teams)'!$C:$C,$A11,'Draft (8 Teams)'!$F:$F,I$1),
IF(Settings!$C$5=10, COUNTIFS('Draft (10 Teams)'!$C:$C,$A11,'Draft (10 Teams)'!$F:$F,I$1),
IF(Settings!$C$5=12, COUNTIFS('Draft (12 Teams)'!$C:$C,$A11,'Draft (12 Teams)'!$F:$F,I$1),
IF(Settings!$C$5=14, COUNTIFS('Draft '!$C:$C,$A11,'Draft '!$F:$F,I$1)))))</f>
        <v>0</v>
      </c>
      <c r="J11" s="175">
        <f>IF(Settings!$C$5=8, COUNTIFS('Draft (8 Teams)'!$C:$C,$A11,'Draft (8 Teams)'!$F:$F,J$1),
IF(Settings!$C$5=10, COUNTIFS('Draft (10 Teams)'!$C:$C,$A11,'Draft (10 Teams)'!$F:$F,J$1),
IF(Settings!$C$5=12, COUNTIFS('Draft (12 Teams)'!$C:$C,$A11,'Draft (12 Teams)'!$F:$F,J$1),
IF(Settings!$C$5=14, COUNTIFS('Draft '!$C:$C,$A11,'Draft '!$F:$F,J$1)))))</f>
        <v>0</v>
      </c>
      <c r="K11" s="175">
        <f>IF(Settings!$C$5=8, COUNTIFS('Draft (8 Teams)'!$C:$C,$A11,'Draft (8 Teams)'!$F:$F,K$1),
IF(Settings!$C$5=10, COUNTIFS('Draft (10 Teams)'!$C:$C,$A11,'Draft (10 Teams)'!$F:$F,K$1),
IF(Settings!$C$5=12, COUNTIFS('Draft (12 Teams)'!$C:$C,$A11,'Draft (12 Teams)'!$F:$F,K$1),
IF(Settings!$C$5=14, COUNTIFS('Draft '!$C:$C,$A11,'Draft '!$F:$F,K$1)))))</f>
        <v>0</v>
      </c>
    </row>
    <row r="12">
      <c r="A12" s="172" t="str">
        <f>'Teams &amp; Draft Order'!C16</f>
        <v>TDs and Beers</v>
      </c>
      <c r="B12" s="173">
        <f t="shared" si="1"/>
        <v>0</v>
      </c>
      <c r="C12" s="173">
        <f>IF(Settings!$C$5=8, COUNTIFS('Draft (8 Teams)'!$C:$C,$A12,'Draft (8 Teams)'!$F:$F,C$1),
IF(Settings!$C$5=10, COUNTIFS('Draft (10 Teams)'!$C:$C,$A12,'Draft (10 Teams)'!$F:$F,C$1),
IF(Settings!$C$5=12, COUNTIFS('Draft (12 Teams)'!$C:$C,$A12,'Draft (12 Teams)'!$F:$F,C$1),
IF(Settings!$C$5=14, COUNTIFS('Draft '!$C:$C,$A12,'Draft '!$F:$F,C$1)))))</f>
        <v>0</v>
      </c>
      <c r="D12" s="173">
        <f>IF(Settings!$C$5=8, COUNTIFS('Draft (8 Teams)'!$C:$C,$A12,'Draft (8 Teams)'!$F:$F,D$1),
IF(Settings!$C$5=10, COUNTIFS('Draft (10 Teams)'!$C:$C,$A12,'Draft (10 Teams)'!$F:$F,D$1),
IF(Settings!$C$5=12, COUNTIFS('Draft (12 Teams)'!$C:$C,$A12,'Draft (12 Teams)'!$F:$F,D$1),
IF(Settings!$C$5=14, COUNTIFS('Draft '!$C:$C,$A12,'Draft '!$F:$F,D$1)))))</f>
        <v>0</v>
      </c>
      <c r="E12" s="173">
        <f>IF(Settings!$C$5=8, COUNTIFS('Draft (8 Teams)'!$C:$C,$A12,'Draft (8 Teams)'!$F:$F,E$1),
IF(Settings!$C$5=10, COUNTIFS('Draft (10 Teams)'!$C:$C,$A12,'Draft (10 Teams)'!$F:$F,E$1),
IF(Settings!$C$5=12, COUNTIFS('Draft (12 Teams)'!$C:$C,$A12,'Draft (12 Teams)'!$F:$F,E$1),
IF(Settings!$C$5=14, COUNTIFS('Draft '!$C:$C,$A12,'Draft '!$F:$F,E$1)))))</f>
        <v>0</v>
      </c>
      <c r="F12" s="173">
        <f>IF(Settings!$C$5=8, COUNTIFS('Draft (8 Teams)'!$C:$C,$A12,'Draft (8 Teams)'!$F:$F,F$1),
IF(Settings!$C$5=10, COUNTIFS('Draft (10 Teams)'!$C:$C,$A12,'Draft (10 Teams)'!$F:$F,F$1),
IF(Settings!$C$5=12, COUNTIFS('Draft (12 Teams)'!$C:$C,$A12,'Draft (12 Teams)'!$F:$F,F$1),
IF(Settings!$C$5=14, COUNTIFS('Draft '!$C:$C,$A12,'Draft '!$F:$F,F$1)))))</f>
        <v>0</v>
      </c>
      <c r="G12" s="173">
        <f>IF(Settings!$C$5=8, COUNTIFS('Draft (8 Teams)'!$C:$C,$A12,'Draft (8 Teams)'!$F:$F,G$1),
IF(Settings!$C$5=10, COUNTIFS('Draft (10 Teams)'!$C:$C,$A12,'Draft (10 Teams)'!$F:$F,G$1),
IF(Settings!$C$5=12, COUNTIFS('Draft (12 Teams)'!$C:$C,$A12,'Draft (12 Teams)'!$F:$F,G$1),
IF(Settings!$C$5=14, COUNTIFS('Draft '!$C:$C,$A12,'Draft '!$F:$F,G$1)))))</f>
        <v>0</v>
      </c>
      <c r="H12" s="173">
        <f>IF(Settings!$C$5=8, COUNTIFS('Draft (8 Teams)'!$C:$C,$A12,'Draft (8 Teams)'!$F:$F,H$1),
IF(Settings!$C$5=10, COUNTIFS('Draft (10 Teams)'!$C:$C,$A12,'Draft (10 Teams)'!$F:$F,H$1),
IF(Settings!$C$5=12, COUNTIFS('Draft (12 Teams)'!$C:$C,$A12,'Draft (12 Teams)'!$F:$F,H$1),
IF(Settings!$C$5=14, COUNTIFS('Draft '!$C:$C,$A12,'Draft '!$F:$F,H$1)))))</f>
        <v>0</v>
      </c>
      <c r="I12" s="173">
        <f>IF(Settings!$C$5=8, COUNTIFS('Draft (8 Teams)'!$C:$C,$A12,'Draft (8 Teams)'!$F:$F,I$1),
IF(Settings!$C$5=10, COUNTIFS('Draft (10 Teams)'!$C:$C,$A12,'Draft (10 Teams)'!$F:$F,I$1),
IF(Settings!$C$5=12, COUNTIFS('Draft (12 Teams)'!$C:$C,$A12,'Draft (12 Teams)'!$F:$F,I$1),
IF(Settings!$C$5=14, COUNTIFS('Draft '!$C:$C,$A12,'Draft '!$F:$F,I$1)))))</f>
        <v>0</v>
      </c>
      <c r="J12" s="173">
        <f>IF(Settings!$C$5=8, COUNTIFS('Draft (8 Teams)'!$C:$C,$A12,'Draft (8 Teams)'!$F:$F,J$1),
IF(Settings!$C$5=10, COUNTIFS('Draft (10 Teams)'!$C:$C,$A12,'Draft (10 Teams)'!$F:$F,J$1),
IF(Settings!$C$5=12, COUNTIFS('Draft (12 Teams)'!$C:$C,$A12,'Draft (12 Teams)'!$F:$F,J$1),
IF(Settings!$C$5=14, COUNTIFS('Draft '!$C:$C,$A12,'Draft '!$F:$F,J$1)))))</f>
        <v>0</v>
      </c>
      <c r="K12" s="173">
        <f>IF(Settings!$C$5=8, COUNTIFS('Draft (8 Teams)'!$C:$C,$A12,'Draft (8 Teams)'!$F:$F,K$1),
IF(Settings!$C$5=10, COUNTIFS('Draft (10 Teams)'!$C:$C,$A12,'Draft (10 Teams)'!$F:$F,K$1),
IF(Settings!$C$5=12, COUNTIFS('Draft (12 Teams)'!$C:$C,$A12,'Draft (12 Teams)'!$F:$F,K$1),
IF(Settings!$C$5=14, COUNTIFS('Draft '!$C:$C,$A12,'Draft '!$F:$F,K$1)))))</f>
        <v>0</v>
      </c>
    </row>
    <row r="13">
      <c r="A13" s="174" t="str">
        <f>'Teams &amp; Draft Order'!C17</f>
        <v>DD Riders</v>
      </c>
      <c r="B13" s="175">
        <f t="shared" si="1"/>
        <v>0</v>
      </c>
      <c r="C13" s="175">
        <f>IF(Settings!$C$5=8, COUNTIFS('Draft (8 Teams)'!$C:$C,$A13,'Draft (8 Teams)'!$F:$F,C$1),
IF(Settings!$C$5=10, COUNTIFS('Draft (10 Teams)'!$C:$C,$A13,'Draft (10 Teams)'!$F:$F,C$1),
IF(Settings!$C$5=12, COUNTIFS('Draft (12 Teams)'!$C:$C,$A13,'Draft (12 Teams)'!$F:$F,C$1),
IF(Settings!$C$5=14, COUNTIFS('Draft '!$C:$C,$A13,'Draft '!$F:$F,C$1)))))</f>
        <v>0</v>
      </c>
      <c r="D13" s="175">
        <f>IF(Settings!$C$5=8, COUNTIFS('Draft (8 Teams)'!$C:$C,$A13,'Draft (8 Teams)'!$F:$F,D$1),
IF(Settings!$C$5=10, COUNTIFS('Draft (10 Teams)'!$C:$C,$A13,'Draft (10 Teams)'!$F:$F,D$1),
IF(Settings!$C$5=12, COUNTIFS('Draft (12 Teams)'!$C:$C,$A13,'Draft (12 Teams)'!$F:$F,D$1),
IF(Settings!$C$5=14, COUNTIFS('Draft '!$C:$C,$A13,'Draft '!$F:$F,D$1)))))</f>
        <v>0</v>
      </c>
      <c r="E13" s="175">
        <f>IF(Settings!$C$5=8, COUNTIFS('Draft (8 Teams)'!$C:$C,$A13,'Draft (8 Teams)'!$F:$F,E$1),
IF(Settings!$C$5=10, COUNTIFS('Draft (10 Teams)'!$C:$C,$A13,'Draft (10 Teams)'!$F:$F,E$1),
IF(Settings!$C$5=12, COUNTIFS('Draft (12 Teams)'!$C:$C,$A13,'Draft (12 Teams)'!$F:$F,E$1),
IF(Settings!$C$5=14, COUNTIFS('Draft '!$C:$C,$A13,'Draft '!$F:$F,E$1)))))</f>
        <v>0</v>
      </c>
      <c r="F13" s="175">
        <f>IF(Settings!$C$5=8, COUNTIFS('Draft (8 Teams)'!$C:$C,$A13,'Draft (8 Teams)'!$F:$F,F$1),
IF(Settings!$C$5=10, COUNTIFS('Draft (10 Teams)'!$C:$C,$A13,'Draft (10 Teams)'!$F:$F,F$1),
IF(Settings!$C$5=12, COUNTIFS('Draft (12 Teams)'!$C:$C,$A13,'Draft (12 Teams)'!$F:$F,F$1),
IF(Settings!$C$5=14, COUNTIFS('Draft '!$C:$C,$A13,'Draft '!$F:$F,F$1)))))</f>
        <v>0</v>
      </c>
      <c r="G13" s="175">
        <f>IF(Settings!$C$5=8, COUNTIFS('Draft (8 Teams)'!$C:$C,$A13,'Draft (8 Teams)'!$F:$F,G$1),
IF(Settings!$C$5=10, COUNTIFS('Draft (10 Teams)'!$C:$C,$A13,'Draft (10 Teams)'!$F:$F,G$1),
IF(Settings!$C$5=12, COUNTIFS('Draft (12 Teams)'!$C:$C,$A13,'Draft (12 Teams)'!$F:$F,G$1),
IF(Settings!$C$5=14, COUNTIFS('Draft '!$C:$C,$A13,'Draft '!$F:$F,G$1)))))</f>
        <v>0</v>
      </c>
      <c r="H13" s="175">
        <f>IF(Settings!$C$5=8, COUNTIFS('Draft (8 Teams)'!$C:$C,$A13,'Draft (8 Teams)'!$F:$F,H$1),
IF(Settings!$C$5=10, COUNTIFS('Draft (10 Teams)'!$C:$C,$A13,'Draft (10 Teams)'!$F:$F,H$1),
IF(Settings!$C$5=12, COUNTIFS('Draft (12 Teams)'!$C:$C,$A13,'Draft (12 Teams)'!$F:$F,H$1),
IF(Settings!$C$5=14, COUNTIFS('Draft '!$C:$C,$A13,'Draft '!$F:$F,H$1)))))</f>
        <v>0</v>
      </c>
      <c r="I13" s="175">
        <f>IF(Settings!$C$5=8, COUNTIFS('Draft (8 Teams)'!$C:$C,$A13,'Draft (8 Teams)'!$F:$F,I$1),
IF(Settings!$C$5=10, COUNTIFS('Draft (10 Teams)'!$C:$C,$A13,'Draft (10 Teams)'!$F:$F,I$1),
IF(Settings!$C$5=12, COUNTIFS('Draft (12 Teams)'!$C:$C,$A13,'Draft (12 Teams)'!$F:$F,I$1),
IF(Settings!$C$5=14, COUNTIFS('Draft '!$C:$C,$A13,'Draft '!$F:$F,I$1)))))</f>
        <v>0</v>
      </c>
      <c r="J13" s="175">
        <f>IF(Settings!$C$5=8, COUNTIFS('Draft (8 Teams)'!$C:$C,$A13,'Draft (8 Teams)'!$F:$F,J$1),
IF(Settings!$C$5=10, COUNTIFS('Draft (10 Teams)'!$C:$C,$A13,'Draft (10 Teams)'!$F:$F,J$1),
IF(Settings!$C$5=12, COUNTIFS('Draft (12 Teams)'!$C:$C,$A13,'Draft (12 Teams)'!$F:$F,J$1),
IF(Settings!$C$5=14, COUNTIFS('Draft '!$C:$C,$A13,'Draft '!$F:$F,J$1)))))</f>
        <v>0</v>
      </c>
      <c r="K13" s="175">
        <f>IF(Settings!$C$5=8, COUNTIFS('Draft (8 Teams)'!$C:$C,$A13,'Draft (8 Teams)'!$F:$F,K$1),
IF(Settings!$C$5=10, COUNTIFS('Draft (10 Teams)'!$C:$C,$A13,'Draft (10 Teams)'!$F:$F,K$1),
IF(Settings!$C$5=12, COUNTIFS('Draft (12 Teams)'!$C:$C,$A13,'Draft (12 Teams)'!$F:$F,K$1),
IF(Settings!$C$5=14, COUNTIFS('Draft '!$C:$C,$A13,'Draft '!$F:$F,K$1)))))</f>
        <v>0</v>
      </c>
    </row>
    <row r="14">
      <c r="A14" s="172" t="str">
        <f>'Teams &amp; Draft Order'!C18</f>
        <v>Nasty</v>
      </c>
      <c r="B14" s="173">
        <f t="shared" si="1"/>
        <v>0</v>
      </c>
      <c r="C14" s="173">
        <f>IF(Settings!$C$5=8, COUNTIFS('Draft (8 Teams)'!$C:$C,$A14,'Draft (8 Teams)'!$F:$F,C$1),
IF(Settings!$C$5=10, COUNTIFS('Draft (10 Teams)'!$C:$C,$A14,'Draft (10 Teams)'!$F:$F,C$1),
IF(Settings!$C$5=12, COUNTIFS('Draft (12 Teams)'!$C:$C,$A14,'Draft (12 Teams)'!$F:$F,C$1),
IF(Settings!$C$5=14, COUNTIFS('Draft '!$C:$C,$A14,'Draft '!$F:$F,C$1)))))</f>
        <v>0</v>
      </c>
      <c r="D14" s="173">
        <f>IF(Settings!$C$5=8, COUNTIFS('Draft (8 Teams)'!$C:$C,$A14,'Draft (8 Teams)'!$F:$F,D$1),
IF(Settings!$C$5=10, COUNTIFS('Draft (10 Teams)'!$C:$C,$A14,'Draft (10 Teams)'!$F:$F,D$1),
IF(Settings!$C$5=12, COUNTIFS('Draft (12 Teams)'!$C:$C,$A14,'Draft (12 Teams)'!$F:$F,D$1),
IF(Settings!$C$5=14, COUNTIFS('Draft '!$C:$C,$A14,'Draft '!$F:$F,D$1)))))</f>
        <v>0</v>
      </c>
      <c r="E14" s="173">
        <f>IF(Settings!$C$5=8, COUNTIFS('Draft (8 Teams)'!$C:$C,$A14,'Draft (8 Teams)'!$F:$F,E$1),
IF(Settings!$C$5=10, COUNTIFS('Draft (10 Teams)'!$C:$C,$A14,'Draft (10 Teams)'!$F:$F,E$1),
IF(Settings!$C$5=12, COUNTIFS('Draft (12 Teams)'!$C:$C,$A14,'Draft (12 Teams)'!$F:$F,E$1),
IF(Settings!$C$5=14, COUNTIFS('Draft '!$C:$C,$A14,'Draft '!$F:$F,E$1)))))</f>
        <v>0</v>
      </c>
      <c r="F14" s="173">
        <f>IF(Settings!$C$5=8, COUNTIFS('Draft (8 Teams)'!$C:$C,$A14,'Draft (8 Teams)'!$F:$F,F$1),
IF(Settings!$C$5=10, COUNTIFS('Draft (10 Teams)'!$C:$C,$A14,'Draft (10 Teams)'!$F:$F,F$1),
IF(Settings!$C$5=12, COUNTIFS('Draft (12 Teams)'!$C:$C,$A14,'Draft (12 Teams)'!$F:$F,F$1),
IF(Settings!$C$5=14, COUNTIFS('Draft '!$C:$C,$A14,'Draft '!$F:$F,F$1)))))</f>
        <v>0</v>
      </c>
      <c r="G14" s="173">
        <f>IF(Settings!$C$5=8, COUNTIFS('Draft (8 Teams)'!$C:$C,$A14,'Draft (8 Teams)'!$F:$F,G$1),
IF(Settings!$C$5=10, COUNTIFS('Draft (10 Teams)'!$C:$C,$A14,'Draft (10 Teams)'!$F:$F,G$1),
IF(Settings!$C$5=12, COUNTIFS('Draft (12 Teams)'!$C:$C,$A14,'Draft (12 Teams)'!$F:$F,G$1),
IF(Settings!$C$5=14, COUNTIFS('Draft '!$C:$C,$A14,'Draft '!$F:$F,G$1)))))</f>
        <v>0</v>
      </c>
      <c r="H14" s="173">
        <f>IF(Settings!$C$5=8, COUNTIFS('Draft (8 Teams)'!$C:$C,$A14,'Draft (8 Teams)'!$F:$F,H$1),
IF(Settings!$C$5=10, COUNTIFS('Draft (10 Teams)'!$C:$C,$A14,'Draft (10 Teams)'!$F:$F,H$1),
IF(Settings!$C$5=12, COUNTIFS('Draft (12 Teams)'!$C:$C,$A14,'Draft (12 Teams)'!$F:$F,H$1),
IF(Settings!$C$5=14, COUNTIFS('Draft '!$C:$C,$A14,'Draft '!$F:$F,H$1)))))</f>
        <v>0</v>
      </c>
      <c r="I14" s="173">
        <f>IF(Settings!$C$5=8, COUNTIFS('Draft (8 Teams)'!$C:$C,$A14,'Draft (8 Teams)'!$F:$F,I$1),
IF(Settings!$C$5=10, COUNTIFS('Draft (10 Teams)'!$C:$C,$A14,'Draft (10 Teams)'!$F:$F,I$1),
IF(Settings!$C$5=12, COUNTIFS('Draft (12 Teams)'!$C:$C,$A14,'Draft (12 Teams)'!$F:$F,I$1),
IF(Settings!$C$5=14, COUNTIFS('Draft '!$C:$C,$A14,'Draft '!$F:$F,I$1)))))</f>
        <v>0</v>
      </c>
      <c r="J14" s="173">
        <f>IF(Settings!$C$5=8, COUNTIFS('Draft (8 Teams)'!$C:$C,$A14,'Draft (8 Teams)'!$F:$F,J$1),
IF(Settings!$C$5=10, COUNTIFS('Draft (10 Teams)'!$C:$C,$A14,'Draft (10 Teams)'!$F:$F,J$1),
IF(Settings!$C$5=12, COUNTIFS('Draft (12 Teams)'!$C:$C,$A14,'Draft (12 Teams)'!$F:$F,J$1),
IF(Settings!$C$5=14, COUNTIFS('Draft '!$C:$C,$A14,'Draft '!$F:$F,J$1)))))</f>
        <v>0</v>
      </c>
      <c r="K14" s="173">
        <f>IF(Settings!$C$5=8, COUNTIFS('Draft (8 Teams)'!$C:$C,$A14,'Draft (8 Teams)'!$F:$F,K$1),
IF(Settings!$C$5=10, COUNTIFS('Draft (10 Teams)'!$C:$C,$A14,'Draft (10 Teams)'!$F:$F,K$1),
IF(Settings!$C$5=12, COUNTIFS('Draft (12 Teams)'!$C:$C,$A14,'Draft (12 Teams)'!$F:$F,K$1),
IF(Settings!$C$5=14, COUNTIFS('Draft '!$C:$C,$A14,'Draft '!$F:$F,K$1)))))</f>
        <v>0</v>
      </c>
    </row>
    <row r="15">
      <c r="A15" s="174" t="str">
        <f>'Teams &amp; Draft Order'!C19</f>
        <v>Red Hammer</v>
      </c>
      <c r="B15" s="175">
        <f t="shared" si="1"/>
        <v>0</v>
      </c>
      <c r="C15" s="175">
        <f>IF(Settings!$C$5=8, COUNTIFS('Draft (8 Teams)'!$C:$C,$A15,'Draft (8 Teams)'!$F:$F,C$1),
IF(Settings!$C$5=10, COUNTIFS('Draft (10 Teams)'!$C:$C,$A15,'Draft (10 Teams)'!$F:$F,C$1),
IF(Settings!$C$5=12, COUNTIFS('Draft (12 Teams)'!$C:$C,$A15,'Draft (12 Teams)'!$F:$F,C$1),
IF(Settings!$C$5=14, COUNTIFS('Draft '!$C:$C,$A15,'Draft '!$F:$F,C$1)))))</f>
        <v>0</v>
      </c>
      <c r="D15" s="175">
        <f>IF(Settings!$C$5=8, COUNTIFS('Draft (8 Teams)'!$C:$C,$A15,'Draft (8 Teams)'!$F:$F,D$1),
IF(Settings!$C$5=10, COUNTIFS('Draft (10 Teams)'!$C:$C,$A15,'Draft (10 Teams)'!$F:$F,D$1),
IF(Settings!$C$5=12, COUNTIFS('Draft (12 Teams)'!$C:$C,$A15,'Draft (12 Teams)'!$F:$F,D$1),
IF(Settings!$C$5=14, COUNTIFS('Draft '!$C:$C,$A15,'Draft '!$F:$F,D$1)))))</f>
        <v>0</v>
      </c>
      <c r="E15" s="175">
        <f>IF(Settings!$C$5=8, COUNTIFS('Draft (8 Teams)'!$C:$C,$A15,'Draft (8 Teams)'!$F:$F,E$1),
IF(Settings!$C$5=10, COUNTIFS('Draft (10 Teams)'!$C:$C,$A15,'Draft (10 Teams)'!$F:$F,E$1),
IF(Settings!$C$5=12, COUNTIFS('Draft (12 Teams)'!$C:$C,$A15,'Draft (12 Teams)'!$F:$F,E$1),
IF(Settings!$C$5=14, COUNTIFS('Draft '!$C:$C,$A15,'Draft '!$F:$F,E$1)))))</f>
        <v>0</v>
      </c>
      <c r="F15" s="175">
        <f>IF(Settings!$C$5=8, COUNTIFS('Draft (8 Teams)'!$C:$C,$A15,'Draft (8 Teams)'!$F:$F,F$1),
IF(Settings!$C$5=10, COUNTIFS('Draft (10 Teams)'!$C:$C,$A15,'Draft (10 Teams)'!$F:$F,F$1),
IF(Settings!$C$5=12, COUNTIFS('Draft (12 Teams)'!$C:$C,$A15,'Draft (12 Teams)'!$F:$F,F$1),
IF(Settings!$C$5=14, COUNTIFS('Draft '!$C:$C,$A15,'Draft '!$F:$F,F$1)))))</f>
        <v>0</v>
      </c>
      <c r="G15" s="175">
        <f>IF(Settings!$C$5=8, COUNTIFS('Draft (8 Teams)'!$C:$C,$A15,'Draft (8 Teams)'!$F:$F,G$1),
IF(Settings!$C$5=10, COUNTIFS('Draft (10 Teams)'!$C:$C,$A15,'Draft (10 Teams)'!$F:$F,G$1),
IF(Settings!$C$5=12, COUNTIFS('Draft (12 Teams)'!$C:$C,$A15,'Draft (12 Teams)'!$F:$F,G$1),
IF(Settings!$C$5=14, COUNTIFS('Draft '!$C:$C,$A15,'Draft '!$F:$F,G$1)))))</f>
        <v>0</v>
      </c>
      <c r="H15" s="175">
        <f>IF(Settings!$C$5=8, COUNTIFS('Draft (8 Teams)'!$C:$C,$A15,'Draft (8 Teams)'!$F:$F,H$1),
IF(Settings!$C$5=10, COUNTIFS('Draft (10 Teams)'!$C:$C,$A15,'Draft (10 Teams)'!$F:$F,H$1),
IF(Settings!$C$5=12, COUNTIFS('Draft (12 Teams)'!$C:$C,$A15,'Draft (12 Teams)'!$F:$F,H$1),
IF(Settings!$C$5=14, COUNTIFS('Draft '!$C:$C,$A15,'Draft '!$F:$F,H$1)))))</f>
        <v>0</v>
      </c>
      <c r="I15" s="175">
        <f>IF(Settings!$C$5=8, COUNTIFS('Draft (8 Teams)'!$C:$C,$A15,'Draft (8 Teams)'!$F:$F,I$1),
IF(Settings!$C$5=10, COUNTIFS('Draft (10 Teams)'!$C:$C,$A15,'Draft (10 Teams)'!$F:$F,I$1),
IF(Settings!$C$5=12, COUNTIFS('Draft (12 Teams)'!$C:$C,$A15,'Draft (12 Teams)'!$F:$F,I$1),
IF(Settings!$C$5=14, COUNTIFS('Draft '!$C:$C,$A15,'Draft '!$F:$F,I$1)))))</f>
        <v>0</v>
      </c>
      <c r="J15" s="175">
        <f>IF(Settings!$C$5=8, COUNTIFS('Draft (8 Teams)'!$C:$C,$A15,'Draft (8 Teams)'!$F:$F,J$1),
IF(Settings!$C$5=10, COUNTIFS('Draft (10 Teams)'!$C:$C,$A15,'Draft (10 Teams)'!$F:$F,J$1),
IF(Settings!$C$5=12, COUNTIFS('Draft (12 Teams)'!$C:$C,$A15,'Draft (12 Teams)'!$F:$F,J$1),
IF(Settings!$C$5=14, COUNTIFS('Draft '!$C:$C,$A15,'Draft '!$F:$F,J$1)))))</f>
        <v>0</v>
      </c>
      <c r="K15" s="175">
        <f>IF(Settings!$C$5=8, COUNTIFS('Draft (8 Teams)'!$C:$C,$A15,'Draft (8 Teams)'!$F:$F,K$1),
IF(Settings!$C$5=10, COUNTIFS('Draft (10 Teams)'!$C:$C,$A15,'Draft (10 Teams)'!$F:$F,K$1),
IF(Settings!$C$5=12, COUNTIFS('Draft (12 Teams)'!$C:$C,$A15,'Draft (12 Teams)'!$F:$F,K$1),
IF(Settings!$C$5=14, COUNTIFS('Draft '!$C:$C,$A15,'Draft '!$F:$F,K$1)))))</f>
        <v>0</v>
      </c>
    </row>
  </sheetData>
  <autoFilter ref="$A$1:$K$15"/>
  <conditionalFormatting sqref="A1:A15">
    <cfRule type="cellIs" dxfId="50" priority="1" operator="equal">
      <formula>"FA"</formula>
    </cfRule>
  </conditionalFormatting>
  <conditionalFormatting sqref="A1:A15">
    <cfRule type="cellIs" dxfId="51" priority="2" operator="equal">
      <formula>"ARI"</formula>
    </cfRule>
  </conditionalFormatting>
  <conditionalFormatting sqref="A1:A15">
    <cfRule type="cellIs" dxfId="52" priority="3" operator="equal">
      <formula>"ATL"</formula>
    </cfRule>
  </conditionalFormatting>
  <conditionalFormatting sqref="A1:A15">
    <cfRule type="cellIs" dxfId="53" priority="4" operator="equal">
      <formula>"BAL"</formula>
    </cfRule>
  </conditionalFormatting>
  <conditionalFormatting sqref="A1:A15">
    <cfRule type="cellIs" dxfId="54" priority="5" operator="equal">
      <formula>"BUF"</formula>
    </cfRule>
  </conditionalFormatting>
  <conditionalFormatting sqref="A1:A15">
    <cfRule type="cellIs" dxfId="55" priority="6" operator="equal">
      <formula>"CAR"</formula>
    </cfRule>
  </conditionalFormatting>
  <conditionalFormatting sqref="A1:A15">
    <cfRule type="cellIs" dxfId="56" priority="7" operator="equal">
      <formula>"CHI"</formula>
    </cfRule>
  </conditionalFormatting>
  <conditionalFormatting sqref="A1:A15">
    <cfRule type="cellIs" dxfId="57" priority="8" operator="equal">
      <formula>"CIN"</formula>
    </cfRule>
  </conditionalFormatting>
  <conditionalFormatting sqref="A1:A15">
    <cfRule type="cellIs" dxfId="58" priority="9" operator="equal">
      <formula>"CLE"</formula>
    </cfRule>
  </conditionalFormatting>
  <conditionalFormatting sqref="A1:A15">
    <cfRule type="cellIs" dxfId="59" priority="10" operator="equal">
      <formula>"DAL"</formula>
    </cfRule>
  </conditionalFormatting>
  <conditionalFormatting sqref="A1:A15">
    <cfRule type="cellIs" dxfId="60" priority="11" operator="equal">
      <formula>"DEN"</formula>
    </cfRule>
  </conditionalFormatting>
  <conditionalFormatting sqref="A1:A15">
    <cfRule type="cellIs" dxfId="61" priority="12" operator="equal">
      <formula>"DET"</formula>
    </cfRule>
  </conditionalFormatting>
  <conditionalFormatting sqref="A1:A15">
    <cfRule type="cellIs" dxfId="62" priority="13" operator="equal">
      <formula>"GBP"</formula>
    </cfRule>
  </conditionalFormatting>
  <conditionalFormatting sqref="A1:A15">
    <cfRule type="cellIs" dxfId="63" priority="14" operator="equal">
      <formula>"HOU"</formula>
    </cfRule>
  </conditionalFormatting>
  <conditionalFormatting sqref="A1:A15">
    <cfRule type="cellIs" dxfId="64" priority="15" operator="equal">
      <formula>"IND"</formula>
    </cfRule>
  </conditionalFormatting>
  <conditionalFormatting sqref="A1:A15">
    <cfRule type="cellIs" dxfId="65" priority="16" operator="equal">
      <formula>"JAC"</formula>
    </cfRule>
  </conditionalFormatting>
  <conditionalFormatting sqref="A1:A15">
    <cfRule type="cellIs" dxfId="66" priority="17" operator="equal">
      <formula>"KCC"</formula>
    </cfRule>
  </conditionalFormatting>
  <conditionalFormatting sqref="A1:A15">
    <cfRule type="cellIs" dxfId="67" priority="18" operator="equal">
      <formula>"LAC"</formula>
    </cfRule>
  </conditionalFormatting>
  <conditionalFormatting sqref="A1:A15">
    <cfRule type="cellIs" dxfId="68" priority="19" operator="equal">
      <formula>"LAR"</formula>
    </cfRule>
  </conditionalFormatting>
  <conditionalFormatting sqref="A1:A15">
    <cfRule type="cellIs" dxfId="69" priority="20" operator="equal">
      <formula>"MIA"</formula>
    </cfRule>
  </conditionalFormatting>
  <conditionalFormatting sqref="A1:A15">
    <cfRule type="cellIs" dxfId="70" priority="21" operator="equal">
      <formula>"MIN"</formula>
    </cfRule>
  </conditionalFormatting>
  <conditionalFormatting sqref="A1:A15">
    <cfRule type="cellIs" dxfId="71" priority="22" operator="equal">
      <formula>"NEP"</formula>
    </cfRule>
  </conditionalFormatting>
  <conditionalFormatting sqref="A1:A15">
    <cfRule type="cellIs" dxfId="72" priority="23" operator="equal">
      <formula>"NOS"</formula>
    </cfRule>
  </conditionalFormatting>
  <conditionalFormatting sqref="A1:A15">
    <cfRule type="cellIs" dxfId="73" priority="24" operator="equal">
      <formula>"NYG"</formula>
    </cfRule>
  </conditionalFormatting>
  <conditionalFormatting sqref="A1:A15">
    <cfRule type="cellIs" dxfId="74" priority="25" operator="equal">
      <formula>"NYJ"</formula>
    </cfRule>
  </conditionalFormatting>
  <conditionalFormatting sqref="A1:A15">
    <cfRule type="cellIs" dxfId="75" priority="26" operator="equal">
      <formula>"OAK"</formula>
    </cfRule>
  </conditionalFormatting>
  <conditionalFormatting sqref="A1:A15">
    <cfRule type="cellIs" dxfId="76" priority="27" operator="equal">
      <formula>"PHI"</formula>
    </cfRule>
  </conditionalFormatting>
  <conditionalFormatting sqref="A1:A15">
    <cfRule type="cellIs" dxfId="77" priority="28" operator="equal">
      <formula>"PIT"</formula>
    </cfRule>
  </conditionalFormatting>
  <conditionalFormatting sqref="A1:A15">
    <cfRule type="cellIs" dxfId="78" priority="29" operator="equal">
      <formula>"SFO"</formula>
    </cfRule>
  </conditionalFormatting>
  <conditionalFormatting sqref="A1:A15">
    <cfRule type="cellIs" dxfId="79" priority="30" operator="equal">
      <formula>"SEA"</formula>
    </cfRule>
  </conditionalFormatting>
  <conditionalFormatting sqref="A1:A15">
    <cfRule type="cellIs" dxfId="80" priority="31" operator="equal">
      <formula>"TBB"</formula>
    </cfRule>
  </conditionalFormatting>
  <conditionalFormatting sqref="A1:A15">
    <cfRule type="cellIs" dxfId="81" priority="32" operator="equal">
      <formula>"TEN"</formula>
    </cfRule>
  </conditionalFormatting>
  <conditionalFormatting sqref="A1:A15">
    <cfRule type="cellIs" dxfId="82" priority="33" operator="equal">
      <formula>"WAS"</formula>
    </cfRule>
  </conditionalFormatting>
  <conditionalFormatting sqref="A1">
    <cfRule type="cellIs" dxfId="3" priority="34" operator="equal">
      <formula>"ENTER TEAMS FIRST"</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7.63"/>
  </cols>
  <sheetData>
    <row r="1">
      <c r="A1" s="176" t="s">
        <v>133</v>
      </c>
      <c r="B1" s="177" t="s">
        <v>489</v>
      </c>
    </row>
    <row r="2">
      <c r="A2" t="str">
        <f>IFERROR(__xludf.DUMMYFUNCTION("IFERROR(FILTER(HELP_PlayerDB_Filtered!F2:F3480,ISNA(MATCH(TRIM(HELP_PlayerDB_Filtered!F2:F3480),TRIM(IF(Settings!C5=8,'Draft (8 Teams)'!D2:D3480,IF(Settings!C5=10,'Draft (10 Teams)'!D2:D3480,IF(Settings!C5=12,'Draft (12 Teams)'!D2:D3480,IF(Settings!C5=14,"&amp;"'Draft '!D2:D3480,""""))))),0))))"),"Ja'Marr Chase – CIN")</f>
        <v>Ja'Marr Chase – CIN</v>
      </c>
      <c r="B2" s="20" t="str">
        <f>VLOOKUP(A2,PlayerDB!$F$2:$H3480,3,FALSE)</f>
        <v>WR</v>
      </c>
    </row>
    <row r="3">
      <c r="A3" t="str">
        <f>IFERROR(__xludf.DUMMYFUNCTION("""COMPUTED_VALUE"""),"Lamar Jackson – BAL")</f>
        <v>Lamar Jackson – BAL</v>
      </c>
      <c r="B3" s="20" t="str">
        <f>VLOOKUP(A3,PlayerDB!$F$2:$H3480,3,FALSE)</f>
        <v>QB</v>
      </c>
    </row>
    <row r="4">
      <c r="A4" t="str">
        <f>IFERROR(__xludf.DUMMYFUNCTION("""COMPUTED_VALUE"""),"Brock Bowers – LV")</f>
        <v>Brock Bowers – LV</v>
      </c>
      <c r="B4" s="20" t="str">
        <f>VLOOKUP(A4,PlayerDB!$F$2:$H3480,3,FALSE)</f>
        <v>TE</v>
      </c>
    </row>
    <row r="5">
      <c r="A5" t="str">
        <f>IFERROR(__xludf.DUMMYFUNCTION("""COMPUTED_VALUE"""),"Brandon Aubrey – DAL")</f>
        <v>Brandon Aubrey – DAL</v>
      </c>
      <c r="B5" s="20" t="str">
        <f>VLOOKUP(A5,PlayerDB!$F$2:$H3480,3,FALSE)</f>
        <v>K</v>
      </c>
    </row>
    <row r="6">
      <c r="A6" t="str">
        <f>IFERROR(__xludf.DUMMYFUNCTION("""COMPUTED_VALUE"""),"Christian McCaffrey – SF")</f>
        <v>Christian McCaffrey – SF</v>
      </c>
      <c r="B6" s="20" t="str">
        <f>VLOOKUP(A6,PlayerDB!$F$2:$H3480,3,FALSE)</f>
        <v>RB</v>
      </c>
    </row>
    <row r="7">
      <c r="A7" t="str">
        <f>IFERROR(__xludf.DUMMYFUNCTION("""COMPUTED_VALUE"""),"Justin Jefferson – MIN")</f>
        <v>Justin Jefferson – MIN</v>
      </c>
      <c r="B7" s="20" t="str">
        <f>VLOOKUP(A7,PlayerDB!$F$2:$H3480,3,FALSE)</f>
        <v>WR</v>
      </c>
    </row>
    <row r="8">
      <c r="A8" t="str">
        <f>IFERROR(__xludf.DUMMYFUNCTION("""COMPUTED_VALUE"""),"Josh Allen – BUF")</f>
        <v>Josh Allen – BUF</v>
      </c>
      <c r="B8" s="20" t="str">
        <f>VLOOKUP(A8,PlayerDB!$F$2:$H3480,3,FALSE)</f>
        <v>QB</v>
      </c>
    </row>
    <row r="9">
      <c r="A9" t="str">
        <f>IFERROR(__xludf.DUMMYFUNCTION("""COMPUTED_VALUE"""),"George Kittle – SF")</f>
        <v>George Kittle – SF</v>
      </c>
      <c r="B9" s="20" t="str">
        <f>VLOOKUP(A9,PlayerDB!$F$2:$H3480,3,FALSE)</f>
        <v>TE</v>
      </c>
    </row>
    <row r="10">
      <c r="A10" t="str">
        <f>IFERROR(__xludf.DUMMYFUNCTION("""COMPUTED_VALUE"""),"Chase McLaughlin – TB")</f>
        <v>Chase McLaughlin – TB</v>
      </c>
      <c r="B10" s="20" t="str">
        <f>VLOOKUP(A10,PlayerDB!$F$2:$H3480,3,FALSE)</f>
        <v>K</v>
      </c>
    </row>
    <row r="11">
      <c r="A11" t="str">
        <f>IFERROR(__xludf.DUMMYFUNCTION("""COMPUTED_VALUE"""),"Derrick Henry – BAL")</f>
        <v>Derrick Henry – BAL</v>
      </c>
      <c r="B11" s="20" t="str">
        <f>VLOOKUP(A11,PlayerDB!$F$2:$H3480,3,FALSE)</f>
        <v>RB</v>
      </c>
    </row>
    <row r="12">
      <c r="A12" t="str">
        <f>IFERROR(__xludf.DUMMYFUNCTION("""COMPUTED_VALUE"""),"CeeDee Lamb – DAL")</f>
        <v>CeeDee Lamb – DAL</v>
      </c>
      <c r="B12" s="20" t="str">
        <f>VLOOKUP(A12,PlayerDB!$F$2:$H3480,3,FALSE)</f>
        <v>WR</v>
      </c>
    </row>
    <row r="13">
      <c r="A13" t="str">
        <f>IFERROR(__xludf.DUMMYFUNCTION("""COMPUTED_VALUE"""),"Jalen Hurts – PHI")</f>
        <v>Jalen Hurts – PHI</v>
      </c>
      <c r="B13" s="20" t="str">
        <f>VLOOKUP(A13,PlayerDB!$F$2:$H3480,3,FALSE)</f>
        <v>QB</v>
      </c>
    </row>
    <row r="14">
      <c r="A14" t="str">
        <f>IFERROR(__xludf.DUMMYFUNCTION("""COMPUTED_VALUE"""),"Trey McBride – ARI")</f>
        <v>Trey McBride – ARI</v>
      </c>
      <c r="B14" s="20" t="str">
        <f>VLOOKUP(A14,PlayerDB!$F$2:$H3480,3,FALSE)</f>
        <v>TE</v>
      </c>
    </row>
    <row r="15">
      <c r="A15" t="str">
        <f>IFERROR(__xludf.DUMMYFUNCTION("""COMPUTED_VALUE"""),"Cameron Dicker – LAC")</f>
        <v>Cameron Dicker – LAC</v>
      </c>
      <c r="B15" s="20" t="str">
        <f>VLOOKUP(A15,PlayerDB!$F$2:$H3480,3,FALSE)</f>
        <v>K</v>
      </c>
    </row>
    <row r="16">
      <c r="A16" t="str">
        <f>IFERROR(__xludf.DUMMYFUNCTION("""COMPUTED_VALUE"""),"Saquon Barkley – PHI")</f>
        <v>Saquon Barkley – PHI</v>
      </c>
      <c r="B16" s="20" t="str">
        <f>VLOOKUP(A16,PlayerDB!$F$2:$H3480,3,FALSE)</f>
        <v>RB</v>
      </c>
    </row>
    <row r="17">
      <c r="A17" t="str">
        <f>IFERROR(__xludf.DUMMYFUNCTION("""COMPUTED_VALUE"""),"Puka Nacua – LAR")</f>
        <v>Puka Nacua – LAR</v>
      </c>
      <c r="B17" s="20" t="str">
        <f>VLOOKUP(A17,PlayerDB!$F$2:$H3480,3,FALSE)</f>
        <v>WR</v>
      </c>
    </row>
    <row r="18">
      <c r="A18" t="str">
        <f>IFERROR(__xludf.DUMMYFUNCTION("""COMPUTED_VALUE"""),"Jayden Daniels – WAS")</f>
        <v>Jayden Daniels – WAS</v>
      </c>
      <c r="B18" s="20" t="str">
        <f>VLOOKUP(A18,PlayerDB!$F$2:$H3480,3,FALSE)</f>
        <v>QB</v>
      </c>
    </row>
    <row r="19">
      <c r="A19" t="str">
        <f>IFERROR(__xludf.DUMMYFUNCTION("""COMPUTED_VALUE"""),"Mark Andrews – BAL")</f>
        <v>Mark Andrews – BAL</v>
      </c>
      <c r="B19" s="20" t="str">
        <f>VLOOKUP(A19,PlayerDB!$F$2:$H3480,3,FALSE)</f>
        <v>TE</v>
      </c>
    </row>
    <row r="20">
      <c r="A20" t="str">
        <f>IFERROR(__xludf.DUMMYFUNCTION("""COMPUTED_VALUE"""),"Jake Elliott – PHI")</f>
        <v>Jake Elliott – PHI</v>
      </c>
      <c r="B20" s="20" t="str">
        <f>VLOOKUP(A20,PlayerDB!$F$2:$H3480,3,FALSE)</f>
        <v>K</v>
      </c>
    </row>
    <row r="21">
      <c r="A21" t="str">
        <f>IFERROR(__xludf.DUMMYFUNCTION("""COMPUTED_VALUE"""),"Jahmyr Gibbs – DET")</f>
        <v>Jahmyr Gibbs – DET</v>
      </c>
      <c r="B21" s="20" t="str">
        <f>VLOOKUP(A21,PlayerDB!$F$2:$H3480,3,FALSE)</f>
        <v>RB</v>
      </c>
    </row>
    <row r="22">
      <c r="A22" t="str">
        <f>IFERROR(__xludf.DUMMYFUNCTION("""COMPUTED_VALUE"""),"Nico Collins – HOU")</f>
        <v>Nico Collins – HOU</v>
      </c>
      <c r="B22" s="20" t="str">
        <f>VLOOKUP(A22,PlayerDB!$F$2:$H3480,3,FALSE)</f>
        <v>WR</v>
      </c>
    </row>
    <row r="23">
      <c r="A23" t="str">
        <f>IFERROR(__xludf.DUMMYFUNCTION("""COMPUTED_VALUE"""),"Joe Burrow – CIN")</f>
        <v>Joe Burrow – CIN</v>
      </c>
      <c r="B23" s="20" t="str">
        <f>VLOOKUP(A23,PlayerDB!$F$2:$H3480,3,FALSE)</f>
        <v>QB</v>
      </c>
    </row>
    <row r="24">
      <c r="A24" t="str">
        <f>IFERROR(__xludf.DUMMYFUNCTION("""COMPUTED_VALUE"""),"Sam LaPorta – DET")</f>
        <v>Sam LaPorta – DET</v>
      </c>
      <c r="B24" s="20" t="str">
        <f>VLOOKUP(A24,PlayerDB!$F$2:$H3480,3,FALSE)</f>
        <v>TE</v>
      </c>
    </row>
    <row r="25">
      <c r="A25" t="str">
        <f>IFERROR(__xludf.DUMMYFUNCTION("""COMPUTED_VALUE"""),"Matt Gay – WAS")</f>
        <v>Matt Gay – WAS</v>
      </c>
      <c r="B25" s="20" t="str">
        <f>VLOOKUP(A25,PlayerDB!$F$2:$H3480,3,FALSE)</f>
        <v>K</v>
      </c>
    </row>
    <row r="26">
      <c r="A26" t="str">
        <f>IFERROR(__xludf.DUMMYFUNCTION("""COMPUTED_VALUE"""),"Jonathan Taylor – IND")</f>
        <v>Jonathan Taylor – IND</v>
      </c>
      <c r="B26" s="20" t="str">
        <f>VLOOKUP(A26,PlayerDB!$F$2:$H3480,3,FALSE)</f>
        <v>RB</v>
      </c>
    </row>
    <row r="27">
      <c r="A27" t="str">
        <f>IFERROR(__xludf.DUMMYFUNCTION("""COMPUTED_VALUE"""),"Malik Nabers – NYG")</f>
        <v>Malik Nabers – NYG</v>
      </c>
      <c r="B27" s="20" t="str">
        <f>VLOOKUP(A27,PlayerDB!$F$2:$H3480,3,FALSE)</f>
        <v>WR</v>
      </c>
    </row>
    <row r="28">
      <c r="A28" t="str">
        <f>IFERROR(__xludf.DUMMYFUNCTION("""COMPUTED_VALUE"""),"Patrick Mahomes – KC")</f>
        <v>Patrick Mahomes – KC</v>
      </c>
      <c r="B28" s="20" t="str">
        <f>VLOOKUP(A28,PlayerDB!$F$2:$H3480,3,FALSE)</f>
        <v>QB</v>
      </c>
    </row>
    <row r="29">
      <c r="A29" t="str">
        <f>IFERROR(__xludf.DUMMYFUNCTION("""COMPUTED_VALUE"""),"T.J. Hockenson – MIN")</f>
        <v>T.J. Hockenson – MIN</v>
      </c>
      <c r="B29" s="20" t="str">
        <f>VLOOKUP(A29,PlayerDB!$F$2:$H3480,3,FALSE)</f>
        <v>TE</v>
      </c>
    </row>
    <row r="30">
      <c r="A30" t="str">
        <f>IFERROR(__xludf.DUMMYFUNCTION("""COMPUTED_VALUE"""),"Jake Bates – DET")</f>
        <v>Jake Bates – DET</v>
      </c>
      <c r="B30" s="20" t="str">
        <f>VLOOKUP(A30,PlayerDB!$F$2:$H3480,3,FALSE)</f>
        <v>K</v>
      </c>
    </row>
    <row r="31">
      <c r="A31" t="str">
        <f>IFERROR(__xludf.DUMMYFUNCTION("""COMPUTED_VALUE"""),"Josh Jacobs – GB")</f>
        <v>Josh Jacobs – GB</v>
      </c>
      <c r="B31" s="20" t="str">
        <f>VLOOKUP(A31,PlayerDB!$F$2:$H3480,3,FALSE)</f>
        <v>RB</v>
      </c>
    </row>
    <row r="32">
      <c r="A32" t="str">
        <f>IFERROR(__xludf.DUMMYFUNCTION("""COMPUTED_VALUE"""),"Brian Thomas Jr. – JAX")</f>
        <v>Brian Thomas Jr. – JAX</v>
      </c>
      <c r="B32" s="20" t="str">
        <f>VLOOKUP(A32,PlayerDB!$F$2:$H3480,3,FALSE)</f>
        <v>WR</v>
      </c>
    </row>
    <row r="33">
      <c r="A33" t="str">
        <f>IFERROR(__xludf.DUMMYFUNCTION("""COMPUTED_VALUE"""),"Baker Mayfield – TB")</f>
        <v>Baker Mayfield – TB</v>
      </c>
      <c r="B33" s="20" t="str">
        <f>VLOOKUP(A33,PlayerDB!$F$2:$H3480,3,FALSE)</f>
        <v>QB</v>
      </c>
    </row>
    <row r="34">
      <c r="A34" t="str">
        <f>IFERROR(__xludf.DUMMYFUNCTION("""COMPUTED_VALUE"""),"Travis Kelce – KC")</f>
        <v>Travis Kelce – KC</v>
      </c>
      <c r="B34" s="20" t="str">
        <f>VLOOKUP(A34,PlayerDB!$F$2:$H3480,3,FALSE)</f>
        <v>TE</v>
      </c>
    </row>
    <row r="35">
      <c r="A35" t="str">
        <f>IFERROR(__xludf.DUMMYFUNCTION("""COMPUTED_VALUE"""),"Chris Boswell – PIT")</f>
        <v>Chris Boswell – PIT</v>
      </c>
      <c r="B35" s="20" t="str">
        <f>VLOOKUP(A35,PlayerDB!$F$2:$H3480,3,FALSE)</f>
        <v>K</v>
      </c>
    </row>
    <row r="36">
      <c r="A36" t="str">
        <f>IFERROR(__xludf.DUMMYFUNCTION("""COMPUTED_VALUE"""),"Ashton Jeanty – LV")</f>
        <v>Ashton Jeanty – LV</v>
      </c>
      <c r="B36" s="20" t="str">
        <f>VLOOKUP(A36,PlayerDB!$F$2:$H3480,3,FALSE)</f>
        <v>RB</v>
      </c>
    </row>
    <row r="37">
      <c r="A37" t="str">
        <f>IFERROR(__xludf.DUMMYFUNCTION("""COMPUTED_VALUE"""),"Amon-Ra St. Brown – DET")</f>
        <v>Amon-Ra St. Brown – DET</v>
      </c>
      <c r="B37" s="20" t="str">
        <f>VLOOKUP(A37,PlayerDB!$F$2:$H3480,3,FALSE)</f>
        <v>WR</v>
      </c>
    </row>
    <row r="38">
      <c r="A38" t="str">
        <f>IFERROR(__xludf.DUMMYFUNCTION("""COMPUTED_VALUE"""),"Kyler Murray – ARI")</f>
        <v>Kyler Murray – ARI</v>
      </c>
      <c r="B38" s="20" t="str">
        <f>VLOOKUP(A38,PlayerDB!$F$2:$H3480,3,FALSE)</f>
        <v>QB</v>
      </c>
    </row>
    <row r="39">
      <c r="A39" t="str">
        <f>IFERROR(__xludf.DUMMYFUNCTION("""COMPUTED_VALUE"""),"David Njoku – CLE")</f>
        <v>David Njoku – CLE</v>
      </c>
      <c r="B39" s="20" t="str">
        <f>VLOOKUP(A39,PlayerDB!$F$2:$H3480,3,FALSE)</f>
        <v>TE</v>
      </c>
    </row>
    <row r="40">
      <c r="A40" t="str">
        <f>IFERROR(__xludf.DUMMYFUNCTION("""COMPUTED_VALUE"""),"Tyler Loop – BAL")</f>
        <v>Tyler Loop – BAL</v>
      </c>
      <c r="B40" s="20" t="str">
        <f>VLOOKUP(A40,PlayerDB!$F$2:$H3480,3,FALSE)</f>
        <v>K</v>
      </c>
    </row>
    <row r="41">
      <c r="A41" t="str">
        <f>IFERROR(__xludf.DUMMYFUNCTION("""COMPUTED_VALUE"""),"Kyren Williams – LAR")</f>
        <v>Kyren Williams – LAR</v>
      </c>
      <c r="B41" s="20" t="str">
        <f>VLOOKUP(A41,PlayerDB!$F$2:$H3480,3,FALSE)</f>
        <v>RB</v>
      </c>
    </row>
    <row r="42">
      <c r="A42" t="str">
        <f>IFERROR(__xludf.DUMMYFUNCTION("""COMPUTED_VALUE"""),"A.J. Brown – PHI")</f>
        <v>A.J. Brown – PHI</v>
      </c>
      <c r="B42" s="20" t="str">
        <f>VLOOKUP(A42,PlayerDB!$F$2:$H3480,3,FALSE)</f>
        <v>WR</v>
      </c>
    </row>
    <row r="43">
      <c r="A43" t="str">
        <f>IFERROR(__xludf.DUMMYFUNCTION("""COMPUTED_VALUE"""),"Brock Purdy – SF")</f>
        <v>Brock Purdy – SF</v>
      </c>
      <c r="B43" s="20" t="str">
        <f>VLOOKUP(A43,PlayerDB!$F$2:$H3480,3,FALSE)</f>
        <v>QB</v>
      </c>
    </row>
    <row r="44">
      <c r="A44" t="str">
        <f>IFERROR(__xludf.DUMMYFUNCTION("""COMPUTED_VALUE"""),"Tucker Kraft – GB")</f>
        <v>Tucker Kraft – GB</v>
      </c>
      <c r="B44" s="20" t="str">
        <f>VLOOKUP(A44,PlayerDB!$F$2:$H3480,3,FALSE)</f>
        <v>TE</v>
      </c>
    </row>
    <row r="45">
      <c r="A45" t="str">
        <f>IFERROR(__xludf.DUMMYFUNCTION("""COMPUTED_VALUE"""),"Daniel Carlson – LV")</f>
        <v>Daniel Carlson – LV</v>
      </c>
      <c r="B45" s="20" t="str">
        <f>VLOOKUP(A45,PlayerDB!$F$2:$H3480,3,FALSE)</f>
        <v>K</v>
      </c>
    </row>
    <row r="46">
      <c r="A46" t="str">
        <f>IFERROR(__xludf.DUMMYFUNCTION("""COMPUTED_VALUE"""),"De'Von Achane – MIA")</f>
        <v>De'Von Achane – MIA</v>
      </c>
      <c r="B46" s="20" t="str">
        <f>VLOOKUP(A46,PlayerDB!$F$2:$H3480,3,FALSE)</f>
        <v>RB</v>
      </c>
    </row>
    <row r="47">
      <c r="A47" t="str">
        <f>IFERROR(__xludf.DUMMYFUNCTION("""COMPUTED_VALUE"""),"Tyreek Hill – MIA")</f>
        <v>Tyreek Hill – MIA</v>
      </c>
      <c r="B47" s="20" t="str">
        <f>VLOOKUP(A47,PlayerDB!$F$2:$H3480,3,FALSE)</f>
        <v>WR</v>
      </c>
    </row>
    <row r="48">
      <c r="A48" t="str">
        <f>IFERROR(__xludf.DUMMYFUNCTION("""COMPUTED_VALUE"""),"Bo Nix – DEN")</f>
        <v>Bo Nix – DEN</v>
      </c>
      <c r="B48" s="20" t="str">
        <f>VLOOKUP(A48,PlayerDB!$F$2:$H3480,3,FALSE)</f>
        <v>QB</v>
      </c>
    </row>
    <row r="49">
      <c r="A49" t="str">
        <f>IFERROR(__xludf.DUMMYFUNCTION("""COMPUTED_VALUE"""),"Tyler Warren – IND")</f>
        <v>Tyler Warren – IND</v>
      </c>
      <c r="B49" s="20" t="str">
        <f>VLOOKUP(A49,PlayerDB!$F$2:$H3480,3,FALSE)</f>
        <v>TE</v>
      </c>
    </row>
    <row r="50">
      <c r="A50" t="str">
        <f>IFERROR(__xludf.DUMMYFUNCTION("""COMPUTED_VALUE"""),"Ka’imi Fairbairn – HOU")</f>
        <v>Ka’imi Fairbairn – HOU</v>
      </c>
      <c r="B50" s="20" t="str">
        <f>VLOOKUP(A50,PlayerDB!$F$2:$H3480,3,FALSE)</f>
        <v>K</v>
      </c>
    </row>
    <row r="51">
      <c r="A51" t="str">
        <f>IFERROR(__xludf.DUMMYFUNCTION("""COMPUTED_VALUE"""),"Bucky Irving – TB")</f>
        <v>Bucky Irving – TB</v>
      </c>
      <c r="B51" s="20" t="str">
        <f>VLOOKUP(A51,PlayerDB!$F$2:$H3480,3,FALSE)</f>
        <v>RB</v>
      </c>
    </row>
    <row r="52">
      <c r="A52" t="str">
        <f>IFERROR(__xludf.DUMMYFUNCTION("""COMPUTED_VALUE"""),"Drake London – ATL")</f>
        <v>Drake London – ATL</v>
      </c>
      <c r="B52" s="20" t="str">
        <f>VLOOKUP(A52,PlayerDB!$F$2:$H3480,3,FALSE)</f>
        <v>WR</v>
      </c>
    </row>
    <row r="53">
      <c r="A53" t="str">
        <f>IFERROR(__xludf.DUMMYFUNCTION("""COMPUTED_VALUE"""),"Justin Fields – NYJ")</f>
        <v>Justin Fields – NYJ</v>
      </c>
      <c r="B53" s="20" t="str">
        <f>VLOOKUP(A53,PlayerDB!$F$2:$H3480,3,FALSE)</f>
        <v>QB</v>
      </c>
    </row>
    <row r="54">
      <c r="A54" t="str">
        <f>IFERROR(__xludf.DUMMYFUNCTION("""COMPUTED_VALUE"""),"Dallas Goedert – PHI")</f>
        <v>Dallas Goedert – PHI</v>
      </c>
      <c r="B54" s="20" t="str">
        <f>VLOOKUP(A54,PlayerDB!$F$2:$H3480,3,FALSE)</f>
        <v>TE</v>
      </c>
    </row>
    <row r="55">
      <c r="A55" t="str">
        <f>IFERROR(__xludf.DUMMYFUNCTION("""COMPUTED_VALUE"""),"Evan McPherson – CIN")</f>
        <v>Evan McPherson – CIN</v>
      </c>
      <c r="B55" s="20" t="str">
        <f>VLOOKUP(A55,PlayerDB!$F$2:$H3480,3,FALSE)</f>
        <v>K</v>
      </c>
    </row>
    <row r="56">
      <c r="A56" t="str">
        <f>IFERROR(__xludf.DUMMYFUNCTION("""COMPUTED_VALUE"""),"James Cook – BUF")</f>
        <v>James Cook – BUF</v>
      </c>
      <c r="B56" s="20" t="str">
        <f>VLOOKUP(A56,PlayerDB!$F$2:$H3480,3,FALSE)</f>
        <v>RB</v>
      </c>
    </row>
    <row r="57">
      <c r="A57" t="str">
        <f>IFERROR(__xludf.DUMMYFUNCTION("""COMPUTED_VALUE"""),"Ladd McConkey – LAC")</f>
        <v>Ladd McConkey – LAC</v>
      </c>
      <c r="B57" s="20" t="str">
        <f>VLOOKUP(A57,PlayerDB!$F$2:$H3480,3,FALSE)</f>
        <v>WR</v>
      </c>
    </row>
    <row r="58">
      <c r="A58" t="str">
        <f>IFERROR(__xludf.DUMMYFUNCTION("""COMPUTED_VALUE"""),"Justin Herbert – LAC")</f>
        <v>Justin Herbert – LAC</v>
      </c>
      <c r="B58" s="20" t="str">
        <f>VLOOKUP(A58,PlayerDB!$F$2:$H3480,3,FALSE)</f>
        <v>QB</v>
      </c>
    </row>
    <row r="59">
      <c r="A59" t="str">
        <f>IFERROR(__xludf.DUMMYFUNCTION("""COMPUTED_VALUE"""),"Zach Ertz – WAS")</f>
        <v>Zach Ertz – WAS</v>
      </c>
      <c r="B59" s="20" t="str">
        <f>VLOOKUP(A59,PlayerDB!$F$2:$H3480,3,FALSE)</f>
        <v>TE</v>
      </c>
    </row>
    <row r="60">
      <c r="A60" t="str">
        <f>IFERROR(__xludf.DUMMYFUNCTION("""COMPUTED_VALUE"""),"Tyler Bass – BUF")</f>
        <v>Tyler Bass – BUF</v>
      </c>
      <c r="B60" s="20" t="str">
        <f>VLOOKUP(A60,PlayerDB!$F$2:$H3480,3,FALSE)</f>
        <v>K</v>
      </c>
    </row>
    <row r="61">
      <c r="A61" t="str">
        <f>IFERROR(__xludf.DUMMYFUNCTION("""COMPUTED_VALUE"""),"Chase Brown – CIN")</f>
        <v>Chase Brown – CIN</v>
      </c>
      <c r="B61" s="20" t="str">
        <f>VLOOKUP(A61,PlayerDB!$F$2:$H3480,3,FALSE)</f>
        <v>RB</v>
      </c>
    </row>
    <row r="62">
      <c r="A62" t="str">
        <f>IFERROR(__xludf.DUMMYFUNCTION("""COMPUTED_VALUE"""),"Mike Evans – TB")</f>
        <v>Mike Evans – TB</v>
      </c>
      <c r="B62" s="20" t="str">
        <f>VLOOKUP(A62,PlayerDB!$F$2:$H3480,3,FALSE)</f>
        <v>WR</v>
      </c>
    </row>
    <row r="63">
      <c r="A63" t="str">
        <f>IFERROR(__xludf.DUMMYFUNCTION("""COMPUTED_VALUE"""),"Jared Goff – DET")</f>
        <v>Jared Goff – DET</v>
      </c>
      <c r="B63" s="20" t="str">
        <f>VLOOKUP(A63,PlayerDB!$F$2:$H3480,3,FALSE)</f>
        <v>QB</v>
      </c>
    </row>
    <row r="64">
      <c r="A64" t="str">
        <f>IFERROR(__xludf.DUMMYFUNCTION("""COMPUTED_VALUE"""),"Dalton Kincaid – BUF")</f>
        <v>Dalton Kincaid – BUF</v>
      </c>
      <c r="B64" s="20" t="str">
        <f>VLOOKUP(A64,PlayerDB!$F$2:$H3480,3,FALSE)</f>
        <v>TE</v>
      </c>
    </row>
    <row r="65">
      <c r="A65" t="str">
        <f>IFERROR(__xludf.DUMMYFUNCTION("""COMPUTED_VALUE"""),"Wil Lutz – DEN")</f>
        <v>Wil Lutz – DEN</v>
      </c>
      <c r="B65" s="20" t="str">
        <f>VLOOKUP(A65,PlayerDB!$F$2:$H3480,3,FALSE)</f>
        <v>K</v>
      </c>
    </row>
    <row r="66">
      <c r="A66" t="str">
        <f>IFERROR(__xludf.DUMMYFUNCTION("""COMPUTED_VALUE"""),"Omarion Hampton – LAC")</f>
        <v>Omarion Hampton – LAC</v>
      </c>
      <c r="B66" s="20" t="str">
        <f>VLOOKUP(A66,PlayerDB!$F$2:$H3480,3,FALSE)</f>
        <v>RB</v>
      </c>
    </row>
    <row r="67">
      <c r="A67" t="str">
        <f>IFERROR(__xludf.DUMMYFUNCTION("""COMPUTED_VALUE"""),"Tee Higgins – CIN")</f>
        <v>Tee Higgins – CIN</v>
      </c>
      <c r="B67" s="20" t="str">
        <f>VLOOKUP(A67,PlayerDB!$F$2:$H3480,3,FALSE)</f>
        <v>WR</v>
      </c>
    </row>
    <row r="68">
      <c r="A68" t="str">
        <f>IFERROR(__xludf.DUMMYFUNCTION("""COMPUTED_VALUE"""),"Dak Prescott – DAL")</f>
        <v>Dak Prescott – DAL</v>
      </c>
      <c r="B68" s="20" t="str">
        <f>VLOOKUP(A68,PlayerDB!$F$2:$H3480,3,FALSE)</f>
        <v>QB</v>
      </c>
    </row>
    <row r="69">
      <c r="A69" t="str">
        <f>IFERROR(__xludf.DUMMYFUNCTION("""COMPUTED_VALUE"""),"Evan Engram – DEN")</f>
        <v>Evan Engram – DEN</v>
      </c>
      <c r="B69" s="20" t="str">
        <f>VLOOKUP(A69,PlayerDB!$F$2:$H3480,3,FALSE)</f>
        <v>TE</v>
      </c>
    </row>
    <row r="70">
      <c r="A70" t="str">
        <f>IFERROR(__xludf.DUMMYFUNCTION("""COMPUTED_VALUE"""),"Jason Sanders – MIA")</f>
        <v>Jason Sanders – MIA</v>
      </c>
      <c r="B70" s="20" t="str">
        <f>VLOOKUP(A70,PlayerDB!$F$2:$H3480,3,FALSE)</f>
        <v>K</v>
      </c>
    </row>
    <row r="71">
      <c r="A71" t="str">
        <f>IFERROR(__xludf.DUMMYFUNCTION("""COMPUTED_VALUE"""),"Kenneth Walker III – SEA")</f>
        <v>Kenneth Walker III – SEA</v>
      </c>
      <c r="B71" s="20" t="str">
        <f>VLOOKUP(A71,PlayerDB!$F$2:$H3480,3,FALSE)</f>
        <v>RB</v>
      </c>
    </row>
    <row r="72">
      <c r="A72" t="str">
        <f>IFERROR(__xludf.DUMMYFUNCTION("""COMPUTED_VALUE"""),"Terry McLaurin – WAS")</f>
        <v>Terry McLaurin – WAS</v>
      </c>
      <c r="B72" s="20" t="str">
        <f>VLOOKUP(A72,PlayerDB!$F$2:$H3480,3,FALSE)</f>
        <v>WR</v>
      </c>
    </row>
    <row r="73">
      <c r="A73" t="str">
        <f>IFERROR(__xludf.DUMMYFUNCTION("""COMPUTED_VALUE"""),"J.J. McCarthy – MIN")</f>
        <v>J.J. McCarthy – MIN</v>
      </c>
      <c r="B73" s="20" t="str">
        <f>VLOOKUP(A73,PlayerDB!$F$2:$H3480,3,FALSE)</f>
        <v>QB</v>
      </c>
    </row>
    <row r="74">
      <c r="A74" t="str">
        <f>IFERROR(__xludf.DUMMYFUNCTION("""COMPUTED_VALUE"""),"Kyle Pitts – ATL")</f>
        <v>Kyle Pitts – ATL</v>
      </c>
      <c r="B74" s="20" t="str">
        <f>VLOOKUP(A74,PlayerDB!$F$2:$H3480,3,FALSE)</f>
        <v>TE</v>
      </c>
    </row>
    <row r="75">
      <c r="A75" t="str">
        <f>IFERROR(__xludf.DUMMYFUNCTION("""COMPUTED_VALUE"""),"Jake Moody – SF")</f>
        <v>Jake Moody – SF</v>
      </c>
      <c r="B75" s="20" t="str">
        <f>VLOOKUP(A75,PlayerDB!$F$2:$H3480,3,FALSE)</f>
        <v>K</v>
      </c>
    </row>
    <row r="76">
      <c r="A76" t="str">
        <f>IFERROR(__xludf.DUMMYFUNCTION("""COMPUTED_VALUE"""),"Breece Hall – NYJ")</f>
        <v>Breece Hall – NYJ</v>
      </c>
      <c r="B76" s="20" t="str">
        <f>VLOOKUP(A76,PlayerDB!$F$2:$H3480,3,FALSE)</f>
        <v>RB</v>
      </c>
    </row>
    <row r="77">
      <c r="A77" t="str">
        <f>IFERROR(__xludf.DUMMYFUNCTION("""COMPUTED_VALUE"""),"Davante Adams – LAR")</f>
        <v>Davante Adams – LAR</v>
      </c>
      <c r="B77" s="20" t="str">
        <f>VLOOKUP(A77,PlayerDB!$F$2:$H3480,3,FALSE)</f>
        <v>WR</v>
      </c>
    </row>
    <row r="78">
      <c r="A78" t="str">
        <f>IFERROR(__xludf.DUMMYFUNCTION("""COMPUTED_VALUE"""),"Caleb Williams – CHI")</f>
        <v>Caleb Williams – CHI</v>
      </c>
      <c r="B78" s="20" t="str">
        <f>VLOOKUP(A78,PlayerDB!$F$2:$H3480,3,FALSE)</f>
        <v>QB</v>
      </c>
    </row>
    <row r="79">
      <c r="A79" t="str">
        <f>IFERROR(__xludf.DUMMYFUNCTION("""COMPUTED_VALUE"""),"Jake Ferguson – DAL")</f>
        <v>Jake Ferguson – DAL</v>
      </c>
      <c r="B79" s="20" t="str">
        <f>VLOOKUP(A79,PlayerDB!$F$2:$H3480,3,FALSE)</f>
        <v>TE</v>
      </c>
    </row>
    <row r="80">
      <c r="A80" t="str">
        <f>IFERROR(__xludf.DUMMYFUNCTION("""COMPUTED_VALUE"""),"Brandon McManus – GB")</f>
        <v>Brandon McManus – GB</v>
      </c>
      <c r="B80" s="20" t="str">
        <f>VLOOKUP(A80,PlayerDB!$F$2:$H3480,3,FALSE)</f>
        <v>K</v>
      </c>
    </row>
    <row r="81">
      <c r="A81" t="str">
        <f>IFERROR(__xludf.DUMMYFUNCTION("""COMPUTED_VALUE"""),"Chuba Hubbard – CAR")</f>
        <v>Chuba Hubbard – CAR</v>
      </c>
      <c r="B81" s="20" t="str">
        <f>VLOOKUP(A81,PlayerDB!$F$2:$H3480,3,FALSE)</f>
        <v>RB</v>
      </c>
    </row>
    <row r="82">
      <c r="A82" t="str">
        <f>IFERROR(__xludf.DUMMYFUNCTION("""COMPUTED_VALUE"""),"Marvin Harrison Jr. – ARI")</f>
        <v>Marvin Harrison Jr. – ARI</v>
      </c>
      <c r="B82" s="20" t="str">
        <f>VLOOKUP(A82,PlayerDB!$F$2:$H3480,3,FALSE)</f>
        <v>WR</v>
      </c>
    </row>
    <row r="83">
      <c r="A83" t="str">
        <f>IFERROR(__xludf.DUMMYFUNCTION("""COMPUTED_VALUE"""),"C.J. Stroud – HOU")</f>
        <v>C.J. Stroud – HOU</v>
      </c>
      <c r="B83" s="20" t="str">
        <f>VLOOKUP(A83,PlayerDB!$F$2:$H3480,3,FALSE)</f>
        <v>QB</v>
      </c>
    </row>
    <row r="84">
      <c r="A84" t="str">
        <f>IFERROR(__xludf.DUMMYFUNCTION("""COMPUTED_VALUE"""),"Hunter Henry – NE")</f>
        <v>Hunter Henry – NE</v>
      </c>
      <c r="B84" s="20" t="str">
        <f>VLOOKUP(A84,PlayerDB!$F$2:$H3480,3,FALSE)</f>
        <v>TE</v>
      </c>
    </row>
    <row r="85">
      <c r="A85" t="str">
        <f>IFERROR(__xludf.DUMMYFUNCTION("""COMPUTED_VALUE"""),"Younghoe Koo – ATL")</f>
        <v>Younghoe Koo – ATL</v>
      </c>
      <c r="B85" s="20" t="str">
        <f>VLOOKUP(A85,PlayerDB!$F$2:$H3480,3,FALSE)</f>
        <v>K</v>
      </c>
    </row>
    <row r="86">
      <c r="A86" t="str">
        <f>IFERROR(__xludf.DUMMYFUNCTION("""COMPUTED_VALUE"""),"James Conner – ARI")</f>
        <v>James Conner – ARI</v>
      </c>
      <c r="B86" s="20" t="str">
        <f>VLOOKUP(A86,PlayerDB!$F$2:$H3480,3,FALSE)</f>
        <v>RB</v>
      </c>
    </row>
    <row r="87">
      <c r="A87" t="str">
        <f>IFERROR(__xludf.DUMMYFUNCTION("""COMPUTED_VALUE"""),"DK Metcalf – PIT")</f>
        <v>DK Metcalf – PIT</v>
      </c>
      <c r="B87" s="20" t="str">
        <f>VLOOKUP(A87,PlayerDB!$F$2:$H3480,3,FALSE)</f>
        <v>WR</v>
      </c>
    </row>
    <row r="88">
      <c r="A88" t="str">
        <f>IFERROR(__xludf.DUMMYFUNCTION("""COMPUTED_VALUE"""),"Jordan Love – GB")</f>
        <v>Jordan Love – GB</v>
      </c>
      <c r="B88" s="20" t="str">
        <f>VLOOKUP(A88,PlayerDB!$F$2:$H3480,3,FALSE)</f>
        <v>QB</v>
      </c>
    </row>
    <row r="89">
      <c r="A89" t="str">
        <f>IFERROR(__xludf.DUMMYFUNCTION("""COMPUTED_VALUE"""),"Darren Waller – MIA")</f>
        <v>Darren Waller – MIA</v>
      </c>
      <c r="B89" s="20" t="str">
        <f>VLOOKUP(A89,PlayerDB!$F$2:$H3480,3,FALSE)</f>
        <v>TE</v>
      </c>
    </row>
    <row r="90">
      <c r="A90" t="str">
        <f>IFERROR(__xludf.DUMMYFUNCTION("""COMPUTED_VALUE"""),"Harrison Butker – KC")</f>
        <v>Harrison Butker – KC</v>
      </c>
      <c r="B90" s="20" t="str">
        <f>VLOOKUP(A90,PlayerDB!$F$2:$H3480,3,FALSE)</f>
        <v>K</v>
      </c>
    </row>
    <row r="91">
      <c r="A91" t="str">
        <f>IFERROR(__xludf.DUMMYFUNCTION("""COMPUTED_VALUE"""),"Alvin Kamara – NO")</f>
        <v>Alvin Kamara – NO</v>
      </c>
      <c r="B91" s="20" t="str">
        <f>VLOOKUP(A91,PlayerDB!$F$2:$H3480,3,FALSE)</f>
        <v>RB</v>
      </c>
    </row>
    <row r="92">
      <c r="A92" t="str">
        <f>IFERROR(__xludf.DUMMYFUNCTION("""COMPUTED_VALUE"""),"Jaxon Smith-Njigba – SEA")</f>
        <v>Jaxon Smith-Njigba – SEA</v>
      </c>
      <c r="B92" s="20" t="str">
        <f>VLOOKUP(A92,PlayerDB!$F$2:$H3480,3,FALSE)</f>
        <v>WR</v>
      </c>
    </row>
    <row r="93">
      <c r="A93" t="str">
        <f>IFERROR(__xludf.DUMMYFUNCTION("""COMPUTED_VALUE"""),"Trevor Lawrence – JAX")</f>
        <v>Trevor Lawrence – JAX</v>
      </c>
      <c r="B93" s="20" t="str">
        <f>VLOOKUP(A93,PlayerDB!$F$2:$H3480,3,FALSE)</f>
        <v>QB</v>
      </c>
    </row>
    <row r="94">
      <c r="A94" t="str">
        <f>IFERROR(__xludf.DUMMYFUNCTION("""COMPUTED_VALUE"""),"Isaiah Likely – BAL")</f>
        <v>Isaiah Likely – BAL</v>
      </c>
      <c r="B94" s="20" t="str">
        <f>VLOOKUP(A94,PlayerDB!$F$2:$H3480,3,FALSE)</f>
        <v>TE</v>
      </c>
    </row>
    <row r="95">
      <c r="A95" t="str">
        <f>IFERROR(__xludf.DUMMYFUNCTION("""COMPUTED_VALUE"""),"Jason Myers – SEA")</f>
        <v>Jason Myers – SEA</v>
      </c>
      <c r="B95" s="20" t="str">
        <f>VLOOKUP(A95,PlayerDB!$F$2:$H3480,3,FALSE)</f>
        <v>K</v>
      </c>
    </row>
    <row r="96">
      <c r="A96" t="str">
        <f>IFERROR(__xludf.DUMMYFUNCTION("""COMPUTED_VALUE"""),"David Montgomery – DET")</f>
        <v>David Montgomery – DET</v>
      </c>
      <c r="B96" s="20" t="str">
        <f>VLOOKUP(A96,PlayerDB!$F$2:$H3480,3,FALSE)</f>
        <v>RB</v>
      </c>
    </row>
    <row r="97">
      <c r="A97" t="str">
        <f>IFERROR(__xludf.DUMMYFUNCTION("""COMPUTED_VALUE"""),"Zay Flowers – BAL")</f>
        <v>Zay Flowers – BAL</v>
      </c>
      <c r="B97" s="20" t="str">
        <f>VLOOKUP(A97,PlayerDB!$F$2:$H3480,3,FALSE)</f>
        <v>WR</v>
      </c>
    </row>
    <row r="98">
      <c r="A98" t="str">
        <f>IFERROR(__xludf.DUMMYFUNCTION("""COMPUTED_VALUE"""),"Drake Maye – NE")</f>
        <v>Drake Maye – NE</v>
      </c>
      <c r="B98" s="20" t="str">
        <f>VLOOKUP(A98,PlayerDB!$F$2:$H3480,3,FALSE)</f>
        <v>QB</v>
      </c>
    </row>
    <row r="99">
      <c r="A99" t="str">
        <f>IFERROR(__xludf.DUMMYFUNCTION("""COMPUTED_VALUE"""),"Colston Loveland – CHI")</f>
        <v>Colston Loveland – CHI</v>
      </c>
      <c r="B99" s="20" t="str">
        <f>VLOOKUP(A99,PlayerDB!$F$2:$H3480,3,FALSE)</f>
        <v>TE</v>
      </c>
    </row>
    <row r="100">
      <c r="A100" t="str">
        <f>IFERROR(__xludf.DUMMYFUNCTION("""COMPUTED_VALUE"""),"Joshua Karty – LAR")</f>
        <v>Joshua Karty – LAR</v>
      </c>
      <c r="B100" s="20" t="str">
        <f>VLOOKUP(A100,PlayerDB!$F$2:$H3480,3,FALSE)</f>
        <v>K</v>
      </c>
    </row>
    <row r="101">
      <c r="A101" t="str">
        <f>IFERROR(__xludf.DUMMYFUNCTION("""COMPUTED_VALUE"""),"Isiah Pacheco – KC")</f>
        <v>Isiah Pacheco – KC</v>
      </c>
      <c r="B101" s="20" t="str">
        <f>VLOOKUP(A101,PlayerDB!$F$2:$H3480,3,FALSE)</f>
        <v>RB</v>
      </c>
    </row>
    <row r="102">
      <c r="A102" t="str">
        <f>IFERROR(__xludf.DUMMYFUNCTION("""COMPUTED_VALUE"""),"Xavier Worthy – KC")</f>
        <v>Xavier Worthy – KC</v>
      </c>
      <c r="B102" s="20" t="str">
        <f>VLOOKUP(A102,PlayerDB!$F$2:$H3480,3,FALSE)</f>
        <v>WR</v>
      </c>
    </row>
    <row r="103">
      <c r="A103" t="str">
        <f>IFERROR(__xludf.DUMMYFUNCTION("""COMPUTED_VALUE"""),"Matthew Stafford – LAR")</f>
        <v>Matthew Stafford – LAR</v>
      </c>
      <c r="B103" s="20" t="str">
        <f>VLOOKUP(A103,PlayerDB!$F$2:$H3480,3,FALSE)</f>
        <v>QB</v>
      </c>
    </row>
    <row r="104">
      <c r="A104" t="str">
        <f>IFERROR(__xludf.DUMMYFUNCTION("""COMPUTED_VALUE"""),"Cade Otton – TB")</f>
        <v>Cade Otton – TB</v>
      </c>
      <c r="B104" s="20" t="str">
        <f>VLOOKUP(A104,PlayerDB!$F$2:$H3480,3,FALSE)</f>
        <v>TE</v>
      </c>
    </row>
    <row r="105">
      <c r="A105" t="str">
        <f>IFERROR(__xludf.DUMMYFUNCTION("""COMPUTED_VALUE"""),"Chad Ryland – ARI")</f>
        <v>Chad Ryland – ARI</v>
      </c>
      <c r="B105" s="20" t="str">
        <f>VLOOKUP(A105,PlayerDB!$F$2:$H3480,3,FALSE)</f>
        <v>K</v>
      </c>
    </row>
    <row r="106">
      <c r="A106" t="str">
        <f>IFERROR(__xludf.DUMMYFUNCTION("""COMPUTED_VALUE"""),"Joe Mixon – HOU")</f>
        <v>Joe Mixon – HOU</v>
      </c>
      <c r="B106" s="20" t="str">
        <f>VLOOKUP(A106,PlayerDB!$F$2:$H3480,3,FALSE)</f>
        <v>RB</v>
      </c>
    </row>
    <row r="107">
      <c r="A107" t="str">
        <f>IFERROR(__xludf.DUMMYFUNCTION("""COMPUTED_VALUE"""),"Garrett Wilson – NYJ")</f>
        <v>Garrett Wilson – NYJ</v>
      </c>
      <c r="B107" s="20" t="str">
        <f>VLOOKUP(A107,PlayerDB!$F$2:$H3480,3,FALSE)</f>
        <v>WR</v>
      </c>
    </row>
    <row r="108">
      <c r="A108" t="str">
        <f>IFERROR(__xludf.DUMMYFUNCTION("""COMPUTED_VALUE"""),"Michael Penix Jr. – ATL")</f>
        <v>Michael Penix Jr. – ATL</v>
      </c>
      <c r="B108" s="20" t="str">
        <f>VLOOKUP(A108,PlayerDB!$F$2:$H3480,3,FALSE)</f>
        <v>QB</v>
      </c>
    </row>
    <row r="109">
      <c r="A109" t="str">
        <f>IFERROR(__xludf.DUMMYFUNCTION("""COMPUTED_VALUE"""),"Jonnu Smith – PIT")</f>
        <v>Jonnu Smith – PIT</v>
      </c>
      <c r="B109" s="20" t="str">
        <f>VLOOKUP(A109,PlayerDB!$F$2:$H3480,3,FALSE)</f>
        <v>TE</v>
      </c>
    </row>
    <row r="110">
      <c r="A110" t="str">
        <f>IFERROR(__xludf.DUMMYFUNCTION("""COMPUTED_VALUE"""),"Cairo Santos – CHI")</f>
        <v>Cairo Santos – CHI</v>
      </c>
      <c r="B110" s="20" t="str">
        <f>VLOOKUP(A110,PlayerDB!$F$2:$H3480,3,FALSE)</f>
        <v>K</v>
      </c>
    </row>
    <row r="111">
      <c r="A111" t="str">
        <f>IFERROR(__xludf.DUMMYFUNCTION("""COMPUTED_VALUE"""),"Tony Pollard – TEN")</f>
        <v>Tony Pollard – TEN</v>
      </c>
      <c r="B111" s="20" t="str">
        <f>VLOOKUP(A111,PlayerDB!$F$2:$H3480,3,FALSE)</f>
        <v>RB</v>
      </c>
    </row>
    <row r="112">
      <c r="A112" t="str">
        <f>IFERROR(__xludf.DUMMYFUNCTION("""COMPUTED_VALUE"""),"Courtland Sutton – DEN")</f>
        <v>Courtland Sutton – DEN</v>
      </c>
      <c r="B112" s="20" t="str">
        <f>VLOOKUP(A112,PlayerDB!$F$2:$H3480,3,FALSE)</f>
        <v>WR</v>
      </c>
    </row>
    <row r="113">
      <c r="A113" t="str">
        <f>IFERROR(__xludf.DUMMYFUNCTION("""COMPUTED_VALUE"""),"Tua Tagovailoa – MIA")</f>
        <v>Tua Tagovailoa – MIA</v>
      </c>
      <c r="B113" s="20" t="str">
        <f>VLOOKUP(A113,PlayerDB!$F$2:$H3480,3,FALSE)</f>
        <v>QB</v>
      </c>
    </row>
    <row r="114">
      <c r="A114" t="str">
        <f>IFERROR(__xludf.DUMMYFUNCTION("""COMPUTED_VALUE"""),"Brenton Strange – JAX")</f>
        <v>Brenton Strange – JAX</v>
      </c>
      <c r="B114" s="20" t="str">
        <f>VLOOKUP(A114,PlayerDB!$F$2:$H3480,3,FALSE)</f>
        <v>TE</v>
      </c>
    </row>
    <row r="115">
      <c r="A115" t="str">
        <f>IFERROR(__xludf.DUMMYFUNCTION("""COMPUTED_VALUE"""),"Cam Little – JAC")</f>
        <v>Cam Little – JAC</v>
      </c>
      <c r="B115" s="20" t="str">
        <f>VLOOKUP(A115,PlayerDB!$F$2:$H3480,3,FALSE)</f>
        <v>K</v>
      </c>
    </row>
    <row r="116">
      <c r="A116" t="str">
        <f>IFERROR(__xludf.DUMMYFUNCTION("""COMPUTED_VALUE"""),"Kaleb Johnson – PIT")</f>
        <v>Kaleb Johnson – PIT</v>
      </c>
      <c r="B116" s="20" t="str">
        <f>VLOOKUP(A116,PlayerDB!$F$2:$H3480,3,FALSE)</f>
        <v>RB</v>
      </c>
    </row>
    <row r="117">
      <c r="A117" t="str">
        <f>IFERROR(__xludf.DUMMYFUNCTION("""COMPUTED_VALUE"""),"DJ Moore – CHI")</f>
        <v>DJ Moore – CHI</v>
      </c>
      <c r="B117" s="20" t="str">
        <f>VLOOKUP(A117,PlayerDB!$F$2:$H3480,3,FALSE)</f>
        <v>WR</v>
      </c>
    </row>
    <row r="118">
      <c r="A118" t="str">
        <f>IFERROR(__xludf.DUMMYFUNCTION("""COMPUTED_VALUE"""),"Geno Smith – LV")</f>
        <v>Geno Smith – LV</v>
      </c>
      <c r="B118" s="20" t="str">
        <f>VLOOKUP(A118,PlayerDB!$F$2:$H3480,3,FALSE)</f>
        <v>QB</v>
      </c>
    </row>
    <row r="119">
      <c r="A119" t="str">
        <f>IFERROR(__xludf.DUMMYFUNCTION("""COMPUTED_VALUE"""),"Mike Gesicki – CIN")</f>
        <v>Mike Gesicki – CIN</v>
      </c>
      <c r="B119" s="20" t="str">
        <f>VLOOKUP(A119,PlayerDB!$F$2:$H3480,3,FALSE)</f>
        <v>TE</v>
      </c>
    </row>
    <row r="120">
      <c r="A120" t="str">
        <f>IFERROR(__xludf.DUMMYFUNCTION("""COMPUTED_VALUE"""),"Will Reichard – MIN")</f>
        <v>Will Reichard – MIN</v>
      </c>
      <c r="B120" s="20" t="str">
        <f>VLOOKUP(A120,PlayerDB!$F$2:$H3480,3,FALSE)</f>
        <v>K</v>
      </c>
    </row>
    <row r="121">
      <c r="A121" t="str">
        <f>IFERROR(__xludf.DUMMYFUNCTION("""COMPUTED_VALUE"""),"Brian Robinson Jr. – WAS")</f>
        <v>Brian Robinson Jr. – WAS</v>
      </c>
      <c r="B121" s="20" t="str">
        <f>VLOOKUP(A121,PlayerDB!$F$2:$H3480,3,FALSE)</f>
        <v>RB</v>
      </c>
    </row>
    <row r="122">
      <c r="A122" t="str">
        <f>IFERROR(__xludf.DUMMYFUNCTION("""COMPUTED_VALUE"""),"Jameson Williams – DET")</f>
        <v>Jameson Williams – DET</v>
      </c>
      <c r="B122" s="20" t="str">
        <f>VLOOKUP(A122,PlayerDB!$F$2:$H3480,3,FALSE)</f>
        <v>WR</v>
      </c>
    </row>
    <row r="123">
      <c r="A123" t="str">
        <f>IFERROR(__xludf.DUMMYFUNCTION("""COMPUTED_VALUE"""),"Sam Darnold – SEA")</f>
        <v>Sam Darnold – SEA</v>
      </c>
      <c r="B123" s="20" t="str">
        <f>VLOOKUP(A123,PlayerDB!$F$2:$H3480,3,FALSE)</f>
        <v>QB</v>
      </c>
    </row>
    <row r="124">
      <c r="A124" t="str">
        <f>IFERROR(__xludf.DUMMYFUNCTION("""COMPUTED_VALUE"""),"Dalton Schultz – HOU")</f>
        <v>Dalton Schultz – HOU</v>
      </c>
      <c r="B124" s="20" t="str">
        <f>VLOOKUP(A124,PlayerDB!$F$2:$H3480,3,FALSE)</f>
        <v>TE</v>
      </c>
    </row>
    <row r="125">
      <c r="A125" t="str">
        <f>IFERROR(__xludf.DUMMYFUNCTION("""COMPUTED_VALUE"""),"Graham Gano – NYG")</f>
        <v>Graham Gano – NYG</v>
      </c>
      <c r="B125" s="20" t="str">
        <f>VLOOKUP(A125,PlayerDB!$F$2:$H3480,3,FALSE)</f>
        <v>K</v>
      </c>
    </row>
    <row r="126">
      <c r="A126" t="str">
        <f>IFERROR(__xludf.DUMMYFUNCTION("""COMPUTED_VALUE"""),"RJ Harvey – DEN")</f>
        <v>RJ Harvey – DEN</v>
      </c>
      <c r="B126" s="20" t="str">
        <f>VLOOKUP(A126,PlayerDB!$F$2:$H3480,3,FALSE)</f>
        <v>RB</v>
      </c>
    </row>
    <row r="127">
      <c r="A127" t="str">
        <f>IFERROR(__xludf.DUMMYFUNCTION("""COMPUTED_VALUE"""),"Calvin Ridley – TEN")</f>
        <v>Calvin Ridley – TEN</v>
      </c>
      <c r="B127" s="20" t="str">
        <f>VLOOKUP(A127,PlayerDB!$F$2:$H3480,3,FALSE)</f>
        <v>WR</v>
      </c>
    </row>
    <row r="128">
      <c r="A128" t="str">
        <f>IFERROR(__xludf.DUMMYFUNCTION("""COMPUTED_VALUE"""),"Bryce Young – CAR")</f>
        <v>Bryce Young – CAR</v>
      </c>
      <c r="B128" s="20" t="str">
        <f>VLOOKUP(A128,PlayerDB!$F$2:$H3480,3,FALSE)</f>
        <v>QB</v>
      </c>
    </row>
    <row r="129">
      <c r="A129" t="str">
        <f>IFERROR(__xludf.DUMMYFUNCTION("""COMPUTED_VALUE"""),"Juwan Johnson – NO")</f>
        <v>Juwan Johnson – NO</v>
      </c>
      <c r="B129" s="20" t="str">
        <f>VLOOKUP(A129,PlayerDB!$F$2:$H3480,3,FALSE)</f>
        <v>TE</v>
      </c>
    </row>
    <row r="130">
      <c r="A130" t="str">
        <f>IFERROR(__xludf.DUMMYFUNCTION("""COMPUTED_VALUE"""),"Caden Davis – NYJ")</f>
        <v>Caden Davis – NYJ</v>
      </c>
      <c r="B130" s="20" t="str">
        <f>VLOOKUP(A130,PlayerDB!$F$2:$H3480,3,FALSE)</f>
        <v>K</v>
      </c>
    </row>
    <row r="131">
      <c r="A131" t="str">
        <f>IFERROR(__xludf.DUMMYFUNCTION("""COMPUTED_VALUE"""),"Tyrone Tracy Jr. – NYG")</f>
        <v>Tyrone Tracy Jr. – NYG</v>
      </c>
      <c r="B131" s="20" t="str">
        <f>VLOOKUP(A131,PlayerDB!$F$2:$H3480,3,FALSE)</f>
        <v>RB</v>
      </c>
    </row>
    <row r="132">
      <c r="A132" t="str">
        <f>IFERROR(__xludf.DUMMYFUNCTION("""COMPUTED_VALUE"""),"DeVonta Smith – PHI")</f>
        <v>DeVonta Smith – PHI</v>
      </c>
      <c r="B132" s="20" t="str">
        <f>VLOOKUP(A132,PlayerDB!$F$2:$H3480,3,FALSE)</f>
        <v>WR</v>
      </c>
    </row>
    <row r="133">
      <c r="A133" t="str">
        <f>IFERROR(__xludf.DUMMYFUNCTION("""COMPUTED_VALUE"""),"Cam Ward – TEN")</f>
        <v>Cam Ward – TEN</v>
      </c>
      <c r="B133" s="20" t="str">
        <f>VLOOKUP(A133,PlayerDB!$F$2:$H3480,3,FALSE)</f>
        <v>QB</v>
      </c>
    </row>
    <row r="134">
      <c r="A134" t="str">
        <f>IFERROR(__xludf.DUMMYFUNCTION("""COMPUTED_VALUE"""),"Pat Freiermuth – PIT")</f>
        <v>Pat Freiermuth – PIT</v>
      </c>
      <c r="B134" s="20" t="str">
        <f>VLOOKUP(A134,PlayerDB!$F$2:$H3480,3,FALSE)</f>
        <v>TE</v>
      </c>
    </row>
    <row r="135">
      <c r="A135" t="str">
        <f>IFERROR(__xludf.DUMMYFUNCTION("""COMPUTED_VALUE"""),"Blake Grupe – NO")</f>
        <v>Blake Grupe – NO</v>
      </c>
      <c r="B135" s="20" t="str">
        <f>VLOOKUP(A135,PlayerDB!$F$2:$H3480,3,FALSE)</f>
        <v>K</v>
      </c>
    </row>
    <row r="136">
      <c r="A136" t="str">
        <f>IFERROR(__xludf.DUMMYFUNCTION("""COMPUTED_VALUE"""),"Jaylen Warren – PIT")</f>
        <v>Jaylen Warren – PIT</v>
      </c>
      <c r="B136" s="20" t="str">
        <f>VLOOKUP(A136,PlayerDB!$F$2:$H3480,3,FALSE)</f>
        <v>RB</v>
      </c>
    </row>
    <row r="137">
      <c r="A137" t="str">
        <f>IFERROR(__xludf.DUMMYFUNCTION("""COMPUTED_VALUE"""),"George Pickens – DAL")</f>
        <v>George Pickens – DAL</v>
      </c>
      <c r="B137" s="20" t="str">
        <f>VLOOKUP(A137,PlayerDB!$F$2:$H3480,3,FALSE)</f>
        <v>WR</v>
      </c>
    </row>
    <row r="138">
      <c r="A138" t="str">
        <f>IFERROR(__xludf.DUMMYFUNCTION("""COMPUTED_VALUE"""),"Chigoziem Okonkwo – TEN")</f>
        <v>Chigoziem Okonkwo – TEN</v>
      </c>
      <c r="B138" s="20" t="str">
        <f>VLOOKUP(A138,PlayerDB!$F$2:$H3480,3,FALSE)</f>
        <v>TE</v>
      </c>
    </row>
    <row r="139">
      <c r="A139" t="str">
        <f>IFERROR(__xludf.DUMMYFUNCTION("""COMPUTED_VALUE"""),"Joey Slye – TEN")</f>
        <v>Joey Slye – TEN</v>
      </c>
      <c r="B139" s="20" t="str">
        <f>VLOOKUP(A139,PlayerDB!$F$2:$H3480,3,FALSE)</f>
        <v>K</v>
      </c>
    </row>
    <row r="140">
      <c r="A140" t="str">
        <f>IFERROR(__xludf.DUMMYFUNCTION("""COMPUTED_VALUE"""),"J.K. Dobbins – DEN")</f>
        <v>J.K. Dobbins – DEN</v>
      </c>
      <c r="B140" s="20" t="str">
        <f>VLOOKUP(A140,PlayerDB!$F$2:$H3480,3,FALSE)</f>
        <v>RB</v>
      </c>
    </row>
    <row r="141">
      <c r="A141" t="str">
        <f>IFERROR(__xludf.DUMMYFUNCTION("""COMPUTED_VALUE"""),"Jerry Jeudy – CLE")</f>
        <v>Jerry Jeudy – CLE</v>
      </c>
      <c r="B141" s="20" t="str">
        <f>VLOOKUP(A141,PlayerDB!$F$2:$H3480,3,FALSE)</f>
        <v>WR</v>
      </c>
    </row>
    <row r="142">
      <c r="A142" t="str">
        <f>IFERROR(__xludf.DUMMYFUNCTION("""COMPUTED_VALUE"""),"Anthony Richardson – IND")</f>
        <v>Anthony Richardson – IND</v>
      </c>
      <c r="B142" s="20" t="str">
        <f>VLOOKUP(A142,PlayerDB!$F$2:$H3480,3,FALSE)</f>
        <v>QB</v>
      </c>
    </row>
    <row r="143">
      <c r="A143" t="str">
        <f>IFERROR(__xludf.DUMMYFUNCTION("""COMPUTED_VALUE"""),"Tyler Higbee – LAR")</f>
        <v>Tyler Higbee – LAR</v>
      </c>
      <c r="B143" s="20" t="str">
        <f>VLOOKUP(A143,PlayerDB!$F$2:$H3480,3,FALSE)</f>
        <v>TE</v>
      </c>
    </row>
    <row r="144">
      <c r="A144" t="str">
        <f>IFERROR(__xludf.DUMMYFUNCTION("""COMPUTED_VALUE"""),"Matthew Wright – CAR")</f>
        <v>Matthew Wright – CAR</v>
      </c>
      <c r="B144" s="20" t="str">
        <f>VLOOKUP(A144,PlayerDB!$F$2:$H3480,3,FALSE)</f>
        <v>K</v>
      </c>
    </row>
    <row r="145">
      <c r="A145" t="str">
        <f>IFERROR(__xludf.DUMMYFUNCTION("""COMPUTED_VALUE"""),"Rhamondre Stevenson – NE")</f>
        <v>Rhamondre Stevenson – NE</v>
      </c>
      <c r="B145" s="20" t="str">
        <f>VLOOKUP(A145,PlayerDB!$F$2:$H3480,3,FALSE)</f>
        <v>RB</v>
      </c>
    </row>
    <row r="146">
      <c r="A146" t="str">
        <f>IFERROR(__xludf.DUMMYFUNCTION("""COMPUTED_VALUE"""),"Deebo Samuel Sr. – WAS")</f>
        <v>Deebo Samuel Sr. – WAS</v>
      </c>
      <c r="B146" s="20" t="str">
        <f>VLOOKUP(A146,PlayerDB!$F$2:$H3480,3,FALSE)</f>
        <v>WR</v>
      </c>
    </row>
    <row r="147">
      <c r="A147" t="str">
        <f>IFERROR(__xludf.DUMMYFUNCTION("""COMPUTED_VALUE"""),"Russell Wilson – NYG")</f>
        <v>Russell Wilson – NYG</v>
      </c>
      <c r="B147" s="20" t="str">
        <f>VLOOKUP(A147,PlayerDB!$F$2:$H3480,3,FALSE)</f>
        <v>QB</v>
      </c>
    </row>
    <row r="148">
      <c r="A148" t="str">
        <f>IFERROR(__xludf.DUMMYFUNCTION("""COMPUTED_VALUE"""),"Robbie Ouzts – SEA")</f>
        <v>Robbie Ouzts – SEA</v>
      </c>
      <c r="B148" s="20" t="str">
        <f>VLOOKUP(A148,PlayerDB!$F$2:$H3480,3,FALSE)</f>
        <v>RB</v>
      </c>
    </row>
    <row r="149">
      <c r="A149" t="str">
        <f>IFERROR(__xludf.DUMMYFUNCTION("""COMPUTED_VALUE"""),"Andres Borregales – NE")</f>
        <v>Andres Borregales – NE</v>
      </c>
      <c r="B149" s="20" t="str">
        <f>VLOOKUP(A149,PlayerDB!$F$2:$H3480,3,FALSE)</f>
        <v>K</v>
      </c>
    </row>
    <row r="150">
      <c r="A150" t="str">
        <f>IFERROR(__xludf.DUMMYFUNCTION("""COMPUTED_VALUE"""),"Cam Skattebo – NYG")</f>
        <v>Cam Skattebo – NYG</v>
      </c>
      <c r="B150" s="20" t="str">
        <f>VLOOKUP(A150,PlayerDB!$F$2:$H3480,3,FALSE)</f>
        <v>RB</v>
      </c>
    </row>
    <row r="151">
      <c r="A151" t="str">
        <f>IFERROR(__xludf.DUMMYFUNCTION("""COMPUTED_VALUE"""),"Tetairoa McMillan – CAR")</f>
        <v>Tetairoa McMillan – CAR</v>
      </c>
      <c r="B151" s="20" t="str">
        <f>VLOOKUP(A151,PlayerDB!$F$2:$H3480,3,FALSE)</f>
        <v>WR</v>
      </c>
    </row>
    <row r="152">
      <c r="A152" t="str">
        <f>IFERROR(__xludf.DUMMYFUNCTION("""COMPUTED_VALUE"""),"Tyler Shough – NO")</f>
        <v>Tyler Shough – NO</v>
      </c>
      <c r="B152" s="20" t="str">
        <f>VLOOKUP(A152,PlayerDB!$F$2:$H3480,3,FALSE)</f>
        <v>QB</v>
      </c>
    </row>
    <row r="153">
      <c r="A153" t="str">
        <f>IFERROR(__xludf.DUMMYFUNCTION("""COMPUTED_VALUE"""),"Theo Johnson – NYG")</f>
        <v>Theo Johnson – NYG</v>
      </c>
      <c r="B153" s="20" t="str">
        <f>VLOOKUP(A153,PlayerDB!$F$2:$H3480,3,FALSE)</f>
        <v>TE</v>
      </c>
    </row>
    <row r="154">
      <c r="A154" t="str">
        <f>IFERROR(__xludf.DUMMYFUNCTION("""COMPUTED_VALUE"""),"Spencer Shrader – IND")</f>
        <v>Spencer Shrader – IND</v>
      </c>
      <c r="B154" s="20" t="str">
        <f>VLOOKUP(A154,PlayerDB!$F$2:$H3480,3,FALSE)</f>
        <v>K</v>
      </c>
    </row>
    <row r="155">
      <c r="A155" t="str">
        <f>IFERROR(__xludf.DUMMYFUNCTION("""COMPUTED_VALUE"""),"Tank Bigsby – JAX")</f>
        <v>Tank Bigsby – JAX</v>
      </c>
      <c r="B155" s="20" t="str">
        <f>VLOOKUP(A155,PlayerDB!$F$2:$H3480,3,FALSE)</f>
        <v>RB</v>
      </c>
    </row>
    <row r="156">
      <c r="A156" t="str">
        <f>IFERROR(__xludf.DUMMYFUNCTION("""COMPUTED_VALUE"""),"Jaylen Waddle – MIA")</f>
        <v>Jaylen Waddle – MIA</v>
      </c>
      <c r="B156" s="20" t="str">
        <f>VLOOKUP(A156,PlayerDB!$F$2:$H3480,3,FALSE)</f>
        <v>WR</v>
      </c>
    </row>
    <row r="157">
      <c r="A157" t="str">
        <f>IFERROR(__xludf.DUMMYFUNCTION("""COMPUTED_VALUE"""),"Daniel Jones – IND")</f>
        <v>Daniel Jones – IND</v>
      </c>
      <c r="B157" s="20" t="str">
        <f>VLOOKUP(A157,PlayerDB!$F$2:$H3480,3,FALSE)</f>
        <v>QB</v>
      </c>
    </row>
    <row r="158">
      <c r="A158" t="str">
        <f>IFERROR(__xludf.DUMMYFUNCTION("""COMPUTED_VALUE"""),"Elijah Arroyo – SEA")</f>
        <v>Elijah Arroyo – SEA</v>
      </c>
      <c r="B158" s="20" t="str">
        <f>VLOOKUP(A158,PlayerDB!$F$2:$H3480,3,FALSE)</f>
        <v>TE</v>
      </c>
    </row>
    <row r="159">
      <c r="A159" t="str">
        <f>IFERROR(__xludf.DUMMYFUNCTION("""COMPUTED_VALUE"""),"Dustin Hopkins – CLE")</f>
        <v>Dustin Hopkins – CLE</v>
      </c>
      <c r="B159" s="20" t="str">
        <f>VLOOKUP(A159,PlayerDB!$F$2:$H3480,3,FALSE)</f>
        <v>K</v>
      </c>
    </row>
    <row r="160">
      <c r="A160" t="str">
        <f>IFERROR(__xludf.DUMMYFUNCTION("""COMPUTED_VALUE"""),"Denver Broncos – DEN")</f>
        <v>Denver Broncos – DEN</v>
      </c>
      <c r="B160" s="20" t="str">
        <f>VLOOKUP(A160,PlayerDB!$F$2:$H3480,3,FALSE)</f>
        <v>D/ST</v>
      </c>
    </row>
    <row r="161">
      <c r="A161" t="str">
        <f>IFERROR(__xludf.DUMMYFUNCTION("""COMPUTED_VALUE"""),"Javonte Williams – DAL")</f>
        <v>Javonte Williams – DAL</v>
      </c>
      <c r="B161" s="20" t="str">
        <f>VLOOKUP(A161,PlayerDB!$F$2:$H3480,3,FALSE)</f>
        <v>RB</v>
      </c>
    </row>
    <row r="162">
      <c r="A162" t="str">
        <f>IFERROR(__xludf.DUMMYFUNCTION("""COMPUTED_VALUE"""),"Jauan Jennings – SF")</f>
        <v>Jauan Jennings – SF</v>
      </c>
      <c r="B162" s="20" t="str">
        <f>VLOOKUP(A162,PlayerDB!$F$2:$H3480,3,FALSE)</f>
        <v>WR</v>
      </c>
    </row>
    <row r="163">
      <c r="A163" t="str">
        <f>IFERROR(__xludf.DUMMYFUNCTION("""COMPUTED_VALUE"""),"Kenny Pickett – CLE")</f>
        <v>Kenny Pickett – CLE</v>
      </c>
      <c r="B163" s="20" t="str">
        <f>VLOOKUP(A163,PlayerDB!$F$2:$H3480,3,FALSE)</f>
        <v>QB</v>
      </c>
    </row>
    <row r="164">
      <c r="A164" t="str">
        <f>IFERROR(__xludf.DUMMYFUNCTION("""COMPUTED_VALUE"""),"Philadelphia Eagles – PHI")</f>
        <v>Philadelphia Eagles – PHI</v>
      </c>
      <c r="B164" s="20" t="str">
        <f>VLOOKUP(A164,PlayerDB!$F$2:$H3480,3,FALSE)</f>
        <v>D/ST</v>
      </c>
    </row>
    <row r="165">
      <c r="A165" t="str">
        <f>IFERROR(__xludf.DUMMYFUNCTION("""COMPUTED_VALUE"""),"Zach Charbonnet – SEA")</f>
        <v>Zach Charbonnet – SEA</v>
      </c>
      <c r="B165" s="20" t="str">
        <f>VLOOKUP(A165,PlayerDB!$F$2:$H3480,3,FALSE)</f>
        <v>RB</v>
      </c>
    </row>
    <row r="166">
      <c r="A166" t="str">
        <f>IFERROR(__xludf.DUMMYFUNCTION("""COMPUTED_VALUE"""),"Travis Hunter – JAX")</f>
        <v>Travis Hunter – JAX</v>
      </c>
      <c r="B166" s="20" t="str">
        <f>VLOOKUP(A166,PlayerDB!$F$2:$H3480,3,FALSE)</f>
        <v>WR</v>
      </c>
    </row>
    <row r="167">
      <c r="A167" t="str">
        <f>IFERROR(__xludf.DUMMYFUNCTION("""COMPUTED_VALUE"""),"Dillon Gabriel – CLE")</f>
        <v>Dillon Gabriel – CLE</v>
      </c>
      <c r="B167" s="20" t="str">
        <f>VLOOKUP(A167,PlayerDB!$F$2:$H3480,3,FALSE)</f>
        <v>QB</v>
      </c>
    </row>
    <row r="168">
      <c r="A168" t="str">
        <f>IFERROR(__xludf.DUMMYFUNCTION("""COMPUTED_VALUE"""),"Pittsburgh Steelers – PIT")</f>
        <v>Pittsburgh Steelers – PIT</v>
      </c>
      <c r="B168" s="20" t="str">
        <f>VLOOKUP(A168,PlayerDB!$F$2:$H3480,3,FALSE)</f>
        <v>D/ST</v>
      </c>
    </row>
    <row r="169">
      <c r="A169" t="str">
        <f>IFERROR(__xludf.DUMMYFUNCTION("""COMPUTED_VALUE"""),"Travis Etienne – JAX")</f>
        <v>Travis Etienne – JAX</v>
      </c>
      <c r="B169" s="20" t="str">
        <f>VLOOKUP(A169,PlayerDB!$F$2:$H3480,3,FALSE)</f>
        <v>RB</v>
      </c>
    </row>
    <row r="170">
      <c r="A170" t="str">
        <f>IFERROR(__xludf.DUMMYFUNCTION("""COMPUTED_VALUE"""),"Jayden Reed – GB")</f>
        <v>Jayden Reed – GB</v>
      </c>
      <c r="B170" s="20" t="str">
        <f>VLOOKUP(A170,PlayerDB!$F$2:$H3480,3,FALSE)</f>
        <v>WR</v>
      </c>
    </row>
    <row r="171">
      <c r="A171" t="str">
        <f>IFERROR(__xludf.DUMMYFUNCTION("""COMPUTED_VALUE"""),"Shedeur Sanders – CLE")</f>
        <v>Shedeur Sanders – CLE</v>
      </c>
      <c r="B171" s="20" t="str">
        <f>VLOOKUP(A171,PlayerDB!$F$2:$H3480,3,FALSE)</f>
        <v>QB</v>
      </c>
    </row>
    <row r="172">
      <c r="A172" t="str">
        <f>IFERROR(__xludf.DUMMYFUNCTION("""COMPUTED_VALUE"""),"Baltimore Ravens – BAL")</f>
        <v>Baltimore Ravens – BAL</v>
      </c>
      <c r="B172" s="20" t="str">
        <f>VLOOKUP(A172,PlayerDB!$F$2:$H3480,3,FALSE)</f>
        <v>D/ST</v>
      </c>
    </row>
    <row r="173">
      <c r="A173" t="str">
        <f>IFERROR(__xludf.DUMMYFUNCTION("""COMPUTED_VALUE"""),"Quinshon Judkins – CLE")</f>
        <v>Quinshon Judkins – CLE</v>
      </c>
      <c r="B173" s="20" t="str">
        <f>VLOOKUP(A173,PlayerDB!$F$2:$H3480,3,FALSE)</f>
        <v>RB</v>
      </c>
    </row>
    <row r="174">
      <c r="A174" t="str">
        <f>IFERROR(__xludf.DUMMYFUNCTION("""COMPUTED_VALUE"""),"Jakobi Meyers – LV")</f>
        <v>Jakobi Meyers – LV</v>
      </c>
      <c r="B174" s="20" t="str">
        <f>VLOOKUP(A174,PlayerDB!$F$2:$H3480,3,FALSE)</f>
        <v>WR</v>
      </c>
    </row>
    <row r="175">
      <c r="A175" t="str">
        <f>IFERROR(__xludf.DUMMYFUNCTION("""COMPUTED_VALUE"""),"Minnesota Vikings – MIN")</f>
        <v>Minnesota Vikings – MIN</v>
      </c>
      <c r="B175" s="20" t="str">
        <f>VLOOKUP(A175,PlayerDB!$F$2:$H3480,3,FALSE)</f>
        <v>D/ST</v>
      </c>
    </row>
    <row r="176">
      <c r="A176" t="str">
        <f>IFERROR(__xludf.DUMMYFUNCTION("""COMPUTED_VALUE"""),"Tyjae Spears – TEN")</f>
        <v>Tyjae Spears – TEN</v>
      </c>
      <c r="B176" s="20" t="str">
        <f>VLOOKUP(A176,PlayerDB!$F$2:$H3480,3,FALSE)</f>
        <v>RB</v>
      </c>
    </row>
    <row r="177">
      <c r="A177" t="str">
        <f>IFERROR(__xludf.DUMMYFUNCTION("""COMPUTED_VALUE"""),"Matthew Golden – GB")</f>
        <v>Matthew Golden – GB</v>
      </c>
      <c r="B177" s="20" t="str">
        <f>VLOOKUP(A177,PlayerDB!$F$2:$H3480,3,FALSE)</f>
        <v>WR</v>
      </c>
    </row>
    <row r="178">
      <c r="A178" t="str">
        <f>IFERROR(__xludf.DUMMYFUNCTION("""COMPUTED_VALUE"""),"Kansas City Chiefs – KC")</f>
        <v>Kansas City Chiefs – KC</v>
      </c>
      <c r="B178" s="20" t="str">
        <f>VLOOKUP(A178,PlayerDB!$F$2:$H3480,3,FALSE)</f>
        <v>D/ST</v>
      </c>
    </row>
    <row r="179">
      <c r="A179" t="str">
        <f>IFERROR(__xludf.DUMMYFUNCTION("""COMPUTED_VALUE"""),"Najee Harris – LAC")</f>
        <v>Najee Harris – LAC</v>
      </c>
      <c r="B179" s="20" t="str">
        <f>VLOOKUP(A179,PlayerDB!$F$2:$H3480,3,FALSE)</f>
        <v>RB</v>
      </c>
    </row>
    <row r="180">
      <c r="A180" t="str">
        <f>IFERROR(__xludf.DUMMYFUNCTION("""COMPUTED_VALUE"""),"Rome Odunze – CHI")</f>
        <v>Rome Odunze – CHI</v>
      </c>
      <c r="B180" s="20" t="str">
        <f>VLOOKUP(A180,PlayerDB!$F$2:$H3480,3,FALSE)</f>
        <v>WR</v>
      </c>
    </row>
    <row r="181">
      <c r="A181" t="str">
        <f>IFERROR(__xludf.DUMMYFUNCTION("""COMPUTED_VALUE"""),"Detroit Lions – DET")</f>
        <v>Detroit Lions – DET</v>
      </c>
      <c r="B181" s="20" t="str">
        <f>VLOOKUP(A181,PlayerDB!$F$2:$H3480,3,FALSE)</f>
        <v>D/ST</v>
      </c>
    </row>
    <row r="182">
      <c r="A182" t="str">
        <f>IFERROR(__xludf.DUMMYFUNCTION("""COMPUTED_VALUE"""),"Austin Ekeler – WAS")</f>
        <v>Austin Ekeler – WAS</v>
      </c>
      <c r="B182" s="20" t="str">
        <f>VLOOKUP(A182,PlayerDB!$F$2:$H3480,3,FALSE)</f>
        <v>RB</v>
      </c>
    </row>
    <row r="183">
      <c r="A183" t="str">
        <f>IFERROR(__xludf.DUMMYFUNCTION("""COMPUTED_VALUE"""),"Chris Olave – NO")</f>
        <v>Chris Olave – NO</v>
      </c>
      <c r="B183" s="20" t="str">
        <f>VLOOKUP(A183,PlayerDB!$F$2:$H3480,3,FALSE)</f>
        <v>WR</v>
      </c>
    </row>
    <row r="184">
      <c r="A184" t="str">
        <f>IFERROR(__xludf.DUMMYFUNCTION("""COMPUTED_VALUE"""),"New York Jets – NYJ")</f>
        <v>New York Jets – NYJ</v>
      </c>
      <c r="B184" s="20" t="str">
        <f>VLOOKUP(A184,PlayerDB!$F$2:$H3480,3,FALSE)</f>
        <v>D/ST</v>
      </c>
    </row>
    <row r="185">
      <c r="A185" t="str">
        <f>IFERROR(__xludf.DUMMYFUNCTION("""COMPUTED_VALUE"""),"Trey Benson – ARI")</f>
        <v>Trey Benson – ARI</v>
      </c>
      <c r="B185" s="20" t="str">
        <f>VLOOKUP(A185,PlayerDB!$F$2:$H3480,3,FALSE)</f>
        <v>RB</v>
      </c>
    </row>
    <row r="186">
      <c r="A186" t="str">
        <f>IFERROR(__xludf.DUMMYFUNCTION("""COMPUTED_VALUE"""),"Rashee Rice – KC")</f>
        <v>Rashee Rice – KC</v>
      </c>
      <c r="B186" s="20" t="str">
        <f>VLOOKUP(A186,PlayerDB!$F$2:$H3480,3,FALSE)</f>
        <v>WR</v>
      </c>
    </row>
    <row r="187">
      <c r="A187" t="str">
        <f>IFERROR(__xludf.DUMMYFUNCTION("""COMPUTED_VALUE"""),"Houston Texans – HOU")</f>
        <v>Houston Texans – HOU</v>
      </c>
      <c r="B187" s="20" t="str">
        <f>VLOOKUP(A187,PlayerDB!$F$2:$H3480,3,FALSE)</f>
        <v>D/ST</v>
      </c>
    </row>
    <row r="188">
      <c r="A188" t="str">
        <f>IFERROR(__xludf.DUMMYFUNCTION("""COMPUTED_VALUE"""),"Rachaad White – TB")</f>
        <v>Rachaad White – TB</v>
      </c>
      <c r="B188" s="20" t="str">
        <f>VLOOKUP(A188,PlayerDB!$F$2:$H3480,3,FALSE)</f>
        <v>RB</v>
      </c>
    </row>
    <row r="189">
      <c r="A189" t="str">
        <f>IFERROR(__xludf.DUMMYFUNCTION("""COMPUTED_VALUE"""),"Chris Godwin – TB")</f>
        <v>Chris Godwin – TB</v>
      </c>
      <c r="B189" s="20" t="str">
        <f>VLOOKUP(A189,PlayerDB!$F$2:$H3480,3,FALSE)</f>
        <v>WR</v>
      </c>
    </row>
    <row r="190">
      <c r="A190" t="str">
        <f>IFERROR(__xludf.DUMMYFUNCTION("""COMPUTED_VALUE"""),"Los Angeles Chargers – LAC")</f>
        <v>Los Angeles Chargers – LAC</v>
      </c>
      <c r="B190" s="20" t="str">
        <f>VLOOKUP(A190,PlayerDB!$F$2:$H3480,3,FALSE)</f>
        <v>D/ST</v>
      </c>
    </row>
    <row r="191">
      <c r="A191" t="str">
        <f>IFERROR(__xludf.DUMMYFUNCTION("""COMPUTED_VALUE"""),"Ray Davis – BUF")</f>
        <v>Ray Davis – BUF</v>
      </c>
      <c r="B191" s="20" t="str">
        <f>VLOOKUP(A191,PlayerDB!$F$2:$H3480,3,FALSE)</f>
        <v>RB</v>
      </c>
    </row>
    <row r="192">
      <c r="A192" t="str">
        <f>IFERROR(__xludf.DUMMYFUNCTION("""COMPUTED_VALUE"""),"Keon Coleman – BUF")</f>
        <v>Keon Coleman – BUF</v>
      </c>
      <c r="B192" s="20" t="str">
        <f>VLOOKUP(A192,PlayerDB!$F$2:$H3480,3,FALSE)</f>
        <v>WR</v>
      </c>
    </row>
    <row r="193">
      <c r="A193" t="str">
        <f>IFERROR(__xludf.DUMMYFUNCTION("""COMPUTED_VALUE"""),"Buffalo Bills – BUF")</f>
        <v>Buffalo Bills – BUF</v>
      </c>
      <c r="B193" s="20" t="str">
        <f>VLOOKUP(A193,PlayerDB!$F$2:$H3480,3,FALSE)</f>
        <v>D/ST</v>
      </c>
    </row>
    <row r="194">
      <c r="A194" t="str">
        <f>IFERROR(__xludf.DUMMYFUNCTION("""COMPUTED_VALUE"""),"Tyler Allgeier – ATL")</f>
        <v>Tyler Allgeier – ATL</v>
      </c>
      <c r="B194" s="20" t="str">
        <f>VLOOKUP(A194,PlayerDB!$F$2:$H3480,3,FALSE)</f>
        <v>RB</v>
      </c>
    </row>
    <row r="195">
      <c r="A195" t="str">
        <f>IFERROR(__xludf.DUMMYFUNCTION("""COMPUTED_VALUE"""),"Rashid Shaheed – NO")</f>
        <v>Rashid Shaheed – NO</v>
      </c>
      <c r="B195" s="20" t="str">
        <f>VLOOKUP(A195,PlayerDB!$F$2:$H3480,3,FALSE)</f>
        <v>WR</v>
      </c>
    </row>
    <row r="196">
      <c r="A196" t="str">
        <f>IFERROR(__xludf.DUMMYFUNCTION("""COMPUTED_VALUE"""),"Seattle Seahawks – SEA")</f>
        <v>Seattle Seahawks – SEA</v>
      </c>
      <c r="B196" s="20" t="str">
        <f>VLOOKUP(A196,PlayerDB!$F$2:$H3480,3,FALSE)</f>
        <v>D/ST</v>
      </c>
    </row>
    <row r="197">
      <c r="A197" t="str">
        <f>IFERROR(__xludf.DUMMYFUNCTION("""COMPUTED_VALUE"""),"Jerome Ford – CLE")</f>
        <v>Jerome Ford – CLE</v>
      </c>
      <c r="B197" s="20" t="str">
        <f>VLOOKUP(A197,PlayerDB!$F$2:$H3480,3,FALSE)</f>
        <v>RB</v>
      </c>
    </row>
    <row r="198">
      <c r="A198" t="str">
        <f>IFERROR(__xludf.DUMMYFUNCTION("""COMPUTED_VALUE"""),"Darnell Mooney – ATL")</f>
        <v>Darnell Mooney – ATL</v>
      </c>
      <c r="B198" s="20" t="str">
        <f>VLOOKUP(A198,PlayerDB!$F$2:$H3480,3,FALSE)</f>
        <v>WR</v>
      </c>
    </row>
    <row r="199">
      <c r="A199" t="str">
        <f>IFERROR(__xludf.DUMMYFUNCTION("""COMPUTED_VALUE"""),"Los Angeles Rams – LAR")</f>
        <v>Los Angeles Rams – LAR</v>
      </c>
      <c r="B199" s="20" t="str">
        <f>VLOOKUP(A199,PlayerDB!$F$2:$H3480,3,FALSE)</f>
        <v>D/ST</v>
      </c>
    </row>
    <row r="200">
      <c r="A200" t="str">
        <f>IFERROR(__xludf.DUMMYFUNCTION("""COMPUTED_VALUE"""),"Isaac Guerendo – SF")</f>
        <v>Isaac Guerendo – SF</v>
      </c>
      <c r="B200" s="20" t="str">
        <f>VLOOKUP(A200,PlayerDB!$F$2:$H3480,3,FALSE)</f>
        <v>RB</v>
      </c>
    </row>
    <row r="201">
      <c r="A201" t="str">
        <f>IFERROR(__xludf.DUMMYFUNCTION("""COMPUTED_VALUE"""),"Stefon Diggs – NE")</f>
        <v>Stefon Diggs – NE</v>
      </c>
      <c r="B201" s="20" t="str">
        <f>VLOOKUP(A201,PlayerDB!$F$2:$H3480,3,FALSE)</f>
        <v>WR</v>
      </c>
    </row>
    <row r="202">
      <c r="A202" t="str">
        <f>IFERROR(__xludf.DUMMYFUNCTION("""COMPUTED_VALUE"""),"Green Bay Packers – GB")</f>
        <v>Green Bay Packers – GB</v>
      </c>
      <c r="B202" s="20" t="str">
        <f>VLOOKUP(A202,PlayerDB!$F$2:$H3480,3,FALSE)</f>
        <v>D/ST</v>
      </c>
    </row>
    <row r="203">
      <c r="A203" t="str">
        <f>IFERROR(__xludf.DUMMYFUNCTION("""COMPUTED_VALUE"""),"Nick Chubb – HOU")</f>
        <v>Nick Chubb – HOU</v>
      </c>
      <c r="B203" s="20" t="str">
        <f>VLOOKUP(A203,PlayerDB!$F$2:$H3480,3,FALSE)</f>
        <v>RB</v>
      </c>
    </row>
    <row r="204">
      <c r="A204" t="str">
        <f>IFERROR(__xludf.DUMMYFUNCTION("""COMPUTED_VALUE"""),"Jordan Addison – MIN")</f>
        <v>Jordan Addison – MIN</v>
      </c>
      <c r="B204" s="20" t="str">
        <f>VLOOKUP(A204,PlayerDB!$F$2:$H3480,3,FALSE)</f>
        <v>WR</v>
      </c>
    </row>
    <row r="205">
      <c r="A205" t="str">
        <f>IFERROR(__xludf.DUMMYFUNCTION("""COMPUTED_VALUE"""),"Dallas Cowboys – DAL")</f>
        <v>Dallas Cowboys – DAL</v>
      </c>
      <c r="B205" s="20" t="str">
        <f>VLOOKUP(A205,PlayerDB!$F$2:$H3480,3,FALSE)</f>
        <v>D/ST</v>
      </c>
    </row>
    <row r="206">
      <c r="A206" t="str">
        <f>IFERROR(__xludf.DUMMYFUNCTION("""COMPUTED_VALUE"""),"Jaydon Blue – DAL")</f>
        <v>Jaydon Blue – DAL</v>
      </c>
      <c r="B206" s="20" t="str">
        <f>VLOOKUP(A206,PlayerDB!$F$2:$H3480,3,FALSE)</f>
        <v>RB</v>
      </c>
    </row>
    <row r="207">
      <c r="A207" t="str">
        <f>IFERROR(__xludf.DUMMYFUNCTION("""COMPUTED_VALUE"""),"Ricky Pearsall – SF")</f>
        <v>Ricky Pearsall – SF</v>
      </c>
      <c r="B207" s="20" t="str">
        <f>VLOOKUP(A207,PlayerDB!$F$2:$H3480,3,FALSE)</f>
        <v>WR</v>
      </c>
    </row>
    <row r="208">
      <c r="A208" t="str">
        <f>IFERROR(__xludf.DUMMYFUNCTION("""COMPUTED_VALUE"""),"New York Giants – NYG")</f>
        <v>New York Giants – NYG</v>
      </c>
      <c r="B208" s="20" t="str">
        <f>VLOOKUP(A208,PlayerDB!$F$2:$H3480,3,FALSE)</f>
        <v>D/ST</v>
      </c>
    </row>
    <row r="209">
      <c r="A209" t="str">
        <f>IFERROR(__xludf.DUMMYFUNCTION("""COMPUTED_VALUE"""),"Dylan Sampson – CLE")</f>
        <v>Dylan Sampson – CLE</v>
      </c>
      <c r="B209" s="20" t="str">
        <f>VLOOKUP(A209,PlayerDB!$F$2:$H3480,3,FALSE)</f>
        <v>RB</v>
      </c>
    </row>
    <row r="210">
      <c r="A210" t="str">
        <f>IFERROR(__xludf.DUMMYFUNCTION("""COMPUTED_VALUE"""),"Khalil Shakir – BUF")</f>
        <v>Khalil Shakir – BUF</v>
      </c>
      <c r="B210" s="20" t="str">
        <f>VLOOKUP(A210,PlayerDB!$F$2:$H3480,3,FALSE)</f>
        <v>WR</v>
      </c>
    </row>
    <row r="211">
      <c r="A211" t="str">
        <f>IFERROR(__xludf.DUMMYFUNCTION("""COMPUTED_VALUE"""),"Cleveland Browns – CLE")</f>
        <v>Cleveland Browns – CLE</v>
      </c>
      <c r="B211" s="20" t="str">
        <f>VLOOKUP(A211,PlayerDB!$F$2:$H3480,3,FALSE)</f>
        <v>D/ST</v>
      </c>
    </row>
    <row r="212">
      <c r="A212" t="str">
        <f>IFERROR(__xludf.DUMMYFUNCTION("""COMPUTED_VALUE"""),"Roschon Johnson – CHI")</f>
        <v>Roschon Johnson – CHI</v>
      </c>
      <c r="B212" s="20" t="str">
        <f>VLOOKUP(A212,PlayerDB!$F$2:$H3480,3,FALSE)</f>
        <v>RB</v>
      </c>
    </row>
    <row r="213">
      <c r="A213" t="str">
        <f>IFERROR(__xludf.DUMMYFUNCTION("""COMPUTED_VALUE"""),"Cooper Kupp – SEA")</f>
        <v>Cooper Kupp – SEA</v>
      </c>
      <c r="B213" s="20" t="str">
        <f>VLOOKUP(A213,PlayerDB!$F$2:$H3480,3,FALSE)</f>
        <v>WR</v>
      </c>
    </row>
    <row r="214">
      <c r="A214" t="str">
        <f>IFERROR(__xludf.DUMMYFUNCTION("""COMPUTED_VALUE"""),"San Francisco 49ers – SF")</f>
        <v>San Francisco 49ers – SF</v>
      </c>
      <c r="B214" s="20" t="str">
        <f>VLOOKUP(A214,PlayerDB!$F$2:$H3480,3,FALSE)</f>
        <v>D/ST</v>
      </c>
    </row>
    <row r="215">
      <c r="A215" t="str">
        <f>IFERROR(__xludf.DUMMYFUNCTION("""COMPUTED_VALUE"""),"Jaylen Wright – MIA")</f>
        <v>Jaylen Wright – MIA</v>
      </c>
      <c r="B215" s="20" t="str">
        <f>VLOOKUP(A215,PlayerDB!$F$2:$H3480,3,FALSE)</f>
        <v>RB</v>
      </c>
    </row>
    <row r="216">
      <c r="A216" t="str">
        <f>IFERROR(__xludf.DUMMYFUNCTION("""COMPUTED_VALUE"""),"Michael Pittman Jr. – IND")</f>
        <v>Michael Pittman Jr. – IND</v>
      </c>
      <c r="B216" s="20" t="str">
        <f>VLOOKUP(A216,PlayerDB!$F$2:$H3480,3,FALSE)</f>
        <v>WR</v>
      </c>
    </row>
    <row r="217">
      <c r="A217" t="str">
        <f>IFERROR(__xludf.DUMMYFUNCTION("""COMPUTED_VALUE"""),"Tampa Bay Buccaneers – TB")</f>
        <v>Tampa Bay Buccaneers – TB</v>
      </c>
      <c r="B217" s="20" t="str">
        <f>VLOOKUP(A217,PlayerDB!$F$2:$H3480,3,FALSE)</f>
        <v>D/ST</v>
      </c>
    </row>
    <row r="218">
      <c r="A218" t="str">
        <f>IFERROR(__xludf.DUMMYFUNCTION("""COMPUTED_VALUE"""),"Jaydon Blue – DAL")</f>
        <v>Jaydon Blue – DAL</v>
      </c>
      <c r="B218" s="20" t="str">
        <f>VLOOKUP(A218,PlayerDB!$F$2:$H3480,3,FALSE)</f>
        <v>RB</v>
      </c>
    </row>
    <row r="219">
      <c r="A219" t="str">
        <f>IFERROR(__xludf.DUMMYFUNCTION("""COMPUTED_VALUE"""),"Josh Downs – IND")</f>
        <v>Josh Downs – IND</v>
      </c>
      <c r="B219" s="20" t="str">
        <f>VLOOKUP(A219,PlayerDB!$F$2:$H3480,3,FALSE)</f>
        <v>WR</v>
      </c>
    </row>
    <row r="220">
      <c r="A220" t="str">
        <f>IFERROR(__xludf.DUMMYFUNCTION("""COMPUTED_VALUE"""),"Miami Dolphins – MIA")</f>
        <v>Miami Dolphins – MIA</v>
      </c>
      <c r="B220" s="20" t="str">
        <f>VLOOKUP(A220,PlayerDB!$F$2:$H3480,3,FALSE)</f>
        <v>D/ST</v>
      </c>
    </row>
    <row r="221">
      <c r="A221" t="str">
        <f>IFERROR(__xludf.DUMMYFUNCTION("""COMPUTED_VALUE"""),"Dylan Sampson – CLE")</f>
        <v>Dylan Sampson – CLE</v>
      </c>
      <c r="B221" s="20" t="str">
        <f>VLOOKUP(A221,PlayerDB!$F$2:$H3480,3,FALSE)</f>
        <v>RB</v>
      </c>
    </row>
    <row r="222">
      <c r="A222" t="str">
        <f>IFERROR(__xludf.DUMMYFUNCTION("""COMPUTED_VALUE"""),"Marvin Mims Jr. – DEN")</f>
        <v>Marvin Mims Jr. – DEN</v>
      </c>
      <c r="B222" s="20" t="str">
        <f>VLOOKUP(A222,PlayerDB!$F$2:$H3480,3,FALSE)</f>
        <v>WR</v>
      </c>
    </row>
    <row r="223">
      <c r="A223" t="str">
        <f>IFERROR(__xludf.DUMMYFUNCTION("""COMPUTED_VALUE"""),"Arizona Cardinals – ARI")</f>
        <v>Arizona Cardinals – ARI</v>
      </c>
      <c r="B223" s="20" t="str">
        <f>VLOOKUP(A223,PlayerDB!$F$2:$H3480,3,FALSE)</f>
        <v>D/ST</v>
      </c>
    </row>
    <row r="224">
      <c r="A224" t="str">
        <f>IFERROR(__xludf.DUMMYFUNCTION("""COMPUTED_VALUE"""),"Roschon Johnson – CHI")</f>
        <v>Roschon Johnson – CHI</v>
      </c>
      <c r="B224" s="20" t="str">
        <f>VLOOKUP(A224,PlayerDB!$F$2:$H3480,3,FALSE)</f>
        <v>RB</v>
      </c>
    </row>
    <row r="225">
      <c r="A225" t="str">
        <f>IFERROR(__xludf.DUMMYFUNCTION("""COMPUTED_VALUE"""),"Rashod Bateman – BAL")</f>
        <v>Rashod Bateman – BAL</v>
      </c>
      <c r="B225" s="20" t="str">
        <f>VLOOKUP(A225,PlayerDB!$F$2:$H3480,3,FALSE)</f>
        <v>WR</v>
      </c>
    </row>
    <row r="226">
      <c r="A226" t="str">
        <f>IFERROR(__xludf.DUMMYFUNCTION("""COMPUTED_VALUE"""),"Chicago Bears – CHI")</f>
        <v>Chicago Bears – CHI</v>
      </c>
      <c r="B226" s="20" t="str">
        <f>VLOOKUP(A226,PlayerDB!$F$2:$H3480,3,FALSE)</f>
        <v>D/ST</v>
      </c>
    </row>
    <row r="227">
      <c r="A227" t="str">
        <f>IFERROR(__xludf.DUMMYFUNCTION("""COMPUTED_VALUE"""),"Jaylen Wright – MIA")</f>
        <v>Jaylen Wright – MIA</v>
      </c>
      <c r="B227" s="20" t="str">
        <f>VLOOKUP(A227,PlayerDB!$F$2:$H3480,3,FALSE)</f>
        <v>RB</v>
      </c>
    </row>
    <row r="228">
      <c r="A228" t="str">
        <f>IFERROR(__xludf.DUMMYFUNCTION("""COMPUTED_VALUE"""),"Brandon Aiyuk – SF")</f>
        <v>Brandon Aiyuk – SF</v>
      </c>
      <c r="B228" s="20" t="str">
        <f>VLOOKUP(A228,PlayerDB!$F$2:$H3480,3,FALSE)</f>
        <v>WR</v>
      </c>
    </row>
    <row r="229">
      <c r="A229" t="str">
        <f>IFERROR(__xludf.DUMMYFUNCTION("""COMPUTED_VALUE"""),"New England Patriots – NE")</f>
        <v>New England Patriots – NE</v>
      </c>
      <c r="B229" s="20" t="str">
        <f>VLOOKUP(A229,PlayerDB!$F$2:$H3480,3,FALSE)</f>
        <v>D/ST</v>
      </c>
    </row>
    <row r="230">
      <c r="A230" t="str">
        <f>IFERROR(__xludf.DUMMYFUNCTION("""COMPUTED_VALUE"""),"Braelon Allen – NYJ")</f>
        <v>Braelon Allen – NYJ</v>
      </c>
      <c r="B230" s="20" t="str">
        <f>VLOOKUP(A230,PlayerDB!$F$2:$H3480,3,FALSE)</f>
        <v>RB</v>
      </c>
    </row>
    <row r="231">
      <c r="A231" t="str">
        <f>IFERROR(__xludf.DUMMYFUNCTION("""COMPUTED_VALUE"""),"Keenan Allen – LAC")</f>
        <v>Keenan Allen – LAC</v>
      </c>
      <c r="B231" s="20" t="str">
        <f>VLOOKUP(A231,PlayerDB!$F$2:$H3480,3,FALSE)</f>
        <v>WR</v>
      </c>
    </row>
    <row r="232">
      <c r="A232" t="str">
        <f>IFERROR(__xludf.DUMMYFUNCTION("""COMPUTED_VALUE"""),"Washington Commanders – WAS")</f>
        <v>Washington Commanders – WAS</v>
      </c>
      <c r="B232" s="20" t="str">
        <f>VLOOKUP(A232,PlayerDB!$F$2:$H3480,3,FALSE)</f>
        <v>D/ST</v>
      </c>
    </row>
    <row r="233">
      <c r="A233" t="str">
        <f>IFERROR(__xludf.DUMMYFUNCTION("""COMPUTED_VALUE"""),"Rico Dowdle – CAR")</f>
        <v>Rico Dowdle – CAR</v>
      </c>
      <c r="B233" s="20" t="str">
        <f>VLOOKUP(A233,PlayerDB!$F$2:$H3480,3,FALSE)</f>
        <v>RB</v>
      </c>
    </row>
    <row r="234">
      <c r="A234" t="str">
        <f>IFERROR(__xludf.DUMMYFUNCTION("""COMPUTED_VALUE"""),"Cedric Tillman – CLE")</f>
        <v>Cedric Tillman – CLE</v>
      </c>
      <c r="B234" s="20" t="str">
        <f>VLOOKUP(A234,PlayerDB!$F$2:$H3480,3,FALSE)</f>
        <v>WR</v>
      </c>
    </row>
    <row r="235">
      <c r="A235" t="str">
        <f>IFERROR(__xludf.DUMMYFUNCTION("""COMPUTED_VALUE"""),"Cincinnati Bengals – CIN")</f>
        <v>Cincinnati Bengals – CIN</v>
      </c>
      <c r="B235" s="20" t="str">
        <f>VLOOKUP(A235,PlayerDB!$F$2:$H3480,3,FALSE)</f>
        <v>D/ST</v>
      </c>
    </row>
    <row r="236">
      <c r="A236" t="str">
        <f>IFERROR(__xludf.DUMMYFUNCTION("""COMPUTED_VALUE"""),"Bhayshul Tuten – JAX")</f>
        <v>Bhayshul Tuten – JAX</v>
      </c>
      <c r="B236" s="20" t="str">
        <f>VLOOKUP(A236,PlayerDB!$F$2:$H3480,3,FALSE)</f>
        <v>RB</v>
      </c>
    </row>
    <row r="237">
      <c r="A237" t="str">
        <f>IFERROR(__xludf.DUMMYFUNCTION("""COMPUTED_VALUE"""),"Emeka Egbuka – TB")</f>
        <v>Emeka Egbuka – TB</v>
      </c>
      <c r="B237" s="20" t="str">
        <f>VLOOKUP(A237,PlayerDB!$F$2:$H3480,3,FALSE)</f>
        <v>WR</v>
      </c>
    </row>
    <row r="238">
      <c r="A238" t="str">
        <f>IFERROR(__xludf.DUMMYFUNCTION("""COMPUTED_VALUE"""),"Atlanta Falcons – ATL")</f>
        <v>Atlanta Falcons – ATL</v>
      </c>
      <c r="B238" s="20" t="str">
        <f>VLOOKUP(A238,PlayerDB!$F$2:$H3480,3,FALSE)</f>
        <v>D/ST</v>
      </c>
    </row>
    <row r="239">
      <c r="A239" t="str">
        <f>IFERROR(__xludf.DUMMYFUNCTION("""COMPUTED_VALUE"""),"Kendre Miller – NO")</f>
        <v>Kendre Miller – NO</v>
      </c>
      <c r="B239" s="20" t="str">
        <f>VLOOKUP(A239,PlayerDB!$F$2:$H3480,3,FALSE)</f>
        <v>RB</v>
      </c>
    </row>
    <row r="240">
      <c r="A240" t="str">
        <f>IFERROR(__xludf.DUMMYFUNCTION("""COMPUTED_VALUE"""),"Jayden Higgins – HOU")</f>
        <v>Jayden Higgins – HOU</v>
      </c>
      <c r="B240" s="20" t="str">
        <f>VLOOKUP(A240,PlayerDB!$F$2:$H3480,3,FALSE)</f>
        <v>WR</v>
      </c>
    </row>
    <row r="241">
      <c r="A241" t="str">
        <f>IFERROR(__xludf.DUMMYFUNCTION("""COMPUTED_VALUE"""),"New Orleans Saints – NO")</f>
        <v>New Orleans Saints – NO</v>
      </c>
      <c r="B241" s="20" t="str">
        <f>VLOOKUP(A241,PlayerDB!$F$2:$H3480,3,FALSE)</f>
        <v>D/ST</v>
      </c>
    </row>
    <row r="242">
      <c r="A242" t="str">
        <f>IFERROR(__xludf.DUMMYFUNCTION("""COMPUTED_VALUE"""),"Miles Sanders – DAL")</f>
        <v>Miles Sanders – DAL</v>
      </c>
      <c r="B242" s="20" t="str">
        <f>VLOOKUP(A242,PlayerDB!$F$2:$H3480,3,FALSE)</f>
        <v>RB</v>
      </c>
    </row>
    <row r="243">
      <c r="A243" t="str">
        <f>IFERROR(__xludf.DUMMYFUNCTION("""COMPUTED_VALUE"""),"Luther Burden III – CHI")</f>
        <v>Luther Burden III – CHI</v>
      </c>
      <c r="B243" s="20" t="str">
        <f>VLOOKUP(A243,PlayerDB!$F$2:$H3480,3,FALSE)</f>
        <v>WR</v>
      </c>
    </row>
    <row r="244">
      <c r="A244" t="str">
        <f>IFERROR(__xludf.DUMMYFUNCTION("""COMPUTED_VALUE"""),"Indianapolis Colts – IND")</f>
        <v>Indianapolis Colts – IND</v>
      </c>
      <c r="B244" s="20" t="str">
        <f>VLOOKUP(A244,PlayerDB!$F$2:$H3480,3,FALSE)</f>
        <v>D/ST</v>
      </c>
    </row>
    <row r="245">
      <c r="A245" t="str">
        <f>IFERROR(__xludf.DUMMYFUNCTION("""COMPUTED_VALUE"""),"Justice Hill – BAL")</f>
        <v>Justice Hill – BAL</v>
      </c>
      <c r="B245" s="20" t="str">
        <f>VLOOKUP(A245,PlayerDB!$F$2:$H3480,3,FALSE)</f>
        <v>RB</v>
      </c>
    </row>
    <row r="246">
      <c r="A246" t="str">
        <f>IFERROR(__xludf.DUMMYFUNCTION("""COMPUTED_VALUE"""),"Xavier Legette – CAR")</f>
        <v>Xavier Legette – CAR</v>
      </c>
      <c r="B246" s="20" t="str">
        <f>VLOOKUP(A246,PlayerDB!$F$2:$H3480,3,FALSE)</f>
        <v>WR</v>
      </c>
    </row>
    <row r="247">
      <c r="A247" t="str">
        <f>IFERROR(__xludf.DUMMYFUNCTION("""COMPUTED_VALUE"""),"Las Vegas Raiders – LV")</f>
        <v>Las Vegas Raiders – LV</v>
      </c>
      <c r="B247" s="20" t="str">
        <f>VLOOKUP(A247,PlayerDB!$F$2:$H3480,3,FALSE)</f>
        <v>D/ST</v>
      </c>
    </row>
    <row r="248">
      <c r="A248" t="str">
        <f>IFERROR(__xludf.DUMMYFUNCTION("""COMPUTED_VALUE"""),"Kareem Hunt – KC")</f>
        <v>Kareem Hunt – KC</v>
      </c>
      <c r="B248" s="20" t="str">
        <f>VLOOKUP(A248,PlayerDB!$F$2:$H3480,3,FALSE)</f>
        <v>RB</v>
      </c>
    </row>
    <row r="249">
      <c r="A249" t="str">
        <f>IFERROR(__xludf.DUMMYFUNCTION("""COMPUTED_VALUE"""),"Christian Kirk – HOU")</f>
        <v>Christian Kirk – HOU</v>
      </c>
      <c r="B249" s="20" t="str">
        <f>VLOOKUP(A249,PlayerDB!$F$2:$H3480,3,FALSE)</f>
        <v>WR</v>
      </c>
    </row>
    <row r="250">
      <c r="A250" t="str">
        <f>IFERROR(__xludf.DUMMYFUNCTION("""COMPUTED_VALUE"""),"Jacksonville Jaguars – JAC")</f>
        <v>Jacksonville Jaguars – JAC</v>
      </c>
      <c r="B250" s="20" t="str">
        <f>VLOOKUP(A250,PlayerDB!$F$2:$H3480,3,FALSE)</f>
        <v>D/ST</v>
      </c>
    </row>
    <row r="251">
      <c r="A251" t="str">
        <f>IFERROR(__xludf.DUMMYFUNCTION("""COMPUTED_VALUE"""),"MarShawn Lloyd – GB")</f>
        <v>MarShawn Lloyd – GB</v>
      </c>
      <c r="B251" s="20" t="str">
        <f>VLOOKUP(A251,PlayerDB!$F$2:$H3480,3,FALSE)</f>
        <v>RB</v>
      </c>
    </row>
    <row r="252">
      <c r="A252" t="str">
        <f>IFERROR(__xludf.DUMMYFUNCTION("""COMPUTED_VALUE"""),"Adam Thielen – CAR")</f>
        <v>Adam Thielen – CAR</v>
      </c>
      <c r="B252" s="20" t="str">
        <f>VLOOKUP(A252,PlayerDB!$F$2:$H3480,3,FALSE)</f>
        <v>WR</v>
      </c>
    </row>
    <row r="253">
      <c r="A253" t="str">
        <f>IFERROR(__xludf.DUMMYFUNCTION("""COMPUTED_VALUE"""),"Tennessee Titans – TEN")</f>
        <v>Tennessee Titans – TEN</v>
      </c>
      <c r="B253" s="20" t="str">
        <f>VLOOKUP(A253,PlayerDB!$F$2:$H3480,3,FALSE)</f>
        <v>D/ST</v>
      </c>
    </row>
    <row r="254">
      <c r="A254" t="str">
        <f>IFERROR(__xludf.DUMMYFUNCTION("""COMPUTED_VALUE"""),"Ty Johnson – BUF")</f>
        <v>Ty Johnson – BUF</v>
      </c>
      <c r="B254" s="20" t="str">
        <f>VLOOKUP(A254,PlayerDB!$F$2:$H3480,3,FALSE)</f>
        <v>RB</v>
      </c>
    </row>
    <row r="255">
      <c r="A255" t="str">
        <f>IFERROR(__xludf.DUMMYFUNCTION("""COMPUTED_VALUE"""),"Jack Bech – LV")</f>
        <v>Jack Bech – LV</v>
      </c>
      <c r="B255" s="20" t="str">
        <f>VLOOKUP(A255,PlayerDB!$F$2:$H3480,3,FALSE)</f>
        <v>WR</v>
      </c>
    </row>
    <row r="256">
      <c r="A256" t="str">
        <f>IFERROR(__xludf.DUMMYFUNCTION("""COMPUTED_VALUE"""),"Carolina Panthers – CAR")</f>
        <v>Carolina Panthers – CAR</v>
      </c>
      <c r="B256" s="20" t="str">
        <f>VLOOKUP(A256,PlayerDB!$F$2:$H3480,3,FALSE)</f>
        <v>D/ST</v>
      </c>
    </row>
    <row r="257">
      <c r="A257" t="str">
        <f>IFERROR(__xludf.DUMMYFUNCTION("""COMPUTED_VALUE"""),"Raheem Mostert – LV")</f>
        <v>Raheem Mostert – LV</v>
      </c>
      <c r="B257" s="20" t="str">
        <f>VLOOKUP(A257,PlayerDB!$F$2:$H3480,3,FALSE)</f>
        <v>RB</v>
      </c>
    </row>
    <row r="258">
      <c r="A258" t="str">
        <f>IFERROR(__xludf.DUMMYFUNCTION("""COMPUTED_VALUE"""),"Jalen McMillan – TB")</f>
        <v>Jalen McMillan – TB</v>
      </c>
      <c r="B258" s="20" t="str">
        <f>VLOOKUP(A258,PlayerDB!$F$2:$H3480,3,FALSE)</f>
        <v>WR</v>
      </c>
    </row>
    <row r="259">
      <c r="A259" t="str">
        <f>IFERROR(__xludf.DUMMYFUNCTION("""COMPUTED_VALUE"""),"Samaje Perine – CIN")</f>
        <v>Samaje Perine – CIN</v>
      </c>
      <c r="B259" s="20" t="str">
        <f>VLOOKUP(A259,PlayerDB!$F$2:$H3480,3,FALSE)</f>
        <v>RB</v>
      </c>
    </row>
    <row r="260">
      <c r="A260" t="str">
        <f>IFERROR(__xludf.DUMMYFUNCTION("""COMPUTED_VALUE"""),"Quentin Johnston – LAC")</f>
        <v>Quentin Johnston – LAC</v>
      </c>
      <c r="B260" s="20" t="str">
        <f>VLOOKUP(A260,PlayerDB!$F$2:$H3480,3,FALSE)</f>
        <v>WR</v>
      </c>
    </row>
    <row r="261">
      <c r="A261" t="str">
        <f>IFERROR(__xludf.DUMMYFUNCTION("""COMPUTED_VALUE"""),"Keaton Mitchell – BAL")</f>
        <v>Keaton Mitchell – BAL</v>
      </c>
      <c r="B261" s="20" t="str">
        <f>VLOOKUP(A261,PlayerDB!$F$2:$H3480,3,FALSE)</f>
        <v>RB</v>
      </c>
    </row>
    <row r="262">
      <c r="A262" t="str">
        <f>IFERROR(__xludf.DUMMYFUNCTION("""COMPUTED_VALUE"""),"Tyler Lockett – TEN")</f>
        <v>Tyler Lockett – TEN</v>
      </c>
      <c r="B262" s="20" t="str">
        <f>VLOOKUP(A262,PlayerDB!$F$2:$H3480,3,FALSE)</f>
        <v>WR</v>
      </c>
    </row>
    <row r="263">
      <c r="A263" t="str">
        <f>IFERROR(__xludf.DUMMYFUNCTION("""COMPUTED_VALUE"""),"Blake Corum – LAR")</f>
        <v>Blake Corum – LAR</v>
      </c>
      <c r="B263" s="20" t="str">
        <f>VLOOKUP(A263,PlayerDB!$F$2:$H3480,3,FALSE)</f>
        <v>RB</v>
      </c>
    </row>
    <row r="264">
      <c r="A264" t="str">
        <f>IFERROR(__xludf.DUMMYFUNCTION("""COMPUTED_VALUE"""),"Michael Wilson – ARI")</f>
        <v>Michael Wilson – ARI</v>
      </c>
      <c r="B264" s="20" t="str">
        <f>VLOOKUP(A264,PlayerDB!$F$2:$H3480,3,FALSE)</f>
        <v>WR</v>
      </c>
    </row>
    <row r="265">
      <c r="A265" t="str">
        <f>IFERROR(__xludf.DUMMYFUNCTION("""COMPUTED_VALUE"""),"Alexander Mattison – MIA")</f>
        <v>Alexander Mattison – MIA</v>
      </c>
      <c r="B265" s="20" t="str">
        <f>VLOOKUP(A265,PlayerDB!$F$2:$H3480,3,FALSE)</f>
        <v>RB</v>
      </c>
    </row>
    <row r="266">
      <c r="A266" t="str">
        <f>IFERROR(__xludf.DUMMYFUNCTION("""COMPUTED_VALUE"""),"Calvin Austin III – PIT")</f>
        <v>Calvin Austin III – PIT</v>
      </c>
      <c r="B266" s="20" t="str">
        <f>VLOOKUP(A266,PlayerDB!$F$2:$H3480,3,FALSE)</f>
        <v>WR</v>
      </c>
    </row>
    <row r="267">
      <c r="A267" t="str">
        <f>IFERROR(__xludf.DUMMYFUNCTION("""COMPUTED_VALUE"""),"Woody Marks – HOU")</f>
        <v>Woody Marks – HOU</v>
      </c>
      <c r="B267" s="20" t="str">
        <f>VLOOKUP(A267,PlayerDB!$F$2:$H3480,3,FALSE)</f>
        <v>RB</v>
      </c>
    </row>
    <row r="268">
      <c r="A268" t="str">
        <f>IFERROR(__xludf.DUMMYFUNCTION("""COMPUTED_VALUE"""),"DeMario Douglas – NE")</f>
        <v>DeMario Douglas – NE</v>
      </c>
      <c r="B268" s="20" t="str">
        <f>VLOOKUP(A268,PlayerDB!$F$2:$H3480,3,FALSE)</f>
        <v>WR</v>
      </c>
    </row>
    <row r="269">
      <c r="A269" t="str">
        <f>IFERROR(__xludf.DUMMYFUNCTION("""COMPUTED_VALUE"""),"Emanuel Wilson – GB")</f>
        <v>Emanuel Wilson – GB</v>
      </c>
      <c r="B269" s="20" t="str">
        <f>VLOOKUP(A269,PlayerDB!$F$2:$H3480,3,FALSE)</f>
        <v>RB</v>
      </c>
    </row>
    <row r="270">
      <c r="A270" t="str">
        <f>IFERROR(__xludf.DUMMYFUNCTION("""COMPUTED_VALUE"""),"Alec Pierce – IND")</f>
        <v>Alec Pierce – IND</v>
      </c>
      <c r="B270" s="20" t="str">
        <f>VLOOKUP(A270,PlayerDB!$F$2:$H3480,3,FALSE)</f>
        <v>WR</v>
      </c>
    </row>
    <row r="271">
      <c r="A271" t="str">
        <f>IFERROR(__xludf.DUMMYFUNCTION("""COMPUTED_VALUE"""),"Elijah Mitchell – KC")</f>
        <v>Elijah Mitchell – KC</v>
      </c>
      <c r="B271" s="20" t="str">
        <f>VLOOKUP(A271,PlayerDB!$F$2:$H3480,3,FALSE)</f>
        <v>RB</v>
      </c>
    </row>
    <row r="272">
      <c r="A272" t="str">
        <f>IFERROR(__xludf.DUMMYFUNCTION("""COMPUTED_VALUE"""),"Diontae Johnson – CLE")</f>
        <v>Diontae Johnson – CLE</v>
      </c>
      <c r="B272" s="20" t="str">
        <f>VLOOKUP(A272,PlayerDB!$F$2:$H3480,3,FALSE)</f>
        <v>WR</v>
      </c>
    </row>
    <row r="273">
      <c r="A273" t="str">
        <f>IFERROR(__xludf.DUMMYFUNCTION("""COMPUTED_VALUE"""),"Tahj Brooks – CIN")</f>
        <v>Tahj Brooks – CIN</v>
      </c>
      <c r="B273" s="20" t="str">
        <f>VLOOKUP(A273,PlayerDB!$F$2:$H3480,3,FALSE)</f>
        <v>RB</v>
      </c>
    </row>
    <row r="274">
      <c r="A274" t="str">
        <f>IFERROR(__xludf.DUMMYFUNCTION("""COMPUTED_VALUE"""),"Kyle Williams – NE")</f>
        <v>Kyle Williams – NE</v>
      </c>
      <c r="B274" s="20" t="str">
        <f>VLOOKUP(A274,PlayerDB!$F$2:$H3480,3,FALSE)</f>
        <v>WR</v>
      </c>
    </row>
    <row r="275">
      <c r="A275" t="str">
        <f>IFERROR(__xludf.DUMMYFUNCTION("""COMPUTED_VALUE"""),"Jarquez Hunter – LAR")</f>
        <v>Jarquez Hunter – LAR</v>
      </c>
      <c r="B275" s="20" t="str">
        <f>VLOOKUP(A275,PlayerDB!$F$2:$H3480,3,FALSE)</f>
        <v>RB</v>
      </c>
    </row>
    <row r="276">
      <c r="A276" t="str">
        <f>IFERROR(__xludf.DUMMYFUNCTION("""COMPUTED_VALUE"""),"Dyami Brown – JAX")</f>
        <v>Dyami Brown – JAX</v>
      </c>
      <c r="B276" s="20" t="str">
        <f>VLOOKUP(A276,PlayerDB!$F$2:$H3480,3,FALSE)</f>
        <v>WR</v>
      </c>
    </row>
    <row r="277">
      <c r="A277" t="str">
        <f>IFERROR(__xludf.DUMMYFUNCTION("""COMPUTED_VALUE"""),"Khalil Herbert – IND")</f>
        <v>Khalil Herbert – IND</v>
      </c>
      <c r="B277" s="20" t="str">
        <f>VLOOKUP(A277,PlayerDB!$F$2:$H3480,3,FALSE)</f>
        <v>RB</v>
      </c>
    </row>
    <row r="278">
      <c r="A278" t="str">
        <f>IFERROR(__xludf.DUMMYFUNCTION("""COMPUTED_VALUE"""),"Tutu Atwell – LAR")</f>
        <v>Tutu Atwell – LAR</v>
      </c>
      <c r="B278" s="20" t="str">
        <f>VLOOKUP(A278,PlayerDB!$F$2:$H3480,3,FALSE)</f>
        <v>WR</v>
      </c>
    </row>
    <row r="279">
      <c r="A279" t="str">
        <f>IFERROR(__xludf.DUMMYFUNCTION("""COMPUTED_VALUE"""),"A.J. Dillon – PHI")</f>
        <v>A.J. Dillon – PHI</v>
      </c>
      <c r="B279" s="20" t="str">
        <f>VLOOKUP(A279,PlayerDB!$F$2:$H3480,3,FALSE)</f>
        <v>RB</v>
      </c>
    </row>
    <row r="280">
      <c r="A280" t="str">
        <f>IFERROR(__xludf.DUMMYFUNCTION("""COMPUTED_VALUE"""),"Darius Slayton – NYG")</f>
        <v>Darius Slayton – NYG</v>
      </c>
      <c r="B280" s="20" t="str">
        <f>VLOOKUP(A280,PlayerDB!$F$2:$H3480,3,FALSE)</f>
        <v>WR</v>
      </c>
    </row>
    <row r="281">
      <c r="A281" t="str">
        <f>IFERROR(__xludf.DUMMYFUNCTION("""COMPUTED_VALUE"""),"Will Shipley – PHI")</f>
        <v>Will Shipley – PHI</v>
      </c>
      <c r="B281" s="20" t="str">
        <f>VLOOKUP(A281,PlayerDB!$F$2:$H3480,3,FALSE)</f>
        <v>RB</v>
      </c>
    </row>
    <row r="282">
      <c r="A282" t="str">
        <f>IFERROR(__xludf.DUMMYFUNCTION("""COMPUTED_VALUE"""),"DeAndre Hopkins – BAL")</f>
        <v>DeAndre Hopkins – BAL</v>
      </c>
      <c r="B282" s="20" t="str">
        <f>VLOOKUP(A282,PlayerDB!$F$2:$H3480,3,FALSE)</f>
        <v>WR</v>
      </c>
    </row>
    <row r="283">
      <c r="A283" t="str">
        <f>IFERROR(__xludf.DUMMYFUNCTION("""COMPUTED_VALUE"""),"Sean Tucker – TB")</f>
        <v>Sean Tucker – TB</v>
      </c>
      <c r="B283" s="20" t="str">
        <f>VLOOKUP(A283,PlayerDB!$F$2:$H3480,3,FALSE)</f>
        <v>RB</v>
      </c>
    </row>
    <row r="284">
      <c r="A284" t="str">
        <f>IFERROR(__xludf.DUMMYFUNCTION("""COMPUTED_VALUE"""),"Marquise Brown – KC")</f>
        <v>Marquise Brown – KC</v>
      </c>
      <c r="B284" s="20" t="str">
        <f>VLOOKUP(A284,PlayerDB!$F$2:$H3480,3,FALSE)</f>
        <v>WR</v>
      </c>
    </row>
    <row r="285">
      <c r="A285" t="str">
        <f>IFERROR(__xludf.DUMMYFUNCTION("""COMPUTED_VALUE"""),"Kenneth Gainwell – PIT")</f>
        <v>Kenneth Gainwell – PIT</v>
      </c>
      <c r="B285" s="20" t="str">
        <f>VLOOKUP(A285,PlayerDB!$F$2:$H3480,3,FALSE)</f>
        <v>RB</v>
      </c>
    </row>
    <row r="286">
      <c r="A286" t="str">
        <f>IFERROR(__xludf.DUMMYFUNCTION("""COMPUTED_VALUE"""),"Jalen McMillan – TB")</f>
        <v>Jalen McMillan – TB</v>
      </c>
      <c r="B286" s="20" t="str">
        <f>VLOOKUP(A286,PlayerDB!$F$2:$H3480,3,FALSE)</f>
        <v>WR</v>
      </c>
    </row>
    <row r="287">
      <c r="A287" t="str">
        <f>IFERROR(__xludf.DUMMYFUNCTION("""COMPUTED_VALUE"""),"Kyle Monangai – CHI")</f>
        <v>Kyle Monangai – CHI</v>
      </c>
      <c r="B287" s="20" t="str">
        <f>VLOOKUP(A287,PlayerDB!$F$2:$H3480,3,FALSE)</f>
        <v>RB</v>
      </c>
    </row>
    <row r="288">
      <c r="A288" t="str">
        <f>IFERROR(__xludf.DUMMYFUNCTION("""COMPUTED_VALUE"""),"Donte Thornton Jr. – LV")</f>
        <v>Donte Thornton Jr. – LV</v>
      </c>
      <c r="B288" s="20" t="str">
        <f>VLOOKUP(A288,PlayerDB!$F$2:$H3480,3,FALSE)</f>
        <v>WR</v>
      </c>
    </row>
    <row r="289">
      <c r="A289" t="str">
        <f>IFERROR(__xludf.DUMMYFUNCTION("""COMPUTED_VALUE"""),"Trevor Etienne – CAR")</f>
        <v>Trevor Etienne – CAR</v>
      </c>
      <c r="B289" s="20" t="str">
        <f>VLOOKUP(A289,PlayerDB!$F$2:$H3480,3,FALSE)</f>
        <v>RB</v>
      </c>
    </row>
    <row r="290">
      <c r="A290" t="str">
        <f>IFERROR(__xludf.DUMMYFUNCTION("""COMPUTED_VALUE"""),"Devaughn Vele – DEN")</f>
        <v>Devaughn Vele – DEN</v>
      </c>
      <c r="B290" s="20" t="str">
        <f>VLOOKUP(A290,PlayerDB!$F$2:$H3480,3,FALSE)</f>
        <v>WR</v>
      </c>
    </row>
    <row r="291">
      <c r="A291" t="str">
        <f>IFERROR(__xludf.DUMMYFUNCTION("""COMPUTED_VALUE"""),"Antonio Gibson – NE")</f>
        <v>Antonio Gibson – NE</v>
      </c>
      <c r="B291" s="20" t="str">
        <f>VLOOKUP(A291,PlayerDB!$F$2:$H3480,3,FALSE)</f>
        <v>RB</v>
      </c>
    </row>
    <row r="292">
      <c r="A292" t="str">
        <f>IFERROR(__xludf.DUMMYFUNCTION("""COMPUTED_VALUE"""),"Isaiah Bond – TEX")</f>
        <v>Isaiah Bond – TEX</v>
      </c>
      <c r="B292" s="20" t="str">
        <f>VLOOKUP(A292,PlayerDB!$F$2:$H3480,3,FALSE)</f>
        <v>WR</v>
      </c>
    </row>
    <row r="293">
      <c r="A293" t="str">
        <f>IFERROR(__xludf.DUMMYFUNCTION("""COMPUTED_VALUE"""),"Robbie Ouzts – SEA")</f>
        <v>Robbie Ouzts – SEA</v>
      </c>
      <c r="B293" s="20" t="str">
        <f>VLOOKUP(A293,PlayerDB!$F$2:$H3480,3,FALSE)</f>
        <v>RB</v>
      </c>
    </row>
    <row r="294">
      <c r="A294" t="str">
        <f>IFERROR(__xludf.DUMMYFUNCTION("""COMPUTED_VALUE"""),"Jordan Whittington – LAR")</f>
        <v>Jordan Whittington – LAR</v>
      </c>
      <c r="B294" s="20" t="str">
        <f>VLOOKUP(A294,PlayerDB!$F$2:$H3480,3,FALSE)</f>
        <v>WR</v>
      </c>
    </row>
    <row r="295">
      <c r="A295" t="str">
        <f>IFERROR(__xludf.DUMMYFUNCTION("""COMPUTED_VALUE"""),"Devin Singletary – NYG")</f>
        <v>Devin Singletary – NYG</v>
      </c>
      <c r="B295" s="20" t="str">
        <f>VLOOKUP(A295,PlayerDB!$F$2:$H3480,3,FALSE)</f>
        <v>RB</v>
      </c>
    </row>
    <row r="296">
      <c r="A296" t="str">
        <f>IFERROR(__xludf.DUMMYFUNCTION("""COMPUTED_VALUE"""),"Ja’Corey Brooks – FA")</f>
        <v>Ja’Corey Brooks – FA</v>
      </c>
      <c r="B296" s="20" t="str">
        <f>VLOOKUP(A296,PlayerDB!$F$2:$H3480,3,FALSE)</f>
        <v>WR</v>
      </c>
    </row>
    <row r="297">
      <c r="A297" t="str">
        <f>IFERROR(__xludf.DUMMYFUNCTION("""COMPUTED_VALUE"""),"Devin Neal – NO")</f>
        <v>Devin Neal – NO</v>
      </c>
      <c r="B297" s="20" t="str">
        <f>VLOOKUP(A297,PlayerDB!$F$2:$H3480,3,FALSE)</f>
        <v>RB</v>
      </c>
    </row>
    <row r="298">
      <c r="A298" t="str">
        <f>IFERROR(__xludf.DUMMYFUNCTION("""COMPUTED_VALUE"""),"Beaux Collins – FA")</f>
        <v>Beaux Collins – FA</v>
      </c>
      <c r="B298" s="20" t="str">
        <f>VLOOKUP(A298,PlayerDB!$F$2:$H3480,3,FALSE)</f>
        <v>WR</v>
      </c>
    </row>
    <row r="299">
      <c r="A299" t="str">
        <f>IFERROR(__xludf.DUMMYFUNCTION("""COMPUTED_VALUE"""),"Dameon Pierce – HOU")</f>
        <v>Dameon Pierce – HOU</v>
      </c>
      <c r="B299" s="20" t="str">
        <f>VLOOKUP(A299,PlayerDB!$F$2:$H3480,3,FALSE)</f>
        <v>RB</v>
      </c>
    </row>
    <row r="300">
      <c r="A300" t="str">
        <f>IFERROR(__xludf.DUMMYFUNCTION("""COMPUTED_VALUE"""),"Andrew Armstrong – FA")</f>
        <v>Andrew Armstrong – FA</v>
      </c>
      <c r="B300" s="20" t="str">
        <f>VLOOKUP(A300,PlayerDB!$F$2:$H3480,3,FALSE)</f>
        <v>WR</v>
      </c>
    </row>
    <row r="301">
      <c r="A301" t="str">
        <f>IFERROR(__xludf.DUMMYFUNCTION("""COMPUTED_VALUE"""),"Jacory Croskey-Merritt – WAS")</f>
        <v>Jacory Croskey-Merritt – WAS</v>
      </c>
      <c r="B301" s="20" t="str">
        <f>VLOOKUP(A301,PlayerDB!$F$2:$H3480,3,FALSE)</f>
        <v>RB</v>
      </c>
    </row>
    <row r="302">
      <c r="A302" t="str">
        <f>IFERROR(__xludf.DUMMYFUNCTION("""COMPUTED_VALUE"""),"LaJohntay Wester – FA")</f>
        <v>LaJohntay Wester – FA</v>
      </c>
      <c r="B302" s="20" t="str">
        <f>VLOOKUP(A302,PlayerDB!$F$2:$H3480,3,FALSE)</f>
        <v>WR</v>
      </c>
    </row>
    <row r="303">
      <c r="A303" t="str">
        <f>IFERROR(__xludf.DUMMYFUNCTION("""COMPUTED_VALUE"""),"Jordan James – SF")</f>
        <v>Jordan James – SF</v>
      </c>
      <c r="B303" s="20" t="str">
        <f>VLOOKUP(A303,PlayerDB!$F$2:$H3480,3,FALSE)</f>
        <v>RB</v>
      </c>
    </row>
    <row r="304">
      <c r="A304" t="str">
        <f>IFERROR(__xludf.DUMMYFUNCTION("""COMPUTED_VALUE"""),"Antwane Wells Jr. – FA")</f>
        <v>Antwane Wells Jr. – FA</v>
      </c>
      <c r="B304" s="20" t="str">
        <f>VLOOKUP(A304,PlayerDB!$F$2:$H3480,3,FALSE)</f>
        <v>WR</v>
      </c>
    </row>
    <row r="305">
      <c r="A305" t="str">
        <f>IFERROR(__xludf.DUMMYFUNCTION("""COMPUTED_VALUE"""),"Ameer Abdullah – SF")</f>
        <v>Ameer Abdullah – SF</v>
      </c>
      <c r="B305" s="20" t="str">
        <f>VLOOKUP(A305,PlayerDB!$F$2:$H3480,3,FALSE)</f>
        <v>RB</v>
      </c>
    </row>
    <row r="306">
      <c r="A306" t="str">
        <f>IFERROR(__xludf.DUMMYFUNCTION("""COMPUTED_VALUE"""),"Tyjae Spears – TEN")</f>
        <v>Tyjae Spears – TEN</v>
      </c>
      <c r="B306" s="20" t="str">
        <f>VLOOKUP(A306,PlayerDB!$F$2:$H3480,3,FALSE)</f>
        <v>RB</v>
      </c>
    </row>
    <row r="307">
      <c r="A307" t="str">
        <f>IFERROR(__xludf.DUMMYFUNCTION("""COMPUTED_VALUE"""),"DJ Giddens – IND")</f>
        <v>DJ Giddens – IND</v>
      </c>
      <c r="B307" s="20" t="str">
        <f>VLOOKUP(A307,PlayerDB!$F$2:$H3480,3,FALSE)</f>
        <v>RB</v>
      </c>
    </row>
    <row r="308">
      <c r="A308" t="str">
        <f>IFERROR(__xludf.DUMMYFUNCTION("""COMPUTED_VALUE"""),"Van Jefferson – TEN")</f>
        <v>Van Jefferson – TEN</v>
      </c>
      <c r="B308" s="20" t="str">
        <f>VLOOKUP(A308,PlayerDB!$F$2:$H3480,3,FALSE)</f>
        <v>WR</v>
      </c>
    </row>
    <row r="309">
      <c r="A309" t="str">
        <f>IFERROR(__xludf.DUMMYFUNCTION("""COMPUTED_VALUE"""),"Jaleel McLaughlin – DEN")</f>
        <v>Jaleel McLaughlin – DEN</v>
      </c>
      <c r="B309" s="20" t="str">
        <f>VLOOKUP(A309,PlayerDB!$F$2:$H3480,3,FALSE)</f>
        <v>RB</v>
      </c>
    </row>
    <row r="310">
      <c r="A310" t="str">
        <f>IFERROR(__xludf.DUMMYFUNCTION("""COMPUTED_VALUE"""),"Jermaine Burton – CIN")</f>
        <v>Jermaine Burton – CIN</v>
      </c>
      <c r="B310" s="20" t="str">
        <f>VLOOKUP(A310,PlayerDB!$F$2:$H3480,3,FALSE)</f>
        <v>WR</v>
      </c>
    </row>
    <row r="311">
      <c r="A311" t="str">
        <f>IFERROR(__xludf.DUMMYFUNCTION("""COMPUTED_VALUE"""),"Kyle Juszczyk – SF")</f>
        <v>Kyle Juszczyk – SF</v>
      </c>
      <c r="B311" s="20" t="str">
        <f>VLOOKUP(A311,PlayerDB!$F$2:$H3480,3,FALSE)</f>
        <v>RB</v>
      </c>
    </row>
    <row r="312">
      <c r="A312" t="str">
        <f>IFERROR(__xludf.DUMMYFUNCTION("""COMPUTED_VALUE"""),"K.J. Osborn – WAS")</f>
        <v>K.J. Osborn – WAS</v>
      </c>
      <c r="B312" s="20" t="str">
        <f>VLOOKUP(A312,PlayerDB!$F$2:$H3480,3,FALSE)</f>
        <v>WR</v>
      </c>
    </row>
    <row r="313">
      <c r="A313" t="str">
        <f>IFERROR(__xludf.DUMMYFUNCTION("""COMPUTED_VALUE"""),"Emari Demercado – ARI")</f>
        <v>Emari Demercado – ARI</v>
      </c>
      <c r="B313" s="20" t="str">
        <f>VLOOKUP(A313,PlayerDB!$F$2:$H3480,3,FALSE)</f>
        <v>RB</v>
      </c>
    </row>
    <row r="314">
      <c r="A314" t="str">
        <f>IFERROR(__xludf.DUMMYFUNCTION("""COMPUTED_VALUE"""),"JuJu Smith-Schuster – KC")</f>
        <v>JuJu Smith-Schuster – KC</v>
      </c>
      <c r="B314" s="20" t="str">
        <f>VLOOKUP(A314,PlayerDB!$F$2:$H3480,3,FALSE)</f>
        <v>WR</v>
      </c>
    </row>
    <row r="315">
      <c r="A315" t="str">
        <f>IFERROR(__xludf.DUMMYFUNCTION("""COMPUTED_VALUE"""),"Amar Johnson – GB")</f>
        <v>Amar Johnson – GB</v>
      </c>
      <c r="B315" s="20" t="str">
        <f>VLOOKUP(A315,PlayerDB!$F$2:$H3480,3,FALSE)</f>
        <v>RB</v>
      </c>
    </row>
    <row r="316">
      <c r="A316" t="str">
        <f>IFERROR(__xludf.DUMMYFUNCTION("""COMPUTED_VALUE"""),"Ty Felton – MIN")</f>
        <v>Ty Felton – MIN</v>
      </c>
      <c r="B316" s="20" t="str">
        <f>VLOOKUP(A316,PlayerDB!$F$2:$H3480,3,FALSE)</f>
        <v>WR</v>
      </c>
    </row>
    <row r="317">
      <c r="A317" t="str">
        <f>IFERROR(__xludf.DUMMYFUNCTION("""COMPUTED_VALUE"""),"Brashard Smith – KC")</f>
        <v>Brashard Smith – KC</v>
      </c>
      <c r="B317" s="20" t="str">
        <f>VLOOKUP(A317,PlayerDB!$F$2:$H3480,3,FALSE)</f>
        <v>RB</v>
      </c>
    </row>
    <row r="318">
      <c r="A318" t="str">
        <f>IFERROR(__xludf.DUMMYFUNCTION("""COMPUTED_VALUE"""),"Anthony Miller – BAL")</f>
        <v>Anthony Miller – BAL</v>
      </c>
      <c r="B318" s="20" t="str">
        <f>VLOOKUP(A318,PlayerDB!$F$2:$H3480,3,FALSE)</f>
        <v>WR</v>
      </c>
    </row>
    <row r="319">
      <c r="A319" t="str">
        <f>IFERROR(__xludf.DUMMYFUNCTION("""COMPUTED_VALUE"""),"Isaiah Davis – NYJ")</f>
        <v>Isaiah Davis – NYJ</v>
      </c>
      <c r="B319" s="20" t="str">
        <f>VLOOKUP(A319,PlayerDB!$F$2:$H3480,3,FALSE)</f>
        <v>RB</v>
      </c>
    </row>
    <row r="320">
      <c r="A320" t="str">
        <f>IFERROR(__xludf.DUMMYFUNCTION("""COMPUTED_VALUE"""),"Elijah Moore – BUF")</f>
        <v>Elijah Moore – BUF</v>
      </c>
      <c r="B320" s="20" t="str">
        <f>VLOOKUP(A320,PlayerDB!$F$2:$H3480,3,FALSE)</f>
        <v>WR</v>
      </c>
    </row>
    <row r="321">
      <c r="A321" t="str">
        <f>IFERROR(__xludf.DUMMYFUNCTION("""COMPUTED_VALUE"""),"Chris Rodriguez Jr. – WAS")</f>
        <v>Chris Rodriguez Jr. – WAS</v>
      </c>
      <c r="B321" s="20" t="str">
        <f>VLOOKUP(A321,PlayerDB!$F$2:$H3480,3,FALSE)</f>
        <v>RB</v>
      </c>
    </row>
    <row r="322">
      <c r="A322" t="str">
        <f>IFERROR(__xludf.DUMMYFUNCTION("""COMPUTED_VALUE"""),"Josh Palmer – BUF")</f>
        <v>Josh Palmer – BUF</v>
      </c>
      <c r="B322" s="20" t="str">
        <f>VLOOKUP(A322,PlayerDB!$F$2:$H3480,3,FALSE)</f>
        <v>WR</v>
      </c>
    </row>
    <row r="323">
      <c r="A323" t="str">
        <f>IFERROR(__xludf.DUMMYFUNCTION("""COMPUTED_VALUE"""),"Audric Estime – DEN")</f>
        <v>Audric Estime – DEN</v>
      </c>
      <c r="B323" s="20" t="str">
        <f>VLOOKUP(A323,PlayerDB!$F$2:$H3480,3,FALSE)</f>
        <v>RB</v>
      </c>
    </row>
    <row r="324">
      <c r="A324" t="str">
        <f>IFERROR(__xludf.DUMMYFUNCTION("""COMPUTED_VALUE"""),"Kalif Raymond – DET")</f>
        <v>Kalif Raymond – DET</v>
      </c>
      <c r="B324" s="20" t="str">
        <f>VLOOKUP(A324,PlayerDB!$F$2:$H3480,3,FALSE)</f>
        <v>WR</v>
      </c>
    </row>
    <row r="325">
      <c r="A325" t="str">
        <f>IFERROR(__xludf.DUMMYFUNCTION("""COMPUTED_VALUE"""),"Damien Martinez – SEA")</f>
        <v>Damien Martinez – SEA</v>
      </c>
      <c r="B325" s="20" t="str">
        <f>VLOOKUP(A325,PlayerDB!$F$2:$H3480,3,FALSE)</f>
        <v>RB</v>
      </c>
    </row>
    <row r="326">
      <c r="A326" t="str">
        <f>IFERROR(__xludf.DUMMYFUNCTION("""COMPUTED_VALUE"""),"Robert Woods – PIT")</f>
        <v>Robert Woods – PIT</v>
      </c>
      <c r="B326" s="20" t="str">
        <f>VLOOKUP(A326,PlayerDB!$F$2:$H3480,3,FALSE)</f>
        <v>WR</v>
      </c>
    </row>
    <row r="327">
      <c r="A327" t="str">
        <f>IFERROR(__xludf.DUMMYFUNCTION("""COMPUTED_VALUE"""),"Chris Brooks – GB")</f>
        <v>Chris Brooks – GB</v>
      </c>
      <c r="B327" s="20" t="str">
        <f>VLOOKUP(A327,PlayerDB!$F$2:$H3480,3,FALSE)</f>
        <v>RB</v>
      </c>
    </row>
    <row r="328">
      <c r="A328" t="str">
        <f>IFERROR(__xludf.DUMMYFUNCTION("""COMPUTED_VALUE"""),"Zay Jones – ARI")</f>
        <v>Zay Jones – ARI</v>
      </c>
      <c r="B328" s="20" t="str">
        <f>VLOOKUP(A328,PlayerDB!$F$2:$H3480,3,FALSE)</f>
        <v>WR</v>
      </c>
    </row>
    <row r="329">
      <c r="A329" t="str">
        <f>IFERROR(__xludf.DUMMYFUNCTION("""COMPUTED_VALUE"""),"Ollie Gordon II – MIA")</f>
        <v>Ollie Gordon II – MIA</v>
      </c>
      <c r="B329" s="20" t="str">
        <f>VLOOKUP(A329,PlayerDB!$F$2:$H3480,3,FALSE)</f>
        <v>RB</v>
      </c>
    </row>
    <row r="330">
      <c r="A330" t="str">
        <f>IFERROR(__xludf.DUMMYFUNCTION("""COMPUTED_VALUE"""),"Jalin Hyatt – NYG")</f>
        <v>Jalin Hyatt – NYG</v>
      </c>
      <c r="B330" s="20" t="str">
        <f>VLOOKUP(A330,PlayerDB!$F$2:$H3480,3,FALSE)</f>
        <v>WR</v>
      </c>
    </row>
    <row r="331">
      <c r="B331" s="20" t="str">
        <f>VLOOKUP(A331,PlayerDB!$F$2:$H3480,3,FALSE)</f>
        <v>#N/A</v>
      </c>
    </row>
    <row r="332">
      <c r="B332" s="20" t="str">
        <f>VLOOKUP(A332,PlayerDB!$F$2:$H3480,3,FALSE)</f>
        <v>#N/A</v>
      </c>
    </row>
    <row r="333">
      <c r="B333" s="20" t="str">
        <f>VLOOKUP(A333,PlayerDB!$F$2:$H3480,3,FALSE)</f>
        <v>#N/A</v>
      </c>
    </row>
    <row r="334">
      <c r="B334" s="20" t="str">
        <f>VLOOKUP(A334,PlayerDB!$F$2:$H3480,3,FALSE)</f>
        <v>#N/A</v>
      </c>
    </row>
    <row r="335">
      <c r="B335" s="20" t="str">
        <f>VLOOKUP(A335,PlayerDB!$F$2:$H3480,3,FALSE)</f>
        <v>#N/A</v>
      </c>
    </row>
    <row r="336">
      <c r="B336" s="20" t="str">
        <f>VLOOKUP(A336,PlayerDB!$F$2:$H3480,3,FALSE)</f>
        <v>#N/A</v>
      </c>
    </row>
    <row r="337">
      <c r="B337" s="20" t="str">
        <f>VLOOKUP(A337,PlayerDB!$F$2:$H3480,3,FALSE)</f>
        <v>#N/A</v>
      </c>
    </row>
    <row r="338">
      <c r="B338" s="20" t="str">
        <f>VLOOKUP(A338,PlayerDB!$F$2:$H3480,3,FALSE)</f>
        <v>#N/A</v>
      </c>
    </row>
    <row r="339">
      <c r="B339" s="20" t="str">
        <f>VLOOKUP(A339,PlayerDB!$F$2:$H3480,3,FALSE)</f>
        <v>#N/A</v>
      </c>
    </row>
    <row r="340">
      <c r="B340" s="20" t="str">
        <f>VLOOKUP(A340,PlayerDB!$F$2:$H3480,3,FALSE)</f>
        <v>#N/A</v>
      </c>
    </row>
    <row r="341">
      <c r="B341" s="20" t="str">
        <f>VLOOKUP(A341,PlayerDB!$F$2:$H3480,3,FALSE)</f>
        <v>#N/A</v>
      </c>
    </row>
    <row r="342">
      <c r="B342" s="20" t="str">
        <f>VLOOKUP(A342,PlayerDB!$F$2:$H3480,3,FALSE)</f>
        <v>#N/A</v>
      </c>
    </row>
    <row r="343">
      <c r="B343" s="20" t="str">
        <f>VLOOKUP(A343,PlayerDB!$F$2:$H3480,3,FALSE)</f>
        <v>#N/A</v>
      </c>
    </row>
    <row r="344">
      <c r="B344" s="20" t="str">
        <f>VLOOKUP(A344,PlayerDB!$F$2:$H3480,3,FALSE)</f>
        <v>#N/A</v>
      </c>
    </row>
    <row r="345">
      <c r="B345" s="20" t="str">
        <f>VLOOKUP(A345,PlayerDB!$F$2:$H3480,3,FALSE)</f>
        <v>#N/A</v>
      </c>
    </row>
    <row r="346">
      <c r="B346" s="20" t="str">
        <f>VLOOKUP(A346,PlayerDB!$F$2:$H3480,3,FALSE)</f>
        <v>#N/A</v>
      </c>
    </row>
    <row r="347">
      <c r="B347" s="20" t="str">
        <f>VLOOKUP(A347,PlayerDB!$F$2:$H3480,3,FALSE)</f>
        <v>#N/A</v>
      </c>
    </row>
    <row r="348">
      <c r="B348" s="20" t="str">
        <f>VLOOKUP(A348,PlayerDB!$F$2:$H3480,3,FALSE)</f>
        <v>#N/A</v>
      </c>
    </row>
    <row r="349">
      <c r="B349" s="20" t="str">
        <f>VLOOKUP(A349,PlayerDB!$F$2:$H3480,3,FALSE)</f>
        <v>#N/A</v>
      </c>
    </row>
    <row r="350">
      <c r="B350" s="20" t="str">
        <f>VLOOKUP(A350,PlayerDB!$F$2:$H3480,3,FALSE)</f>
        <v>#N/A</v>
      </c>
    </row>
    <row r="351">
      <c r="B351" s="20" t="str">
        <f>VLOOKUP(A351,PlayerDB!$F$2:$H3480,3,FALSE)</f>
        <v>#N/A</v>
      </c>
    </row>
    <row r="352">
      <c r="B352" s="20" t="str">
        <f>VLOOKUP(A352,PlayerDB!$F$2:$H3480,3,FALSE)</f>
        <v>#N/A</v>
      </c>
    </row>
    <row r="353">
      <c r="B353" s="20" t="str">
        <f>VLOOKUP(A353,PlayerDB!$F$2:$H3480,3,FALSE)</f>
        <v>#N/A</v>
      </c>
    </row>
    <row r="354">
      <c r="B354" s="20" t="str">
        <f>VLOOKUP(A354,PlayerDB!$F$2:$H3480,3,FALSE)</f>
        <v>#N/A</v>
      </c>
    </row>
    <row r="355">
      <c r="B355" s="20" t="str">
        <f>VLOOKUP(A355,PlayerDB!$F$2:$H3480,3,FALSE)</f>
        <v>#N/A</v>
      </c>
    </row>
    <row r="356">
      <c r="B356" s="20" t="str">
        <f>VLOOKUP(A356,PlayerDB!$F$2:$H3480,3,FALSE)</f>
        <v>#N/A</v>
      </c>
    </row>
    <row r="357">
      <c r="B357" s="20" t="str">
        <f>VLOOKUP(A357,PlayerDB!$F$2:$H3480,3,FALSE)</f>
        <v>#N/A</v>
      </c>
    </row>
    <row r="358">
      <c r="B358" s="20" t="str">
        <f>VLOOKUP(A358,PlayerDB!$F$2:$H3480,3,FALSE)</f>
        <v>#N/A</v>
      </c>
    </row>
    <row r="359">
      <c r="B359" s="20" t="str">
        <f>VLOOKUP(A359,PlayerDB!$F$2:$H3480,3,FALSE)</f>
        <v>#N/A</v>
      </c>
    </row>
    <row r="360">
      <c r="B360" s="20" t="str">
        <f>VLOOKUP(A360,PlayerDB!$F$2:$H3480,3,FALSE)</f>
        <v>#N/A</v>
      </c>
    </row>
    <row r="361">
      <c r="B361" s="20" t="str">
        <f>VLOOKUP(A361,PlayerDB!$F$2:$H3480,3,FALSE)</f>
        <v>#N/A</v>
      </c>
    </row>
    <row r="362">
      <c r="B362" s="20" t="str">
        <f>VLOOKUP(A362,PlayerDB!$F$2:$H3480,3,FALSE)</f>
        <v>#N/A</v>
      </c>
    </row>
    <row r="363">
      <c r="B363" s="20" t="str">
        <f>VLOOKUP(A363,PlayerDB!$F$2:$H3480,3,FALSE)</f>
        <v>#N/A</v>
      </c>
    </row>
    <row r="364">
      <c r="B364" s="20" t="str">
        <f>VLOOKUP(A364,PlayerDB!$F$2:$H3480,3,FALSE)</f>
        <v>#N/A</v>
      </c>
    </row>
    <row r="365">
      <c r="B365" s="20" t="str">
        <f>VLOOKUP(A365,PlayerDB!$F$2:$H3480,3,FALSE)</f>
        <v>#N/A</v>
      </c>
    </row>
    <row r="366">
      <c r="B366" s="20" t="str">
        <f>VLOOKUP(A366,PlayerDB!$F$2:$H3480,3,FALSE)</f>
        <v>#N/A</v>
      </c>
    </row>
    <row r="367">
      <c r="B367" s="20" t="str">
        <f>VLOOKUP(A367,PlayerDB!$F$2:$H3480,3,FALSE)</f>
        <v>#N/A</v>
      </c>
    </row>
    <row r="368">
      <c r="B368" s="20" t="str">
        <f>VLOOKUP(A368,PlayerDB!$F$2:$H3480,3,FALSE)</f>
        <v>#N/A</v>
      </c>
    </row>
    <row r="369">
      <c r="B369" s="20" t="str">
        <f>VLOOKUP(A369,PlayerDB!$F$2:$H3480,3,FALSE)</f>
        <v>#N/A</v>
      </c>
    </row>
    <row r="370">
      <c r="B370" s="20" t="str">
        <f>VLOOKUP(A370,PlayerDB!$F$2:$H3480,3,FALSE)</f>
        <v>#N/A</v>
      </c>
    </row>
    <row r="371">
      <c r="B371" s="20" t="str">
        <f>VLOOKUP(A371,PlayerDB!$F$2:$H3480,3,FALSE)</f>
        <v>#N/A</v>
      </c>
    </row>
    <row r="372">
      <c r="B372" s="20" t="str">
        <f>VLOOKUP(A372,PlayerDB!$F$2:$H3480,3,FALSE)</f>
        <v>#N/A</v>
      </c>
    </row>
    <row r="373">
      <c r="B373" s="20" t="str">
        <f>VLOOKUP(A373,PlayerDB!$F$2:$H3480,3,FALSE)</f>
        <v>#N/A</v>
      </c>
    </row>
    <row r="374">
      <c r="B374" s="20" t="str">
        <f>VLOOKUP(A374,PlayerDB!$F$2:$H3480,3,FALSE)</f>
        <v>#N/A</v>
      </c>
    </row>
    <row r="375">
      <c r="B375" s="20" t="str">
        <f>VLOOKUP(A375,PlayerDB!$F$2:$H3480,3,FALSE)</f>
        <v>#N/A</v>
      </c>
    </row>
    <row r="376">
      <c r="B376" s="20" t="str">
        <f>VLOOKUP(A376,PlayerDB!$F$2:$H3480,3,FALSE)</f>
        <v>#N/A</v>
      </c>
    </row>
    <row r="377">
      <c r="B377" s="20" t="str">
        <f>VLOOKUP(A377,PlayerDB!$F$2:$H3480,3,FALSE)</f>
        <v>#N/A</v>
      </c>
    </row>
    <row r="378">
      <c r="B378" s="20" t="str">
        <f>VLOOKUP(A378,PlayerDB!$F$2:$H3480,3,FALSE)</f>
        <v>#N/A</v>
      </c>
    </row>
    <row r="379">
      <c r="B379" s="20" t="str">
        <f>VLOOKUP(A379,PlayerDB!$F$2:$H3480,3,FALSE)</f>
        <v>#N/A</v>
      </c>
    </row>
    <row r="380">
      <c r="B380" s="20" t="str">
        <f>VLOOKUP(A380,PlayerDB!$F$2:$H3480,3,FALSE)</f>
        <v>#N/A</v>
      </c>
    </row>
    <row r="381">
      <c r="B381" s="20" t="str">
        <f>VLOOKUP(A381,PlayerDB!$F$2:$H3480,3,FALSE)</f>
        <v>#N/A</v>
      </c>
    </row>
    <row r="382">
      <c r="B382" s="20" t="str">
        <f>VLOOKUP(A382,PlayerDB!$F$2:$H3480,3,FALSE)</f>
        <v>#N/A</v>
      </c>
    </row>
    <row r="383">
      <c r="B383" s="20" t="str">
        <f>VLOOKUP(A383,PlayerDB!$F$2:$H3480,3,FALSE)</f>
        <v>#N/A</v>
      </c>
    </row>
    <row r="384">
      <c r="B384" s="20" t="str">
        <f>VLOOKUP(A384,PlayerDB!$F$2:$H3480,3,FALSE)</f>
        <v>#N/A</v>
      </c>
    </row>
    <row r="385">
      <c r="B385" s="20" t="str">
        <f>VLOOKUP(A385,PlayerDB!$F$2:$H3480,3,FALSE)</f>
        <v>#N/A</v>
      </c>
    </row>
    <row r="386">
      <c r="B386" s="20" t="str">
        <f>VLOOKUP(A386,PlayerDB!$F$2:$H3480,3,FALSE)</f>
        <v>#N/A</v>
      </c>
    </row>
    <row r="387">
      <c r="B387" s="20" t="str">
        <f>VLOOKUP(A387,PlayerDB!$F$2:$H3480,3,FALSE)</f>
        <v>#N/A</v>
      </c>
    </row>
    <row r="388">
      <c r="B388" s="20" t="str">
        <f>VLOOKUP(A388,PlayerDB!$F$2:$H3480,3,FALSE)</f>
        <v>#N/A</v>
      </c>
    </row>
    <row r="389">
      <c r="B389" s="20" t="str">
        <f>VLOOKUP(A389,PlayerDB!$F$2:$H3480,3,FALSE)</f>
        <v>#N/A</v>
      </c>
    </row>
    <row r="390">
      <c r="B390" s="20" t="str">
        <f>VLOOKUP(A390,PlayerDB!$F$2:$H3480,3,FALSE)</f>
        <v>#N/A</v>
      </c>
    </row>
    <row r="391">
      <c r="B391" s="20" t="str">
        <f>VLOOKUP(A391,PlayerDB!$F$2:$H3480,3,FALSE)</f>
        <v>#N/A</v>
      </c>
    </row>
    <row r="392">
      <c r="B392" s="20" t="str">
        <f>VLOOKUP(A392,PlayerDB!$F$2:$H3480,3,FALSE)</f>
        <v>#N/A</v>
      </c>
    </row>
    <row r="393">
      <c r="B393" s="20" t="str">
        <f>VLOOKUP(A393,PlayerDB!$F$2:$H3480,3,FALSE)</f>
        <v>#N/A</v>
      </c>
    </row>
    <row r="394">
      <c r="B394" s="20" t="str">
        <f>VLOOKUP(A394,PlayerDB!$F$2:$H3480,3,FALSE)</f>
        <v>#N/A</v>
      </c>
    </row>
    <row r="395">
      <c r="B395" s="20" t="str">
        <f>VLOOKUP(A395,PlayerDB!$F$2:$H3480,3,FALSE)</f>
        <v>#N/A</v>
      </c>
    </row>
    <row r="396">
      <c r="B396" s="20" t="str">
        <f>VLOOKUP(A396,PlayerDB!$F$2:$H3480,3,FALSE)</f>
        <v>#N/A</v>
      </c>
    </row>
    <row r="397">
      <c r="B397" s="20" t="str">
        <f>VLOOKUP(A397,PlayerDB!$F$2:$H3480,3,FALSE)</f>
        <v>#N/A</v>
      </c>
    </row>
    <row r="398">
      <c r="B398" s="20" t="str">
        <f>VLOOKUP(A398,PlayerDB!$F$2:$H3480,3,FALSE)</f>
        <v>#N/A</v>
      </c>
    </row>
    <row r="399">
      <c r="B399" s="20" t="str">
        <f>VLOOKUP(A399,PlayerDB!$F$2:$H3480,3,FALSE)</f>
        <v>#N/A</v>
      </c>
    </row>
    <row r="400">
      <c r="B400" s="20" t="str">
        <f>VLOOKUP(A400,PlayerDB!$F$2:$H3480,3,FALSE)</f>
        <v>#N/A</v>
      </c>
    </row>
    <row r="401">
      <c r="B401" s="20" t="str">
        <f>VLOOKUP(A401,PlayerDB!$F$2:$H3480,3,FALSE)</f>
        <v>#N/A</v>
      </c>
    </row>
    <row r="402">
      <c r="B402" s="20" t="str">
        <f>VLOOKUP(A402,PlayerDB!$F$2:$H3480,3,FALSE)</f>
        <v>#N/A</v>
      </c>
    </row>
    <row r="403">
      <c r="B403" s="20" t="str">
        <f>VLOOKUP(A403,PlayerDB!$F$2:$H3480,3,FALSE)</f>
        <v>#N/A</v>
      </c>
    </row>
    <row r="404">
      <c r="B404" s="20" t="str">
        <f>VLOOKUP(A404,PlayerDB!$F$2:$H3480,3,FALSE)</f>
        <v>#N/A</v>
      </c>
    </row>
    <row r="405">
      <c r="B405" s="20" t="str">
        <f>VLOOKUP(A405,PlayerDB!$F$2:$H3480,3,FALSE)</f>
        <v>#N/A</v>
      </c>
    </row>
    <row r="406">
      <c r="B406" s="20" t="str">
        <f>VLOOKUP(A406,PlayerDB!$F$2:$H3480,3,FALSE)</f>
        <v>#N/A</v>
      </c>
    </row>
    <row r="407">
      <c r="B407" s="20" t="str">
        <f>VLOOKUP(A407,PlayerDB!$F$2:$H3480,3,FALSE)</f>
        <v>#N/A</v>
      </c>
    </row>
    <row r="408">
      <c r="B408" s="20" t="str">
        <f>VLOOKUP(A408,PlayerDB!$F$2:$H3480,3,FALSE)</f>
        <v>#N/A</v>
      </c>
    </row>
    <row r="409">
      <c r="B409" s="20" t="str">
        <f>VLOOKUP(A409,PlayerDB!$F$2:$H3480,3,FALSE)</f>
        <v>#N/A</v>
      </c>
    </row>
    <row r="410">
      <c r="B410" s="20" t="str">
        <f>VLOOKUP(A410,PlayerDB!$F$2:$H3480,3,FALSE)</f>
        <v>#N/A</v>
      </c>
    </row>
    <row r="411">
      <c r="B411" s="20" t="str">
        <f>VLOOKUP(A411,PlayerDB!$F$2:$H3480,3,FALSE)</f>
        <v>#N/A</v>
      </c>
    </row>
    <row r="412">
      <c r="B412" s="20" t="str">
        <f>VLOOKUP(A412,PlayerDB!$F$2:$H3480,3,FALSE)</f>
        <v>#N/A</v>
      </c>
    </row>
    <row r="413">
      <c r="B413" s="20" t="str">
        <f>VLOOKUP(A413,PlayerDB!$F$2:$H3480,3,FALSE)</f>
        <v>#N/A</v>
      </c>
    </row>
    <row r="414">
      <c r="B414" s="20" t="str">
        <f>VLOOKUP(A414,PlayerDB!$F$2:$H3480,3,FALSE)</f>
        <v>#N/A</v>
      </c>
    </row>
    <row r="415">
      <c r="B415" s="20" t="str">
        <f>VLOOKUP(A415,PlayerDB!$F$2:$H3480,3,FALSE)</f>
        <v>#N/A</v>
      </c>
    </row>
    <row r="416">
      <c r="B416" s="20" t="str">
        <f>VLOOKUP(A416,PlayerDB!$F$2:$H3480,3,FALSE)</f>
        <v>#N/A</v>
      </c>
    </row>
    <row r="417">
      <c r="B417" s="20" t="str">
        <f>VLOOKUP(A417,PlayerDB!$F$2:$H3480,3,FALSE)</f>
        <v>#N/A</v>
      </c>
    </row>
    <row r="418">
      <c r="B418" s="20" t="str">
        <f>VLOOKUP(A418,PlayerDB!$F$2:$H3480,3,FALSE)</f>
        <v>#N/A</v>
      </c>
    </row>
    <row r="419">
      <c r="B419" s="20" t="str">
        <f>VLOOKUP(A419,PlayerDB!$F$2:$H3480,3,FALSE)</f>
        <v>#N/A</v>
      </c>
    </row>
    <row r="420">
      <c r="B420" s="20" t="str">
        <f>VLOOKUP(A420,PlayerDB!$F$2:$H3480,3,FALSE)</f>
        <v>#N/A</v>
      </c>
    </row>
    <row r="421">
      <c r="B421" s="20" t="str">
        <f>VLOOKUP(A421,PlayerDB!$F$2:$H3480,3,FALSE)</f>
        <v>#N/A</v>
      </c>
    </row>
    <row r="422">
      <c r="B422" s="20" t="str">
        <f>VLOOKUP(A422,PlayerDB!$F$2:$H3480,3,FALSE)</f>
        <v>#N/A</v>
      </c>
    </row>
    <row r="423">
      <c r="B423" s="20" t="str">
        <f>VLOOKUP(A423,PlayerDB!$F$2:$H3480,3,FALSE)</f>
        <v>#N/A</v>
      </c>
    </row>
    <row r="424">
      <c r="B424" s="20" t="str">
        <f>VLOOKUP(A424,PlayerDB!$F$2:$H3480,3,FALSE)</f>
        <v>#N/A</v>
      </c>
    </row>
    <row r="425">
      <c r="B425" s="20" t="str">
        <f>VLOOKUP(A425,PlayerDB!$F$2:$H3480,3,FALSE)</f>
        <v>#N/A</v>
      </c>
    </row>
    <row r="426">
      <c r="B426" s="20" t="str">
        <f>VLOOKUP(A426,PlayerDB!$F$2:$H3480,3,FALSE)</f>
        <v>#N/A</v>
      </c>
    </row>
    <row r="427">
      <c r="B427" s="20" t="str">
        <f>VLOOKUP(A427,PlayerDB!$F$2:$H3480,3,FALSE)</f>
        <v>#N/A</v>
      </c>
    </row>
    <row r="428">
      <c r="B428" s="20" t="str">
        <f>VLOOKUP(A428,PlayerDB!$F$2:$H3480,3,FALSE)</f>
        <v>#N/A</v>
      </c>
    </row>
    <row r="429">
      <c r="B429" s="20" t="str">
        <f>VLOOKUP(A429,PlayerDB!$F$2:$H3480,3,FALSE)</f>
        <v>#N/A</v>
      </c>
    </row>
    <row r="430">
      <c r="B430" s="20" t="str">
        <f>VLOOKUP(A430,PlayerDB!$F$2:$H3480,3,FALSE)</f>
        <v>#N/A</v>
      </c>
    </row>
    <row r="431">
      <c r="B431" s="20" t="str">
        <f>VLOOKUP(A431,PlayerDB!$F$2:$H3480,3,FALSE)</f>
        <v>#N/A</v>
      </c>
    </row>
    <row r="432">
      <c r="B432" s="20" t="str">
        <f>VLOOKUP(A432,PlayerDB!$F$2:$H3480,3,FALSE)</f>
        <v>#N/A</v>
      </c>
    </row>
    <row r="433">
      <c r="B433" s="20" t="str">
        <f>VLOOKUP(A433,PlayerDB!$F$2:$H3480,3,FALSE)</f>
        <v>#N/A</v>
      </c>
    </row>
    <row r="434">
      <c r="B434" s="20" t="str">
        <f>VLOOKUP(A434,PlayerDB!$F$2:$H3480,3,FALSE)</f>
        <v>#N/A</v>
      </c>
    </row>
    <row r="435">
      <c r="B435" s="20" t="str">
        <f>VLOOKUP(A435,PlayerDB!$F$2:$H3480,3,FALSE)</f>
        <v>#N/A</v>
      </c>
    </row>
    <row r="436">
      <c r="B436" s="20" t="str">
        <f>VLOOKUP(A436,PlayerDB!$F$2:$H3480,3,FALSE)</f>
        <v>#N/A</v>
      </c>
    </row>
    <row r="437">
      <c r="B437" s="20" t="str">
        <f>VLOOKUP(A437,PlayerDB!$F$2:$H3480,3,FALSE)</f>
        <v>#N/A</v>
      </c>
    </row>
    <row r="438">
      <c r="B438" s="20" t="str">
        <f>VLOOKUP(A438,PlayerDB!$F$2:$H3480,3,FALSE)</f>
        <v>#N/A</v>
      </c>
    </row>
    <row r="439">
      <c r="B439" s="20" t="str">
        <f>VLOOKUP(A439,PlayerDB!$F$2:$H3480,3,FALSE)</f>
        <v>#N/A</v>
      </c>
    </row>
    <row r="440">
      <c r="B440" s="20" t="str">
        <f>VLOOKUP(A440,PlayerDB!$F$2:$H3480,3,FALSE)</f>
        <v>#N/A</v>
      </c>
    </row>
    <row r="441">
      <c r="B441" s="20" t="str">
        <f>VLOOKUP(A441,PlayerDB!$F$2:$H3480,3,FALSE)</f>
        <v>#N/A</v>
      </c>
    </row>
    <row r="442">
      <c r="B442" s="20" t="str">
        <f>VLOOKUP(A442,PlayerDB!$F$2:$H3480,3,FALSE)</f>
        <v>#N/A</v>
      </c>
    </row>
    <row r="443">
      <c r="B443" s="20" t="str">
        <f>VLOOKUP(A443,PlayerDB!$F$2:$H3480,3,FALSE)</f>
        <v>#N/A</v>
      </c>
    </row>
    <row r="444">
      <c r="B444" s="20" t="str">
        <f>VLOOKUP(A444,PlayerDB!$F$2:$H3480,3,FALSE)</f>
        <v>#N/A</v>
      </c>
    </row>
    <row r="445">
      <c r="B445" s="20" t="str">
        <f>VLOOKUP(A445,PlayerDB!$F$2:$H3480,3,FALSE)</f>
        <v>#N/A</v>
      </c>
    </row>
    <row r="446">
      <c r="B446" s="20" t="str">
        <f>VLOOKUP(A446,PlayerDB!$F$2:$H3480,3,FALSE)</f>
        <v>#N/A</v>
      </c>
    </row>
    <row r="447">
      <c r="B447" s="20" t="str">
        <f>VLOOKUP(A447,PlayerDB!$F$2:$H3480,3,FALSE)</f>
        <v>#N/A</v>
      </c>
    </row>
    <row r="448">
      <c r="B448" s="20" t="str">
        <f>VLOOKUP(A448,PlayerDB!$F$2:$H3480,3,FALSE)</f>
        <v>#N/A</v>
      </c>
    </row>
    <row r="449">
      <c r="B449" s="20" t="str">
        <f>VLOOKUP(A449,PlayerDB!$F$2:$H3480,3,FALSE)</f>
        <v>#N/A</v>
      </c>
    </row>
    <row r="450">
      <c r="B450" s="20" t="str">
        <f>VLOOKUP(A450,PlayerDB!$F$2:$H3480,3,FALSE)</f>
        <v>#N/A</v>
      </c>
    </row>
    <row r="451">
      <c r="B451" s="20" t="str">
        <f>VLOOKUP(A451,PlayerDB!$F$2:$H3480,3,FALSE)</f>
        <v>#N/A</v>
      </c>
    </row>
    <row r="452">
      <c r="B452" s="20" t="str">
        <f>VLOOKUP(A452,PlayerDB!$F$2:$H3480,3,FALSE)</f>
        <v>#N/A</v>
      </c>
    </row>
    <row r="453">
      <c r="B453" s="20" t="str">
        <f>VLOOKUP(A453,PlayerDB!$F$2:$H3480,3,FALSE)</f>
        <v>#N/A</v>
      </c>
    </row>
    <row r="454">
      <c r="B454" s="20" t="str">
        <f>VLOOKUP(A454,PlayerDB!$F$2:$H3480,3,FALSE)</f>
        <v>#N/A</v>
      </c>
    </row>
    <row r="455">
      <c r="B455" s="20" t="str">
        <f>VLOOKUP(A455,PlayerDB!$F$2:$H3480,3,FALSE)</f>
        <v>#N/A</v>
      </c>
    </row>
    <row r="456">
      <c r="B456" s="20" t="str">
        <f>VLOOKUP(A456,PlayerDB!$F$2:$H3480,3,FALSE)</f>
        <v>#N/A</v>
      </c>
    </row>
    <row r="457">
      <c r="B457" s="20" t="str">
        <f>VLOOKUP(A457,PlayerDB!$F$2:$H3480,3,FALSE)</f>
        <v>#N/A</v>
      </c>
    </row>
    <row r="458">
      <c r="B458" s="20" t="str">
        <f>VLOOKUP(A458,PlayerDB!$F$2:$H3480,3,FALSE)</f>
        <v>#N/A</v>
      </c>
    </row>
    <row r="459">
      <c r="B459" s="20" t="str">
        <f>VLOOKUP(A459,PlayerDB!$F$2:$H3480,3,FALSE)</f>
        <v>#N/A</v>
      </c>
    </row>
    <row r="460">
      <c r="B460" s="20" t="str">
        <f>VLOOKUP(A460,PlayerDB!$F$2:$H3480,3,FALSE)</f>
        <v>#N/A</v>
      </c>
    </row>
    <row r="461">
      <c r="B461" s="20" t="str">
        <f>VLOOKUP(A461,PlayerDB!$F$2:$H3480,3,FALSE)</f>
        <v>#N/A</v>
      </c>
    </row>
    <row r="462">
      <c r="B462" s="20" t="str">
        <f>VLOOKUP(A462,PlayerDB!$F$2:$H3480,3,FALSE)</f>
        <v>#N/A</v>
      </c>
    </row>
    <row r="463">
      <c r="B463" s="20" t="str">
        <f>VLOOKUP(A463,PlayerDB!$F$2:$H3480,3,FALSE)</f>
        <v>#N/A</v>
      </c>
    </row>
    <row r="464">
      <c r="B464" s="20" t="str">
        <f>VLOOKUP(A464,PlayerDB!$F$2:$H3480,3,FALSE)</f>
        <v>#N/A</v>
      </c>
    </row>
    <row r="465">
      <c r="B465" s="20" t="str">
        <f>VLOOKUP(A465,PlayerDB!$F$2:$H3480,3,FALSE)</f>
        <v>#N/A</v>
      </c>
    </row>
    <row r="466">
      <c r="B466" s="20" t="str">
        <f>VLOOKUP(A466,PlayerDB!$F$2:$H3480,3,FALSE)</f>
        <v>#N/A</v>
      </c>
    </row>
    <row r="467">
      <c r="B467" s="20" t="str">
        <f>VLOOKUP(A467,PlayerDB!$F$2:$H3480,3,FALSE)</f>
        <v>#N/A</v>
      </c>
    </row>
    <row r="468">
      <c r="B468" s="20" t="str">
        <f>VLOOKUP(A468,PlayerDB!$F$2:$H3480,3,FALSE)</f>
        <v>#N/A</v>
      </c>
    </row>
    <row r="469">
      <c r="B469" s="20" t="str">
        <f>VLOOKUP(A469,PlayerDB!$F$2:$H3480,3,FALSE)</f>
        <v>#N/A</v>
      </c>
    </row>
    <row r="470">
      <c r="B470" s="20" t="str">
        <f>VLOOKUP(A470,PlayerDB!$F$2:$H3480,3,FALSE)</f>
        <v>#N/A</v>
      </c>
    </row>
    <row r="471">
      <c r="B471" s="20" t="str">
        <f>VLOOKUP(A471,PlayerDB!$F$2:$H3480,3,FALSE)</f>
        <v>#N/A</v>
      </c>
    </row>
    <row r="472">
      <c r="B472" s="20" t="str">
        <f>VLOOKUP(A472,PlayerDB!$F$2:$H3480,3,FALSE)</f>
        <v>#N/A</v>
      </c>
    </row>
    <row r="473">
      <c r="B473" s="20" t="str">
        <f>VLOOKUP(A473,PlayerDB!$F$2:$H3480,3,FALSE)</f>
        <v>#N/A</v>
      </c>
    </row>
    <row r="474">
      <c r="B474" s="20" t="str">
        <f>VLOOKUP(A474,PlayerDB!$F$2:$H3480,3,FALSE)</f>
        <v>#N/A</v>
      </c>
    </row>
    <row r="475">
      <c r="B475" s="20" t="str">
        <f>VLOOKUP(A475,PlayerDB!$F$2:$H3480,3,FALSE)</f>
        <v>#N/A</v>
      </c>
    </row>
    <row r="476">
      <c r="B476" s="20" t="str">
        <f>VLOOKUP(A476,PlayerDB!$F$2:$H3480,3,FALSE)</f>
        <v>#N/A</v>
      </c>
    </row>
    <row r="477">
      <c r="B477" s="20" t="str">
        <f>VLOOKUP(A477,PlayerDB!$F$2:$H3480,3,FALSE)</f>
        <v>#N/A</v>
      </c>
    </row>
    <row r="478">
      <c r="B478" s="20" t="str">
        <f>VLOOKUP(A478,PlayerDB!$F$2:$H3480,3,FALSE)</f>
        <v>#N/A</v>
      </c>
    </row>
    <row r="479">
      <c r="B479" s="20" t="str">
        <f>VLOOKUP(A479,PlayerDB!$F$2:$H3480,3,FALSE)</f>
        <v>#N/A</v>
      </c>
    </row>
    <row r="480">
      <c r="B480" s="20" t="str">
        <f>VLOOKUP(A480,PlayerDB!$F$2:$H3480,3,FALSE)</f>
        <v>#N/A</v>
      </c>
    </row>
    <row r="481">
      <c r="B481" s="20" t="str">
        <f>VLOOKUP(A481,PlayerDB!$F$2:$H3480,3,FALSE)</f>
        <v>#N/A</v>
      </c>
    </row>
    <row r="482">
      <c r="B482" s="20" t="str">
        <f>VLOOKUP(A482,PlayerDB!$F$2:$H3480,3,FALSE)</f>
        <v>#N/A</v>
      </c>
    </row>
    <row r="483">
      <c r="B483" s="20" t="str">
        <f>VLOOKUP(A483,PlayerDB!$F$2:$H3480,3,FALSE)</f>
        <v>#N/A</v>
      </c>
    </row>
    <row r="484">
      <c r="B484" s="20" t="str">
        <f>VLOOKUP(A484,PlayerDB!$F$2:$H3480,3,FALSE)</f>
        <v>#N/A</v>
      </c>
    </row>
    <row r="485">
      <c r="B485" s="20" t="str">
        <f>VLOOKUP(A485,PlayerDB!$F$2:$H3480,3,FALSE)</f>
        <v>#N/A</v>
      </c>
    </row>
    <row r="486">
      <c r="B486" s="20" t="str">
        <f>VLOOKUP(A486,PlayerDB!$F$2:$H3480,3,FALSE)</f>
        <v>#N/A</v>
      </c>
    </row>
    <row r="487">
      <c r="B487" s="20" t="str">
        <f>VLOOKUP(A487,PlayerDB!$F$2:$H3480,3,FALSE)</f>
        <v>#N/A</v>
      </c>
    </row>
    <row r="488">
      <c r="B488" s="20" t="str">
        <f>VLOOKUP(A488,PlayerDB!$F$2:$H3480,3,FALSE)</f>
        <v>#N/A</v>
      </c>
    </row>
    <row r="489">
      <c r="B489" s="20" t="str">
        <f>VLOOKUP(A489,PlayerDB!$F$2:$H3480,3,FALSE)</f>
        <v>#N/A</v>
      </c>
    </row>
    <row r="490">
      <c r="B490" s="20" t="str">
        <f>VLOOKUP(A490,PlayerDB!$F$2:$H3480,3,FALSE)</f>
        <v>#N/A</v>
      </c>
    </row>
    <row r="491">
      <c r="B491" s="20" t="str">
        <f>VLOOKUP(A491,PlayerDB!$F$2:$H3480,3,FALSE)</f>
        <v>#N/A</v>
      </c>
    </row>
    <row r="492">
      <c r="B492" s="20" t="str">
        <f>VLOOKUP(A492,PlayerDB!$F$2:$H3480,3,FALSE)</f>
        <v>#N/A</v>
      </c>
    </row>
    <row r="493">
      <c r="B493" s="20" t="str">
        <f>VLOOKUP(A493,PlayerDB!$F$2:$H3480,3,FALSE)</f>
        <v>#N/A</v>
      </c>
    </row>
    <row r="494">
      <c r="B494" s="20" t="str">
        <f>VLOOKUP(A494,PlayerDB!$F$2:$H3480,3,FALSE)</f>
        <v>#N/A</v>
      </c>
    </row>
    <row r="495">
      <c r="B495" s="20" t="str">
        <f>VLOOKUP(A495,PlayerDB!$F$2:$H3480,3,FALSE)</f>
        <v>#N/A</v>
      </c>
    </row>
    <row r="496">
      <c r="B496" s="20" t="str">
        <f>VLOOKUP(A496,PlayerDB!$F$2:$H3480,3,FALSE)</f>
        <v>#N/A</v>
      </c>
    </row>
    <row r="497">
      <c r="B497" s="20" t="str">
        <f>VLOOKUP(A497,PlayerDB!$F$2:$H3480,3,FALSE)</f>
        <v>#N/A</v>
      </c>
    </row>
    <row r="498">
      <c r="B498" s="20" t="str">
        <f>VLOOKUP(A498,PlayerDB!$F$2:$H3480,3,FALSE)</f>
        <v>#N/A</v>
      </c>
    </row>
    <row r="499">
      <c r="B499" s="20" t="str">
        <f>VLOOKUP(A499,PlayerDB!$F$2:$H3480,3,FALSE)</f>
        <v>#N/A</v>
      </c>
    </row>
    <row r="500">
      <c r="B500" s="20" t="str">
        <f>VLOOKUP(A500,PlayerDB!$F$2:$H3480,3,FALSE)</f>
        <v>#N/A</v>
      </c>
    </row>
    <row r="501">
      <c r="B501" s="20" t="str">
        <f>VLOOKUP(A501,PlayerDB!$F$2:$H3480,3,FALSE)</f>
        <v>#N/A</v>
      </c>
    </row>
    <row r="502">
      <c r="B502" s="20" t="str">
        <f>VLOOKUP(A502,PlayerDB!$F$2:$H3480,3,FALSE)</f>
        <v>#N/A</v>
      </c>
    </row>
    <row r="503">
      <c r="B503" s="20" t="str">
        <f>VLOOKUP(A503,PlayerDB!$F$2:$H3480,3,FALSE)</f>
        <v>#N/A</v>
      </c>
    </row>
    <row r="504">
      <c r="B504" s="20" t="str">
        <f>VLOOKUP(A504,PlayerDB!$F$2:$H3480,3,FALSE)</f>
        <v>#N/A</v>
      </c>
    </row>
    <row r="505">
      <c r="B505" s="20" t="str">
        <f>VLOOKUP(A505,PlayerDB!$F$2:$H3480,3,FALSE)</f>
        <v>#N/A</v>
      </c>
    </row>
    <row r="506">
      <c r="B506" s="20" t="str">
        <f>VLOOKUP(A506,PlayerDB!$F$2:$H3480,3,FALSE)</f>
        <v>#N/A</v>
      </c>
    </row>
    <row r="507">
      <c r="B507" s="20" t="str">
        <f>VLOOKUP(A507,PlayerDB!$F$2:$H3480,3,FALSE)</f>
        <v>#N/A</v>
      </c>
    </row>
    <row r="508">
      <c r="B508" s="20" t="str">
        <f>VLOOKUP(A508,PlayerDB!$F$2:$H3480,3,FALSE)</f>
        <v>#N/A</v>
      </c>
    </row>
    <row r="509">
      <c r="B509" s="20" t="str">
        <f>VLOOKUP(A509,PlayerDB!$F$2:$H3480,3,FALSE)</f>
        <v>#N/A</v>
      </c>
    </row>
    <row r="510">
      <c r="B510" s="20" t="str">
        <f>VLOOKUP(A510,PlayerDB!$F$2:$H3480,3,FALSE)</f>
        <v>#N/A</v>
      </c>
    </row>
    <row r="511">
      <c r="B511" s="20" t="str">
        <f>VLOOKUP(A511,PlayerDB!$F$2:$H3480,3,FALSE)</f>
        <v>#N/A</v>
      </c>
    </row>
    <row r="512">
      <c r="B512" s="20" t="str">
        <f>VLOOKUP(A512,PlayerDB!$F$2:$H3480,3,FALSE)</f>
        <v>#N/A</v>
      </c>
    </row>
    <row r="513">
      <c r="B513" s="20" t="str">
        <f>VLOOKUP(A513,PlayerDB!$F$2:$H3480,3,FALSE)</f>
        <v>#N/A</v>
      </c>
    </row>
    <row r="514">
      <c r="B514" s="20" t="str">
        <f>VLOOKUP(A514,PlayerDB!$F$2:$H3480,3,FALSE)</f>
        <v>#N/A</v>
      </c>
    </row>
    <row r="515">
      <c r="B515" s="20" t="str">
        <f>VLOOKUP(A515,PlayerDB!$F$2:$H3480,3,FALSE)</f>
        <v>#N/A</v>
      </c>
    </row>
    <row r="516">
      <c r="B516" s="20" t="str">
        <f>VLOOKUP(A516,PlayerDB!$F$2:$H3480,3,FALSE)</f>
        <v>#N/A</v>
      </c>
    </row>
    <row r="517">
      <c r="B517" s="20" t="str">
        <f>VLOOKUP(A517,PlayerDB!$F$2:$H3480,3,FALSE)</f>
        <v>#N/A</v>
      </c>
    </row>
    <row r="518">
      <c r="B518" s="20" t="str">
        <f>VLOOKUP(A518,PlayerDB!$F$2:$H3480,3,FALSE)</f>
        <v>#N/A</v>
      </c>
    </row>
    <row r="519">
      <c r="B519" s="20" t="str">
        <f>VLOOKUP(A519,PlayerDB!$F$2:$H3480,3,FALSE)</f>
        <v>#N/A</v>
      </c>
    </row>
    <row r="520">
      <c r="B520" s="20" t="str">
        <f>VLOOKUP(A520,PlayerDB!$F$2:$H3480,3,FALSE)</f>
        <v>#N/A</v>
      </c>
    </row>
    <row r="521">
      <c r="B521" s="20" t="str">
        <f>VLOOKUP(A521,PlayerDB!$F$2:$H3480,3,FALSE)</f>
        <v>#N/A</v>
      </c>
    </row>
    <row r="522">
      <c r="B522" s="20" t="str">
        <f>VLOOKUP(A522,PlayerDB!$F$2:$H3480,3,FALSE)</f>
        <v>#N/A</v>
      </c>
    </row>
    <row r="523">
      <c r="B523" s="20" t="str">
        <f>VLOOKUP(A523,PlayerDB!$F$2:$H3480,3,FALSE)</f>
        <v>#N/A</v>
      </c>
    </row>
    <row r="524">
      <c r="B524" s="20" t="str">
        <f>VLOOKUP(A524,PlayerDB!$F$2:$H3480,3,FALSE)</f>
        <v>#N/A</v>
      </c>
    </row>
    <row r="525">
      <c r="B525" s="20" t="str">
        <f>VLOOKUP(A525,PlayerDB!$F$2:$H3480,3,FALSE)</f>
        <v>#N/A</v>
      </c>
    </row>
    <row r="526">
      <c r="B526" s="20" t="str">
        <f>VLOOKUP(A526,PlayerDB!$F$2:$H3480,3,FALSE)</f>
        <v>#N/A</v>
      </c>
    </row>
    <row r="527">
      <c r="B527" s="20" t="str">
        <f>VLOOKUP(A527,PlayerDB!$F$2:$H3480,3,FALSE)</f>
        <v>#N/A</v>
      </c>
    </row>
    <row r="528">
      <c r="B528" s="20" t="str">
        <f>VLOOKUP(A528,PlayerDB!$F$2:$H3480,3,FALSE)</f>
        <v>#N/A</v>
      </c>
    </row>
    <row r="529">
      <c r="B529" s="20" t="str">
        <f>VLOOKUP(A529,PlayerDB!$F$2:$H3480,3,FALSE)</f>
        <v>#N/A</v>
      </c>
    </row>
    <row r="530">
      <c r="B530" s="20" t="str">
        <f>VLOOKUP(A530,PlayerDB!$F$2:$H3480,3,FALSE)</f>
        <v>#N/A</v>
      </c>
    </row>
    <row r="531">
      <c r="B531" s="20" t="str">
        <f>VLOOKUP(A531,PlayerDB!$F$2:$H3480,3,FALSE)</f>
        <v>#N/A</v>
      </c>
    </row>
    <row r="532">
      <c r="B532" s="20" t="str">
        <f>VLOOKUP(A532,PlayerDB!$F$2:$H3480,3,FALSE)</f>
        <v>#N/A</v>
      </c>
    </row>
    <row r="533">
      <c r="B533" s="20" t="str">
        <f>VLOOKUP(A533,PlayerDB!$F$2:$H3480,3,FALSE)</f>
        <v>#N/A</v>
      </c>
    </row>
    <row r="534">
      <c r="B534" s="20" t="str">
        <f>VLOOKUP(A534,PlayerDB!$F$2:$H3480,3,FALSE)</f>
        <v>#N/A</v>
      </c>
    </row>
    <row r="535">
      <c r="B535" s="20" t="str">
        <f>VLOOKUP(A535,PlayerDB!$F$2:$H3480,3,FALSE)</f>
        <v>#N/A</v>
      </c>
    </row>
    <row r="536">
      <c r="B536" s="20" t="str">
        <f>VLOOKUP(A536,PlayerDB!$F$2:$H3480,3,FALSE)</f>
        <v>#N/A</v>
      </c>
    </row>
    <row r="537">
      <c r="B537" s="20" t="str">
        <f>VLOOKUP(A537,PlayerDB!$F$2:$H3480,3,FALSE)</f>
        <v>#N/A</v>
      </c>
    </row>
    <row r="538">
      <c r="B538" s="20" t="str">
        <f>VLOOKUP(A538,PlayerDB!$F$2:$H3480,3,FALSE)</f>
        <v>#N/A</v>
      </c>
    </row>
    <row r="539">
      <c r="B539" s="20" t="str">
        <f>VLOOKUP(A539,PlayerDB!$F$2:$H3480,3,FALSE)</f>
        <v>#N/A</v>
      </c>
    </row>
    <row r="540">
      <c r="B540" s="20" t="str">
        <f>VLOOKUP(A540,PlayerDB!$F$2:$H3480,3,FALSE)</f>
        <v>#N/A</v>
      </c>
    </row>
    <row r="541">
      <c r="B541" s="20" t="str">
        <f>VLOOKUP(A541,PlayerDB!$F$2:$H3480,3,FALSE)</f>
        <v>#N/A</v>
      </c>
    </row>
    <row r="542">
      <c r="B542" s="20" t="str">
        <f>VLOOKUP(A542,PlayerDB!$F$2:$H3480,3,FALSE)</f>
        <v>#N/A</v>
      </c>
    </row>
    <row r="543">
      <c r="B543" s="20" t="str">
        <f>VLOOKUP(A543,PlayerDB!$F$2:$H3480,3,FALSE)</f>
        <v>#N/A</v>
      </c>
    </row>
    <row r="544">
      <c r="B544" s="20" t="str">
        <f>VLOOKUP(A544,PlayerDB!$F$2:$H3480,3,FALSE)</f>
        <v>#N/A</v>
      </c>
    </row>
    <row r="545">
      <c r="B545" s="20" t="str">
        <f>VLOOKUP(A545,PlayerDB!$F$2:$H3480,3,FALSE)</f>
        <v>#N/A</v>
      </c>
    </row>
    <row r="546">
      <c r="B546" s="20" t="str">
        <f>VLOOKUP(A546,PlayerDB!$F$2:$H3480,3,FALSE)</f>
        <v>#N/A</v>
      </c>
    </row>
    <row r="547">
      <c r="B547" s="20" t="str">
        <f>VLOOKUP(A547,PlayerDB!$F$2:$H3480,3,FALSE)</f>
        <v>#N/A</v>
      </c>
    </row>
    <row r="548">
      <c r="B548" s="20" t="str">
        <f>VLOOKUP(A548,PlayerDB!$F$2:$H3480,3,FALSE)</f>
        <v>#N/A</v>
      </c>
    </row>
    <row r="549">
      <c r="B549" s="20" t="str">
        <f>VLOOKUP(A549,PlayerDB!$F$2:$H3480,3,FALSE)</f>
        <v>#N/A</v>
      </c>
    </row>
    <row r="550">
      <c r="B550" s="20" t="str">
        <f>VLOOKUP(A550,PlayerDB!$F$2:$H3480,3,FALSE)</f>
        <v>#N/A</v>
      </c>
    </row>
    <row r="551">
      <c r="B551" s="20" t="str">
        <f>VLOOKUP(A551,PlayerDB!$F$2:$H3480,3,FALSE)</f>
        <v>#N/A</v>
      </c>
    </row>
    <row r="552">
      <c r="B552" s="20" t="str">
        <f>VLOOKUP(A552,PlayerDB!$F$2:$H3480,3,FALSE)</f>
        <v>#N/A</v>
      </c>
    </row>
    <row r="553">
      <c r="B553" s="20" t="str">
        <f>VLOOKUP(A553,PlayerDB!$F$2:$H3480,3,FALSE)</f>
        <v>#N/A</v>
      </c>
    </row>
    <row r="554">
      <c r="B554" s="20" t="str">
        <f>VLOOKUP(A554,PlayerDB!$F$2:$H3480,3,FALSE)</f>
        <v>#N/A</v>
      </c>
    </row>
    <row r="555">
      <c r="B555" s="20" t="str">
        <f>VLOOKUP(A555,PlayerDB!$F$2:$H3480,3,FALSE)</f>
        <v>#N/A</v>
      </c>
    </row>
    <row r="556">
      <c r="B556" s="20" t="str">
        <f>VLOOKUP(A556,PlayerDB!$F$2:$H3480,3,FALSE)</f>
        <v>#N/A</v>
      </c>
    </row>
    <row r="557">
      <c r="B557" s="20" t="str">
        <f>VLOOKUP(A557,PlayerDB!$F$2:$H3480,3,FALSE)</f>
        <v>#N/A</v>
      </c>
    </row>
    <row r="558">
      <c r="B558" s="20" t="str">
        <f>VLOOKUP(A558,PlayerDB!$F$2:$H3480,3,FALSE)</f>
        <v>#N/A</v>
      </c>
    </row>
    <row r="559">
      <c r="B559" s="20" t="str">
        <f>VLOOKUP(A559,PlayerDB!$F$2:$H3480,3,FALSE)</f>
        <v>#N/A</v>
      </c>
    </row>
    <row r="560">
      <c r="B560" s="20" t="str">
        <f>VLOOKUP(A560,PlayerDB!$F$2:$H3480,3,FALSE)</f>
        <v>#N/A</v>
      </c>
    </row>
    <row r="561">
      <c r="B561" s="20" t="str">
        <f>VLOOKUP(A561,PlayerDB!$F$2:$H3480,3,FALSE)</f>
        <v>#N/A</v>
      </c>
    </row>
    <row r="562">
      <c r="B562" s="20" t="str">
        <f>VLOOKUP(A562,PlayerDB!$F$2:$H3480,3,FALSE)</f>
        <v>#N/A</v>
      </c>
    </row>
    <row r="563">
      <c r="B563" s="20" t="str">
        <f>VLOOKUP(A563,PlayerDB!$F$2:$H3480,3,FALSE)</f>
        <v>#N/A</v>
      </c>
    </row>
    <row r="564">
      <c r="B564" s="20" t="str">
        <f>VLOOKUP(A564,PlayerDB!$F$2:$H3480,3,FALSE)</f>
        <v>#N/A</v>
      </c>
    </row>
    <row r="565">
      <c r="B565" s="20" t="str">
        <f>VLOOKUP(A565,PlayerDB!$F$2:$H3480,3,FALSE)</f>
        <v>#N/A</v>
      </c>
    </row>
    <row r="566">
      <c r="B566" s="20" t="str">
        <f>VLOOKUP(A566,PlayerDB!$F$2:$H3480,3,FALSE)</f>
        <v>#N/A</v>
      </c>
    </row>
    <row r="567">
      <c r="B567" s="20" t="str">
        <f>VLOOKUP(A567,PlayerDB!$F$2:$H3480,3,FALSE)</f>
        <v>#N/A</v>
      </c>
    </row>
    <row r="568">
      <c r="B568" s="20" t="str">
        <f>VLOOKUP(A568,PlayerDB!$F$2:$H3480,3,FALSE)</f>
        <v>#N/A</v>
      </c>
    </row>
    <row r="569">
      <c r="B569" s="20" t="str">
        <f>VLOOKUP(A569,PlayerDB!$F$2:$H3480,3,FALSE)</f>
        <v>#N/A</v>
      </c>
    </row>
    <row r="570">
      <c r="B570" s="20" t="str">
        <f>VLOOKUP(A570,PlayerDB!$F$2:$H3480,3,FALSE)</f>
        <v>#N/A</v>
      </c>
    </row>
    <row r="571">
      <c r="B571" s="20" t="str">
        <f>VLOOKUP(A571,PlayerDB!$F$2:$H3480,3,FALSE)</f>
        <v>#N/A</v>
      </c>
    </row>
    <row r="572">
      <c r="B572" s="20" t="str">
        <f>VLOOKUP(A572,PlayerDB!$F$2:$H3480,3,FALSE)</f>
        <v>#N/A</v>
      </c>
    </row>
    <row r="573">
      <c r="B573" s="20" t="str">
        <f>VLOOKUP(A573,PlayerDB!$F$2:$H3480,3,FALSE)</f>
        <v>#N/A</v>
      </c>
    </row>
    <row r="574">
      <c r="B574" s="20" t="str">
        <f>VLOOKUP(A574,PlayerDB!$F$2:$H3480,3,FALSE)</f>
        <v>#N/A</v>
      </c>
    </row>
    <row r="575">
      <c r="B575" s="20" t="str">
        <f>VLOOKUP(A575,PlayerDB!$F$2:$H3480,3,FALSE)</f>
        <v>#N/A</v>
      </c>
    </row>
    <row r="576">
      <c r="B576" s="20" t="str">
        <f>VLOOKUP(A576,PlayerDB!$F$2:$H3480,3,FALSE)</f>
        <v>#N/A</v>
      </c>
    </row>
    <row r="577">
      <c r="B577" s="20" t="str">
        <f>VLOOKUP(A577,PlayerDB!$F$2:$H3480,3,FALSE)</f>
        <v>#N/A</v>
      </c>
    </row>
    <row r="578">
      <c r="B578" s="20" t="str">
        <f>VLOOKUP(A578,PlayerDB!$F$2:$H3480,3,FALSE)</f>
        <v>#N/A</v>
      </c>
    </row>
    <row r="579">
      <c r="B579" s="20" t="str">
        <f>VLOOKUP(A579,PlayerDB!$F$2:$H3480,3,FALSE)</f>
        <v>#N/A</v>
      </c>
    </row>
    <row r="580">
      <c r="B580" s="20" t="str">
        <f>VLOOKUP(A580,PlayerDB!$F$2:$H3480,3,FALSE)</f>
        <v>#N/A</v>
      </c>
    </row>
    <row r="581">
      <c r="B581" s="20" t="str">
        <f>VLOOKUP(A581,PlayerDB!$F$2:$H3480,3,FALSE)</f>
        <v>#N/A</v>
      </c>
    </row>
    <row r="582">
      <c r="B582" s="20" t="str">
        <f>VLOOKUP(A582,PlayerDB!$F$2:$H3480,3,FALSE)</f>
        <v>#N/A</v>
      </c>
    </row>
    <row r="583">
      <c r="B583" s="20" t="str">
        <f>VLOOKUP(A583,PlayerDB!$F$2:$H3480,3,FALSE)</f>
        <v>#N/A</v>
      </c>
    </row>
    <row r="584">
      <c r="B584" s="20" t="str">
        <f>VLOOKUP(A584,PlayerDB!$F$2:$H3480,3,FALSE)</f>
        <v>#N/A</v>
      </c>
    </row>
    <row r="585">
      <c r="B585" s="20" t="str">
        <f>VLOOKUP(A585,PlayerDB!$F$2:$H3480,3,FALSE)</f>
        <v>#N/A</v>
      </c>
    </row>
    <row r="586">
      <c r="B586" s="20" t="str">
        <f>VLOOKUP(A586,PlayerDB!$F$2:$H3480,3,FALSE)</f>
        <v>#N/A</v>
      </c>
    </row>
    <row r="587">
      <c r="B587" s="20" t="str">
        <f>VLOOKUP(A587,PlayerDB!$F$2:$H3480,3,FALSE)</f>
        <v>#N/A</v>
      </c>
    </row>
    <row r="588">
      <c r="B588" s="20" t="str">
        <f>VLOOKUP(A588,PlayerDB!$F$2:$H3480,3,FALSE)</f>
        <v>#N/A</v>
      </c>
    </row>
    <row r="589">
      <c r="B589" s="20" t="str">
        <f>VLOOKUP(A589,PlayerDB!$F$2:$H3480,3,FALSE)</f>
        <v>#N/A</v>
      </c>
    </row>
    <row r="590">
      <c r="B590" s="20" t="str">
        <f>VLOOKUP(A590,PlayerDB!$F$2:$H3480,3,FALSE)</f>
        <v>#N/A</v>
      </c>
    </row>
    <row r="591">
      <c r="B591" s="20" t="str">
        <f>VLOOKUP(A591,PlayerDB!$F$2:$H3480,3,FALSE)</f>
        <v>#N/A</v>
      </c>
    </row>
    <row r="592">
      <c r="B592" s="20" t="str">
        <f>VLOOKUP(A592,PlayerDB!$F$2:$H3480,3,FALSE)</f>
        <v>#N/A</v>
      </c>
    </row>
    <row r="593">
      <c r="B593" s="20" t="str">
        <f>VLOOKUP(A593,PlayerDB!$F$2:$H3480,3,FALSE)</f>
        <v>#N/A</v>
      </c>
    </row>
    <row r="594">
      <c r="B594" s="20" t="str">
        <f>VLOOKUP(A594,PlayerDB!$F$2:$H3480,3,FALSE)</f>
        <v>#N/A</v>
      </c>
    </row>
    <row r="595">
      <c r="B595" s="20" t="str">
        <f>VLOOKUP(A595,PlayerDB!$F$2:$H3480,3,FALSE)</f>
        <v>#N/A</v>
      </c>
    </row>
    <row r="596">
      <c r="B596" s="20" t="str">
        <f>VLOOKUP(A596,PlayerDB!$F$2:$H3480,3,FALSE)</f>
        <v>#N/A</v>
      </c>
    </row>
    <row r="597">
      <c r="B597" s="20" t="str">
        <f>VLOOKUP(A597,PlayerDB!$F$2:$H3480,3,FALSE)</f>
        <v>#N/A</v>
      </c>
    </row>
    <row r="598">
      <c r="B598" s="20" t="str">
        <f>VLOOKUP(A598,PlayerDB!$F$2:$H3480,3,FALSE)</f>
        <v>#N/A</v>
      </c>
    </row>
    <row r="599">
      <c r="B599" s="20" t="str">
        <f>VLOOKUP(A599,PlayerDB!$F$2:$H3480,3,FALSE)</f>
        <v>#N/A</v>
      </c>
    </row>
    <row r="600">
      <c r="B600" s="20" t="str">
        <f>VLOOKUP(A600,PlayerDB!$F$2:$H3480,3,FALSE)</f>
        <v>#N/A</v>
      </c>
    </row>
    <row r="601">
      <c r="B601" s="20" t="str">
        <f>VLOOKUP(A601,PlayerDB!$F$2:$H3480,3,FALSE)</f>
        <v>#N/A</v>
      </c>
    </row>
    <row r="602">
      <c r="B602" s="20" t="str">
        <f>VLOOKUP(A602,PlayerDB!$F$2:$H3480,3,FALSE)</f>
        <v>#N/A</v>
      </c>
    </row>
    <row r="603">
      <c r="B603" s="20" t="str">
        <f>VLOOKUP(A603,PlayerDB!$F$2:$H3480,3,FALSE)</f>
        <v>#N/A</v>
      </c>
    </row>
    <row r="604">
      <c r="B604" s="20" t="str">
        <f>VLOOKUP(A604,PlayerDB!$F$2:$H3480,3,FALSE)</f>
        <v>#N/A</v>
      </c>
    </row>
    <row r="605">
      <c r="B605" s="20" t="str">
        <f>VLOOKUP(A605,PlayerDB!$F$2:$H3480,3,FALSE)</f>
        <v>#N/A</v>
      </c>
    </row>
    <row r="606">
      <c r="B606" s="20" t="str">
        <f>VLOOKUP(A606,PlayerDB!$F$2:$H3480,3,FALSE)</f>
        <v>#N/A</v>
      </c>
    </row>
    <row r="607">
      <c r="B607" s="20" t="str">
        <f>VLOOKUP(A607,PlayerDB!$F$2:$H3480,3,FALSE)</f>
        <v>#N/A</v>
      </c>
    </row>
    <row r="608">
      <c r="B608" s="20" t="str">
        <f>VLOOKUP(A608,PlayerDB!$F$2:$H3480,3,FALSE)</f>
        <v>#N/A</v>
      </c>
    </row>
    <row r="609">
      <c r="B609" s="20" t="str">
        <f>VLOOKUP(A609,PlayerDB!$F$2:$H3480,3,FALSE)</f>
        <v>#N/A</v>
      </c>
    </row>
    <row r="610">
      <c r="B610" s="20" t="str">
        <f>VLOOKUP(A610,PlayerDB!$F$2:$H3480,3,FALSE)</f>
        <v>#N/A</v>
      </c>
    </row>
    <row r="611">
      <c r="B611" s="20" t="str">
        <f>VLOOKUP(A611,PlayerDB!$F$2:$H3480,3,FALSE)</f>
        <v>#N/A</v>
      </c>
    </row>
    <row r="612">
      <c r="B612" s="20" t="str">
        <f>VLOOKUP(A612,PlayerDB!$F$2:$H3480,3,FALSE)</f>
        <v>#N/A</v>
      </c>
    </row>
    <row r="613">
      <c r="B613" s="20" t="str">
        <f>VLOOKUP(A613,PlayerDB!$F$2:$H3480,3,FALSE)</f>
        <v>#N/A</v>
      </c>
    </row>
    <row r="614">
      <c r="B614" s="20" t="str">
        <f>VLOOKUP(A614,PlayerDB!$F$2:$H3480,3,FALSE)</f>
        <v>#N/A</v>
      </c>
    </row>
    <row r="615">
      <c r="B615" s="20" t="str">
        <f>VLOOKUP(A615,PlayerDB!$F$2:$H3480,3,FALSE)</f>
        <v>#N/A</v>
      </c>
    </row>
    <row r="616">
      <c r="B616" s="20" t="str">
        <f>VLOOKUP(A616,PlayerDB!$F$2:$H3480,3,FALSE)</f>
        <v>#N/A</v>
      </c>
    </row>
    <row r="617">
      <c r="B617" s="20" t="str">
        <f>VLOOKUP(A617,PlayerDB!$F$2:$H3480,3,FALSE)</f>
        <v>#N/A</v>
      </c>
    </row>
    <row r="618">
      <c r="B618" s="20" t="str">
        <f>VLOOKUP(A618,PlayerDB!$F$2:$H3480,3,FALSE)</f>
        <v>#N/A</v>
      </c>
    </row>
    <row r="619">
      <c r="B619" s="20" t="str">
        <f>VLOOKUP(A619,PlayerDB!$F$2:$H3480,3,FALSE)</f>
        <v>#N/A</v>
      </c>
    </row>
    <row r="620">
      <c r="B620" s="20" t="str">
        <f>VLOOKUP(A620,PlayerDB!$F$2:$H3480,3,FALSE)</f>
        <v>#N/A</v>
      </c>
    </row>
    <row r="621">
      <c r="B621" s="20" t="str">
        <f>VLOOKUP(A621,PlayerDB!$F$2:$H3480,3,FALSE)</f>
        <v>#N/A</v>
      </c>
    </row>
    <row r="622">
      <c r="B622" s="20" t="str">
        <f>VLOOKUP(A622,PlayerDB!$F$2:$H3480,3,FALSE)</f>
        <v>#N/A</v>
      </c>
    </row>
    <row r="623">
      <c r="B623" s="20" t="str">
        <f>VLOOKUP(A623,PlayerDB!$F$2:$H3480,3,FALSE)</f>
        <v>#N/A</v>
      </c>
    </row>
    <row r="624">
      <c r="B624" s="20" t="str">
        <f>VLOOKUP(A624,PlayerDB!$F$2:$H3480,3,FALSE)</f>
        <v>#N/A</v>
      </c>
    </row>
    <row r="625">
      <c r="B625" s="20" t="str">
        <f>VLOOKUP(A625,PlayerDB!$F$2:$H3480,3,FALSE)</f>
        <v>#N/A</v>
      </c>
    </row>
    <row r="626">
      <c r="B626" s="20" t="str">
        <f>VLOOKUP(A626,PlayerDB!$F$2:$H3480,3,FALSE)</f>
        <v>#N/A</v>
      </c>
    </row>
    <row r="627">
      <c r="B627" s="20" t="str">
        <f>VLOOKUP(A627,PlayerDB!$F$2:$H3480,3,FALSE)</f>
        <v>#N/A</v>
      </c>
    </row>
    <row r="628">
      <c r="B628" s="20" t="str">
        <f>VLOOKUP(A628,PlayerDB!$F$2:$H3480,3,FALSE)</f>
        <v>#N/A</v>
      </c>
    </row>
    <row r="629">
      <c r="B629" s="20" t="str">
        <f>VLOOKUP(A629,PlayerDB!$F$2:$H3480,3,FALSE)</f>
        <v>#N/A</v>
      </c>
    </row>
    <row r="630">
      <c r="B630" s="20" t="str">
        <f>VLOOKUP(A630,PlayerDB!$F$2:$H3480,3,FALSE)</f>
        <v>#N/A</v>
      </c>
    </row>
    <row r="631">
      <c r="B631" s="20" t="str">
        <f>VLOOKUP(A631,PlayerDB!$F$2:$H3480,3,FALSE)</f>
        <v>#N/A</v>
      </c>
    </row>
    <row r="632">
      <c r="B632" s="20" t="str">
        <f>VLOOKUP(A632,PlayerDB!$F$2:$H3480,3,FALSE)</f>
        <v>#N/A</v>
      </c>
    </row>
    <row r="633">
      <c r="B633" s="20" t="str">
        <f>VLOOKUP(A633,PlayerDB!$F$2:$H3480,3,FALSE)</f>
        <v>#N/A</v>
      </c>
    </row>
    <row r="634">
      <c r="B634" s="20" t="str">
        <f>VLOOKUP(A634,PlayerDB!$F$2:$H3480,3,FALSE)</f>
        <v>#N/A</v>
      </c>
    </row>
    <row r="635">
      <c r="B635" s="20" t="str">
        <f>VLOOKUP(A635,PlayerDB!$F$2:$H3480,3,FALSE)</f>
        <v>#N/A</v>
      </c>
    </row>
    <row r="636">
      <c r="B636" s="20" t="str">
        <f>VLOOKUP(A636,PlayerDB!$F$2:$H3480,3,FALSE)</f>
        <v>#N/A</v>
      </c>
    </row>
    <row r="637">
      <c r="B637" s="20" t="str">
        <f>VLOOKUP(A637,PlayerDB!$F$2:$H3480,3,FALSE)</f>
        <v>#N/A</v>
      </c>
    </row>
    <row r="638">
      <c r="B638" s="20" t="str">
        <f>VLOOKUP(A638,PlayerDB!$F$2:$H3480,3,FALSE)</f>
        <v>#N/A</v>
      </c>
    </row>
    <row r="639">
      <c r="B639" s="20" t="str">
        <f>VLOOKUP(A639,PlayerDB!$F$2:$H3480,3,FALSE)</f>
        <v>#N/A</v>
      </c>
    </row>
    <row r="640">
      <c r="B640" s="20" t="str">
        <f>VLOOKUP(A640,PlayerDB!$F$2:$H3480,3,FALSE)</f>
        <v>#N/A</v>
      </c>
    </row>
    <row r="641">
      <c r="B641" s="20" t="str">
        <f>VLOOKUP(A641,PlayerDB!$F$2:$H3480,3,FALSE)</f>
        <v>#N/A</v>
      </c>
    </row>
    <row r="642">
      <c r="B642" s="20" t="str">
        <f>VLOOKUP(A642,PlayerDB!$F$2:$H3480,3,FALSE)</f>
        <v>#N/A</v>
      </c>
    </row>
    <row r="643">
      <c r="B643" s="20" t="str">
        <f>VLOOKUP(A643,PlayerDB!$F$2:$H3480,3,FALSE)</f>
        <v>#N/A</v>
      </c>
    </row>
    <row r="644">
      <c r="B644" s="20" t="str">
        <f>VLOOKUP(A644,PlayerDB!$F$2:$H3480,3,FALSE)</f>
        <v>#N/A</v>
      </c>
    </row>
    <row r="645">
      <c r="B645" s="20" t="str">
        <f>VLOOKUP(A645,PlayerDB!$F$2:$H3480,3,FALSE)</f>
        <v>#N/A</v>
      </c>
    </row>
    <row r="646">
      <c r="B646" s="20" t="str">
        <f>VLOOKUP(A646,PlayerDB!$F$2:$H3480,3,FALSE)</f>
        <v>#N/A</v>
      </c>
    </row>
    <row r="647">
      <c r="B647" s="20" t="str">
        <f>VLOOKUP(A647,PlayerDB!$F$2:$H3480,3,FALSE)</f>
        <v>#N/A</v>
      </c>
    </row>
    <row r="648">
      <c r="B648" s="20" t="str">
        <f>VLOOKUP(A648,PlayerDB!$F$2:$H3480,3,FALSE)</f>
        <v>#N/A</v>
      </c>
    </row>
    <row r="649">
      <c r="B649" s="20" t="str">
        <f>VLOOKUP(A649,PlayerDB!$F$2:$H3480,3,FALSE)</f>
        <v>#N/A</v>
      </c>
    </row>
    <row r="650">
      <c r="B650" s="20" t="str">
        <f>VLOOKUP(A650,PlayerDB!$F$2:$H3480,3,FALSE)</f>
        <v>#N/A</v>
      </c>
    </row>
    <row r="651">
      <c r="B651" s="20" t="str">
        <f>VLOOKUP(A651,PlayerDB!$F$2:$H3480,3,FALSE)</f>
        <v>#N/A</v>
      </c>
    </row>
    <row r="652">
      <c r="B652" s="20" t="str">
        <f>VLOOKUP(A652,PlayerDB!$F$2:$H3480,3,FALSE)</f>
        <v>#N/A</v>
      </c>
    </row>
    <row r="653">
      <c r="B653" s="20" t="str">
        <f>VLOOKUP(A653,PlayerDB!$F$2:$H3480,3,FALSE)</f>
        <v>#N/A</v>
      </c>
    </row>
    <row r="654">
      <c r="B654" s="20" t="str">
        <f>VLOOKUP(A654,PlayerDB!$F$2:$H3480,3,FALSE)</f>
        <v>#N/A</v>
      </c>
    </row>
    <row r="655">
      <c r="B655" s="20" t="str">
        <f>VLOOKUP(A655,PlayerDB!$F$2:$H3480,3,FALSE)</f>
        <v>#N/A</v>
      </c>
    </row>
    <row r="656">
      <c r="B656" s="20" t="str">
        <f>VLOOKUP(A656,PlayerDB!$F$2:$H3480,3,FALSE)</f>
        <v>#N/A</v>
      </c>
    </row>
    <row r="657">
      <c r="B657" s="20" t="str">
        <f>VLOOKUP(A657,PlayerDB!$F$2:$H3480,3,FALSE)</f>
        <v>#N/A</v>
      </c>
    </row>
    <row r="658">
      <c r="B658" s="20" t="str">
        <f>VLOOKUP(A658,PlayerDB!$F$2:$H3480,3,FALSE)</f>
        <v>#N/A</v>
      </c>
    </row>
    <row r="659">
      <c r="B659" s="20" t="str">
        <f>VLOOKUP(A659,PlayerDB!$F$2:$H3480,3,FALSE)</f>
        <v>#N/A</v>
      </c>
    </row>
    <row r="660">
      <c r="B660" s="20" t="str">
        <f>VLOOKUP(A660,PlayerDB!$F$2:$H3480,3,FALSE)</f>
        <v>#N/A</v>
      </c>
    </row>
    <row r="661">
      <c r="B661" s="20" t="str">
        <f>VLOOKUP(A661,PlayerDB!$F$2:$H3480,3,FALSE)</f>
        <v>#N/A</v>
      </c>
    </row>
    <row r="662">
      <c r="B662" s="20" t="str">
        <f>VLOOKUP(A662,PlayerDB!$F$2:$H3480,3,FALSE)</f>
        <v>#N/A</v>
      </c>
    </row>
    <row r="663">
      <c r="B663" s="20" t="str">
        <f>VLOOKUP(A663,PlayerDB!$F$2:$H3480,3,FALSE)</f>
        <v>#N/A</v>
      </c>
    </row>
    <row r="664">
      <c r="B664" s="20" t="str">
        <f>VLOOKUP(A664,PlayerDB!$F$2:$H3480,3,FALSE)</f>
        <v>#N/A</v>
      </c>
    </row>
    <row r="665">
      <c r="B665" s="20" t="str">
        <f>VLOOKUP(A665,PlayerDB!$F$2:$H3480,3,FALSE)</f>
        <v>#N/A</v>
      </c>
    </row>
    <row r="666">
      <c r="B666" s="20" t="str">
        <f>VLOOKUP(A666,PlayerDB!$F$2:$H3480,3,FALSE)</f>
        <v>#N/A</v>
      </c>
    </row>
    <row r="667">
      <c r="B667" s="20" t="str">
        <f>VLOOKUP(A667,PlayerDB!$F$2:$H3480,3,FALSE)</f>
        <v>#N/A</v>
      </c>
    </row>
    <row r="668">
      <c r="B668" s="20" t="str">
        <f>VLOOKUP(A668,PlayerDB!$F$2:$H3480,3,FALSE)</f>
        <v>#N/A</v>
      </c>
    </row>
    <row r="669">
      <c r="B669" s="20" t="str">
        <f>VLOOKUP(A669,PlayerDB!$F$2:$H3480,3,FALSE)</f>
        <v>#N/A</v>
      </c>
    </row>
    <row r="670">
      <c r="B670" s="20" t="str">
        <f>VLOOKUP(A670,PlayerDB!$F$2:$H3480,3,FALSE)</f>
        <v>#N/A</v>
      </c>
    </row>
    <row r="671">
      <c r="B671" s="20" t="str">
        <f>VLOOKUP(A671,PlayerDB!$F$2:$H3480,3,FALSE)</f>
        <v>#N/A</v>
      </c>
    </row>
    <row r="672">
      <c r="B672" s="20" t="str">
        <f>VLOOKUP(A672,PlayerDB!$F$2:$H3480,3,FALSE)</f>
        <v>#N/A</v>
      </c>
    </row>
    <row r="673">
      <c r="B673" s="20" t="str">
        <f>VLOOKUP(A673,PlayerDB!$F$2:$H3480,3,FALSE)</f>
        <v>#N/A</v>
      </c>
    </row>
    <row r="674">
      <c r="B674" s="20" t="str">
        <f>VLOOKUP(A674,PlayerDB!$F$2:$H3480,3,FALSE)</f>
        <v>#N/A</v>
      </c>
    </row>
    <row r="675">
      <c r="B675" s="20" t="str">
        <f>VLOOKUP(A675,PlayerDB!$F$2:$H3480,3,FALSE)</f>
        <v>#N/A</v>
      </c>
    </row>
    <row r="676">
      <c r="B676" s="20" t="str">
        <f>VLOOKUP(A676,PlayerDB!$F$2:$H3480,3,FALSE)</f>
        <v>#N/A</v>
      </c>
    </row>
    <row r="677">
      <c r="B677" s="20" t="str">
        <f>VLOOKUP(A677,PlayerDB!$F$2:$H3480,3,FALSE)</f>
        <v>#N/A</v>
      </c>
    </row>
    <row r="678">
      <c r="B678" s="20" t="str">
        <f>VLOOKUP(A678,PlayerDB!$F$2:$H3480,3,FALSE)</f>
        <v>#N/A</v>
      </c>
    </row>
    <row r="679">
      <c r="B679" s="20" t="str">
        <f>VLOOKUP(A679,PlayerDB!$F$2:$H3480,3,FALSE)</f>
        <v>#N/A</v>
      </c>
    </row>
    <row r="680">
      <c r="B680" s="20" t="str">
        <f>VLOOKUP(A680,PlayerDB!$F$2:$H3480,3,FALSE)</f>
        <v>#N/A</v>
      </c>
    </row>
    <row r="681">
      <c r="B681" s="20" t="str">
        <f>VLOOKUP(A681,PlayerDB!$F$2:$H3480,3,FALSE)</f>
        <v>#N/A</v>
      </c>
    </row>
    <row r="682">
      <c r="B682" s="20" t="str">
        <f>VLOOKUP(A682,PlayerDB!$F$2:$H3480,3,FALSE)</f>
        <v>#N/A</v>
      </c>
    </row>
    <row r="683">
      <c r="B683" s="20" t="str">
        <f>VLOOKUP(A683,PlayerDB!$F$2:$H3480,3,FALSE)</f>
        <v>#N/A</v>
      </c>
    </row>
    <row r="684">
      <c r="B684" s="20" t="str">
        <f>VLOOKUP(A684,PlayerDB!$F$2:$H3480,3,FALSE)</f>
        <v>#N/A</v>
      </c>
    </row>
    <row r="685">
      <c r="B685" s="20" t="str">
        <f>VLOOKUP(A685,PlayerDB!$F$2:$H3480,3,FALSE)</f>
        <v>#N/A</v>
      </c>
    </row>
    <row r="686">
      <c r="B686" s="20" t="str">
        <f>VLOOKUP(A686,PlayerDB!$F$2:$H3480,3,FALSE)</f>
        <v>#N/A</v>
      </c>
    </row>
    <row r="687">
      <c r="B687" s="20" t="str">
        <f>VLOOKUP(A687,PlayerDB!$F$2:$H3480,3,FALSE)</f>
        <v>#N/A</v>
      </c>
    </row>
    <row r="688">
      <c r="B688" s="20" t="str">
        <f>VLOOKUP(A688,PlayerDB!$F$2:$H3480,3,FALSE)</f>
        <v>#N/A</v>
      </c>
    </row>
    <row r="689">
      <c r="B689" s="20" t="str">
        <f>VLOOKUP(A689,PlayerDB!$F$2:$H3480,3,FALSE)</f>
        <v>#N/A</v>
      </c>
    </row>
    <row r="690">
      <c r="B690" s="20" t="str">
        <f>VLOOKUP(A690,PlayerDB!$F$2:$H3480,3,FALSE)</f>
        <v>#N/A</v>
      </c>
    </row>
    <row r="691">
      <c r="B691" s="20" t="str">
        <f>VLOOKUP(A691,PlayerDB!$F$2:$H3480,3,FALSE)</f>
        <v>#N/A</v>
      </c>
    </row>
    <row r="692">
      <c r="B692" s="20" t="str">
        <f>VLOOKUP(A692,PlayerDB!$F$2:$H3480,3,FALSE)</f>
        <v>#N/A</v>
      </c>
    </row>
    <row r="693">
      <c r="B693" s="20" t="str">
        <f>VLOOKUP(A693,PlayerDB!$F$2:$H3480,3,FALSE)</f>
        <v>#N/A</v>
      </c>
    </row>
    <row r="694">
      <c r="B694" s="20" t="str">
        <f>VLOOKUP(A694,PlayerDB!$F$2:$H3480,3,FALSE)</f>
        <v>#N/A</v>
      </c>
    </row>
    <row r="695">
      <c r="B695" s="20" t="str">
        <f>VLOOKUP(A695,PlayerDB!$F$2:$H3480,3,FALSE)</f>
        <v>#N/A</v>
      </c>
    </row>
    <row r="696">
      <c r="B696" s="20" t="str">
        <f>VLOOKUP(A696,PlayerDB!$F$2:$H3480,3,FALSE)</f>
        <v>#N/A</v>
      </c>
    </row>
    <row r="697">
      <c r="B697" s="20" t="str">
        <f>VLOOKUP(A697,PlayerDB!$F$2:$H3480,3,FALSE)</f>
        <v>#N/A</v>
      </c>
    </row>
    <row r="698">
      <c r="B698" s="20" t="str">
        <f>VLOOKUP(A698,PlayerDB!$F$2:$H3480,3,FALSE)</f>
        <v>#N/A</v>
      </c>
    </row>
    <row r="699">
      <c r="B699" s="20" t="str">
        <f>VLOOKUP(A699,PlayerDB!$F$2:$H3480,3,FALSE)</f>
        <v>#N/A</v>
      </c>
    </row>
    <row r="700">
      <c r="B700" s="20" t="str">
        <f>VLOOKUP(A700,PlayerDB!$F$2:$H3480,3,FALSE)</f>
        <v>#N/A</v>
      </c>
    </row>
    <row r="701">
      <c r="B701" s="20" t="str">
        <f>VLOOKUP(A701,PlayerDB!$F$2:$H3480,3,FALSE)</f>
        <v>#N/A</v>
      </c>
    </row>
    <row r="702">
      <c r="B702" s="20" t="str">
        <f>VLOOKUP(A702,PlayerDB!$F$2:$H3480,3,FALSE)</f>
        <v>#N/A</v>
      </c>
    </row>
    <row r="703">
      <c r="B703" s="20" t="str">
        <f>VLOOKUP(A703,PlayerDB!$F$2:$H3480,3,FALSE)</f>
        <v>#N/A</v>
      </c>
    </row>
    <row r="704">
      <c r="B704" s="20" t="str">
        <f>VLOOKUP(A704,PlayerDB!$F$2:$H3480,3,FALSE)</f>
        <v>#N/A</v>
      </c>
    </row>
    <row r="705">
      <c r="B705" s="20" t="str">
        <f>VLOOKUP(A705,PlayerDB!$F$2:$H3480,3,FALSE)</f>
        <v>#N/A</v>
      </c>
    </row>
    <row r="706">
      <c r="B706" s="20" t="str">
        <f>VLOOKUP(A706,PlayerDB!$F$2:$H3480,3,FALSE)</f>
        <v>#N/A</v>
      </c>
    </row>
    <row r="707">
      <c r="B707" s="20" t="str">
        <f>VLOOKUP(A707,PlayerDB!$F$2:$H3480,3,FALSE)</f>
        <v>#N/A</v>
      </c>
    </row>
    <row r="708">
      <c r="B708" s="20" t="str">
        <f>VLOOKUP(A708,PlayerDB!$F$2:$H3480,3,FALSE)</f>
        <v>#N/A</v>
      </c>
    </row>
    <row r="709">
      <c r="B709" s="20" t="str">
        <f>VLOOKUP(A709,PlayerDB!$F$2:$H3480,3,FALSE)</f>
        <v>#N/A</v>
      </c>
    </row>
    <row r="710">
      <c r="B710" s="20" t="str">
        <f>VLOOKUP(A710,PlayerDB!$F$2:$H3480,3,FALSE)</f>
        <v>#N/A</v>
      </c>
    </row>
    <row r="711">
      <c r="B711" s="20" t="str">
        <f>VLOOKUP(A711,PlayerDB!$F$2:$H3480,3,FALSE)</f>
        <v>#N/A</v>
      </c>
    </row>
    <row r="712">
      <c r="B712" s="20" t="str">
        <f>VLOOKUP(A712,PlayerDB!$F$2:$H3480,3,FALSE)</f>
        <v>#N/A</v>
      </c>
    </row>
    <row r="713">
      <c r="B713" s="20" t="str">
        <f>VLOOKUP(A713,PlayerDB!$F$2:$H3480,3,FALSE)</f>
        <v>#N/A</v>
      </c>
    </row>
    <row r="714">
      <c r="B714" s="20" t="str">
        <f>VLOOKUP(A714,PlayerDB!$F$2:$H3480,3,FALSE)</f>
        <v>#N/A</v>
      </c>
    </row>
    <row r="715">
      <c r="B715" s="20" t="str">
        <f>VLOOKUP(A715,PlayerDB!$F$2:$H3480,3,FALSE)</f>
        <v>#N/A</v>
      </c>
    </row>
    <row r="716">
      <c r="B716" s="20" t="str">
        <f>VLOOKUP(A716,PlayerDB!$F$2:$H3480,3,FALSE)</f>
        <v>#N/A</v>
      </c>
    </row>
    <row r="717">
      <c r="B717" s="20" t="str">
        <f>VLOOKUP(A717,PlayerDB!$F$2:$H3480,3,FALSE)</f>
        <v>#N/A</v>
      </c>
    </row>
    <row r="718">
      <c r="B718" s="20" t="str">
        <f>VLOOKUP(A718,PlayerDB!$F$2:$H3480,3,FALSE)</f>
        <v>#N/A</v>
      </c>
    </row>
    <row r="719">
      <c r="B719" s="20" t="str">
        <f>VLOOKUP(A719,PlayerDB!$F$2:$H3480,3,FALSE)</f>
        <v>#N/A</v>
      </c>
    </row>
    <row r="720">
      <c r="B720" s="20" t="str">
        <f>VLOOKUP(A720,PlayerDB!$F$2:$H3480,3,FALSE)</f>
        <v>#N/A</v>
      </c>
    </row>
    <row r="721">
      <c r="B721" s="20" t="str">
        <f>VLOOKUP(A721,PlayerDB!$F$2:$H3480,3,FALSE)</f>
        <v>#N/A</v>
      </c>
    </row>
    <row r="722">
      <c r="B722" s="20" t="str">
        <f>VLOOKUP(A722,PlayerDB!$F$2:$H3480,3,FALSE)</f>
        <v>#N/A</v>
      </c>
    </row>
    <row r="723">
      <c r="B723" s="20" t="str">
        <f>VLOOKUP(A723,PlayerDB!$F$2:$H3480,3,FALSE)</f>
        <v>#N/A</v>
      </c>
    </row>
    <row r="724">
      <c r="B724" s="20" t="str">
        <f>VLOOKUP(A724,PlayerDB!$F$2:$H3480,3,FALSE)</f>
        <v>#N/A</v>
      </c>
    </row>
    <row r="725">
      <c r="B725" s="20" t="str">
        <f>VLOOKUP(A725,PlayerDB!$F$2:$H3480,3,FALSE)</f>
        <v>#N/A</v>
      </c>
    </row>
    <row r="726">
      <c r="B726" s="20" t="str">
        <f>VLOOKUP(A726,PlayerDB!$F$2:$H3480,3,FALSE)</f>
        <v>#N/A</v>
      </c>
    </row>
    <row r="727">
      <c r="B727" s="20" t="str">
        <f>VLOOKUP(A727,PlayerDB!$F$2:$H3480,3,FALSE)</f>
        <v>#N/A</v>
      </c>
    </row>
    <row r="728">
      <c r="B728" s="20" t="str">
        <f>VLOOKUP(A728,PlayerDB!$F$2:$H3480,3,FALSE)</f>
        <v>#N/A</v>
      </c>
    </row>
    <row r="729">
      <c r="B729" s="20" t="str">
        <f>VLOOKUP(A729,PlayerDB!$F$2:$H3480,3,FALSE)</f>
        <v>#N/A</v>
      </c>
    </row>
    <row r="730">
      <c r="B730" s="20" t="str">
        <f>VLOOKUP(A730,PlayerDB!$F$2:$H3480,3,FALSE)</f>
        <v>#N/A</v>
      </c>
    </row>
    <row r="731">
      <c r="B731" s="20" t="str">
        <f>VLOOKUP(A731,PlayerDB!$F$2:$H3480,3,FALSE)</f>
        <v>#N/A</v>
      </c>
    </row>
    <row r="732">
      <c r="B732" s="20" t="str">
        <f>VLOOKUP(A732,PlayerDB!$F$2:$H3480,3,FALSE)</f>
        <v>#N/A</v>
      </c>
    </row>
    <row r="733">
      <c r="B733" s="20" t="str">
        <f>VLOOKUP(A733,PlayerDB!$F$2:$H3480,3,FALSE)</f>
        <v>#N/A</v>
      </c>
    </row>
    <row r="734">
      <c r="B734" s="20" t="str">
        <f>VLOOKUP(A734,PlayerDB!$F$2:$H3480,3,FALSE)</f>
        <v>#N/A</v>
      </c>
    </row>
    <row r="735">
      <c r="B735" s="20" t="str">
        <f>VLOOKUP(A735,PlayerDB!$F$2:$H3480,3,FALSE)</f>
        <v>#N/A</v>
      </c>
    </row>
    <row r="736">
      <c r="B736" s="20" t="str">
        <f>VLOOKUP(A736,PlayerDB!$F$2:$H3480,3,FALSE)</f>
        <v>#N/A</v>
      </c>
    </row>
    <row r="737">
      <c r="B737" s="20" t="str">
        <f>VLOOKUP(A737,PlayerDB!$F$2:$H3480,3,FALSE)</f>
        <v>#N/A</v>
      </c>
    </row>
    <row r="738">
      <c r="B738" s="20" t="str">
        <f>VLOOKUP(A738,PlayerDB!$F$2:$H3480,3,FALSE)</f>
        <v>#N/A</v>
      </c>
    </row>
    <row r="739">
      <c r="B739" s="20" t="str">
        <f>VLOOKUP(A739,PlayerDB!$F$2:$H3480,3,FALSE)</f>
        <v>#N/A</v>
      </c>
    </row>
    <row r="740">
      <c r="B740" s="20" t="str">
        <f>VLOOKUP(A740,PlayerDB!$F$2:$H3480,3,FALSE)</f>
        <v>#N/A</v>
      </c>
    </row>
    <row r="741">
      <c r="B741" s="20" t="str">
        <f>VLOOKUP(A741,PlayerDB!$F$2:$H3480,3,FALSE)</f>
        <v>#N/A</v>
      </c>
    </row>
    <row r="742">
      <c r="B742" s="20" t="str">
        <f>VLOOKUP(A742,PlayerDB!$F$2:$H3480,3,FALSE)</f>
        <v>#N/A</v>
      </c>
    </row>
    <row r="743">
      <c r="B743" s="20" t="str">
        <f>VLOOKUP(A743,PlayerDB!$F$2:$H3480,3,FALSE)</f>
        <v>#N/A</v>
      </c>
    </row>
    <row r="744">
      <c r="B744" s="20" t="str">
        <f>VLOOKUP(A744,PlayerDB!$F$2:$H3480,3,FALSE)</f>
        <v>#N/A</v>
      </c>
    </row>
    <row r="745">
      <c r="B745" s="20" t="str">
        <f>VLOOKUP(A745,PlayerDB!$F$2:$H3480,3,FALSE)</f>
        <v>#N/A</v>
      </c>
    </row>
    <row r="746">
      <c r="B746" s="20" t="str">
        <f>VLOOKUP(A746,PlayerDB!$F$2:$H3480,3,FALSE)</f>
        <v>#N/A</v>
      </c>
    </row>
    <row r="747">
      <c r="B747" s="20" t="str">
        <f>VLOOKUP(A747,PlayerDB!$F$2:$H3480,3,FALSE)</f>
        <v>#N/A</v>
      </c>
    </row>
    <row r="748">
      <c r="B748" s="20" t="str">
        <f>VLOOKUP(A748,PlayerDB!$F$2:$H3480,3,FALSE)</f>
        <v>#N/A</v>
      </c>
    </row>
    <row r="749">
      <c r="B749" s="20" t="str">
        <f>VLOOKUP(A749,PlayerDB!$F$2:$H3480,3,FALSE)</f>
        <v>#N/A</v>
      </c>
    </row>
    <row r="750">
      <c r="B750" s="20" t="str">
        <f>VLOOKUP(A750,PlayerDB!$F$2:$H3480,3,FALSE)</f>
        <v>#N/A</v>
      </c>
    </row>
    <row r="751">
      <c r="B751" s="20" t="str">
        <f>VLOOKUP(A751,PlayerDB!$F$2:$H3480,3,FALSE)</f>
        <v>#N/A</v>
      </c>
    </row>
    <row r="752">
      <c r="B752" s="20" t="str">
        <f>VLOOKUP(A752,PlayerDB!$F$2:$H3480,3,FALSE)</f>
        <v>#N/A</v>
      </c>
    </row>
    <row r="753">
      <c r="B753" s="20" t="str">
        <f>VLOOKUP(A753,PlayerDB!$F$2:$H3480,3,FALSE)</f>
        <v>#N/A</v>
      </c>
    </row>
    <row r="754">
      <c r="B754" s="20" t="str">
        <f>VLOOKUP(A754,PlayerDB!$F$2:$H3480,3,FALSE)</f>
        <v>#N/A</v>
      </c>
    </row>
    <row r="755">
      <c r="B755" s="20" t="str">
        <f>VLOOKUP(A755,PlayerDB!$F$2:$H3480,3,FALSE)</f>
        <v>#N/A</v>
      </c>
    </row>
    <row r="756">
      <c r="B756" s="20" t="str">
        <f>VLOOKUP(A756,PlayerDB!$F$2:$H3480,3,FALSE)</f>
        <v>#N/A</v>
      </c>
    </row>
    <row r="757">
      <c r="B757" s="20" t="str">
        <f>VLOOKUP(A757,PlayerDB!$F$2:$H3480,3,FALSE)</f>
        <v>#N/A</v>
      </c>
    </row>
    <row r="758">
      <c r="B758" s="20" t="str">
        <f>VLOOKUP(A758,PlayerDB!$F$2:$H3480,3,FALSE)</f>
        <v>#N/A</v>
      </c>
    </row>
    <row r="759">
      <c r="B759" s="20" t="str">
        <f>VLOOKUP(A759,PlayerDB!$F$2:$H3480,3,FALSE)</f>
        <v>#N/A</v>
      </c>
    </row>
    <row r="760">
      <c r="B760" s="20" t="str">
        <f>VLOOKUP(A760,PlayerDB!$F$2:$H3480,3,FALSE)</f>
        <v>#N/A</v>
      </c>
    </row>
    <row r="761">
      <c r="B761" s="20" t="str">
        <f>VLOOKUP(A761,PlayerDB!$F$2:$H3480,3,FALSE)</f>
        <v>#N/A</v>
      </c>
    </row>
    <row r="762">
      <c r="B762" s="20" t="str">
        <f>VLOOKUP(A762,PlayerDB!$F$2:$H3480,3,FALSE)</f>
        <v>#N/A</v>
      </c>
    </row>
    <row r="763">
      <c r="B763" s="20" t="str">
        <f>VLOOKUP(A763,PlayerDB!$F$2:$H3480,3,FALSE)</f>
        <v>#N/A</v>
      </c>
    </row>
    <row r="764">
      <c r="B764" s="20" t="str">
        <f>VLOOKUP(A764,PlayerDB!$F$2:$H3480,3,FALSE)</f>
        <v>#N/A</v>
      </c>
    </row>
    <row r="765">
      <c r="B765" s="20" t="str">
        <f>VLOOKUP(A765,PlayerDB!$F$2:$H3480,3,FALSE)</f>
        <v>#N/A</v>
      </c>
    </row>
    <row r="766">
      <c r="B766" s="20" t="str">
        <f>VLOOKUP(A766,PlayerDB!$F$2:$H3480,3,FALSE)</f>
        <v>#N/A</v>
      </c>
    </row>
    <row r="767">
      <c r="B767" s="20" t="str">
        <f>VLOOKUP(A767,PlayerDB!$F$2:$H3480,3,FALSE)</f>
        <v>#N/A</v>
      </c>
    </row>
    <row r="768">
      <c r="B768" s="20" t="str">
        <f>VLOOKUP(A768,PlayerDB!$F$2:$H3480,3,FALSE)</f>
        <v>#N/A</v>
      </c>
    </row>
    <row r="769">
      <c r="B769" s="20" t="str">
        <f>VLOOKUP(A769,PlayerDB!$F$2:$H3480,3,FALSE)</f>
        <v>#N/A</v>
      </c>
    </row>
    <row r="770">
      <c r="B770" s="20" t="str">
        <f>VLOOKUP(A770,PlayerDB!$F$2:$H3480,3,FALSE)</f>
        <v>#N/A</v>
      </c>
    </row>
    <row r="771">
      <c r="B771" s="20" t="str">
        <f>VLOOKUP(A771,PlayerDB!$F$2:$H3480,3,FALSE)</f>
        <v>#N/A</v>
      </c>
    </row>
    <row r="772">
      <c r="B772" s="20" t="str">
        <f>VLOOKUP(A772,PlayerDB!$F$2:$H3480,3,FALSE)</f>
        <v>#N/A</v>
      </c>
    </row>
    <row r="773">
      <c r="B773" s="20" t="str">
        <f>VLOOKUP(A773,PlayerDB!$F$2:$H3480,3,FALSE)</f>
        <v>#N/A</v>
      </c>
    </row>
    <row r="774">
      <c r="B774" s="20" t="str">
        <f>VLOOKUP(A774,PlayerDB!$F$2:$H3480,3,FALSE)</f>
        <v>#N/A</v>
      </c>
    </row>
    <row r="775">
      <c r="B775" s="20" t="str">
        <f>VLOOKUP(A775,PlayerDB!$F$2:$H3480,3,FALSE)</f>
        <v>#N/A</v>
      </c>
    </row>
    <row r="776">
      <c r="B776" s="20" t="str">
        <f>VLOOKUP(A776,PlayerDB!$F$2:$H3480,3,FALSE)</f>
        <v>#N/A</v>
      </c>
    </row>
    <row r="777">
      <c r="B777" s="20" t="str">
        <f>VLOOKUP(A777,PlayerDB!$F$2:$H3480,3,FALSE)</f>
        <v>#N/A</v>
      </c>
    </row>
    <row r="778">
      <c r="B778" s="20" t="str">
        <f>VLOOKUP(A778,PlayerDB!$F$2:$H3480,3,FALSE)</f>
        <v>#N/A</v>
      </c>
    </row>
    <row r="779">
      <c r="B779" s="20" t="str">
        <f>VLOOKUP(A779,PlayerDB!$F$2:$H3480,3,FALSE)</f>
        <v>#N/A</v>
      </c>
    </row>
    <row r="780">
      <c r="B780" s="20" t="str">
        <f>VLOOKUP(A780,PlayerDB!$F$2:$H3480,3,FALSE)</f>
        <v>#N/A</v>
      </c>
    </row>
    <row r="781">
      <c r="B781" s="20" t="str">
        <f>VLOOKUP(A781,PlayerDB!$F$2:$H3480,3,FALSE)</f>
        <v>#N/A</v>
      </c>
    </row>
    <row r="782">
      <c r="B782" s="20" t="str">
        <f>VLOOKUP(A782,PlayerDB!$F$2:$H3480,3,FALSE)</f>
        <v>#N/A</v>
      </c>
    </row>
    <row r="783">
      <c r="B783" s="20" t="str">
        <f>VLOOKUP(A783,PlayerDB!$F$2:$H3480,3,FALSE)</f>
        <v>#N/A</v>
      </c>
    </row>
    <row r="784">
      <c r="B784" s="20" t="str">
        <f>VLOOKUP(A784,PlayerDB!$F$2:$H3480,3,FALSE)</f>
        <v>#N/A</v>
      </c>
    </row>
    <row r="785">
      <c r="B785" s="20" t="str">
        <f>VLOOKUP(A785,PlayerDB!$F$2:$H3480,3,FALSE)</f>
        <v>#N/A</v>
      </c>
    </row>
    <row r="786">
      <c r="B786" s="20" t="str">
        <f>VLOOKUP(A786,PlayerDB!$F$2:$H3480,3,FALSE)</f>
        <v>#N/A</v>
      </c>
    </row>
    <row r="787">
      <c r="B787" s="20" t="str">
        <f>VLOOKUP(A787,PlayerDB!$F$2:$H3480,3,FALSE)</f>
        <v>#N/A</v>
      </c>
    </row>
    <row r="788">
      <c r="B788" s="20" t="str">
        <f>VLOOKUP(A788,PlayerDB!$F$2:$H3480,3,FALSE)</f>
        <v>#N/A</v>
      </c>
    </row>
    <row r="789">
      <c r="B789" s="20" t="str">
        <f>VLOOKUP(A789,PlayerDB!$F$2:$H3480,3,FALSE)</f>
        <v>#N/A</v>
      </c>
    </row>
    <row r="790">
      <c r="B790" s="20" t="str">
        <f>VLOOKUP(A790,PlayerDB!$F$2:$H3480,3,FALSE)</f>
        <v>#N/A</v>
      </c>
    </row>
    <row r="791">
      <c r="B791" s="20" t="str">
        <f>VLOOKUP(A791,PlayerDB!$F$2:$H3480,3,FALSE)</f>
        <v>#N/A</v>
      </c>
    </row>
    <row r="792">
      <c r="B792" s="20" t="str">
        <f>VLOOKUP(A792,PlayerDB!$F$2:$H3480,3,FALSE)</f>
        <v>#N/A</v>
      </c>
    </row>
    <row r="793">
      <c r="B793" s="20" t="str">
        <f>VLOOKUP(A793,PlayerDB!$F$2:$H3480,3,FALSE)</f>
        <v>#N/A</v>
      </c>
    </row>
    <row r="794">
      <c r="B794" s="20" t="str">
        <f>VLOOKUP(A794,PlayerDB!$F$2:$H3480,3,FALSE)</f>
        <v>#N/A</v>
      </c>
    </row>
    <row r="795">
      <c r="B795" s="20" t="str">
        <f>VLOOKUP(A795,PlayerDB!$F$2:$H3480,3,FALSE)</f>
        <v>#N/A</v>
      </c>
    </row>
    <row r="796">
      <c r="B796" s="20" t="str">
        <f>VLOOKUP(A796,PlayerDB!$F$2:$H3480,3,FALSE)</f>
        <v>#N/A</v>
      </c>
    </row>
    <row r="797">
      <c r="B797" s="20" t="str">
        <f>VLOOKUP(A797,PlayerDB!$F$2:$H3480,3,FALSE)</f>
        <v>#N/A</v>
      </c>
    </row>
    <row r="798">
      <c r="B798" s="20" t="str">
        <f>VLOOKUP(A798,PlayerDB!$F$2:$H3480,3,FALSE)</f>
        <v>#N/A</v>
      </c>
    </row>
    <row r="799">
      <c r="B799" s="20" t="str">
        <f>VLOOKUP(A799,PlayerDB!$F$2:$H3480,3,FALSE)</f>
        <v>#N/A</v>
      </c>
    </row>
    <row r="800">
      <c r="B800" s="20" t="str">
        <f>VLOOKUP(A800,PlayerDB!$F$2:$H3480,3,FALSE)</f>
        <v>#N/A</v>
      </c>
    </row>
    <row r="801">
      <c r="B801" s="20" t="str">
        <f>VLOOKUP(A801,PlayerDB!$F$2:$H3480,3,FALSE)</f>
        <v>#N/A</v>
      </c>
    </row>
    <row r="802">
      <c r="B802" s="20" t="str">
        <f>VLOOKUP(A802,PlayerDB!$F$2:$H3480,3,FALSE)</f>
        <v>#N/A</v>
      </c>
    </row>
    <row r="803">
      <c r="B803" s="20" t="str">
        <f>VLOOKUP(A803,PlayerDB!$F$2:$H3480,3,FALSE)</f>
        <v>#N/A</v>
      </c>
    </row>
    <row r="804">
      <c r="B804" s="20" t="str">
        <f>VLOOKUP(A804,PlayerDB!$F$2:$H3480,3,FALSE)</f>
        <v>#N/A</v>
      </c>
    </row>
    <row r="805">
      <c r="B805" s="20" t="str">
        <f>VLOOKUP(A805,PlayerDB!$F$2:$H3480,3,FALSE)</f>
        <v>#N/A</v>
      </c>
    </row>
    <row r="806">
      <c r="B806" s="20" t="str">
        <f>VLOOKUP(A806,PlayerDB!$F$2:$H3480,3,FALSE)</f>
        <v>#N/A</v>
      </c>
    </row>
    <row r="807">
      <c r="B807" s="20" t="str">
        <f>VLOOKUP(A807,PlayerDB!$F$2:$H3480,3,FALSE)</f>
        <v>#N/A</v>
      </c>
    </row>
    <row r="808">
      <c r="B808" s="20" t="str">
        <f>VLOOKUP(A808,PlayerDB!$F$2:$H3480,3,FALSE)</f>
        <v>#N/A</v>
      </c>
    </row>
    <row r="809">
      <c r="B809" s="20" t="str">
        <f>VLOOKUP(A809,PlayerDB!$F$2:$H3480,3,FALSE)</f>
        <v>#N/A</v>
      </c>
    </row>
    <row r="810">
      <c r="B810" s="20" t="str">
        <f>VLOOKUP(A810,PlayerDB!$F$2:$H3480,3,FALSE)</f>
        <v>#N/A</v>
      </c>
    </row>
    <row r="811">
      <c r="B811" s="20" t="str">
        <f>VLOOKUP(A811,PlayerDB!$F$2:$H3480,3,FALSE)</f>
        <v>#N/A</v>
      </c>
    </row>
    <row r="812">
      <c r="B812" s="20" t="str">
        <f>VLOOKUP(A812,PlayerDB!$F$2:$H3480,3,FALSE)</f>
        <v>#N/A</v>
      </c>
    </row>
    <row r="813">
      <c r="B813" s="20" t="str">
        <f>VLOOKUP(A813,PlayerDB!$F$2:$H3480,3,FALSE)</f>
        <v>#N/A</v>
      </c>
    </row>
    <row r="814">
      <c r="B814" s="20" t="str">
        <f>VLOOKUP(A814,PlayerDB!$F$2:$H3480,3,FALSE)</f>
        <v>#N/A</v>
      </c>
    </row>
    <row r="815">
      <c r="B815" s="20" t="str">
        <f>VLOOKUP(A815,PlayerDB!$F$2:$H3480,3,FALSE)</f>
        <v>#N/A</v>
      </c>
    </row>
    <row r="816">
      <c r="B816" s="20" t="str">
        <f>VLOOKUP(A816,PlayerDB!$F$2:$H3480,3,FALSE)</f>
        <v>#N/A</v>
      </c>
    </row>
    <row r="817">
      <c r="B817" s="20" t="str">
        <f>VLOOKUP(A817,PlayerDB!$F$2:$H3480,3,FALSE)</f>
        <v>#N/A</v>
      </c>
    </row>
    <row r="818">
      <c r="B818" s="20" t="str">
        <f>VLOOKUP(A818,PlayerDB!$F$2:$H3480,3,FALSE)</f>
        <v>#N/A</v>
      </c>
    </row>
    <row r="819">
      <c r="B819" s="20" t="str">
        <f>VLOOKUP(A819,PlayerDB!$F$2:$H3480,3,FALSE)</f>
        <v>#N/A</v>
      </c>
    </row>
    <row r="820">
      <c r="B820" s="20" t="str">
        <f>VLOOKUP(A820,PlayerDB!$F$2:$H3480,3,FALSE)</f>
        <v>#N/A</v>
      </c>
    </row>
    <row r="821">
      <c r="B821" s="20" t="str">
        <f>VLOOKUP(A821,PlayerDB!$F$2:$H3480,3,FALSE)</f>
        <v>#N/A</v>
      </c>
    </row>
    <row r="822">
      <c r="B822" s="20" t="str">
        <f>VLOOKUP(A822,PlayerDB!$F$2:$H3480,3,FALSE)</f>
        <v>#N/A</v>
      </c>
    </row>
    <row r="823">
      <c r="B823" s="20" t="str">
        <f>VLOOKUP(A823,PlayerDB!$F$2:$H3480,3,FALSE)</f>
        <v>#N/A</v>
      </c>
    </row>
    <row r="824">
      <c r="B824" s="20" t="str">
        <f>VLOOKUP(A824,PlayerDB!$F$2:$H3480,3,FALSE)</f>
        <v>#N/A</v>
      </c>
    </row>
    <row r="825">
      <c r="B825" s="20" t="str">
        <f>VLOOKUP(A825,PlayerDB!$F$2:$H3480,3,FALSE)</f>
        <v>#N/A</v>
      </c>
    </row>
    <row r="826">
      <c r="B826" s="20" t="str">
        <f>VLOOKUP(A826,PlayerDB!$F$2:$H3480,3,FALSE)</f>
        <v>#N/A</v>
      </c>
    </row>
    <row r="827">
      <c r="B827" s="20" t="str">
        <f>VLOOKUP(A827,PlayerDB!$F$2:$H3480,3,FALSE)</f>
        <v>#N/A</v>
      </c>
    </row>
    <row r="828">
      <c r="B828" s="20" t="str">
        <f>VLOOKUP(A828,PlayerDB!$F$2:$H3480,3,FALSE)</f>
        <v>#N/A</v>
      </c>
    </row>
    <row r="829">
      <c r="B829" s="20" t="str">
        <f>VLOOKUP(A829,PlayerDB!$F$2:$H3480,3,FALSE)</f>
        <v>#N/A</v>
      </c>
    </row>
    <row r="830">
      <c r="B830" s="20" t="str">
        <f>VLOOKUP(A830,PlayerDB!$F$2:$H3480,3,FALSE)</f>
        <v>#N/A</v>
      </c>
    </row>
    <row r="831">
      <c r="B831" s="20" t="str">
        <f>VLOOKUP(A831,PlayerDB!$F$2:$H3480,3,FALSE)</f>
        <v>#N/A</v>
      </c>
    </row>
    <row r="832">
      <c r="B832" s="20" t="str">
        <f>VLOOKUP(A832,PlayerDB!$F$2:$H3480,3,FALSE)</f>
        <v>#N/A</v>
      </c>
    </row>
    <row r="833">
      <c r="B833" s="20" t="str">
        <f>VLOOKUP(A833,PlayerDB!$F$2:$H3480,3,FALSE)</f>
        <v>#N/A</v>
      </c>
    </row>
    <row r="834">
      <c r="B834" s="20" t="str">
        <f>VLOOKUP(A834,PlayerDB!$F$2:$H3480,3,FALSE)</f>
        <v>#N/A</v>
      </c>
    </row>
    <row r="835">
      <c r="B835" s="20" t="str">
        <f>VLOOKUP(A835,PlayerDB!$F$2:$H3480,3,FALSE)</f>
        <v>#N/A</v>
      </c>
    </row>
    <row r="836">
      <c r="B836" s="20" t="str">
        <f>VLOOKUP(A836,PlayerDB!$F$2:$H3480,3,FALSE)</f>
        <v>#N/A</v>
      </c>
    </row>
    <row r="837">
      <c r="B837" s="20" t="str">
        <f>VLOOKUP(A837,PlayerDB!$F$2:$H3480,3,FALSE)</f>
        <v>#N/A</v>
      </c>
    </row>
    <row r="838">
      <c r="B838" s="20" t="str">
        <f>VLOOKUP(A838,PlayerDB!$F$2:$H3480,3,FALSE)</f>
        <v>#N/A</v>
      </c>
    </row>
    <row r="839">
      <c r="B839" s="20" t="str">
        <f>VLOOKUP(A839,PlayerDB!$F$2:$H3480,3,FALSE)</f>
        <v>#N/A</v>
      </c>
    </row>
    <row r="840">
      <c r="B840" s="20" t="str">
        <f>VLOOKUP(A840,PlayerDB!$F$2:$H3480,3,FALSE)</f>
        <v>#N/A</v>
      </c>
    </row>
    <row r="841">
      <c r="B841" s="20" t="str">
        <f>VLOOKUP(A841,PlayerDB!$F$2:$H3480,3,FALSE)</f>
        <v>#N/A</v>
      </c>
    </row>
    <row r="842">
      <c r="B842" s="20" t="str">
        <f>VLOOKUP(A842,PlayerDB!$F$2:$H3480,3,FALSE)</f>
        <v>#N/A</v>
      </c>
    </row>
    <row r="843">
      <c r="B843" s="20" t="str">
        <f>VLOOKUP(A843,PlayerDB!$F$2:$H3480,3,FALSE)</f>
        <v>#N/A</v>
      </c>
    </row>
    <row r="844">
      <c r="B844" s="20" t="str">
        <f>VLOOKUP(A844,PlayerDB!$F$2:$H3480,3,FALSE)</f>
        <v>#N/A</v>
      </c>
    </row>
    <row r="845">
      <c r="B845" s="20" t="str">
        <f>VLOOKUP(A845,PlayerDB!$F$2:$H3480,3,FALSE)</f>
        <v>#N/A</v>
      </c>
    </row>
    <row r="846">
      <c r="B846" s="20" t="str">
        <f>VLOOKUP(A846,PlayerDB!$F$2:$H3480,3,FALSE)</f>
        <v>#N/A</v>
      </c>
    </row>
    <row r="847">
      <c r="B847" s="20" t="str">
        <f>VLOOKUP(A847,PlayerDB!$F$2:$H3480,3,FALSE)</f>
        <v>#N/A</v>
      </c>
    </row>
    <row r="848">
      <c r="B848" s="20" t="str">
        <f>VLOOKUP(A848,PlayerDB!$F$2:$H3480,3,FALSE)</f>
        <v>#N/A</v>
      </c>
    </row>
    <row r="849">
      <c r="B849" s="20" t="str">
        <f>VLOOKUP(A849,PlayerDB!$F$2:$H3480,3,FALSE)</f>
        <v>#N/A</v>
      </c>
    </row>
    <row r="850">
      <c r="B850" s="20" t="str">
        <f>VLOOKUP(A850,PlayerDB!$F$2:$H3480,3,FALSE)</f>
        <v>#N/A</v>
      </c>
    </row>
    <row r="851">
      <c r="B851" s="20" t="str">
        <f>VLOOKUP(A851,PlayerDB!$F$2:$H3480,3,FALSE)</f>
        <v>#N/A</v>
      </c>
    </row>
    <row r="852">
      <c r="B852" s="20" t="str">
        <f>VLOOKUP(A852,PlayerDB!$F$2:$H3480,3,FALSE)</f>
        <v>#N/A</v>
      </c>
    </row>
    <row r="853">
      <c r="B853" s="20" t="str">
        <f>VLOOKUP(A853,PlayerDB!$F$2:$H3480,3,FALSE)</f>
        <v>#N/A</v>
      </c>
    </row>
    <row r="854">
      <c r="B854" s="20" t="str">
        <f>VLOOKUP(A854,PlayerDB!$F$2:$H3480,3,FALSE)</f>
        <v>#N/A</v>
      </c>
    </row>
    <row r="855">
      <c r="B855" s="20" t="str">
        <f>VLOOKUP(A855,PlayerDB!$F$2:$H3480,3,FALSE)</f>
        <v>#N/A</v>
      </c>
    </row>
    <row r="856">
      <c r="B856" s="20" t="str">
        <f>VLOOKUP(A856,PlayerDB!$F$2:$H3480,3,FALSE)</f>
        <v>#N/A</v>
      </c>
    </row>
    <row r="857">
      <c r="B857" s="20" t="str">
        <f>VLOOKUP(A857,PlayerDB!$F$2:$H3480,3,FALSE)</f>
        <v>#N/A</v>
      </c>
    </row>
    <row r="858">
      <c r="B858" s="20" t="str">
        <f>VLOOKUP(A858,PlayerDB!$F$2:$H3480,3,FALSE)</f>
        <v>#N/A</v>
      </c>
    </row>
    <row r="859">
      <c r="B859" s="20" t="str">
        <f>VLOOKUP(A859,PlayerDB!$F$2:$H3480,3,FALSE)</f>
        <v>#N/A</v>
      </c>
    </row>
    <row r="860">
      <c r="B860" s="20" t="str">
        <f>VLOOKUP(A860,PlayerDB!$F$2:$H3480,3,FALSE)</f>
        <v>#N/A</v>
      </c>
    </row>
    <row r="861">
      <c r="B861" s="20" t="str">
        <f>VLOOKUP(A861,PlayerDB!$F$2:$H3480,3,FALSE)</f>
        <v>#N/A</v>
      </c>
    </row>
    <row r="862">
      <c r="B862" s="20" t="str">
        <f>VLOOKUP(A862,PlayerDB!$F$2:$H3480,3,FALSE)</f>
        <v>#N/A</v>
      </c>
    </row>
    <row r="863">
      <c r="B863" s="20" t="str">
        <f>VLOOKUP(A863,PlayerDB!$F$2:$H3480,3,FALSE)</f>
        <v>#N/A</v>
      </c>
    </row>
    <row r="864">
      <c r="B864" s="20" t="str">
        <f>VLOOKUP(A864,PlayerDB!$F$2:$H3480,3,FALSE)</f>
        <v>#N/A</v>
      </c>
    </row>
    <row r="865">
      <c r="B865" s="20" t="str">
        <f>VLOOKUP(A865,PlayerDB!$F$2:$H3480,3,FALSE)</f>
        <v>#N/A</v>
      </c>
    </row>
    <row r="866">
      <c r="B866" s="20" t="str">
        <f>VLOOKUP(A866,PlayerDB!$F$2:$H3480,3,FALSE)</f>
        <v>#N/A</v>
      </c>
    </row>
    <row r="867">
      <c r="B867" s="20" t="str">
        <f>VLOOKUP(A867,PlayerDB!$F$2:$H3480,3,FALSE)</f>
        <v>#N/A</v>
      </c>
    </row>
    <row r="868">
      <c r="B868" s="20" t="str">
        <f>VLOOKUP(A868,PlayerDB!$F$2:$H3480,3,FALSE)</f>
        <v>#N/A</v>
      </c>
    </row>
    <row r="869">
      <c r="B869" s="20" t="str">
        <f>VLOOKUP(A869,PlayerDB!$F$2:$H3480,3,FALSE)</f>
        <v>#N/A</v>
      </c>
    </row>
    <row r="870">
      <c r="B870" s="20" t="str">
        <f>VLOOKUP(A870,PlayerDB!$F$2:$H3480,3,FALSE)</f>
        <v>#N/A</v>
      </c>
    </row>
    <row r="871">
      <c r="B871" s="20" t="str">
        <f>VLOOKUP(A871,PlayerDB!$F$2:$H3480,3,FALSE)</f>
        <v>#N/A</v>
      </c>
    </row>
    <row r="872">
      <c r="B872" s="20" t="str">
        <f>VLOOKUP(A872,PlayerDB!$F$2:$H3480,3,FALSE)</f>
        <v>#N/A</v>
      </c>
    </row>
    <row r="873">
      <c r="B873" s="20" t="str">
        <f>VLOOKUP(A873,PlayerDB!$F$2:$H3480,3,FALSE)</f>
        <v>#N/A</v>
      </c>
    </row>
    <row r="874">
      <c r="B874" s="20" t="str">
        <f>VLOOKUP(A874,PlayerDB!$F$2:$H3480,3,FALSE)</f>
        <v>#N/A</v>
      </c>
    </row>
    <row r="875">
      <c r="B875" s="20" t="str">
        <f>VLOOKUP(A875,PlayerDB!$F$2:$H3480,3,FALSE)</f>
        <v>#N/A</v>
      </c>
    </row>
    <row r="876">
      <c r="B876" s="20" t="str">
        <f>VLOOKUP(A876,PlayerDB!$F$2:$H3480,3,FALSE)</f>
        <v>#N/A</v>
      </c>
    </row>
    <row r="877">
      <c r="B877" s="20" t="str">
        <f>VLOOKUP(A877,PlayerDB!$F$2:$H3480,3,FALSE)</f>
        <v>#N/A</v>
      </c>
    </row>
    <row r="878">
      <c r="B878" s="20" t="str">
        <f>VLOOKUP(A878,PlayerDB!$F$2:$H3480,3,FALSE)</f>
        <v>#N/A</v>
      </c>
    </row>
    <row r="879">
      <c r="B879" s="20" t="str">
        <f>VLOOKUP(A879,PlayerDB!$F$2:$H3480,3,FALSE)</f>
        <v>#N/A</v>
      </c>
    </row>
    <row r="880">
      <c r="B880" s="20" t="str">
        <f>VLOOKUP(A880,PlayerDB!$F$2:$H3480,3,FALSE)</f>
        <v>#N/A</v>
      </c>
    </row>
    <row r="881">
      <c r="B881" s="20" t="str">
        <f>VLOOKUP(A881,PlayerDB!$F$2:$H3480,3,FALSE)</f>
        <v>#N/A</v>
      </c>
    </row>
    <row r="882">
      <c r="B882" s="20" t="str">
        <f>VLOOKUP(A882,PlayerDB!$F$2:$H3480,3,FALSE)</f>
        <v>#N/A</v>
      </c>
    </row>
    <row r="883">
      <c r="B883" s="20" t="str">
        <f>VLOOKUP(A883,PlayerDB!$F$2:$H3480,3,FALSE)</f>
        <v>#N/A</v>
      </c>
    </row>
    <row r="884">
      <c r="B884" s="20" t="str">
        <f>VLOOKUP(A884,PlayerDB!$F$2:$H3480,3,FALSE)</f>
        <v>#N/A</v>
      </c>
    </row>
    <row r="885">
      <c r="B885" s="20" t="str">
        <f>VLOOKUP(A885,PlayerDB!$F$2:$H3480,3,FALSE)</f>
        <v>#N/A</v>
      </c>
    </row>
    <row r="886">
      <c r="B886" s="20" t="str">
        <f>VLOOKUP(A886,PlayerDB!$F$2:$H3480,3,FALSE)</f>
        <v>#N/A</v>
      </c>
    </row>
    <row r="887">
      <c r="B887" s="20" t="str">
        <f>VLOOKUP(A887,PlayerDB!$F$2:$H3480,3,FALSE)</f>
        <v>#N/A</v>
      </c>
    </row>
    <row r="888">
      <c r="B888" s="20" t="str">
        <f>VLOOKUP(A888,PlayerDB!$F$2:$H3480,3,FALSE)</f>
        <v>#N/A</v>
      </c>
    </row>
    <row r="889">
      <c r="B889" s="20" t="str">
        <f>VLOOKUP(A889,PlayerDB!$F$2:$H3480,3,FALSE)</f>
        <v>#N/A</v>
      </c>
    </row>
    <row r="890">
      <c r="B890" s="20" t="str">
        <f>VLOOKUP(A890,PlayerDB!$F$2:$H3480,3,FALSE)</f>
        <v>#N/A</v>
      </c>
    </row>
    <row r="891">
      <c r="B891" s="20" t="str">
        <f>VLOOKUP(A891,PlayerDB!$F$2:$H3480,3,FALSE)</f>
        <v>#N/A</v>
      </c>
    </row>
    <row r="892">
      <c r="B892" s="20" t="str">
        <f>VLOOKUP(A892,PlayerDB!$F$2:$H3480,3,FALSE)</f>
        <v>#N/A</v>
      </c>
    </row>
    <row r="893">
      <c r="B893" s="20" t="str">
        <f>VLOOKUP(A893,PlayerDB!$F$2:$H3480,3,FALSE)</f>
        <v>#N/A</v>
      </c>
    </row>
    <row r="894">
      <c r="B894" s="20" t="str">
        <f>VLOOKUP(A894,PlayerDB!$F$2:$H3480,3,FALSE)</f>
        <v>#N/A</v>
      </c>
    </row>
    <row r="895">
      <c r="B895" s="20" t="str">
        <f>VLOOKUP(A895,PlayerDB!$F$2:$H3480,3,FALSE)</f>
        <v>#N/A</v>
      </c>
    </row>
    <row r="896">
      <c r="B896" s="20" t="str">
        <f>VLOOKUP(A896,PlayerDB!$F$2:$H3480,3,FALSE)</f>
        <v>#N/A</v>
      </c>
    </row>
    <row r="897">
      <c r="B897" s="20" t="str">
        <f>VLOOKUP(A897,PlayerDB!$F$2:$H3480,3,FALSE)</f>
        <v>#N/A</v>
      </c>
    </row>
    <row r="898">
      <c r="B898" s="20" t="str">
        <f>VLOOKUP(A898,PlayerDB!$F$2:$H3480,3,FALSE)</f>
        <v>#N/A</v>
      </c>
    </row>
    <row r="899">
      <c r="B899" s="20" t="str">
        <f>VLOOKUP(A899,PlayerDB!$F$2:$H3480,3,FALSE)</f>
        <v>#N/A</v>
      </c>
    </row>
    <row r="900">
      <c r="B900" s="20" t="str">
        <f>VLOOKUP(A900,PlayerDB!$F$2:$H3480,3,FALSE)</f>
        <v>#N/A</v>
      </c>
    </row>
    <row r="901">
      <c r="B901" s="20" t="str">
        <f>VLOOKUP(A901,PlayerDB!$F$2:$H3480,3,FALSE)</f>
        <v>#N/A</v>
      </c>
    </row>
    <row r="902">
      <c r="B902" s="20" t="str">
        <f>VLOOKUP(A902,PlayerDB!$F$2:$H3480,3,FALSE)</f>
        <v>#N/A</v>
      </c>
    </row>
    <row r="903">
      <c r="B903" s="20" t="str">
        <f>VLOOKUP(A903,PlayerDB!$F$2:$H3480,3,FALSE)</f>
        <v>#N/A</v>
      </c>
    </row>
    <row r="904">
      <c r="B904" s="20" t="str">
        <f>VLOOKUP(A904,PlayerDB!$F$2:$H3480,3,FALSE)</f>
        <v>#N/A</v>
      </c>
    </row>
    <row r="905">
      <c r="B905" s="20" t="str">
        <f>VLOOKUP(A905,PlayerDB!$F$2:$H3480,3,FALSE)</f>
        <v>#N/A</v>
      </c>
    </row>
    <row r="906">
      <c r="B906" s="20" t="str">
        <f>VLOOKUP(A906,PlayerDB!$F$2:$H3480,3,FALSE)</f>
        <v>#N/A</v>
      </c>
    </row>
    <row r="907">
      <c r="B907" s="20" t="str">
        <f>VLOOKUP(A907,PlayerDB!$F$2:$H3480,3,FALSE)</f>
        <v>#N/A</v>
      </c>
    </row>
    <row r="908">
      <c r="B908" s="20" t="str">
        <f>VLOOKUP(A908,PlayerDB!$F$2:$H3480,3,FALSE)</f>
        <v>#N/A</v>
      </c>
    </row>
    <row r="909">
      <c r="B909" s="20" t="str">
        <f>VLOOKUP(A909,PlayerDB!$F$2:$H3480,3,FALSE)</f>
        <v>#N/A</v>
      </c>
    </row>
    <row r="910">
      <c r="B910" s="20" t="str">
        <f>VLOOKUP(A910,PlayerDB!$F$2:$H3480,3,FALSE)</f>
        <v>#N/A</v>
      </c>
    </row>
    <row r="911">
      <c r="B911" s="20" t="str">
        <f>VLOOKUP(A911,PlayerDB!$F$2:$H3480,3,FALSE)</f>
        <v>#N/A</v>
      </c>
    </row>
    <row r="912">
      <c r="B912" s="20" t="str">
        <f>VLOOKUP(A912,PlayerDB!$F$2:$H3480,3,FALSE)</f>
        <v>#N/A</v>
      </c>
    </row>
    <row r="913">
      <c r="B913" s="20" t="str">
        <f>VLOOKUP(A913,PlayerDB!$F$2:$H3480,3,FALSE)</f>
        <v>#N/A</v>
      </c>
    </row>
    <row r="914">
      <c r="B914" s="20" t="str">
        <f>VLOOKUP(A914,PlayerDB!$F$2:$H3480,3,FALSE)</f>
        <v>#N/A</v>
      </c>
    </row>
    <row r="915">
      <c r="B915" s="20" t="str">
        <f>VLOOKUP(A915,PlayerDB!$F$2:$H3480,3,FALSE)</f>
        <v>#N/A</v>
      </c>
    </row>
    <row r="916">
      <c r="B916" s="20" t="str">
        <f>VLOOKUP(A916,PlayerDB!$F$2:$H3480,3,FALSE)</f>
        <v>#N/A</v>
      </c>
    </row>
    <row r="917">
      <c r="B917" s="20" t="str">
        <f>VLOOKUP(A917,PlayerDB!$F$2:$H3480,3,FALSE)</f>
        <v>#N/A</v>
      </c>
    </row>
    <row r="918">
      <c r="B918" s="20" t="str">
        <f>VLOOKUP(A918,PlayerDB!$F$2:$H3480,3,FALSE)</f>
        <v>#N/A</v>
      </c>
    </row>
    <row r="919">
      <c r="B919" s="20" t="str">
        <f>VLOOKUP(A919,PlayerDB!$F$2:$H3480,3,FALSE)</f>
        <v>#N/A</v>
      </c>
    </row>
    <row r="920">
      <c r="B920" s="20" t="str">
        <f>VLOOKUP(A920,PlayerDB!$F$2:$H3480,3,FALSE)</f>
        <v>#N/A</v>
      </c>
    </row>
    <row r="921">
      <c r="B921" s="20" t="str">
        <f>VLOOKUP(A921,PlayerDB!$F$2:$H3480,3,FALSE)</f>
        <v>#N/A</v>
      </c>
    </row>
    <row r="922">
      <c r="B922" s="20" t="str">
        <f>VLOOKUP(A922,PlayerDB!$F$2:$H3480,3,FALSE)</f>
        <v>#N/A</v>
      </c>
    </row>
    <row r="923">
      <c r="B923" s="20" t="str">
        <f>VLOOKUP(A923,PlayerDB!$F$2:$H3480,3,FALSE)</f>
        <v>#N/A</v>
      </c>
    </row>
    <row r="924">
      <c r="B924" s="20" t="str">
        <f>VLOOKUP(A924,PlayerDB!$F$2:$H3480,3,FALSE)</f>
        <v>#N/A</v>
      </c>
    </row>
    <row r="925">
      <c r="B925" s="20" t="str">
        <f>VLOOKUP(A925,PlayerDB!$F$2:$H3480,3,FALSE)</f>
        <v>#N/A</v>
      </c>
    </row>
    <row r="926">
      <c r="B926" s="20" t="str">
        <f>VLOOKUP(A926,PlayerDB!$F$2:$H3480,3,FALSE)</f>
        <v>#N/A</v>
      </c>
    </row>
    <row r="927">
      <c r="B927" s="20" t="str">
        <f>VLOOKUP(A927,PlayerDB!$F$2:$H3480,3,FALSE)</f>
        <v>#N/A</v>
      </c>
    </row>
    <row r="928">
      <c r="B928" s="20" t="str">
        <f>VLOOKUP(A928,PlayerDB!$F$2:$H3480,3,FALSE)</f>
        <v>#N/A</v>
      </c>
    </row>
    <row r="929">
      <c r="B929" s="20" t="str">
        <f>VLOOKUP(A929,PlayerDB!$F$2:$H3480,3,FALSE)</f>
        <v>#N/A</v>
      </c>
    </row>
    <row r="930">
      <c r="B930" s="20" t="str">
        <f>VLOOKUP(A930,PlayerDB!$F$2:$H3480,3,FALSE)</f>
        <v>#N/A</v>
      </c>
    </row>
    <row r="931">
      <c r="B931" s="20" t="str">
        <f>VLOOKUP(A931,PlayerDB!$F$2:$H3480,3,FALSE)</f>
        <v>#N/A</v>
      </c>
    </row>
    <row r="932">
      <c r="B932" s="20" t="str">
        <f>VLOOKUP(A932,PlayerDB!$F$2:$H3480,3,FALSE)</f>
        <v>#N/A</v>
      </c>
    </row>
    <row r="933">
      <c r="B933" s="20" t="str">
        <f>VLOOKUP(A933,PlayerDB!$F$2:$H3480,3,FALSE)</f>
        <v>#N/A</v>
      </c>
    </row>
    <row r="934">
      <c r="B934" s="20" t="str">
        <f>VLOOKUP(A934,PlayerDB!$F$2:$H3480,3,FALSE)</f>
        <v>#N/A</v>
      </c>
    </row>
    <row r="935">
      <c r="B935" s="20" t="str">
        <f>VLOOKUP(A935,PlayerDB!$F$2:$H3480,3,FALSE)</f>
        <v>#N/A</v>
      </c>
    </row>
    <row r="936">
      <c r="B936" s="20" t="str">
        <f>VLOOKUP(A936,PlayerDB!$F$2:$H3480,3,FALSE)</f>
        <v>#N/A</v>
      </c>
    </row>
    <row r="937">
      <c r="B937" s="20" t="str">
        <f>VLOOKUP(A937,PlayerDB!$F$2:$H3480,3,FALSE)</f>
        <v>#N/A</v>
      </c>
    </row>
    <row r="938">
      <c r="B938" s="20" t="str">
        <f>VLOOKUP(A938,PlayerDB!$F$2:$H3480,3,FALSE)</f>
        <v>#N/A</v>
      </c>
    </row>
    <row r="939">
      <c r="B939" s="20" t="str">
        <f>VLOOKUP(A939,PlayerDB!$F$2:$H3480,3,FALSE)</f>
        <v>#N/A</v>
      </c>
    </row>
    <row r="940">
      <c r="B940" s="20" t="str">
        <f>VLOOKUP(A940,PlayerDB!$F$2:$H3480,3,FALSE)</f>
        <v>#N/A</v>
      </c>
    </row>
    <row r="941">
      <c r="B941" s="20" t="str">
        <f>VLOOKUP(A941,PlayerDB!$F$2:$H3480,3,FALSE)</f>
        <v>#N/A</v>
      </c>
    </row>
    <row r="942">
      <c r="B942" s="20" t="str">
        <f>VLOOKUP(A942,PlayerDB!$F$2:$H3480,3,FALSE)</f>
        <v>#N/A</v>
      </c>
    </row>
    <row r="943">
      <c r="B943" s="20" t="str">
        <f>VLOOKUP(A943,PlayerDB!$F$2:$H3480,3,FALSE)</f>
        <v>#N/A</v>
      </c>
    </row>
    <row r="944">
      <c r="B944" s="20" t="str">
        <f>VLOOKUP(A944,PlayerDB!$F$2:$H3480,3,FALSE)</f>
        <v>#N/A</v>
      </c>
    </row>
    <row r="945">
      <c r="B945" s="20" t="str">
        <f>VLOOKUP(A945,PlayerDB!$F$2:$H3480,3,FALSE)</f>
        <v>#N/A</v>
      </c>
    </row>
    <row r="946">
      <c r="B946" s="20" t="str">
        <f>VLOOKUP(A946,PlayerDB!$F$2:$H3480,3,FALSE)</f>
        <v>#N/A</v>
      </c>
    </row>
    <row r="947">
      <c r="B947" s="20" t="str">
        <f>VLOOKUP(A947,PlayerDB!$F$2:$H3480,3,FALSE)</f>
        <v>#N/A</v>
      </c>
    </row>
    <row r="948">
      <c r="B948" s="20" t="str">
        <f>VLOOKUP(A948,PlayerDB!$F$2:$H3480,3,FALSE)</f>
        <v>#N/A</v>
      </c>
    </row>
    <row r="949">
      <c r="B949" s="20" t="str">
        <f>VLOOKUP(A949,PlayerDB!$F$2:$H3480,3,FALSE)</f>
        <v>#N/A</v>
      </c>
    </row>
    <row r="950">
      <c r="B950" s="20" t="str">
        <f>VLOOKUP(A950,PlayerDB!$F$2:$H3480,3,FALSE)</f>
        <v>#N/A</v>
      </c>
    </row>
    <row r="951">
      <c r="B951" s="20" t="str">
        <f>VLOOKUP(A951,PlayerDB!$F$2:$H3480,3,FALSE)</f>
        <v>#N/A</v>
      </c>
    </row>
    <row r="952">
      <c r="B952" s="20" t="str">
        <f>VLOOKUP(A952,PlayerDB!$F$2:$H3480,3,FALSE)</f>
        <v>#N/A</v>
      </c>
    </row>
    <row r="953">
      <c r="B953" s="20" t="str">
        <f>VLOOKUP(A953,PlayerDB!$F$2:$H3480,3,FALSE)</f>
        <v>#N/A</v>
      </c>
    </row>
    <row r="954">
      <c r="B954" s="20" t="str">
        <f>VLOOKUP(A954,PlayerDB!$F$2:$H3480,3,FALSE)</f>
        <v>#N/A</v>
      </c>
    </row>
    <row r="955">
      <c r="B955" s="20" t="str">
        <f>VLOOKUP(A955,PlayerDB!$F$2:$H3480,3,FALSE)</f>
        <v>#N/A</v>
      </c>
    </row>
    <row r="956">
      <c r="B956" s="20" t="str">
        <f>VLOOKUP(A956,PlayerDB!$F$2:$H3480,3,FALSE)</f>
        <v>#N/A</v>
      </c>
    </row>
    <row r="957">
      <c r="B957" s="20" t="str">
        <f>VLOOKUP(A957,PlayerDB!$F$2:$H3480,3,FALSE)</f>
        <v>#N/A</v>
      </c>
    </row>
    <row r="958">
      <c r="B958" s="20" t="str">
        <f>VLOOKUP(A958,PlayerDB!$F$2:$H3480,3,FALSE)</f>
        <v>#N/A</v>
      </c>
    </row>
    <row r="959">
      <c r="B959" s="20" t="str">
        <f>VLOOKUP(A959,PlayerDB!$F$2:$H3480,3,FALSE)</f>
        <v>#N/A</v>
      </c>
    </row>
    <row r="960">
      <c r="B960" s="20" t="str">
        <f>VLOOKUP(A960,PlayerDB!$F$2:$H3480,3,FALSE)</f>
        <v>#N/A</v>
      </c>
    </row>
    <row r="961">
      <c r="B961" s="20" t="str">
        <f>VLOOKUP(A961,PlayerDB!$F$2:$H3480,3,FALSE)</f>
        <v>#N/A</v>
      </c>
    </row>
    <row r="962">
      <c r="B962" s="20" t="str">
        <f>VLOOKUP(A962,PlayerDB!$F$2:$H3480,3,FALSE)</f>
        <v>#N/A</v>
      </c>
    </row>
    <row r="963">
      <c r="B963" s="20" t="str">
        <f>VLOOKUP(A963,PlayerDB!$F$2:$H3480,3,FALSE)</f>
        <v>#N/A</v>
      </c>
    </row>
    <row r="964">
      <c r="B964" s="20" t="str">
        <f>VLOOKUP(A964,PlayerDB!$F$2:$H3480,3,FALSE)</f>
        <v>#N/A</v>
      </c>
    </row>
    <row r="965">
      <c r="B965" s="20" t="str">
        <f>VLOOKUP(A965,PlayerDB!$F$2:$H3480,3,FALSE)</f>
        <v>#N/A</v>
      </c>
    </row>
    <row r="966">
      <c r="B966" s="20" t="str">
        <f>VLOOKUP(A966,PlayerDB!$F$2:$H3480,3,FALSE)</f>
        <v>#N/A</v>
      </c>
    </row>
    <row r="967">
      <c r="B967" s="20" t="str">
        <f>VLOOKUP(A967,PlayerDB!$F$2:$H3480,3,FALSE)</f>
        <v>#N/A</v>
      </c>
    </row>
    <row r="968">
      <c r="B968" s="20" t="str">
        <f>VLOOKUP(A968,PlayerDB!$F$2:$H3480,3,FALSE)</f>
        <v>#N/A</v>
      </c>
    </row>
    <row r="969">
      <c r="B969" s="20" t="str">
        <f>VLOOKUP(A969,PlayerDB!$F$2:$H3480,3,FALSE)</f>
        <v>#N/A</v>
      </c>
    </row>
    <row r="970">
      <c r="B970" s="20" t="str">
        <f>VLOOKUP(A970,PlayerDB!$F$2:$H3480,3,FALSE)</f>
        <v>#N/A</v>
      </c>
    </row>
    <row r="971">
      <c r="B971" s="20" t="str">
        <f>VLOOKUP(A971,PlayerDB!$F$2:$H3480,3,FALSE)</f>
        <v>#N/A</v>
      </c>
    </row>
    <row r="972">
      <c r="B972" s="20" t="str">
        <f>VLOOKUP(A972,PlayerDB!$F$2:$H3480,3,FALSE)</f>
        <v>#N/A</v>
      </c>
    </row>
    <row r="973">
      <c r="B973" s="20" t="str">
        <f>VLOOKUP(A973,PlayerDB!$F$2:$H3480,3,FALSE)</f>
        <v>#N/A</v>
      </c>
    </row>
    <row r="974">
      <c r="B974" s="20" t="str">
        <f>VLOOKUP(A974,PlayerDB!$F$2:$H3480,3,FALSE)</f>
        <v>#N/A</v>
      </c>
    </row>
    <row r="975">
      <c r="B975" s="20" t="str">
        <f>VLOOKUP(A975,PlayerDB!$F$2:$H3480,3,FALSE)</f>
        <v>#N/A</v>
      </c>
    </row>
    <row r="976">
      <c r="B976" s="20" t="str">
        <f>VLOOKUP(A976,PlayerDB!$F$2:$H3480,3,FALSE)</f>
        <v>#N/A</v>
      </c>
    </row>
    <row r="977">
      <c r="B977" s="20" t="str">
        <f>VLOOKUP(A977,PlayerDB!$F$2:$H3480,3,FALSE)</f>
        <v>#N/A</v>
      </c>
    </row>
    <row r="978">
      <c r="B978" s="20" t="str">
        <f>VLOOKUP(A978,PlayerDB!$F$2:$H3480,3,FALSE)</f>
        <v>#N/A</v>
      </c>
    </row>
    <row r="979">
      <c r="B979" s="20" t="str">
        <f>VLOOKUP(A979,PlayerDB!$F$2:$H3480,3,FALSE)</f>
        <v>#N/A</v>
      </c>
    </row>
    <row r="980">
      <c r="B980" s="20" t="str">
        <f>VLOOKUP(A980,PlayerDB!$F$2:$H3480,3,FALSE)</f>
        <v>#N/A</v>
      </c>
    </row>
    <row r="981">
      <c r="B981" s="20" t="str">
        <f>VLOOKUP(A981,PlayerDB!$F$2:$H3480,3,FALSE)</f>
        <v>#N/A</v>
      </c>
    </row>
    <row r="982">
      <c r="B982" s="20" t="str">
        <f>VLOOKUP(A982,PlayerDB!$F$2:$H3480,3,FALSE)</f>
        <v>#N/A</v>
      </c>
    </row>
    <row r="983">
      <c r="B983" s="20" t="str">
        <f>VLOOKUP(A983,PlayerDB!$F$2:$H3480,3,FALSE)</f>
        <v>#N/A</v>
      </c>
    </row>
    <row r="984">
      <c r="B984" s="20" t="str">
        <f>VLOOKUP(A984,PlayerDB!$F$2:$H3480,3,FALSE)</f>
        <v>#N/A</v>
      </c>
    </row>
    <row r="985">
      <c r="B985" s="20" t="str">
        <f>VLOOKUP(A985,PlayerDB!$F$2:$H3480,3,FALSE)</f>
        <v>#N/A</v>
      </c>
    </row>
    <row r="986">
      <c r="B986" s="20" t="str">
        <f>VLOOKUP(A986,PlayerDB!$F$2:$H3480,3,FALSE)</f>
        <v>#N/A</v>
      </c>
    </row>
    <row r="987">
      <c r="B987" s="20" t="str">
        <f>VLOOKUP(A987,PlayerDB!$F$2:$H3480,3,FALSE)</f>
        <v>#N/A</v>
      </c>
    </row>
    <row r="988">
      <c r="B988" s="20" t="str">
        <f>VLOOKUP(A988,PlayerDB!$F$2:$H3480,3,FALSE)</f>
        <v>#N/A</v>
      </c>
    </row>
    <row r="989">
      <c r="B989" s="20" t="str">
        <f>VLOOKUP(A989,PlayerDB!$F$2:$H3480,3,FALSE)</f>
        <v>#N/A</v>
      </c>
    </row>
    <row r="990">
      <c r="B990" s="20" t="str">
        <f>VLOOKUP(A990,PlayerDB!$F$2:$H3480,3,FALSE)</f>
        <v>#N/A</v>
      </c>
    </row>
    <row r="991">
      <c r="B991" s="20" t="str">
        <f>VLOOKUP(A991,PlayerDB!$F$2:$H3480,3,FALSE)</f>
        <v>#N/A</v>
      </c>
    </row>
    <row r="992">
      <c r="B992" s="20" t="str">
        <f>VLOOKUP(A992,PlayerDB!$F$2:$H3480,3,FALSE)</f>
        <v>#N/A</v>
      </c>
    </row>
    <row r="993">
      <c r="B993" s="20" t="str">
        <f>VLOOKUP(A993,PlayerDB!$F$2:$H3480,3,FALSE)</f>
        <v>#N/A</v>
      </c>
    </row>
    <row r="994">
      <c r="B994" s="20" t="str">
        <f>VLOOKUP(A994,PlayerDB!$F$2:$H3480,3,FALSE)</f>
        <v>#N/A</v>
      </c>
    </row>
    <row r="995">
      <c r="B995" s="20" t="str">
        <f>VLOOKUP(A995,PlayerDB!$F$2:$H3480,3,FALSE)</f>
        <v>#N/A</v>
      </c>
    </row>
    <row r="996">
      <c r="B996" s="20" t="str">
        <f>VLOOKUP(A996,PlayerDB!$F$2:$H3480,3,FALSE)</f>
        <v>#N/A</v>
      </c>
    </row>
    <row r="997">
      <c r="B997" s="20" t="str">
        <f>VLOOKUP(A997,PlayerDB!$F$2:$H3480,3,FALSE)</f>
        <v>#N/A</v>
      </c>
    </row>
    <row r="998">
      <c r="B998" s="20" t="str">
        <f>VLOOKUP(A998,PlayerDB!$F$2:$H3480,3,FALSE)</f>
        <v>#N/A</v>
      </c>
    </row>
    <row r="999">
      <c r="B999" s="20" t="str">
        <f>VLOOKUP(A999,PlayerDB!$F$2:$H3480,3,FALSE)</f>
        <v>#N/A</v>
      </c>
    </row>
    <row r="1000">
      <c r="B1000" s="20" t="str">
        <f>VLOOKUP(A1000,PlayerDB!$F$2:$H3480,3,FALSE)</f>
        <v>#N/A</v>
      </c>
    </row>
    <row r="1001">
      <c r="B1001" s="20" t="str">
        <f>VLOOKUP(A1001,PlayerDB!$F$2:$H3480,3,FALSE)</f>
        <v>#N/A</v>
      </c>
    </row>
    <row r="1002">
      <c r="B1002" s="20" t="str">
        <f>VLOOKUP(A1002,PlayerDB!$F$2:$H3480,3,FALSE)</f>
        <v>#N/A</v>
      </c>
    </row>
    <row r="1003">
      <c r="B1003" s="20" t="str">
        <f>VLOOKUP(A1003,PlayerDB!$F$2:$H3480,3,FALSE)</f>
        <v>#N/A</v>
      </c>
    </row>
    <row r="1004">
      <c r="B1004" s="20" t="str">
        <f>VLOOKUP(A1004,PlayerDB!$F$2:$H3480,3,FALSE)</f>
        <v>#N/A</v>
      </c>
    </row>
    <row r="1005">
      <c r="B1005" s="20" t="str">
        <f>VLOOKUP(A1005,PlayerDB!$F$2:$H3480,3,FALSE)</f>
        <v>#N/A</v>
      </c>
    </row>
    <row r="1006">
      <c r="B1006" s="20" t="str">
        <f>VLOOKUP(A1006,PlayerDB!$F$2:$H3480,3,FALSE)</f>
        <v>#N/A</v>
      </c>
    </row>
    <row r="1007">
      <c r="B1007" s="20" t="str">
        <f>VLOOKUP(A1007,PlayerDB!$F$2:$H3480,3,FALSE)</f>
        <v>#N/A</v>
      </c>
    </row>
    <row r="1008">
      <c r="B1008" s="20" t="str">
        <f>VLOOKUP(A1008,PlayerDB!$F$2:$H3480,3,FALSE)</f>
        <v>#N/A</v>
      </c>
    </row>
    <row r="1009">
      <c r="B1009" s="20" t="str">
        <f>VLOOKUP(A1009,PlayerDB!$F$2:$H3480,3,FALSE)</f>
        <v>#N/A</v>
      </c>
    </row>
    <row r="1010">
      <c r="B1010" s="20" t="str">
        <f>VLOOKUP(A1010,PlayerDB!$F$2:$H3480,3,FALSE)</f>
        <v>#N/A</v>
      </c>
    </row>
    <row r="1011">
      <c r="B1011" s="20" t="str">
        <f>VLOOKUP(A1011,PlayerDB!$F$2:$H3480,3,FALSE)</f>
        <v>#N/A</v>
      </c>
    </row>
    <row r="1012">
      <c r="B1012" s="20" t="str">
        <f>VLOOKUP(A1012,PlayerDB!$F$2:$H3480,3,FALSE)</f>
        <v>#N/A</v>
      </c>
    </row>
    <row r="1013">
      <c r="B1013" s="20" t="str">
        <f>VLOOKUP(A1013,PlayerDB!$F$2:$H3480,3,FALSE)</f>
        <v>#N/A</v>
      </c>
    </row>
    <row r="1014">
      <c r="B1014" s="20" t="str">
        <f>VLOOKUP(A1014,PlayerDB!$F$2:$H3480,3,FALSE)</f>
        <v>#N/A</v>
      </c>
    </row>
    <row r="1015">
      <c r="B1015" s="20" t="str">
        <f>VLOOKUP(A1015,PlayerDB!$F$2:$H3480,3,FALSE)</f>
        <v>#N/A</v>
      </c>
    </row>
    <row r="1016">
      <c r="B1016" s="20" t="str">
        <f>VLOOKUP(A1016,PlayerDB!$F$2:$H3480,3,FALSE)</f>
        <v>#N/A</v>
      </c>
    </row>
    <row r="1017">
      <c r="B1017" s="20" t="str">
        <f>VLOOKUP(A1017,PlayerDB!$F$2:$H3480,3,FALSE)</f>
        <v>#N/A</v>
      </c>
    </row>
    <row r="1018">
      <c r="B1018" s="20" t="str">
        <f>VLOOKUP(A1018,PlayerDB!$F$2:$H3480,3,FALSE)</f>
        <v>#N/A</v>
      </c>
    </row>
    <row r="1019">
      <c r="B1019" s="20" t="str">
        <f>VLOOKUP(A1019,PlayerDB!$F$2:$H3480,3,FALSE)</f>
        <v>#N/A</v>
      </c>
    </row>
    <row r="1020">
      <c r="B1020" s="20" t="str">
        <f>VLOOKUP(A1020,PlayerDB!$F$2:$H3480,3,FALSE)</f>
        <v>#N/A</v>
      </c>
    </row>
    <row r="1021">
      <c r="B1021" s="20" t="str">
        <f>VLOOKUP(A1021,PlayerDB!$F$2:$H3480,3,FALSE)</f>
        <v>#N/A</v>
      </c>
    </row>
    <row r="1022">
      <c r="B1022" s="20" t="str">
        <f>VLOOKUP(A1022,PlayerDB!$F$2:$H3480,3,FALSE)</f>
        <v>#N/A</v>
      </c>
    </row>
    <row r="1023">
      <c r="B1023" s="20" t="str">
        <f>VLOOKUP(A1023,PlayerDB!$F$2:$H3480,3,FALSE)</f>
        <v>#N/A</v>
      </c>
    </row>
    <row r="1024">
      <c r="B1024" s="20" t="str">
        <f>VLOOKUP(A1024,PlayerDB!$F$2:$H3480,3,FALSE)</f>
        <v>#N/A</v>
      </c>
    </row>
    <row r="1025">
      <c r="B1025" s="20" t="str">
        <f>VLOOKUP(A1025,PlayerDB!$F$2:$H3480,3,FALSE)</f>
        <v>#N/A</v>
      </c>
    </row>
    <row r="1026">
      <c r="B1026" s="20" t="str">
        <f>VLOOKUP(A1026,PlayerDB!$F$2:$H3480,3,FALSE)</f>
        <v>#N/A</v>
      </c>
    </row>
    <row r="1027">
      <c r="B1027" s="20" t="str">
        <f>VLOOKUP(A1027,PlayerDB!$F$2:$H3480,3,FALSE)</f>
        <v>#N/A</v>
      </c>
    </row>
    <row r="1028">
      <c r="B1028" s="20" t="str">
        <f>VLOOKUP(A1028,PlayerDB!$F$2:$H3480,3,FALSE)</f>
        <v>#N/A</v>
      </c>
    </row>
    <row r="1029">
      <c r="B1029" s="20" t="str">
        <f>VLOOKUP(A1029,PlayerDB!$F$2:$H3480,3,FALSE)</f>
        <v>#N/A</v>
      </c>
    </row>
    <row r="1030">
      <c r="B1030" s="20" t="str">
        <f>VLOOKUP(A1030,PlayerDB!$F$2:$H3480,3,FALSE)</f>
        <v>#N/A</v>
      </c>
    </row>
    <row r="1031">
      <c r="B1031" s="20" t="str">
        <f>VLOOKUP(A1031,PlayerDB!$F$2:$H3480,3,FALSE)</f>
        <v>#N/A</v>
      </c>
    </row>
    <row r="1032">
      <c r="B1032" s="20" t="str">
        <f>VLOOKUP(A1032,PlayerDB!$F$2:$H3480,3,FALSE)</f>
        <v>#N/A</v>
      </c>
    </row>
    <row r="1033">
      <c r="B1033" s="20" t="str">
        <f>VLOOKUP(A1033,PlayerDB!$F$2:$H3480,3,FALSE)</f>
        <v>#N/A</v>
      </c>
    </row>
    <row r="1034">
      <c r="B1034" s="20" t="str">
        <f>VLOOKUP(A1034,PlayerDB!$F$2:$H3480,3,FALSE)</f>
        <v>#N/A</v>
      </c>
    </row>
    <row r="1035">
      <c r="B1035" s="20" t="str">
        <f>VLOOKUP(A1035,PlayerDB!$F$2:$H3480,3,FALSE)</f>
        <v>#N/A</v>
      </c>
    </row>
    <row r="1036">
      <c r="B1036" s="20" t="str">
        <f>VLOOKUP(A1036,PlayerDB!$F$2:$H3480,3,FALSE)</f>
        <v>#N/A</v>
      </c>
    </row>
    <row r="1037">
      <c r="B1037" s="20" t="str">
        <f>VLOOKUP(A1037,PlayerDB!$F$2:$H3480,3,FALSE)</f>
        <v>#N/A</v>
      </c>
    </row>
    <row r="1038">
      <c r="B1038" s="20" t="str">
        <f>VLOOKUP(A1038,PlayerDB!$F$2:$H3480,3,FALSE)</f>
        <v>#N/A</v>
      </c>
    </row>
    <row r="1039">
      <c r="B1039" s="20" t="str">
        <f>VLOOKUP(A1039,PlayerDB!$F$2:$H3480,3,FALSE)</f>
        <v>#N/A</v>
      </c>
    </row>
    <row r="1040">
      <c r="B1040" s="20" t="str">
        <f>VLOOKUP(A1040,PlayerDB!$F$2:$H3480,3,FALSE)</f>
        <v>#N/A</v>
      </c>
    </row>
    <row r="1041">
      <c r="B1041" s="20" t="str">
        <f>VLOOKUP(A1041,PlayerDB!$F$2:$H3480,3,FALSE)</f>
        <v>#N/A</v>
      </c>
    </row>
    <row r="1042">
      <c r="B1042" s="20" t="str">
        <f>VLOOKUP(A1042,PlayerDB!$F$2:$H3480,3,FALSE)</f>
        <v>#N/A</v>
      </c>
    </row>
    <row r="1043">
      <c r="B1043" s="20" t="str">
        <f>VLOOKUP(A1043,PlayerDB!$F$2:$H3480,3,FALSE)</f>
        <v>#N/A</v>
      </c>
    </row>
    <row r="1044">
      <c r="B1044" s="20" t="str">
        <f>VLOOKUP(A1044,PlayerDB!$F$2:$H3480,3,FALSE)</f>
        <v>#N/A</v>
      </c>
    </row>
    <row r="1045">
      <c r="B1045" s="20" t="str">
        <f>VLOOKUP(A1045,PlayerDB!$F$2:$H3480,3,FALSE)</f>
        <v>#N/A</v>
      </c>
    </row>
    <row r="1046">
      <c r="B1046" s="20" t="str">
        <f>VLOOKUP(A1046,PlayerDB!$F$2:$H3480,3,FALSE)</f>
        <v>#N/A</v>
      </c>
    </row>
    <row r="1047">
      <c r="B1047" s="20" t="str">
        <f>VLOOKUP(A1047,PlayerDB!$F$2:$H3480,3,FALSE)</f>
        <v>#N/A</v>
      </c>
    </row>
    <row r="1048">
      <c r="B1048" s="20" t="str">
        <f>VLOOKUP(A1048,PlayerDB!$F$2:$H3480,3,FALSE)</f>
        <v>#N/A</v>
      </c>
    </row>
    <row r="1049">
      <c r="B1049" s="20" t="str">
        <f>VLOOKUP(A1049,PlayerDB!$F$2:$H3480,3,FALSE)</f>
        <v>#N/A</v>
      </c>
    </row>
    <row r="1050">
      <c r="B1050" s="20" t="str">
        <f>VLOOKUP(A1050,PlayerDB!$F$2:$H3480,3,FALSE)</f>
        <v>#N/A</v>
      </c>
    </row>
    <row r="1051">
      <c r="B1051" s="20" t="str">
        <f>VLOOKUP(A1051,PlayerDB!$F$2:$H3480,3,FALSE)</f>
        <v>#N/A</v>
      </c>
    </row>
    <row r="1052">
      <c r="B1052" s="20" t="str">
        <f>VLOOKUP(A1052,PlayerDB!$F$2:$H3480,3,FALSE)</f>
        <v>#N/A</v>
      </c>
    </row>
    <row r="1053">
      <c r="B1053" s="20" t="str">
        <f>VLOOKUP(A1053,PlayerDB!$F$2:$H3480,3,FALSE)</f>
        <v>#N/A</v>
      </c>
    </row>
    <row r="1054">
      <c r="B1054" s="20" t="str">
        <f>VLOOKUP(A1054,PlayerDB!$F$2:$H3480,3,FALSE)</f>
        <v>#N/A</v>
      </c>
    </row>
    <row r="1055">
      <c r="B1055" s="20" t="str">
        <f>VLOOKUP(A1055,PlayerDB!$F$2:$H3480,3,FALSE)</f>
        <v>#N/A</v>
      </c>
    </row>
    <row r="1056">
      <c r="B1056" s="20" t="str">
        <f>VLOOKUP(A1056,PlayerDB!$F$2:$H3480,3,FALSE)</f>
        <v>#N/A</v>
      </c>
    </row>
    <row r="1057">
      <c r="B1057" s="20" t="str">
        <f>VLOOKUP(A1057,PlayerDB!$F$2:$H3480,3,FALSE)</f>
        <v>#N/A</v>
      </c>
    </row>
    <row r="1058">
      <c r="B1058" s="20" t="str">
        <f>VLOOKUP(A1058,PlayerDB!$F$2:$H3480,3,FALSE)</f>
        <v>#N/A</v>
      </c>
    </row>
    <row r="1059">
      <c r="B1059" s="20" t="str">
        <f>VLOOKUP(A1059,PlayerDB!$F$2:$H3480,3,FALSE)</f>
        <v>#N/A</v>
      </c>
    </row>
    <row r="1060">
      <c r="B1060" s="20" t="str">
        <f>VLOOKUP(A1060,PlayerDB!$F$2:$H3480,3,FALSE)</f>
        <v>#N/A</v>
      </c>
    </row>
    <row r="1061">
      <c r="B1061" s="20" t="str">
        <f>VLOOKUP(A1061,PlayerDB!$F$2:$H3480,3,FALSE)</f>
        <v>#N/A</v>
      </c>
    </row>
    <row r="1062">
      <c r="B1062" s="20" t="str">
        <f>VLOOKUP(A1062,PlayerDB!$F$2:$H3480,3,FALSE)</f>
        <v>#N/A</v>
      </c>
    </row>
    <row r="1063">
      <c r="B1063" s="20" t="str">
        <f>VLOOKUP(A1063,PlayerDB!$F$2:$H3480,3,FALSE)</f>
        <v>#N/A</v>
      </c>
    </row>
    <row r="1064">
      <c r="B1064" s="20" t="str">
        <f>VLOOKUP(A1064,PlayerDB!$F$2:$H3480,3,FALSE)</f>
        <v>#N/A</v>
      </c>
    </row>
    <row r="1065">
      <c r="B1065" s="20" t="str">
        <f>VLOOKUP(A1065,PlayerDB!$F$2:$H3480,3,FALSE)</f>
        <v>#N/A</v>
      </c>
    </row>
    <row r="1066">
      <c r="B1066" s="20" t="str">
        <f>VLOOKUP(A1066,PlayerDB!$F$2:$H3480,3,FALSE)</f>
        <v>#N/A</v>
      </c>
    </row>
    <row r="1067">
      <c r="B1067" s="20" t="str">
        <f>VLOOKUP(A1067,PlayerDB!$F$2:$H3480,3,FALSE)</f>
        <v>#N/A</v>
      </c>
    </row>
    <row r="1068">
      <c r="B1068" s="20" t="str">
        <f>VLOOKUP(A1068,PlayerDB!$F$2:$H3480,3,FALSE)</f>
        <v>#N/A</v>
      </c>
    </row>
    <row r="1069">
      <c r="B1069" s="20" t="str">
        <f>VLOOKUP(A1069,PlayerDB!$F$2:$H3480,3,FALSE)</f>
        <v>#N/A</v>
      </c>
    </row>
    <row r="1070">
      <c r="B1070" s="20" t="str">
        <f>VLOOKUP(A1070,PlayerDB!$F$2:$H3480,3,FALSE)</f>
        <v>#N/A</v>
      </c>
    </row>
    <row r="1071">
      <c r="B1071" s="20" t="str">
        <f>VLOOKUP(A1071,PlayerDB!$F$2:$H3480,3,FALSE)</f>
        <v>#N/A</v>
      </c>
    </row>
    <row r="1072">
      <c r="B1072" s="20" t="str">
        <f>VLOOKUP(A1072,PlayerDB!$F$2:$H3480,3,FALSE)</f>
        <v>#N/A</v>
      </c>
    </row>
    <row r="1073">
      <c r="B1073" s="20" t="str">
        <f>VLOOKUP(A1073,PlayerDB!$F$2:$H3480,3,FALSE)</f>
        <v>#N/A</v>
      </c>
    </row>
    <row r="1074">
      <c r="B1074" s="20" t="str">
        <f>VLOOKUP(A1074,PlayerDB!$F$2:$H3480,3,FALSE)</f>
        <v>#N/A</v>
      </c>
    </row>
    <row r="1075">
      <c r="B1075" s="20" t="str">
        <f>VLOOKUP(A1075,PlayerDB!$F$2:$H3480,3,FALSE)</f>
        <v>#N/A</v>
      </c>
    </row>
    <row r="1076">
      <c r="B1076" s="20" t="str">
        <f>VLOOKUP(A1076,PlayerDB!$F$2:$H3480,3,FALSE)</f>
        <v>#N/A</v>
      </c>
    </row>
    <row r="1077">
      <c r="B1077" s="20" t="str">
        <f>VLOOKUP(A1077,PlayerDB!$F$2:$H3480,3,FALSE)</f>
        <v>#N/A</v>
      </c>
    </row>
    <row r="1078">
      <c r="B1078" s="20" t="str">
        <f>VLOOKUP(A1078,PlayerDB!$F$2:$H3480,3,FALSE)</f>
        <v>#N/A</v>
      </c>
    </row>
    <row r="1079">
      <c r="B1079" s="20" t="str">
        <f>VLOOKUP(A1079,PlayerDB!$F$2:$H3480,3,FALSE)</f>
        <v>#N/A</v>
      </c>
    </row>
    <row r="1080">
      <c r="B1080" s="20" t="str">
        <f>VLOOKUP(A1080,PlayerDB!$F$2:$H3480,3,FALSE)</f>
        <v>#N/A</v>
      </c>
    </row>
    <row r="1081">
      <c r="B1081" s="20" t="str">
        <f>VLOOKUP(A1081,PlayerDB!$F$2:$H3480,3,FALSE)</f>
        <v>#N/A</v>
      </c>
    </row>
    <row r="1082">
      <c r="B1082" s="20" t="str">
        <f>VLOOKUP(A1082,PlayerDB!$F$2:$H3480,3,FALSE)</f>
        <v>#N/A</v>
      </c>
    </row>
    <row r="1083">
      <c r="B1083" s="20" t="str">
        <f>VLOOKUP(A1083,PlayerDB!$F$2:$H3480,3,FALSE)</f>
        <v>#N/A</v>
      </c>
    </row>
    <row r="1084">
      <c r="B1084" s="20" t="str">
        <f>VLOOKUP(A1084,PlayerDB!$F$2:$H3480,3,FALSE)</f>
        <v>#N/A</v>
      </c>
    </row>
    <row r="1085">
      <c r="B1085" s="20" t="str">
        <f>VLOOKUP(A1085,PlayerDB!$F$2:$H3480,3,FALSE)</f>
        <v>#N/A</v>
      </c>
    </row>
    <row r="1086">
      <c r="B1086" s="20" t="str">
        <f>VLOOKUP(A1086,PlayerDB!$F$2:$H3480,3,FALSE)</f>
        <v>#N/A</v>
      </c>
    </row>
    <row r="1087">
      <c r="B1087" s="20" t="str">
        <f>VLOOKUP(A1087,PlayerDB!$F$2:$H3480,3,FALSE)</f>
        <v>#N/A</v>
      </c>
    </row>
    <row r="1088">
      <c r="B1088" s="20" t="str">
        <f>VLOOKUP(A1088,PlayerDB!$F$2:$H3480,3,FALSE)</f>
        <v>#N/A</v>
      </c>
    </row>
    <row r="1089">
      <c r="B1089" s="20" t="str">
        <f>VLOOKUP(A1089,PlayerDB!$F$2:$H3480,3,FALSE)</f>
        <v>#N/A</v>
      </c>
    </row>
    <row r="1090">
      <c r="B1090" s="20" t="str">
        <f>VLOOKUP(A1090,PlayerDB!$F$2:$H3480,3,FALSE)</f>
        <v>#N/A</v>
      </c>
    </row>
    <row r="1091">
      <c r="B1091" s="20" t="str">
        <f>VLOOKUP(A1091,PlayerDB!$F$2:$H3480,3,FALSE)</f>
        <v>#N/A</v>
      </c>
    </row>
    <row r="1092">
      <c r="B1092" s="20" t="str">
        <f>VLOOKUP(A1092,PlayerDB!$F$2:$H3480,3,FALSE)</f>
        <v>#N/A</v>
      </c>
    </row>
    <row r="1093">
      <c r="B1093" s="20" t="str">
        <f>VLOOKUP(A1093,PlayerDB!$F$2:$H3480,3,FALSE)</f>
        <v>#N/A</v>
      </c>
    </row>
    <row r="1094">
      <c r="B1094" s="20" t="str">
        <f>VLOOKUP(A1094,PlayerDB!$F$2:$H3480,3,FALSE)</f>
        <v>#N/A</v>
      </c>
    </row>
    <row r="1095">
      <c r="B1095" s="20" t="str">
        <f>VLOOKUP(A1095,PlayerDB!$F$2:$H3480,3,FALSE)</f>
        <v>#N/A</v>
      </c>
    </row>
    <row r="1096">
      <c r="B1096" s="20" t="str">
        <f>VLOOKUP(A1096,PlayerDB!$F$2:$H3480,3,FALSE)</f>
        <v>#N/A</v>
      </c>
    </row>
    <row r="1097">
      <c r="B1097" s="20" t="str">
        <f>VLOOKUP(A1097,PlayerDB!$F$2:$H3480,3,FALSE)</f>
        <v>#N/A</v>
      </c>
    </row>
    <row r="1098">
      <c r="B1098" s="20" t="str">
        <f>VLOOKUP(A1098,PlayerDB!$F$2:$H3480,3,FALSE)</f>
        <v>#N/A</v>
      </c>
    </row>
    <row r="1099">
      <c r="B1099" s="20" t="str">
        <f>VLOOKUP(A1099,PlayerDB!$F$2:$H3480,3,FALSE)</f>
        <v>#N/A</v>
      </c>
    </row>
    <row r="1100">
      <c r="B1100" s="20" t="str">
        <f>VLOOKUP(A1100,PlayerDB!$F$2:$H3480,3,FALSE)</f>
        <v>#N/A</v>
      </c>
    </row>
    <row r="1101">
      <c r="B1101" s="20" t="str">
        <f>VLOOKUP(A1101,PlayerDB!$F$2:$H3480,3,FALSE)</f>
        <v>#N/A</v>
      </c>
    </row>
    <row r="1102">
      <c r="B1102" s="20" t="str">
        <f>VLOOKUP(A1102,PlayerDB!$F$2:$H3480,3,FALSE)</f>
        <v>#N/A</v>
      </c>
    </row>
    <row r="1103">
      <c r="B1103" s="20" t="str">
        <f>VLOOKUP(A1103,PlayerDB!$F$2:$H3480,3,FALSE)</f>
        <v>#N/A</v>
      </c>
    </row>
    <row r="1104">
      <c r="B1104" s="20" t="str">
        <f>VLOOKUP(A1104,PlayerDB!$F$2:$H3480,3,FALSE)</f>
        <v>#N/A</v>
      </c>
    </row>
    <row r="1105">
      <c r="B1105" s="20" t="str">
        <f>VLOOKUP(A1105,PlayerDB!$F$2:$H3480,3,FALSE)</f>
        <v>#N/A</v>
      </c>
    </row>
    <row r="1106">
      <c r="B1106" s="20" t="str">
        <f>VLOOKUP(A1106,PlayerDB!$F$2:$H3480,3,FALSE)</f>
        <v>#N/A</v>
      </c>
    </row>
    <row r="1107">
      <c r="B1107" s="20" t="str">
        <f>VLOOKUP(A1107,PlayerDB!$F$2:$H3480,3,FALSE)</f>
        <v>#N/A</v>
      </c>
    </row>
    <row r="1108">
      <c r="B1108" s="20" t="str">
        <f>VLOOKUP(A1108,PlayerDB!$F$2:$H3480,3,FALSE)</f>
        <v>#N/A</v>
      </c>
    </row>
    <row r="1109">
      <c r="B1109" s="20" t="str">
        <f>VLOOKUP(A1109,PlayerDB!$F$2:$H3480,3,FALSE)</f>
        <v>#N/A</v>
      </c>
    </row>
    <row r="1110">
      <c r="B1110" s="20" t="str">
        <f>VLOOKUP(A1110,PlayerDB!$F$2:$H3480,3,FALSE)</f>
        <v>#N/A</v>
      </c>
    </row>
    <row r="1111">
      <c r="B1111" s="20" t="str">
        <f>VLOOKUP(A1111,PlayerDB!$F$2:$H3480,3,FALSE)</f>
        <v>#N/A</v>
      </c>
    </row>
    <row r="1112">
      <c r="B1112" s="20" t="str">
        <f>VLOOKUP(A1112,PlayerDB!$F$2:$H3480,3,FALSE)</f>
        <v>#N/A</v>
      </c>
    </row>
    <row r="1113">
      <c r="B1113" s="20" t="str">
        <f>VLOOKUP(A1113,PlayerDB!$F$2:$H3480,3,FALSE)</f>
        <v>#N/A</v>
      </c>
    </row>
    <row r="1114">
      <c r="B1114" s="20" t="str">
        <f>VLOOKUP(A1114,PlayerDB!$F$2:$H3480,3,FALSE)</f>
        <v>#N/A</v>
      </c>
    </row>
    <row r="1115">
      <c r="B1115" s="20" t="str">
        <f>VLOOKUP(A1115,PlayerDB!$F$2:$H3480,3,FALSE)</f>
        <v>#N/A</v>
      </c>
    </row>
    <row r="1116">
      <c r="B1116" s="20" t="str">
        <f>VLOOKUP(A1116,PlayerDB!$F$2:$H3480,3,FALSE)</f>
        <v>#N/A</v>
      </c>
    </row>
    <row r="1117">
      <c r="B1117" s="20" t="str">
        <f>VLOOKUP(A1117,PlayerDB!$F$2:$H3480,3,FALSE)</f>
        <v>#N/A</v>
      </c>
    </row>
    <row r="1118">
      <c r="B1118" s="20" t="str">
        <f>VLOOKUP(A1118,PlayerDB!$F$2:$H3480,3,FALSE)</f>
        <v>#N/A</v>
      </c>
    </row>
    <row r="1119">
      <c r="B1119" s="20" t="str">
        <f>VLOOKUP(A1119,PlayerDB!$F$2:$H3480,3,FALSE)</f>
        <v>#N/A</v>
      </c>
    </row>
    <row r="1120">
      <c r="B1120" s="20" t="str">
        <f>VLOOKUP(A1120,PlayerDB!$F$2:$H3480,3,FALSE)</f>
        <v>#N/A</v>
      </c>
    </row>
    <row r="1121">
      <c r="B1121" s="20" t="str">
        <f>VLOOKUP(A1121,PlayerDB!$F$2:$H3480,3,FALSE)</f>
        <v>#N/A</v>
      </c>
    </row>
    <row r="1122">
      <c r="B1122" s="20" t="str">
        <f>VLOOKUP(A1122,PlayerDB!$F$2:$H3480,3,FALSE)</f>
        <v>#N/A</v>
      </c>
    </row>
    <row r="1123">
      <c r="B1123" s="20" t="str">
        <f>VLOOKUP(A1123,PlayerDB!$F$2:$H3480,3,FALSE)</f>
        <v>#N/A</v>
      </c>
    </row>
    <row r="1124">
      <c r="B1124" s="20" t="str">
        <f>VLOOKUP(A1124,PlayerDB!$F$2:$H3480,3,FALSE)</f>
        <v>#N/A</v>
      </c>
    </row>
    <row r="1125">
      <c r="B1125" s="20" t="str">
        <f>VLOOKUP(A1125,PlayerDB!$F$2:$H3480,3,FALSE)</f>
        <v>#N/A</v>
      </c>
    </row>
    <row r="1126">
      <c r="B1126" s="20" t="str">
        <f>VLOOKUP(A1126,PlayerDB!$F$2:$H3480,3,FALSE)</f>
        <v>#N/A</v>
      </c>
    </row>
    <row r="1127">
      <c r="B1127" s="20" t="str">
        <f>VLOOKUP(A1127,PlayerDB!$F$2:$H3480,3,FALSE)</f>
        <v>#N/A</v>
      </c>
    </row>
    <row r="1128">
      <c r="B1128" s="20" t="str">
        <f>VLOOKUP(A1128,PlayerDB!$F$2:$H3480,3,FALSE)</f>
        <v>#N/A</v>
      </c>
    </row>
    <row r="1129">
      <c r="B1129" s="20" t="str">
        <f>VLOOKUP(A1129,PlayerDB!$F$2:$H3480,3,FALSE)</f>
        <v>#N/A</v>
      </c>
    </row>
    <row r="1130">
      <c r="B1130" s="20" t="str">
        <f>VLOOKUP(A1130,PlayerDB!$F$2:$H3480,3,FALSE)</f>
        <v>#N/A</v>
      </c>
    </row>
    <row r="1131">
      <c r="B1131" s="20" t="str">
        <f>VLOOKUP(A1131,PlayerDB!$F$2:$H3480,3,FALSE)</f>
        <v>#N/A</v>
      </c>
    </row>
    <row r="1132">
      <c r="B1132" s="20" t="str">
        <f>VLOOKUP(A1132,PlayerDB!$F$2:$H3480,3,FALSE)</f>
        <v>#N/A</v>
      </c>
    </row>
    <row r="1133">
      <c r="B1133" s="20" t="str">
        <f>VLOOKUP(A1133,PlayerDB!$F$2:$H3480,3,FALSE)</f>
        <v>#N/A</v>
      </c>
    </row>
    <row r="1134">
      <c r="B1134" s="20" t="str">
        <f>VLOOKUP(A1134,PlayerDB!$F$2:$H3480,3,FALSE)</f>
        <v>#N/A</v>
      </c>
    </row>
    <row r="1135">
      <c r="B1135" s="20" t="str">
        <f>VLOOKUP(A1135,PlayerDB!$F$2:$H3480,3,FALSE)</f>
        <v>#N/A</v>
      </c>
    </row>
    <row r="1136">
      <c r="B1136" s="20" t="str">
        <f>VLOOKUP(A1136,PlayerDB!$F$2:$H3480,3,FALSE)</f>
        <v>#N/A</v>
      </c>
    </row>
    <row r="1137">
      <c r="B1137" s="20" t="str">
        <f>VLOOKUP(A1137,PlayerDB!$F$2:$H3480,3,FALSE)</f>
        <v>#N/A</v>
      </c>
    </row>
    <row r="1138">
      <c r="B1138" s="20" t="str">
        <f>VLOOKUP(A1138,PlayerDB!$F$2:$H3480,3,FALSE)</f>
        <v>#N/A</v>
      </c>
    </row>
    <row r="1139">
      <c r="B1139" s="20" t="str">
        <f>VLOOKUP(A1139,PlayerDB!$F$2:$H3480,3,FALSE)</f>
        <v>#N/A</v>
      </c>
    </row>
    <row r="1140">
      <c r="B1140" s="20" t="str">
        <f>VLOOKUP(A1140,PlayerDB!$F$2:$H3480,3,FALSE)</f>
        <v>#N/A</v>
      </c>
    </row>
    <row r="1141">
      <c r="B1141" s="20" t="str">
        <f>VLOOKUP(A1141,PlayerDB!$F$2:$H3480,3,FALSE)</f>
        <v>#N/A</v>
      </c>
    </row>
    <row r="1142">
      <c r="B1142" s="20" t="str">
        <f>VLOOKUP(A1142,PlayerDB!$F$2:$H3480,3,FALSE)</f>
        <v>#N/A</v>
      </c>
    </row>
    <row r="1143">
      <c r="B1143" s="20" t="str">
        <f>VLOOKUP(A1143,PlayerDB!$F$2:$H3480,3,FALSE)</f>
        <v>#N/A</v>
      </c>
    </row>
    <row r="1144">
      <c r="B1144" s="20" t="str">
        <f>VLOOKUP(A1144,PlayerDB!$F$2:$H3480,3,FALSE)</f>
        <v>#N/A</v>
      </c>
    </row>
    <row r="1145">
      <c r="B1145" s="20" t="str">
        <f>VLOOKUP(A1145,PlayerDB!$F$2:$H3480,3,FALSE)</f>
        <v>#N/A</v>
      </c>
    </row>
    <row r="1146">
      <c r="B1146" s="20" t="str">
        <f>VLOOKUP(A1146,PlayerDB!$F$2:$H3480,3,FALSE)</f>
        <v>#N/A</v>
      </c>
    </row>
    <row r="1147">
      <c r="B1147" s="20" t="str">
        <f>VLOOKUP(A1147,PlayerDB!$F$2:$H3480,3,FALSE)</f>
        <v>#N/A</v>
      </c>
    </row>
    <row r="1148">
      <c r="B1148" s="20" t="str">
        <f>VLOOKUP(A1148,PlayerDB!$F$2:$H3480,3,FALSE)</f>
        <v>#N/A</v>
      </c>
    </row>
    <row r="1149">
      <c r="B1149" s="20" t="str">
        <f>VLOOKUP(A1149,PlayerDB!$F$2:$H3480,3,FALSE)</f>
        <v>#N/A</v>
      </c>
    </row>
    <row r="1150">
      <c r="B1150" s="20" t="str">
        <f>VLOOKUP(A1150,PlayerDB!$F$2:$H3480,3,FALSE)</f>
        <v>#N/A</v>
      </c>
    </row>
    <row r="1151">
      <c r="B1151" s="20" t="str">
        <f>VLOOKUP(A1151,PlayerDB!$F$2:$H3480,3,FALSE)</f>
        <v>#N/A</v>
      </c>
    </row>
    <row r="1152">
      <c r="B1152" s="20" t="str">
        <f>VLOOKUP(A1152,PlayerDB!$F$2:$H3480,3,FALSE)</f>
        <v>#N/A</v>
      </c>
    </row>
    <row r="1153">
      <c r="B1153" s="20" t="str">
        <f>VLOOKUP(A1153,PlayerDB!$F$2:$H3480,3,FALSE)</f>
        <v>#N/A</v>
      </c>
    </row>
    <row r="1154">
      <c r="B1154" s="20" t="str">
        <f>VLOOKUP(A1154,PlayerDB!$F$2:$H3480,3,FALSE)</f>
        <v>#N/A</v>
      </c>
    </row>
    <row r="1155">
      <c r="B1155" s="20" t="str">
        <f>VLOOKUP(A1155,PlayerDB!$F$2:$H3480,3,FALSE)</f>
        <v>#N/A</v>
      </c>
    </row>
    <row r="1156">
      <c r="B1156" s="20" t="str">
        <f>VLOOKUP(A1156,PlayerDB!$F$2:$H3480,3,FALSE)</f>
        <v>#N/A</v>
      </c>
    </row>
    <row r="1157">
      <c r="B1157" s="20" t="str">
        <f>VLOOKUP(A1157,PlayerDB!$F$2:$H3480,3,FALSE)</f>
        <v>#N/A</v>
      </c>
    </row>
    <row r="1158">
      <c r="B1158" s="20" t="str">
        <f>VLOOKUP(A1158,PlayerDB!$F$2:$H3480,3,FALSE)</f>
        <v>#N/A</v>
      </c>
    </row>
    <row r="1159">
      <c r="B1159" s="20" t="str">
        <f>VLOOKUP(A1159,PlayerDB!$F$2:$H3480,3,FALSE)</f>
        <v>#N/A</v>
      </c>
    </row>
    <row r="1160">
      <c r="B1160" s="20" t="str">
        <f>VLOOKUP(A1160,PlayerDB!$F$2:$H3480,3,FALSE)</f>
        <v>#N/A</v>
      </c>
    </row>
    <row r="1161">
      <c r="B1161" s="20" t="str">
        <f>VLOOKUP(A1161,PlayerDB!$F$2:$H3480,3,FALSE)</f>
        <v>#N/A</v>
      </c>
    </row>
    <row r="1162">
      <c r="B1162" s="20" t="str">
        <f>VLOOKUP(A1162,PlayerDB!$F$2:$H3480,3,FALSE)</f>
        <v>#N/A</v>
      </c>
    </row>
    <row r="1163">
      <c r="B1163" s="20" t="str">
        <f>VLOOKUP(A1163,PlayerDB!$F$2:$H3480,3,FALSE)</f>
        <v>#N/A</v>
      </c>
    </row>
    <row r="1164">
      <c r="B1164" s="20" t="str">
        <f>VLOOKUP(A1164,PlayerDB!$F$2:$H3480,3,FALSE)</f>
        <v>#N/A</v>
      </c>
    </row>
    <row r="1165">
      <c r="B1165" s="20" t="str">
        <f>VLOOKUP(A1165,PlayerDB!$F$2:$H3480,3,FALSE)</f>
        <v>#N/A</v>
      </c>
    </row>
    <row r="1166">
      <c r="B1166" s="20" t="str">
        <f>VLOOKUP(A1166,PlayerDB!$F$2:$H3480,3,FALSE)</f>
        <v>#N/A</v>
      </c>
    </row>
    <row r="1167">
      <c r="B1167" s="20" t="str">
        <f>VLOOKUP(A1167,PlayerDB!$F$2:$H3480,3,FALSE)</f>
        <v>#N/A</v>
      </c>
    </row>
    <row r="1168">
      <c r="B1168" s="20" t="str">
        <f>VLOOKUP(A1168,PlayerDB!$F$2:$H3480,3,FALSE)</f>
        <v>#N/A</v>
      </c>
    </row>
    <row r="1169">
      <c r="B1169" s="20" t="str">
        <f>VLOOKUP(A1169,PlayerDB!$F$2:$H3480,3,FALSE)</f>
        <v>#N/A</v>
      </c>
    </row>
    <row r="1170">
      <c r="B1170" s="20" t="str">
        <f>VLOOKUP(A1170,PlayerDB!$F$2:$H3480,3,FALSE)</f>
        <v>#N/A</v>
      </c>
    </row>
    <row r="1171">
      <c r="B1171" s="20" t="str">
        <f>VLOOKUP(A1171,PlayerDB!$F$2:$H3480,3,FALSE)</f>
        <v>#N/A</v>
      </c>
    </row>
    <row r="1172">
      <c r="B1172" s="20" t="str">
        <f>VLOOKUP(A1172,PlayerDB!$F$2:$H3480,3,FALSE)</f>
        <v>#N/A</v>
      </c>
    </row>
    <row r="1173">
      <c r="B1173" s="20" t="str">
        <f>VLOOKUP(A1173,PlayerDB!$F$2:$H3480,3,FALSE)</f>
        <v>#N/A</v>
      </c>
    </row>
    <row r="1174">
      <c r="B1174" s="20" t="str">
        <f>VLOOKUP(A1174,PlayerDB!$F$2:$H3480,3,FALSE)</f>
        <v>#N/A</v>
      </c>
    </row>
    <row r="1175">
      <c r="B1175" s="20" t="str">
        <f>VLOOKUP(A1175,PlayerDB!$F$2:$H3480,3,FALSE)</f>
        <v>#N/A</v>
      </c>
    </row>
    <row r="1176">
      <c r="B1176" s="20" t="str">
        <f>VLOOKUP(A1176,PlayerDB!$F$2:$H3480,3,FALSE)</f>
        <v>#N/A</v>
      </c>
    </row>
    <row r="1177">
      <c r="B1177" s="20" t="str">
        <f>VLOOKUP(A1177,PlayerDB!$F$2:$H3480,3,FALSE)</f>
        <v>#N/A</v>
      </c>
    </row>
    <row r="1178">
      <c r="B1178" s="20" t="str">
        <f>VLOOKUP(A1178,PlayerDB!$F$2:$H3480,3,FALSE)</f>
        <v>#N/A</v>
      </c>
    </row>
    <row r="1179">
      <c r="B1179" s="20" t="str">
        <f>VLOOKUP(A1179,PlayerDB!$F$2:$H3480,3,FALSE)</f>
        <v>#N/A</v>
      </c>
    </row>
    <row r="1180">
      <c r="B1180" s="20" t="str">
        <f>VLOOKUP(A1180,PlayerDB!$F$2:$H3480,3,FALSE)</f>
        <v>#N/A</v>
      </c>
    </row>
    <row r="1181">
      <c r="B1181" s="20" t="str">
        <f>VLOOKUP(A1181,PlayerDB!$F$2:$H3480,3,FALSE)</f>
        <v>#N/A</v>
      </c>
    </row>
    <row r="1182">
      <c r="B1182" s="20" t="str">
        <f>VLOOKUP(A1182,PlayerDB!$F$2:$H3480,3,FALSE)</f>
        <v>#N/A</v>
      </c>
    </row>
    <row r="1183">
      <c r="B1183" s="20" t="str">
        <f>VLOOKUP(A1183,PlayerDB!$F$2:$H3480,3,FALSE)</f>
        <v>#N/A</v>
      </c>
    </row>
    <row r="1184">
      <c r="B1184" s="20" t="str">
        <f>VLOOKUP(A1184,PlayerDB!$F$2:$H3480,3,FALSE)</f>
        <v>#N/A</v>
      </c>
    </row>
    <row r="1185">
      <c r="B1185" s="20" t="str">
        <f>VLOOKUP(A1185,PlayerDB!$F$2:$H3480,3,FALSE)</f>
        <v>#N/A</v>
      </c>
    </row>
    <row r="1186">
      <c r="B1186" s="20" t="str">
        <f>VLOOKUP(A1186,PlayerDB!$F$2:$H3480,3,FALSE)</f>
        <v>#N/A</v>
      </c>
    </row>
    <row r="1187">
      <c r="B1187" s="20" t="str">
        <f>VLOOKUP(A1187,PlayerDB!$F$2:$H3480,3,FALSE)</f>
        <v>#N/A</v>
      </c>
    </row>
    <row r="1188">
      <c r="B1188" s="20" t="str">
        <f>VLOOKUP(A1188,PlayerDB!$F$2:$H3480,3,FALSE)</f>
        <v>#N/A</v>
      </c>
    </row>
    <row r="1189">
      <c r="B1189" s="20" t="str">
        <f>VLOOKUP(A1189,PlayerDB!$F$2:$H3480,3,FALSE)</f>
        <v>#N/A</v>
      </c>
    </row>
    <row r="1190">
      <c r="B1190" s="20" t="str">
        <f>VLOOKUP(A1190,PlayerDB!$F$2:$H3480,3,FALSE)</f>
        <v>#N/A</v>
      </c>
    </row>
    <row r="1191">
      <c r="B1191" s="20" t="str">
        <f>VLOOKUP(A1191,PlayerDB!$F$2:$H3480,3,FALSE)</f>
        <v>#N/A</v>
      </c>
    </row>
    <row r="1192">
      <c r="B1192" s="20" t="str">
        <f>VLOOKUP(A1192,PlayerDB!$F$2:$H3480,3,FALSE)</f>
        <v>#N/A</v>
      </c>
    </row>
    <row r="1193">
      <c r="B1193" s="20" t="str">
        <f>VLOOKUP(A1193,PlayerDB!$F$2:$H3480,3,FALSE)</f>
        <v>#N/A</v>
      </c>
    </row>
    <row r="1194">
      <c r="B1194" s="20" t="str">
        <f>VLOOKUP(A1194,PlayerDB!$F$2:$H3480,3,FALSE)</f>
        <v>#N/A</v>
      </c>
    </row>
    <row r="1195">
      <c r="B1195" s="20" t="str">
        <f>VLOOKUP(A1195,PlayerDB!$F$2:$H3480,3,FALSE)</f>
        <v>#N/A</v>
      </c>
    </row>
    <row r="1196">
      <c r="B1196" s="20" t="str">
        <f>VLOOKUP(A1196,PlayerDB!$F$2:$H3480,3,FALSE)</f>
        <v>#N/A</v>
      </c>
    </row>
    <row r="1197">
      <c r="B1197" s="20" t="str">
        <f>VLOOKUP(A1197,PlayerDB!$F$2:$H3480,3,FALSE)</f>
        <v>#N/A</v>
      </c>
    </row>
    <row r="1198">
      <c r="B1198" s="20" t="str">
        <f>VLOOKUP(A1198,PlayerDB!$F$2:$H3480,3,FALSE)</f>
        <v>#N/A</v>
      </c>
    </row>
    <row r="1199">
      <c r="B1199" s="20" t="str">
        <f>VLOOKUP(A1199,PlayerDB!$F$2:$H3480,3,FALSE)</f>
        <v>#N/A</v>
      </c>
    </row>
    <row r="1200">
      <c r="B1200" s="20" t="str">
        <f>VLOOKUP(A1200,PlayerDB!$F$2:$H3480,3,FALSE)</f>
        <v>#N/A</v>
      </c>
    </row>
    <row r="1201">
      <c r="B1201" s="20" t="str">
        <f>VLOOKUP(A1201,PlayerDB!$F$2:$H3480,3,FALSE)</f>
        <v>#N/A</v>
      </c>
    </row>
    <row r="1202">
      <c r="B1202" s="20" t="str">
        <f>VLOOKUP(A1202,PlayerDB!$F$2:$H3480,3,FALSE)</f>
        <v>#N/A</v>
      </c>
    </row>
    <row r="1203">
      <c r="B1203" s="20" t="str">
        <f>VLOOKUP(A1203,PlayerDB!$F$2:$H3480,3,FALSE)</f>
        <v>#N/A</v>
      </c>
    </row>
    <row r="1204">
      <c r="B1204" s="20" t="str">
        <f>VLOOKUP(A1204,PlayerDB!$F$2:$H3480,3,FALSE)</f>
        <v>#N/A</v>
      </c>
    </row>
    <row r="1205">
      <c r="B1205" s="20" t="str">
        <f>VLOOKUP(A1205,PlayerDB!$F$2:$H3480,3,FALSE)</f>
        <v>#N/A</v>
      </c>
    </row>
    <row r="1206">
      <c r="B1206" s="20" t="str">
        <f>VLOOKUP(A1206,PlayerDB!$F$2:$H3480,3,FALSE)</f>
        <v>#N/A</v>
      </c>
    </row>
    <row r="1207">
      <c r="B1207" s="20" t="str">
        <f>VLOOKUP(A1207,PlayerDB!$F$2:$H3480,3,FALSE)</f>
        <v>#N/A</v>
      </c>
    </row>
    <row r="1208">
      <c r="B1208" s="20" t="str">
        <f>VLOOKUP(A1208,PlayerDB!$F$2:$H3480,3,FALSE)</f>
        <v>#N/A</v>
      </c>
    </row>
    <row r="1209">
      <c r="B1209" s="20" t="str">
        <f>VLOOKUP(A1209,PlayerDB!$F$2:$H3480,3,FALSE)</f>
        <v>#N/A</v>
      </c>
    </row>
    <row r="1210">
      <c r="B1210" s="20" t="str">
        <f>VLOOKUP(A1210,PlayerDB!$F$2:$H3480,3,FALSE)</f>
        <v>#N/A</v>
      </c>
    </row>
    <row r="1211">
      <c r="B1211" s="20" t="str">
        <f>VLOOKUP(A1211,PlayerDB!$F$2:$H3480,3,FALSE)</f>
        <v>#N/A</v>
      </c>
    </row>
    <row r="1212">
      <c r="B1212" s="20" t="str">
        <f>VLOOKUP(A1212,PlayerDB!$F$2:$H3480,3,FALSE)</f>
        <v>#N/A</v>
      </c>
    </row>
    <row r="1213">
      <c r="B1213" s="20" t="str">
        <f>VLOOKUP(A1213,PlayerDB!$F$2:$H3480,3,FALSE)</f>
        <v>#N/A</v>
      </c>
    </row>
    <row r="1214">
      <c r="B1214" s="20" t="str">
        <f>VLOOKUP(A1214,PlayerDB!$F$2:$H3480,3,FALSE)</f>
        <v>#N/A</v>
      </c>
    </row>
    <row r="1215">
      <c r="B1215" s="20" t="str">
        <f>VLOOKUP(A1215,PlayerDB!$F$2:$H3480,3,FALSE)</f>
        <v>#N/A</v>
      </c>
    </row>
    <row r="1216">
      <c r="B1216" s="20" t="str">
        <f>VLOOKUP(A1216,PlayerDB!$F$2:$H3480,3,FALSE)</f>
        <v>#N/A</v>
      </c>
    </row>
    <row r="1217">
      <c r="B1217" s="20" t="str">
        <f>VLOOKUP(A1217,PlayerDB!$F$2:$H3480,3,FALSE)</f>
        <v>#N/A</v>
      </c>
    </row>
    <row r="1218">
      <c r="B1218" s="20" t="str">
        <f>VLOOKUP(A1218,PlayerDB!$F$2:$H3480,3,FALSE)</f>
        <v>#N/A</v>
      </c>
    </row>
    <row r="1219">
      <c r="B1219" s="20" t="str">
        <f>VLOOKUP(A1219,PlayerDB!$F$2:$H3480,3,FALSE)</f>
        <v>#N/A</v>
      </c>
    </row>
    <row r="1220">
      <c r="B1220" s="20" t="str">
        <f>VLOOKUP(A1220,PlayerDB!$F$2:$H3480,3,FALSE)</f>
        <v>#N/A</v>
      </c>
    </row>
    <row r="1221">
      <c r="B1221" s="20" t="str">
        <f>VLOOKUP(A1221,PlayerDB!$F$2:$H3480,3,FALSE)</f>
        <v>#N/A</v>
      </c>
    </row>
    <row r="1222">
      <c r="B1222" s="20" t="str">
        <f>VLOOKUP(A1222,PlayerDB!$F$2:$H3480,3,FALSE)</f>
        <v>#N/A</v>
      </c>
    </row>
    <row r="1223">
      <c r="B1223" s="20" t="str">
        <f>VLOOKUP(A1223,PlayerDB!$F$2:$H3480,3,FALSE)</f>
        <v>#N/A</v>
      </c>
    </row>
    <row r="1224">
      <c r="B1224" s="20" t="str">
        <f>VLOOKUP(A1224,PlayerDB!$F$2:$H3480,3,FALSE)</f>
        <v>#N/A</v>
      </c>
    </row>
    <row r="1225">
      <c r="B1225" s="20" t="str">
        <f>VLOOKUP(A1225,PlayerDB!$F$2:$H3480,3,FALSE)</f>
        <v>#N/A</v>
      </c>
    </row>
    <row r="1226">
      <c r="B1226" s="20" t="str">
        <f>VLOOKUP(A1226,PlayerDB!$F$2:$H3480,3,FALSE)</f>
        <v>#N/A</v>
      </c>
    </row>
    <row r="1227">
      <c r="B1227" s="20" t="str">
        <f>VLOOKUP(A1227,PlayerDB!$F$2:$H3480,3,FALSE)</f>
        <v>#N/A</v>
      </c>
    </row>
    <row r="1228">
      <c r="B1228" s="20" t="str">
        <f>VLOOKUP(A1228,PlayerDB!$F$2:$H3480,3,FALSE)</f>
        <v>#N/A</v>
      </c>
    </row>
    <row r="1229">
      <c r="B1229" s="20" t="str">
        <f>VLOOKUP(A1229,PlayerDB!$F$2:$H3480,3,FALSE)</f>
        <v>#N/A</v>
      </c>
    </row>
    <row r="1230">
      <c r="B1230" s="20" t="str">
        <f>VLOOKUP(A1230,PlayerDB!$F$2:$H3480,3,FALSE)</f>
        <v>#N/A</v>
      </c>
    </row>
    <row r="1231">
      <c r="B1231" s="20" t="str">
        <f>VLOOKUP(A1231,PlayerDB!$F$2:$H3480,3,FALSE)</f>
        <v>#N/A</v>
      </c>
    </row>
    <row r="1232">
      <c r="B1232" s="20" t="str">
        <f>VLOOKUP(A1232,PlayerDB!$F$2:$H3480,3,FALSE)</f>
        <v>#N/A</v>
      </c>
    </row>
    <row r="1233">
      <c r="B1233" s="20" t="str">
        <f>VLOOKUP(A1233,PlayerDB!$F$2:$H3480,3,FALSE)</f>
        <v>#N/A</v>
      </c>
    </row>
    <row r="1234">
      <c r="B1234" s="20" t="str">
        <f>VLOOKUP(A1234,PlayerDB!$F$2:$H3480,3,FALSE)</f>
        <v>#N/A</v>
      </c>
    </row>
    <row r="1235">
      <c r="B1235" s="20" t="str">
        <f>VLOOKUP(A1235,PlayerDB!$F$2:$H3480,3,FALSE)</f>
        <v>#N/A</v>
      </c>
    </row>
    <row r="1236">
      <c r="B1236" s="20" t="str">
        <f>VLOOKUP(A1236,PlayerDB!$F$2:$H3480,3,FALSE)</f>
        <v>#N/A</v>
      </c>
    </row>
    <row r="1237">
      <c r="B1237" s="20" t="str">
        <f>VLOOKUP(A1237,PlayerDB!$F$2:$H3480,3,FALSE)</f>
        <v>#N/A</v>
      </c>
    </row>
    <row r="1238">
      <c r="B1238" s="20" t="str">
        <f>VLOOKUP(A1238,PlayerDB!$F$2:$H3480,3,FALSE)</f>
        <v>#N/A</v>
      </c>
    </row>
    <row r="1239">
      <c r="B1239" s="20" t="str">
        <f>VLOOKUP(A1239,PlayerDB!$F$2:$H3480,3,FALSE)</f>
        <v>#N/A</v>
      </c>
    </row>
    <row r="1240">
      <c r="B1240" s="20" t="str">
        <f>VLOOKUP(A1240,PlayerDB!$F$2:$H3480,3,FALSE)</f>
        <v>#N/A</v>
      </c>
    </row>
    <row r="1241">
      <c r="B1241" s="20" t="str">
        <f>VLOOKUP(A1241,PlayerDB!$F$2:$H3480,3,FALSE)</f>
        <v>#N/A</v>
      </c>
    </row>
    <row r="1242">
      <c r="B1242" s="20" t="str">
        <f>VLOOKUP(A1242,PlayerDB!$F$2:$H3480,3,FALSE)</f>
        <v>#N/A</v>
      </c>
    </row>
    <row r="1243">
      <c r="B1243" s="20" t="str">
        <f>VLOOKUP(A1243,PlayerDB!$F$2:$H3480,3,FALSE)</f>
        <v>#N/A</v>
      </c>
    </row>
    <row r="1244">
      <c r="B1244" s="20" t="str">
        <f>VLOOKUP(A1244,PlayerDB!$F$2:$H3480,3,FALSE)</f>
        <v>#N/A</v>
      </c>
    </row>
    <row r="1245">
      <c r="B1245" s="20" t="str">
        <f>VLOOKUP(A1245,PlayerDB!$F$2:$H3480,3,FALSE)</f>
        <v>#N/A</v>
      </c>
    </row>
    <row r="1246">
      <c r="B1246" s="20" t="str">
        <f>VLOOKUP(A1246,PlayerDB!$F$2:$H3480,3,FALSE)</f>
        <v>#N/A</v>
      </c>
    </row>
    <row r="1247">
      <c r="B1247" s="20" t="str">
        <f>VLOOKUP(A1247,PlayerDB!$F$2:$H3480,3,FALSE)</f>
        <v>#N/A</v>
      </c>
    </row>
    <row r="1248">
      <c r="B1248" s="20" t="str">
        <f>VLOOKUP(A1248,PlayerDB!$F$2:$H3480,3,FALSE)</f>
        <v>#N/A</v>
      </c>
    </row>
    <row r="1249">
      <c r="B1249" s="20" t="str">
        <f>VLOOKUP(A1249,PlayerDB!$F$2:$H3480,3,FALSE)</f>
        <v>#N/A</v>
      </c>
    </row>
    <row r="1250">
      <c r="B1250" s="20" t="str">
        <f>VLOOKUP(A1250,PlayerDB!$F$2:$H3480,3,FALSE)</f>
        <v>#N/A</v>
      </c>
    </row>
    <row r="1251">
      <c r="B1251" s="20" t="str">
        <f>VLOOKUP(A1251,PlayerDB!$F$2:$H3480,3,FALSE)</f>
        <v>#N/A</v>
      </c>
    </row>
    <row r="1252">
      <c r="B1252" s="20" t="str">
        <f>VLOOKUP(A1252,PlayerDB!$F$2:$H3480,3,FALSE)</f>
        <v>#N/A</v>
      </c>
    </row>
    <row r="1253">
      <c r="B1253" s="20" t="str">
        <f>VLOOKUP(A1253,PlayerDB!$F$2:$H3480,3,FALSE)</f>
        <v>#N/A</v>
      </c>
    </row>
    <row r="1254">
      <c r="B1254" s="20" t="str">
        <f>VLOOKUP(A1254,PlayerDB!$F$2:$H3480,3,FALSE)</f>
        <v>#N/A</v>
      </c>
    </row>
    <row r="1255">
      <c r="B1255" s="20" t="str">
        <f>VLOOKUP(A1255,PlayerDB!$F$2:$H3480,3,FALSE)</f>
        <v>#N/A</v>
      </c>
    </row>
    <row r="1256">
      <c r="B1256" s="20" t="str">
        <f>VLOOKUP(A1256,PlayerDB!$F$2:$H3480,3,FALSE)</f>
        <v>#N/A</v>
      </c>
    </row>
    <row r="1257">
      <c r="B1257" s="20" t="str">
        <f>VLOOKUP(A1257,PlayerDB!$F$2:$H3480,3,FALSE)</f>
        <v>#N/A</v>
      </c>
    </row>
    <row r="1258">
      <c r="B1258" s="20" t="str">
        <f>VLOOKUP(A1258,PlayerDB!$F$2:$H3480,3,FALSE)</f>
        <v>#N/A</v>
      </c>
    </row>
    <row r="1259">
      <c r="B1259" s="20" t="str">
        <f>VLOOKUP(A1259,PlayerDB!$F$2:$H3480,3,FALSE)</f>
        <v>#N/A</v>
      </c>
    </row>
    <row r="1260">
      <c r="B1260" s="20" t="str">
        <f>VLOOKUP(A1260,PlayerDB!$F$2:$H3480,3,FALSE)</f>
        <v>#N/A</v>
      </c>
    </row>
    <row r="1261">
      <c r="B1261" s="20" t="str">
        <f>VLOOKUP(A1261,PlayerDB!$F$2:$H3480,3,FALSE)</f>
        <v>#N/A</v>
      </c>
    </row>
    <row r="1262">
      <c r="B1262" s="20" t="str">
        <f>VLOOKUP(A1262,PlayerDB!$F$2:$H3480,3,FALSE)</f>
        <v>#N/A</v>
      </c>
    </row>
    <row r="1263">
      <c r="B1263" s="20" t="str">
        <f>VLOOKUP(A1263,PlayerDB!$F$2:$H3480,3,FALSE)</f>
        <v>#N/A</v>
      </c>
    </row>
    <row r="1264">
      <c r="B1264" s="20" t="str">
        <f>VLOOKUP(A1264,PlayerDB!$F$2:$H3480,3,FALSE)</f>
        <v>#N/A</v>
      </c>
    </row>
    <row r="1265">
      <c r="B1265" s="20" t="str">
        <f>VLOOKUP(A1265,PlayerDB!$F$2:$H3480,3,FALSE)</f>
        <v>#N/A</v>
      </c>
    </row>
    <row r="1266">
      <c r="B1266" s="20" t="str">
        <f>VLOOKUP(A1266,PlayerDB!$F$2:$H3480,3,FALSE)</f>
        <v>#N/A</v>
      </c>
    </row>
    <row r="1267">
      <c r="B1267" s="20" t="str">
        <f>VLOOKUP(A1267,PlayerDB!$F$2:$H3480,3,FALSE)</f>
        <v>#N/A</v>
      </c>
    </row>
    <row r="1268">
      <c r="B1268" s="20" t="str">
        <f>VLOOKUP(A1268,PlayerDB!$F$2:$H3480,3,FALSE)</f>
        <v>#N/A</v>
      </c>
    </row>
    <row r="1269">
      <c r="B1269" s="20" t="str">
        <f>VLOOKUP(A1269,PlayerDB!$F$2:$H3480,3,FALSE)</f>
        <v>#N/A</v>
      </c>
    </row>
    <row r="1270">
      <c r="B1270" s="20" t="str">
        <f>VLOOKUP(A1270,PlayerDB!$F$2:$H3480,3,FALSE)</f>
        <v>#N/A</v>
      </c>
    </row>
    <row r="1271">
      <c r="B1271" s="20" t="str">
        <f>VLOOKUP(A1271,PlayerDB!$F$2:$H3480,3,FALSE)</f>
        <v>#N/A</v>
      </c>
    </row>
    <row r="1272">
      <c r="B1272" s="20" t="str">
        <f>VLOOKUP(A1272,PlayerDB!$F$2:$H3480,3,FALSE)</f>
        <v>#N/A</v>
      </c>
    </row>
    <row r="1273">
      <c r="B1273" s="20" t="str">
        <f>VLOOKUP(A1273,PlayerDB!$F$2:$H3480,3,FALSE)</f>
        <v>#N/A</v>
      </c>
    </row>
    <row r="1274">
      <c r="B1274" s="20" t="str">
        <f>VLOOKUP(A1274,PlayerDB!$F$2:$H3480,3,FALSE)</f>
        <v>#N/A</v>
      </c>
    </row>
    <row r="1275">
      <c r="B1275" s="20" t="str">
        <f>VLOOKUP(A1275,PlayerDB!$F$2:$H3480,3,FALSE)</f>
        <v>#N/A</v>
      </c>
    </row>
    <row r="1276">
      <c r="B1276" s="20" t="str">
        <f>VLOOKUP(A1276,PlayerDB!$F$2:$H3480,3,FALSE)</f>
        <v>#N/A</v>
      </c>
    </row>
    <row r="1277">
      <c r="B1277" s="20" t="str">
        <f>VLOOKUP(A1277,PlayerDB!$F$2:$H3480,3,FALSE)</f>
        <v>#N/A</v>
      </c>
    </row>
    <row r="1278">
      <c r="B1278" s="20" t="str">
        <f>VLOOKUP(A1278,PlayerDB!$F$2:$H3480,3,FALSE)</f>
        <v>#N/A</v>
      </c>
    </row>
    <row r="1279">
      <c r="B1279" s="20" t="str">
        <f>VLOOKUP(A1279,PlayerDB!$F$2:$H3480,3,FALSE)</f>
        <v>#N/A</v>
      </c>
    </row>
    <row r="1280">
      <c r="B1280" s="20" t="str">
        <f>VLOOKUP(A1280,PlayerDB!$F$2:$H3480,3,FALSE)</f>
        <v>#N/A</v>
      </c>
    </row>
    <row r="1281">
      <c r="B1281" s="20" t="str">
        <f>VLOOKUP(A1281,PlayerDB!$F$2:$H3480,3,FALSE)</f>
        <v>#N/A</v>
      </c>
    </row>
    <row r="1282">
      <c r="B1282" s="20" t="str">
        <f>VLOOKUP(A1282,PlayerDB!$F$2:$H3480,3,FALSE)</f>
        <v>#N/A</v>
      </c>
    </row>
    <row r="1283">
      <c r="B1283" s="20" t="str">
        <f>VLOOKUP(A1283,PlayerDB!$F$2:$H3480,3,FALSE)</f>
        <v>#N/A</v>
      </c>
    </row>
    <row r="1284">
      <c r="B1284" s="20" t="str">
        <f>VLOOKUP(A1284,PlayerDB!$F$2:$H3480,3,FALSE)</f>
        <v>#N/A</v>
      </c>
    </row>
    <row r="1285">
      <c r="B1285" s="20" t="str">
        <f>VLOOKUP(A1285,PlayerDB!$F$2:$H3480,3,FALSE)</f>
        <v>#N/A</v>
      </c>
    </row>
    <row r="1286">
      <c r="B1286" s="20" t="str">
        <f>VLOOKUP(A1286,PlayerDB!$F$2:$H3480,3,FALSE)</f>
        <v>#N/A</v>
      </c>
    </row>
    <row r="1287">
      <c r="B1287" s="20" t="str">
        <f>VLOOKUP(A1287,PlayerDB!$F$2:$H3480,3,FALSE)</f>
        <v>#N/A</v>
      </c>
    </row>
    <row r="1288">
      <c r="B1288" s="20" t="str">
        <f>VLOOKUP(A1288,PlayerDB!$F$2:$H3480,3,FALSE)</f>
        <v>#N/A</v>
      </c>
    </row>
    <row r="1289">
      <c r="B1289" s="20" t="str">
        <f>VLOOKUP(A1289,PlayerDB!$F$2:$H3480,3,FALSE)</f>
        <v>#N/A</v>
      </c>
    </row>
    <row r="1290">
      <c r="B1290" s="20" t="str">
        <f>VLOOKUP(A1290,PlayerDB!$F$2:$H3480,3,FALSE)</f>
        <v>#N/A</v>
      </c>
    </row>
    <row r="1291">
      <c r="B1291" s="20" t="str">
        <f>VLOOKUP(A1291,PlayerDB!$F$2:$H3480,3,FALSE)</f>
        <v>#N/A</v>
      </c>
    </row>
    <row r="1292">
      <c r="B1292" s="20" t="str">
        <f>VLOOKUP(A1292,PlayerDB!$F$2:$H3480,3,FALSE)</f>
        <v>#N/A</v>
      </c>
    </row>
    <row r="1293">
      <c r="B1293" s="20" t="str">
        <f>VLOOKUP(A1293,PlayerDB!$F$2:$H3480,3,FALSE)</f>
        <v>#N/A</v>
      </c>
    </row>
    <row r="1294">
      <c r="B1294" s="20" t="str">
        <f>VLOOKUP(A1294,PlayerDB!$F$2:$H3480,3,FALSE)</f>
        <v>#N/A</v>
      </c>
    </row>
    <row r="1295">
      <c r="B1295" s="20" t="str">
        <f>VLOOKUP(A1295,PlayerDB!$F$2:$H3480,3,FALSE)</f>
        <v>#N/A</v>
      </c>
    </row>
    <row r="1296">
      <c r="B1296" s="20" t="str">
        <f>VLOOKUP(A1296,PlayerDB!$F$2:$H3480,3,FALSE)</f>
        <v>#N/A</v>
      </c>
    </row>
    <row r="1297">
      <c r="B1297" s="20" t="str">
        <f>VLOOKUP(A1297,PlayerDB!$F$2:$H3480,3,FALSE)</f>
        <v>#N/A</v>
      </c>
    </row>
    <row r="1298">
      <c r="B1298" s="20" t="str">
        <f>VLOOKUP(A1298,PlayerDB!$F$2:$H3480,3,FALSE)</f>
        <v>#N/A</v>
      </c>
    </row>
    <row r="1299">
      <c r="B1299" s="20" t="str">
        <f>VLOOKUP(A1299,PlayerDB!$F$2:$H3480,3,FALSE)</f>
        <v>#N/A</v>
      </c>
    </row>
    <row r="1300">
      <c r="B1300" s="20" t="str">
        <f>VLOOKUP(A1300,PlayerDB!$F$2:$H3480,3,FALSE)</f>
        <v>#N/A</v>
      </c>
    </row>
    <row r="1301">
      <c r="B1301" s="20" t="str">
        <f>VLOOKUP(A1301,PlayerDB!$F$2:$H3480,3,FALSE)</f>
        <v>#N/A</v>
      </c>
    </row>
    <row r="1302">
      <c r="B1302" s="20" t="str">
        <f>VLOOKUP(A1302,PlayerDB!$F$2:$H3480,3,FALSE)</f>
        <v>#N/A</v>
      </c>
    </row>
    <row r="1303">
      <c r="B1303" s="20" t="str">
        <f>VLOOKUP(A1303,PlayerDB!$F$2:$H3480,3,FALSE)</f>
        <v>#N/A</v>
      </c>
    </row>
    <row r="1304">
      <c r="B1304" s="20" t="str">
        <f>VLOOKUP(A1304,PlayerDB!$F$2:$H3480,3,FALSE)</f>
        <v>#N/A</v>
      </c>
    </row>
    <row r="1305">
      <c r="B1305" s="20" t="str">
        <f>VLOOKUP(A1305,PlayerDB!$F$2:$H3480,3,FALSE)</f>
        <v>#N/A</v>
      </c>
    </row>
    <row r="1306">
      <c r="B1306" s="20" t="str">
        <f>VLOOKUP(A1306,PlayerDB!$F$2:$H3480,3,FALSE)</f>
        <v>#N/A</v>
      </c>
    </row>
    <row r="1307">
      <c r="B1307" s="20" t="str">
        <f>VLOOKUP(A1307,PlayerDB!$F$2:$H3480,3,FALSE)</f>
        <v>#N/A</v>
      </c>
    </row>
    <row r="1308">
      <c r="B1308" s="20" t="str">
        <f>VLOOKUP(A1308,PlayerDB!$F$2:$H3480,3,FALSE)</f>
        <v>#N/A</v>
      </c>
    </row>
    <row r="1309">
      <c r="B1309" s="20" t="str">
        <f>VLOOKUP(A1309,PlayerDB!$F$2:$H3480,3,FALSE)</f>
        <v>#N/A</v>
      </c>
    </row>
    <row r="1310">
      <c r="B1310" s="20" t="str">
        <f>VLOOKUP(A1310,PlayerDB!$F$2:$H3480,3,FALSE)</f>
        <v>#N/A</v>
      </c>
    </row>
    <row r="1311">
      <c r="B1311" s="20" t="str">
        <f>VLOOKUP(A1311,PlayerDB!$F$2:$H3480,3,FALSE)</f>
        <v>#N/A</v>
      </c>
    </row>
    <row r="1312">
      <c r="B1312" s="20" t="str">
        <f>VLOOKUP(A1312,PlayerDB!$F$2:$H3480,3,FALSE)</f>
        <v>#N/A</v>
      </c>
    </row>
    <row r="1313">
      <c r="B1313" s="20" t="str">
        <f>VLOOKUP(A1313,PlayerDB!$F$2:$H3480,3,FALSE)</f>
        <v>#N/A</v>
      </c>
    </row>
    <row r="1314">
      <c r="B1314" s="20" t="str">
        <f>VLOOKUP(A1314,PlayerDB!$F$2:$H3480,3,FALSE)</f>
        <v>#N/A</v>
      </c>
    </row>
    <row r="1315">
      <c r="B1315" s="20" t="str">
        <f>VLOOKUP(A1315,PlayerDB!$F$2:$H3480,3,FALSE)</f>
        <v>#N/A</v>
      </c>
    </row>
    <row r="1316">
      <c r="B1316" s="20" t="str">
        <f>VLOOKUP(A1316,PlayerDB!$F$2:$H3480,3,FALSE)</f>
        <v>#N/A</v>
      </c>
    </row>
    <row r="1317">
      <c r="B1317" s="20" t="str">
        <f>VLOOKUP(A1317,PlayerDB!$F$2:$H3480,3,FALSE)</f>
        <v>#N/A</v>
      </c>
    </row>
    <row r="1318">
      <c r="B1318" s="20" t="str">
        <f>VLOOKUP(A1318,PlayerDB!$F$2:$H3480,3,FALSE)</f>
        <v>#N/A</v>
      </c>
    </row>
    <row r="1319">
      <c r="B1319" s="20" t="str">
        <f>VLOOKUP(A1319,PlayerDB!$F$2:$H3480,3,FALSE)</f>
        <v>#N/A</v>
      </c>
    </row>
    <row r="1320">
      <c r="B1320" s="20" t="str">
        <f>VLOOKUP(A1320,PlayerDB!$F$2:$H3480,3,FALSE)</f>
        <v>#N/A</v>
      </c>
    </row>
    <row r="1321">
      <c r="B1321" s="20" t="str">
        <f>VLOOKUP(A1321,PlayerDB!$F$2:$H3480,3,FALSE)</f>
        <v>#N/A</v>
      </c>
    </row>
    <row r="1322">
      <c r="B1322" s="20" t="str">
        <f>VLOOKUP(A1322,PlayerDB!$F$2:$H3480,3,FALSE)</f>
        <v>#N/A</v>
      </c>
    </row>
    <row r="1323">
      <c r="B1323" s="20" t="str">
        <f>VLOOKUP(A1323,PlayerDB!$F$2:$H3480,3,FALSE)</f>
        <v>#N/A</v>
      </c>
    </row>
    <row r="1324">
      <c r="B1324" s="20" t="str">
        <f>VLOOKUP(A1324,PlayerDB!$F$2:$H3480,3,FALSE)</f>
        <v>#N/A</v>
      </c>
    </row>
    <row r="1325">
      <c r="B1325" s="20" t="str">
        <f>VLOOKUP(A1325,PlayerDB!$F$2:$H3480,3,FALSE)</f>
        <v>#N/A</v>
      </c>
    </row>
    <row r="1326">
      <c r="B1326" s="20" t="str">
        <f>VLOOKUP(A1326,PlayerDB!$F$2:$H3480,3,FALSE)</f>
        <v>#N/A</v>
      </c>
    </row>
    <row r="1327">
      <c r="B1327" s="20" t="str">
        <f>VLOOKUP(A1327,PlayerDB!$F$2:$H3480,3,FALSE)</f>
        <v>#N/A</v>
      </c>
    </row>
    <row r="1328">
      <c r="B1328" s="20" t="str">
        <f>VLOOKUP(A1328,PlayerDB!$F$2:$H3480,3,FALSE)</f>
        <v>#N/A</v>
      </c>
    </row>
    <row r="1329">
      <c r="B1329" s="20" t="str">
        <f>VLOOKUP(A1329,PlayerDB!$F$2:$H3480,3,FALSE)</f>
        <v>#N/A</v>
      </c>
    </row>
    <row r="1330">
      <c r="B1330" s="20" t="str">
        <f>VLOOKUP(A1330,PlayerDB!$F$2:$H3480,3,FALSE)</f>
        <v>#N/A</v>
      </c>
    </row>
    <row r="1331">
      <c r="B1331" s="20" t="str">
        <f>VLOOKUP(A1331,PlayerDB!$F$2:$H3480,3,FALSE)</f>
        <v>#N/A</v>
      </c>
    </row>
    <row r="1332">
      <c r="B1332" s="20" t="str">
        <f>VLOOKUP(A1332,PlayerDB!$F$2:$H3480,3,FALSE)</f>
        <v>#N/A</v>
      </c>
    </row>
    <row r="1333">
      <c r="B1333" s="20" t="str">
        <f>VLOOKUP(A1333,PlayerDB!$F$2:$H3480,3,FALSE)</f>
        <v>#N/A</v>
      </c>
    </row>
    <row r="1334">
      <c r="B1334" s="20" t="str">
        <f>VLOOKUP(A1334,PlayerDB!$F$2:$H3480,3,FALSE)</f>
        <v>#N/A</v>
      </c>
    </row>
    <row r="1335">
      <c r="B1335" s="20" t="str">
        <f>VLOOKUP(A1335,PlayerDB!$F$2:$H3480,3,FALSE)</f>
        <v>#N/A</v>
      </c>
    </row>
    <row r="1336">
      <c r="B1336" s="20" t="str">
        <f>VLOOKUP(A1336,PlayerDB!$F$2:$H3480,3,FALSE)</f>
        <v>#N/A</v>
      </c>
    </row>
    <row r="1337">
      <c r="B1337" s="20" t="str">
        <f>VLOOKUP(A1337,PlayerDB!$F$2:$H3480,3,FALSE)</f>
        <v>#N/A</v>
      </c>
    </row>
    <row r="1338">
      <c r="B1338" s="20" t="str">
        <f>VLOOKUP(A1338,PlayerDB!$F$2:$H3480,3,FALSE)</f>
        <v>#N/A</v>
      </c>
    </row>
    <row r="1339">
      <c r="B1339" s="20" t="str">
        <f>VLOOKUP(A1339,PlayerDB!$F$2:$H3480,3,FALSE)</f>
        <v>#N/A</v>
      </c>
    </row>
    <row r="1340">
      <c r="B1340" s="20" t="str">
        <f>VLOOKUP(A1340,PlayerDB!$F$2:$H3480,3,FALSE)</f>
        <v>#N/A</v>
      </c>
    </row>
    <row r="1341">
      <c r="B1341" s="20" t="str">
        <f>VLOOKUP(A1341,PlayerDB!$F$2:$H3480,3,FALSE)</f>
        <v>#N/A</v>
      </c>
    </row>
    <row r="1342">
      <c r="B1342" s="20" t="str">
        <f>VLOOKUP(A1342,PlayerDB!$F$2:$H3480,3,FALSE)</f>
        <v>#N/A</v>
      </c>
    </row>
    <row r="1343">
      <c r="B1343" s="20" t="str">
        <f>VLOOKUP(A1343,PlayerDB!$F$2:$H3480,3,FALSE)</f>
        <v>#N/A</v>
      </c>
    </row>
    <row r="1344">
      <c r="B1344" s="20" t="str">
        <f>VLOOKUP(A1344,PlayerDB!$F$2:$H3480,3,FALSE)</f>
        <v>#N/A</v>
      </c>
    </row>
    <row r="1345">
      <c r="B1345" s="20" t="str">
        <f>VLOOKUP(A1345,PlayerDB!$F$2:$H3480,3,FALSE)</f>
        <v>#N/A</v>
      </c>
    </row>
    <row r="1346">
      <c r="B1346" s="20" t="str">
        <f>VLOOKUP(A1346,PlayerDB!$F$2:$H3480,3,FALSE)</f>
        <v>#N/A</v>
      </c>
    </row>
    <row r="1347">
      <c r="B1347" s="20" t="str">
        <f>VLOOKUP(A1347,PlayerDB!$F$2:$H3480,3,FALSE)</f>
        <v>#N/A</v>
      </c>
    </row>
    <row r="1348">
      <c r="B1348" s="20" t="str">
        <f>VLOOKUP(A1348,PlayerDB!$F$2:$H3480,3,FALSE)</f>
        <v>#N/A</v>
      </c>
    </row>
    <row r="1349">
      <c r="B1349" s="20" t="str">
        <f>VLOOKUP(A1349,PlayerDB!$F$2:$H3480,3,FALSE)</f>
        <v>#N/A</v>
      </c>
    </row>
    <row r="1350">
      <c r="B1350" s="20" t="str">
        <f>VLOOKUP(A1350,PlayerDB!$F$2:$H3480,3,FALSE)</f>
        <v>#N/A</v>
      </c>
    </row>
    <row r="1351">
      <c r="B1351" s="20" t="str">
        <f>VLOOKUP(A1351,PlayerDB!$F$2:$H3480,3,FALSE)</f>
        <v>#N/A</v>
      </c>
    </row>
    <row r="1352">
      <c r="B1352" s="20" t="str">
        <f>VLOOKUP(A1352,PlayerDB!$F$2:$H3480,3,FALSE)</f>
        <v>#N/A</v>
      </c>
    </row>
    <row r="1353">
      <c r="B1353" s="20" t="str">
        <f>VLOOKUP(A1353,PlayerDB!$F$2:$H3480,3,FALSE)</f>
        <v>#N/A</v>
      </c>
    </row>
    <row r="1354">
      <c r="B1354" s="20" t="str">
        <f>VLOOKUP(A1354,PlayerDB!$F$2:$H3480,3,FALSE)</f>
        <v>#N/A</v>
      </c>
    </row>
    <row r="1355">
      <c r="B1355" s="20" t="str">
        <f>VLOOKUP(A1355,PlayerDB!$F$2:$H3480,3,FALSE)</f>
        <v>#N/A</v>
      </c>
    </row>
    <row r="1356">
      <c r="B1356" s="20" t="str">
        <f>VLOOKUP(A1356,PlayerDB!$F$2:$H3480,3,FALSE)</f>
        <v>#N/A</v>
      </c>
    </row>
    <row r="1357">
      <c r="B1357" s="20" t="str">
        <f>VLOOKUP(A1357,PlayerDB!$F$2:$H3480,3,FALSE)</f>
        <v>#N/A</v>
      </c>
    </row>
    <row r="1358">
      <c r="B1358" s="20" t="str">
        <f>VLOOKUP(A1358,PlayerDB!$F$2:$H3480,3,FALSE)</f>
        <v>#N/A</v>
      </c>
    </row>
    <row r="1359">
      <c r="B1359" s="20" t="str">
        <f>VLOOKUP(A1359,PlayerDB!$F$2:$H3480,3,FALSE)</f>
        <v>#N/A</v>
      </c>
    </row>
    <row r="1360">
      <c r="B1360" s="20" t="str">
        <f>VLOOKUP(A1360,PlayerDB!$F$2:$H3480,3,FALSE)</f>
        <v>#N/A</v>
      </c>
    </row>
    <row r="1361">
      <c r="B1361" s="20" t="str">
        <f>VLOOKUP(A1361,PlayerDB!$F$2:$H3480,3,FALSE)</f>
        <v>#N/A</v>
      </c>
    </row>
    <row r="1362">
      <c r="B1362" s="20" t="str">
        <f>VLOOKUP(A1362,PlayerDB!$F$2:$H3480,3,FALSE)</f>
        <v>#N/A</v>
      </c>
    </row>
    <row r="1363">
      <c r="B1363" s="20" t="str">
        <f>VLOOKUP(A1363,PlayerDB!$F$2:$H3480,3,FALSE)</f>
        <v>#N/A</v>
      </c>
    </row>
    <row r="1364">
      <c r="B1364" s="20" t="str">
        <f>VLOOKUP(A1364,PlayerDB!$F$2:$H3480,3,FALSE)</f>
        <v>#N/A</v>
      </c>
    </row>
    <row r="1365">
      <c r="B1365" s="20" t="str">
        <f>VLOOKUP(A1365,PlayerDB!$F$2:$H3480,3,FALSE)</f>
        <v>#N/A</v>
      </c>
    </row>
    <row r="1366">
      <c r="B1366" s="20" t="str">
        <f>VLOOKUP(A1366,PlayerDB!$F$2:$H3480,3,FALSE)</f>
        <v>#N/A</v>
      </c>
    </row>
    <row r="1367">
      <c r="B1367" s="20" t="str">
        <f>VLOOKUP(A1367,PlayerDB!$F$2:$H3480,3,FALSE)</f>
        <v>#N/A</v>
      </c>
    </row>
    <row r="1368">
      <c r="B1368" s="20" t="str">
        <f>VLOOKUP(A1368,PlayerDB!$F$2:$H3480,3,FALSE)</f>
        <v>#N/A</v>
      </c>
    </row>
    <row r="1369">
      <c r="B1369" s="20" t="str">
        <f>VLOOKUP(A1369,PlayerDB!$F$2:$H3480,3,FALSE)</f>
        <v>#N/A</v>
      </c>
    </row>
    <row r="1370">
      <c r="B1370" s="20" t="str">
        <f>VLOOKUP(A1370,PlayerDB!$F$2:$H3480,3,FALSE)</f>
        <v>#N/A</v>
      </c>
    </row>
    <row r="1371">
      <c r="B1371" s="20" t="str">
        <f>VLOOKUP(A1371,PlayerDB!$F$2:$H3480,3,FALSE)</f>
        <v>#N/A</v>
      </c>
    </row>
    <row r="1372">
      <c r="B1372" s="20" t="str">
        <f>VLOOKUP(A1372,PlayerDB!$F$2:$H3480,3,FALSE)</f>
        <v>#N/A</v>
      </c>
    </row>
    <row r="1373">
      <c r="B1373" s="20" t="str">
        <f>VLOOKUP(A1373,PlayerDB!$F$2:$H3480,3,FALSE)</f>
        <v>#N/A</v>
      </c>
    </row>
    <row r="1374">
      <c r="B1374" s="20" t="str">
        <f>VLOOKUP(A1374,PlayerDB!$F$2:$H3480,3,FALSE)</f>
        <v>#N/A</v>
      </c>
    </row>
    <row r="1375">
      <c r="B1375" s="20" t="str">
        <f>VLOOKUP(A1375,PlayerDB!$F$2:$H3480,3,FALSE)</f>
        <v>#N/A</v>
      </c>
    </row>
    <row r="1376">
      <c r="B1376" s="20" t="str">
        <f>VLOOKUP(A1376,PlayerDB!$F$2:$H3480,3,FALSE)</f>
        <v>#N/A</v>
      </c>
    </row>
    <row r="1377">
      <c r="B1377" s="20" t="str">
        <f>VLOOKUP(A1377,PlayerDB!$F$2:$H3480,3,FALSE)</f>
        <v>#N/A</v>
      </c>
    </row>
    <row r="1378">
      <c r="B1378" s="20" t="str">
        <f>VLOOKUP(A1378,PlayerDB!$F$2:$H3480,3,FALSE)</f>
        <v>#N/A</v>
      </c>
    </row>
    <row r="1379">
      <c r="B1379" s="20" t="str">
        <f>VLOOKUP(A1379,PlayerDB!$F$2:$H3480,3,FALSE)</f>
        <v>#N/A</v>
      </c>
    </row>
    <row r="1380">
      <c r="B1380" s="20" t="str">
        <f>VLOOKUP(A1380,PlayerDB!$F$2:$H3480,3,FALSE)</f>
        <v>#N/A</v>
      </c>
    </row>
    <row r="1381">
      <c r="B1381" s="20" t="str">
        <f>VLOOKUP(A1381,PlayerDB!$F$2:$H3480,3,FALSE)</f>
        <v>#N/A</v>
      </c>
    </row>
    <row r="1382">
      <c r="B1382" s="20" t="str">
        <f>VLOOKUP(A1382,PlayerDB!$F$2:$H3480,3,FALSE)</f>
        <v>#N/A</v>
      </c>
    </row>
    <row r="1383">
      <c r="B1383" s="20" t="str">
        <f>VLOOKUP(A1383,PlayerDB!$F$2:$H3480,3,FALSE)</f>
        <v>#N/A</v>
      </c>
    </row>
    <row r="1384">
      <c r="B1384" s="20" t="str">
        <f>VLOOKUP(A1384,PlayerDB!$F$2:$H3480,3,FALSE)</f>
        <v>#N/A</v>
      </c>
    </row>
    <row r="1385">
      <c r="B1385" s="20" t="str">
        <f>VLOOKUP(A1385,PlayerDB!$F$2:$H3480,3,FALSE)</f>
        <v>#N/A</v>
      </c>
    </row>
    <row r="1386">
      <c r="B1386" s="20" t="str">
        <f>VLOOKUP(A1386,PlayerDB!$F$2:$H3480,3,FALSE)</f>
        <v>#N/A</v>
      </c>
    </row>
    <row r="1387">
      <c r="B1387" s="20" t="str">
        <f>VLOOKUP(A1387,PlayerDB!$F$2:$H3480,3,FALSE)</f>
        <v>#N/A</v>
      </c>
    </row>
    <row r="1388">
      <c r="B1388" s="20" t="str">
        <f>VLOOKUP(A1388,PlayerDB!$F$2:$H3480,3,FALSE)</f>
        <v>#N/A</v>
      </c>
    </row>
    <row r="1389">
      <c r="B1389" s="20" t="str">
        <f>VLOOKUP(A1389,PlayerDB!$F$2:$H3480,3,FALSE)</f>
        <v>#N/A</v>
      </c>
    </row>
    <row r="1390">
      <c r="B1390" s="20" t="str">
        <f>VLOOKUP(A1390,PlayerDB!$F$2:$H3480,3,FALSE)</f>
        <v>#N/A</v>
      </c>
    </row>
    <row r="1391">
      <c r="B1391" s="20" t="str">
        <f>VLOOKUP(A1391,PlayerDB!$F$2:$H3480,3,FALSE)</f>
        <v>#N/A</v>
      </c>
    </row>
    <row r="1392">
      <c r="B1392" s="20" t="str">
        <f>VLOOKUP(A1392,PlayerDB!$F$2:$H3480,3,FALSE)</f>
        <v>#N/A</v>
      </c>
    </row>
    <row r="1393">
      <c r="B1393" s="20" t="str">
        <f>VLOOKUP(A1393,PlayerDB!$F$2:$H3480,3,FALSE)</f>
        <v>#N/A</v>
      </c>
    </row>
    <row r="1394">
      <c r="B1394" s="20" t="str">
        <f>VLOOKUP(A1394,PlayerDB!$F$2:$H3480,3,FALSE)</f>
        <v>#N/A</v>
      </c>
    </row>
    <row r="1395">
      <c r="B1395" s="20" t="str">
        <f>VLOOKUP(A1395,PlayerDB!$F$2:$H3480,3,FALSE)</f>
        <v>#N/A</v>
      </c>
    </row>
    <row r="1396">
      <c r="B1396" s="20" t="str">
        <f>VLOOKUP(A1396,PlayerDB!$F$2:$H3480,3,FALSE)</f>
        <v>#N/A</v>
      </c>
    </row>
    <row r="1397">
      <c r="B1397" s="20" t="str">
        <f>VLOOKUP(A1397,PlayerDB!$F$2:$H3480,3,FALSE)</f>
        <v>#N/A</v>
      </c>
    </row>
    <row r="1398">
      <c r="B1398" s="20" t="str">
        <f>VLOOKUP(A1398,PlayerDB!$F$2:$H3480,3,FALSE)</f>
        <v>#N/A</v>
      </c>
    </row>
    <row r="1399">
      <c r="B1399" s="20" t="str">
        <f>VLOOKUP(A1399,PlayerDB!$F$2:$H3480,3,FALSE)</f>
        <v>#N/A</v>
      </c>
    </row>
    <row r="1400">
      <c r="B1400" s="20" t="str">
        <f>VLOOKUP(A1400,PlayerDB!$F$2:$H3480,3,FALSE)</f>
        <v>#N/A</v>
      </c>
    </row>
    <row r="1401">
      <c r="B1401" s="20" t="str">
        <f>VLOOKUP(A1401,PlayerDB!$F$2:$H3480,3,FALSE)</f>
        <v>#N/A</v>
      </c>
    </row>
    <row r="1402">
      <c r="B1402" s="20" t="str">
        <f>VLOOKUP(A1402,PlayerDB!$F$2:$H3480,3,FALSE)</f>
        <v>#N/A</v>
      </c>
    </row>
    <row r="1403">
      <c r="B1403" s="20" t="str">
        <f>VLOOKUP(A1403,PlayerDB!$F$2:$H3480,3,FALSE)</f>
        <v>#N/A</v>
      </c>
    </row>
    <row r="1404">
      <c r="B1404" s="20" t="str">
        <f>VLOOKUP(A1404,PlayerDB!$F$2:$H3480,3,FALSE)</f>
        <v>#N/A</v>
      </c>
    </row>
    <row r="1405">
      <c r="B1405" s="20" t="str">
        <f>VLOOKUP(A1405,PlayerDB!$F$2:$H3480,3,FALSE)</f>
        <v>#N/A</v>
      </c>
    </row>
    <row r="1406">
      <c r="B1406" s="20" t="str">
        <f>VLOOKUP(A1406,PlayerDB!$F$2:$H3480,3,FALSE)</f>
        <v>#N/A</v>
      </c>
    </row>
    <row r="1407">
      <c r="B1407" s="20" t="str">
        <f>VLOOKUP(A1407,PlayerDB!$F$2:$H3480,3,FALSE)</f>
        <v>#N/A</v>
      </c>
    </row>
    <row r="1408">
      <c r="B1408" s="20" t="str">
        <f>VLOOKUP(A1408,PlayerDB!$F$2:$H3480,3,FALSE)</f>
        <v>#N/A</v>
      </c>
    </row>
    <row r="1409">
      <c r="B1409" s="20" t="str">
        <f>VLOOKUP(A1409,PlayerDB!$F$2:$H3480,3,FALSE)</f>
        <v>#N/A</v>
      </c>
    </row>
    <row r="1410">
      <c r="B1410" s="20" t="str">
        <f>VLOOKUP(A1410,PlayerDB!$F$2:$H3480,3,FALSE)</f>
        <v>#N/A</v>
      </c>
    </row>
    <row r="1411">
      <c r="B1411" s="20" t="str">
        <f>VLOOKUP(A1411,PlayerDB!$F$2:$H3480,3,FALSE)</f>
        <v>#N/A</v>
      </c>
    </row>
    <row r="1412">
      <c r="B1412" s="20" t="str">
        <f>VLOOKUP(A1412,PlayerDB!$F$2:$H3480,3,FALSE)</f>
        <v>#N/A</v>
      </c>
    </row>
    <row r="1413">
      <c r="B1413" s="20" t="str">
        <f>VLOOKUP(A1413,PlayerDB!$F$2:$H3480,3,FALSE)</f>
        <v>#N/A</v>
      </c>
    </row>
    <row r="1414">
      <c r="B1414" s="20" t="str">
        <f>VLOOKUP(A1414,PlayerDB!$F$2:$H3480,3,FALSE)</f>
        <v>#N/A</v>
      </c>
    </row>
    <row r="1415">
      <c r="B1415" s="20" t="str">
        <f>VLOOKUP(A1415,PlayerDB!$F$2:$H3480,3,FALSE)</f>
        <v>#N/A</v>
      </c>
    </row>
    <row r="1416">
      <c r="B1416" s="20" t="str">
        <f>VLOOKUP(A1416,PlayerDB!$F$2:$H3480,3,FALSE)</f>
        <v>#N/A</v>
      </c>
    </row>
    <row r="1417">
      <c r="B1417" s="20" t="str">
        <f>VLOOKUP(A1417,PlayerDB!$F$2:$H3480,3,FALSE)</f>
        <v>#N/A</v>
      </c>
    </row>
    <row r="1418">
      <c r="B1418" s="20" t="str">
        <f>VLOOKUP(A1418,PlayerDB!$F$2:$H3480,3,FALSE)</f>
        <v>#N/A</v>
      </c>
    </row>
    <row r="1419">
      <c r="B1419" s="20" t="str">
        <f>VLOOKUP(A1419,PlayerDB!$F$2:$H3480,3,FALSE)</f>
        <v>#N/A</v>
      </c>
    </row>
    <row r="1420">
      <c r="B1420" s="20" t="str">
        <f>VLOOKUP(A1420,PlayerDB!$F$2:$H3480,3,FALSE)</f>
        <v>#N/A</v>
      </c>
    </row>
    <row r="1421">
      <c r="B1421" s="20" t="str">
        <f>VLOOKUP(A1421,PlayerDB!$F$2:$H3480,3,FALSE)</f>
        <v>#N/A</v>
      </c>
    </row>
    <row r="1422">
      <c r="B1422" s="20" t="str">
        <f>VLOOKUP(A1422,PlayerDB!$F$2:$H3480,3,FALSE)</f>
        <v>#N/A</v>
      </c>
    </row>
    <row r="1423">
      <c r="B1423" s="20" t="str">
        <f>VLOOKUP(A1423,PlayerDB!$F$2:$H3480,3,FALSE)</f>
        <v>#N/A</v>
      </c>
    </row>
    <row r="1424">
      <c r="B1424" s="20" t="str">
        <f>VLOOKUP(A1424,PlayerDB!$F$2:$H3480,3,FALSE)</f>
        <v>#N/A</v>
      </c>
    </row>
    <row r="1425">
      <c r="B1425" s="20" t="str">
        <f>VLOOKUP(A1425,PlayerDB!$F$2:$H3480,3,FALSE)</f>
        <v>#N/A</v>
      </c>
    </row>
    <row r="1426">
      <c r="B1426" s="20" t="str">
        <f>VLOOKUP(A1426,PlayerDB!$F$2:$H3480,3,FALSE)</f>
        <v>#N/A</v>
      </c>
    </row>
    <row r="1427">
      <c r="B1427" s="20" t="str">
        <f>VLOOKUP(A1427,PlayerDB!$F$2:$H3480,3,FALSE)</f>
        <v>#N/A</v>
      </c>
    </row>
    <row r="1428">
      <c r="B1428" s="20" t="str">
        <f>VLOOKUP(A1428,PlayerDB!$F$2:$H3480,3,FALSE)</f>
        <v>#N/A</v>
      </c>
    </row>
    <row r="1429">
      <c r="B1429" s="20" t="str">
        <f>VLOOKUP(A1429,PlayerDB!$F$2:$H3480,3,FALSE)</f>
        <v>#N/A</v>
      </c>
    </row>
    <row r="1430">
      <c r="B1430" s="20" t="str">
        <f>VLOOKUP(A1430,PlayerDB!$F$2:$H3480,3,FALSE)</f>
        <v>#N/A</v>
      </c>
    </row>
    <row r="1431">
      <c r="B1431" s="20" t="str">
        <f>VLOOKUP(A1431,PlayerDB!$F$2:$H3480,3,FALSE)</f>
        <v>#N/A</v>
      </c>
    </row>
    <row r="1432">
      <c r="B1432" s="20" t="str">
        <f>VLOOKUP(A1432,PlayerDB!$F$2:$H3480,3,FALSE)</f>
        <v>#N/A</v>
      </c>
    </row>
    <row r="1433">
      <c r="B1433" s="20" t="str">
        <f>VLOOKUP(A1433,PlayerDB!$F$2:$H3480,3,FALSE)</f>
        <v>#N/A</v>
      </c>
    </row>
    <row r="1434">
      <c r="B1434" s="20" t="str">
        <f>VLOOKUP(A1434,PlayerDB!$F$2:$H3480,3,FALSE)</f>
        <v>#N/A</v>
      </c>
    </row>
    <row r="1435">
      <c r="B1435" s="20" t="str">
        <f>VLOOKUP(A1435,PlayerDB!$F$2:$H3480,3,FALSE)</f>
        <v>#N/A</v>
      </c>
    </row>
    <row r="1436">
      <c r="B1436" s="20" t="str">
        <f>VLOOKUP(A1436,PlayerDB!$F$2:$H3480,3,FALSE)</f>
        <v>#N/A</v>
      </c>
    </row>
    <row r="1437">
      <c r="B1437" s="20" t="str">
        <f>VLOOKUP(A1437,PlayerDB!$F$2:$H3480,3,FALSE)</f>
        <v>#N/A</v>
      </c>
    </row>
    <row r="1438">
      <c r="B1438" s="20" t="str">
        <f>VLOOKUP(A1438,PlayerDB!$F$2:$H3480,3,FALSE)</f>
        <v>#N/A</v>
      </c>
    </row>
    <row r="1439">
      <c r="B1439" s="20" t="str">
        <f>VLOOKUP(A1439,PlayerDB!$F$2:$H3480,3,FALSE)</f>
        <v>#N/A</v>
      </c>
    </row>
    <row r="1440">
      <c r="B1440" s="20" t="str">
        <f>VLOOKUP(A1440,PlayerDB!$F$2:$H3480,3,FALSE)</f>
        <v>#N/A</v>
      </c>
    </row>
    <row r="1441">
      <c r="B1441" s="20" t="str">
        <f>VLOOKUP(A1441,PlayerDB!$F$2:$H3480,3,FALSE)</f>
        <v>#N/A</v>
      </c>
    </row>
    <row r="1442">
      <c r="B1442" s="20" t="str">
        <f>VLOOKUP(A1442,PlayerDB!$F$2:$H3480,3,FALSE)</f>
        <v>#N/A</v>
      </c>
    </row>
    <row r="1443">
      <c r="B1443" s="20" t="str">
        <f>VLOOKUP(A1443,PlayerDB!$F$2:$H3480,3,FALSE)</f>
        <v>#N/A</v>
      </c>
    </row>
    <row r="1444">
      <c r="B1444" s="20" t="str">
        <f>VLOOKUP(A1444,PlayerDB!$F$2:$H3480,3,FALSE)</f>
        <v>#N/A</v>
      </c>
    </row>
    <row r="1445">
      <c r="B1445" s="20" t="str">
        <f>VLOOKUP(A1445,PlayerDB!$F$2:$H3480,3,FALSE)</f>
        <v>#N/A</v>
      </c>
    </row>
    <row r="1446">
      <c r="B1446" s="20" t="str">
        <f>VLOOKUP(A1446,PlayerDB!$F$2:$H3480,3,FALSE)</f>
        <v>#N/A</v>
      </c>
    </row>
    <row r="1447">
      <c r="B1447" s="20" t="str">
        <f>VLOOKUP(A1447,PlayerDB!$F$2:$H3480,3,FALSE)</f>
        <v>#N/A</v>
      </c>
    </row>
    <row r="1448">
      <c r="B1448" s="20" t="str">
        <f>VLOOKUP(A1448,PlayerDB!$F$2:$H3480,3,FALSE)</f>
        <v>#N/A</v>
      </c>
    </row>
    <row r="1449">
      <c r="B1449" s="20" t="str">
        <f>VLOOKUP(A1449,PlayerDB!$F$2:$H3480,3,FALSE)</f>
        <v>#N/A</v>
      </c>
    </row>
    <row r="1450">
      <c r="B1450" s="20" t="str">
        <f>VLOOKUP(A1450,PlayerDB!$F$2:$H3480,3,FALSE)</f>
        <v>#N/A</v>
      </c>
    </row>
    <row r="1451">
      <c r="B1451" s="20" t="str">
        <f>VLOOKUP(A1451,PlayerDB!$F$2:$H3480,3,FALSE)</f>
        <v>#N/A</v>
      </c>
    </row>
    <row r="1452">
      <c r="B1452" s="20" t="str">
        <f>VLOOKUP(A1452,PlayerDB!$F$2:$H3480,3,FALSE)</f>
        <v>#N/A</v>
      </c>
    </row>
    <row r="1453">
      <c r="B1453" s="20" t="str">
        <f>VLOOKUP(A1453,PlayerDB!$F$2:$H3480,3,FALSE)</f>
        <v>#N/A</v>
      </c>
    </row>
    <row r="1454">
      <c r="B1454" s="20" t="str">
        <f>VLOOKUP(A1454,PlayerDB!$F$2:$H3480,3,FALSE)</f>
        <v>#N/A</v>
      </c>
    </row>
    <row r="1455">
      <c r="B1455" s="20" t="str">
        <f>VLOOKUP(A1455,PlayerDB!$F$2:$H3480,3,FALSE)</f>
        <v>#N/A</v>
      </c>
    </row>
    <row r="1456">
      <c r="B1456" s="20" t="str">
        <f>VLOOKUP(A1456,PlayerDB!$F$2:$H3480,3,FALSE)</f>
        <v>#N/A</v>
      </c>
    </row>
    <row r="1457">
      <c r="B1457" s="20" t="str">
        <f>VLOOKUP(A1457,PlayerDB!$F$2:$H3480,3,FALSE)</f>
        <v>#N/A</v>
      </c>
    </row>
    <row r="1458">
      <c r="B1458" s="20" t="str">
        <f>VLOOKUP(A1458,PlayerDB!$F$2:$H3480,3,FALSE)</f>
        <v>#N/A</v>
      </c>
    </row>
    <row r="1459">
      <c r="B1459" s="20" t="str">
        <f>VLOOKUP(A1459,PlayerDB!$F$2:$H3480,3,FALSE)</f>
        <v>#N/A</v>
      </c>
    </row>
    <row r="1460">
      <c r="B1460" s="20" t="str">
        <f>VLOOKUP(A1460,PlayerDB!$F$2:$H3480,3,FALSE)</f>
        <v>#N/A</v>
      </c>
    </row>
    <row r="1461">
      <c r="B1461" s="20" t="str">
        <f>VLOOKUP(A1461,PlayerDB!$F$2:$H3480,3,FALSE)</f>
        <v>#N/A</v>
      </c>
    </row>
    <row r="1462">
      <c r="B1462" s="20" t="str">
        <f>VLOOKUP(A1462,PlayerDB!$F$2:$H3480,3,FALSE)</f>
        <v>#N/A</v>
      </c>
    </row>
    <row r="1463">
      <c r="B1463" s="20" t="str">
        <f>VLOOKUP(A1463,PlayerDB!$F$2:$H3480,3,FALSE)</f>
        <v>#N/A</v>
      </c>
    </row>
    <row r="1464">
      <c r="B1464" s="20" t="str">
        <f>VLOOKUP(A1464,PlayerDB!$F$2:$H3480,3,FALSE)</f>
        <v>#N/A</v>
      </c>
    </row>
    <row r="1465">
      <c r="B1465" s="20" t="str">
        <f>VLOOKUP(A1465,PlayerDB!$F$2:$H3480,3,FALSE)</f>
        <v>#N/A</v>
      </c>
    </row>
    <row r="1466">
      <c r="B1466" s="20" t="str">
        <f>VLOOKUP(A1466,PlayerDB!$F$2:$H3480,3,FALSE)</f>
        <v>#N/A</v>
      </c>
    </row>
    <row r="1467">
      <c r="B1467" s="20" t="str">
        <f>VLOOKUP(A1467,PlayerDB!$F$2:$H3480,3,FALSE)</f>
        <v>#N/A</v>
      </c>
    </row>
    <row r="1468">
      <c r="B1468" s="20" t="str">
        <f>VLOOKUP(A1468,PlayerDB!$F$2:$H3480,3,FALSE)</f>
        <v>#N/A</v>
      </c>
    </row>
    <row r="1469">
      <c r="B1469" s="20" t="str">
        <f>VLOOKUP(A1469,PlayerDB!$F$2:$H3480,3,FALSE)</f>
        <v>#N/A</v>
      </c>
    </row>
    <row r="1470">
      <c r="B1470" s="20" t="str">
        <f>VLOOKUP(A1470,PlayerDB!$F$2:$H3480,3,FALSE)</f>
        <v>#N/A</v>
      </c>
    </row>
    <row r="1471">
      <c r="B1471" s="20" t="str">
        <f>VLOOKUP(A1471,PlayerDB!$F$2:$H3480,3,FALSE)</f>
        <v>#N/A</v>
      </c>
    </row>
    <row r="1472">
      <c r="B1472" s="20" t="str">
        <f>VLOOKUP(A1472,PlayerDB!$F$2:$H3480,3,FALSE)</f>
        <v>#N/A</v>
      </c>
    </row>
    <row r="1473">
      <c r="B1473" s="20" t="str">
        <f>VLOOKUP(A1473,PlayerDB!$F$2:$H3480,3,FALSE)</f>
        <v>#N/A</v>
      </c>
    </row>
    <row r="1474">
      <c r="B1474" s="20" t="str">
        <f>VLOOKUP(A1474,PlayerDB!$F$2:$H3480,3,FALSE)</f>
        <v>#N/A</v>
      </c>
    </row>
    <row r="1475">
      <c r="B1475" s="20" t="str">
        <f>VLOOKUP(A1475,PlayerDB!$F$2:$H3480,3,FALSE)</f>
        <v>#N/A</v>
      </c>
    </row>
    <row r="1476">
      <c r="B1476" s="20" t="str">
        <f>VLOOKUP(A1476,PlayerDB!$F$2:$H3480,3,FALSE)</f>
        <v>#N/A</v>
      </c>
    </row>
    <row r="1477">
      <c r="B1477" s="20" t="str">
        <f>VLOOKUP(A1477,PlayerDB!$F$2:$H3480,3,FALSE)</f>
        <v>#N/A</v>
      </c>
    </row>
    <row r="1478">
      <c r="B1478" s="20" t="str">
        <f>VLOOKUP(A1478,PlayerDB!$F$2:$H3480,3,FALSE)</f>
        <v>#N/A</v>
      </c>
    </row>
    <row r="1479">
      <c r="B1479" s="20" t="str">
        <f>VLOOKUP(A1479,PlayerDB!$F$2:$H3480,3,FALSE)</f>
        <v>#N/A</v>
      </c>
    </row>
    <row r="1480">
      <c r="B1480" s="20" t="str">
        <f>VLOOKUP(A1480,PlayerDB!$F$2:$H3480,3,FALSE)</f>
        <v>#N/A</v>
      </c>
    </row>
    <row r="1481">
      <c r="B1481" s="20" t="str">
        <f>VLOOKUP(A1481,PlayerDB!$F$2:$H3480,3,FALSE)</f>
        <v>#N/A</v>
      </c>
    </row>
    <row r="1482">
      <c r="B1482" s="20" t="str">
        <f>VLOOKUP(A1482,PlayerDB!$F$2:$H3480,3,FALSE)</f>
        <v>#N/A</v>
      </c>
    </row>
    <row r="1483">
      <c r="B1483" s="20" t="str">
        <f>VLOOKUP(A1483,PlayerDB!$F$2:$H3480,3,FALSE)</f>
        <v>#N/A</v>
      </c>
    </row>
    <row r="1484">
      <c r="B1484" s="20" t="str">
        <f>VLOOKUP(A1484,PlayerDB!$F$2:$H3480,3,FALSE)</f>
        <v>#N/A</v>
      </c>
    </row>
    <row r="1485">
      <c r="B1485" s="20" t="str">
        <f>VLOOKUP(A1485,PlayerDB!$F$2:$H3480,3,FALSE)</f>
        <v>#N/A</v>
      </c>
    </row>
    <row r="1486">
      <c r="B1486" s="20" t="str">
        <f>VLOOKUP(A1486,PlayerDB!$F$2:$H3480,3,FALSE)</f>
        <v>#N/A</v>
      </c>
    </row>
    <row r="1487">
      <c r="B1487" s="20" t="str">
        <f>VLOOKUP(A1487,PlayerDB!$F$2:$H3480,3,FALSE)</f>
        <v>#N/A</v>
      </c>
    </row>
    <row r="1488">
      <c r="B1488" s="20" t="str">
        <f>VLOOKUP(A1488,PlayerDB!$F$2:$H3480,3,FALSE)</f>
        <v>#N/A</v>
      </c>
    </row>
    <row r="1489">
      <c r="B1489" s="20" t="str">
        <f>VLOOKUP(A1489,PlayerDB!$F$2:$H3480,3,FALSE)</f>
        <v>#N/A</v>
      </c>
    </row>
    <row r="1490">
      <c r="B1490" s="20" t="str">
        <f>VLOOKUP(A1490,PlayerDB!$F$2:$H3480,3,FALSE)</f>
        <v>#N/A</v>
      </c>
    </row>
    <row r="1491">
      <c r="B1491" s="20" t="str">
        <f>VLOOKUP(A1491,PlayerDB!$F$2:$H3480,3,FALSE)</f>
        <v>#N/A</v>
      </c>
    </row>
    <row r="1492">
      <c r="B1492" s="20" t="str">
        <f>VLOOKUP(A1492,PlayerDB!$F$2:$H3480,3,FALSE)</f>
        <v>#N/A</v>
      </c>
    </row>
    <row r="1493">
      <c r="B1493" s="20" t="str">
        <f>VLOOKUP(A1493,PlayerDB!$F$2:$H3480,3,FALSE)</f>
        <v>#N/A</v>
      </c>
    </row>
    <row r="1494">
      <c r="B1494" s="20" t="str">
        <f>VLOOKUP(A1494,PlayerDB!$F$2:$H3480,3,FALSE)</f>
        <v>#N/A</v>
      </c>
    </row>
    <row r="1495">
      <c r="B1495" s="20" t="str">
        <f>VLOOKUP(A1495,PlayerDB!$F$2:$H3480,3,FALSE)</f>
        <v>#N/A</v>
      </c>
    </row>
    <row r="1496">
      <c r="B1496" s="20" t="str">
        <f>VLOOKUP(A1496,PlayerDB!$F$2:$H3480,3,FALSE)</f>
        <v>#N/A</v>
      </c>
    </row>
    <row r="1497">
      <c r="B1497" s="20" t="str">
        <f>VLOOKUP(A1497,PlayerDB!$F$2:$H3480,3,FALSE)</f>
        <v>#N/A</v>
      </c>
    </row>
    <row r="1498">
      <c r="B1498" s="20" t="str">
        <f>VLOOKUP(A1498,PlayerDB!$F$2:$H3480,3,FALSE)</f>
        <v>#N/A</v>
      </c>
    </row>
    <row r="1499">
      <c r="B1499" s="20" t="str">
        <f>VLOOKUP(A1499,PlayerDB!$F$2:$H3480,3,FALSE)</f>
        <v>#N/A</v>
      </c>
    </row>
    <row r="1500">
      <c r="B1500" s="20" t="str">
        <f>VLOOKUP(A1500,PlayerDB!$F$2:$H3480,3,FALSE)</f>
        <v>#N/A</v>
      </c>
    </row>
    <row r="1501">
      <c r="B1501" s="20" t="str">
        <f>VLOOKUP(A1501,PlayerDB!$F$2:$H3480,3,FALSE)</f>
        <v>#N/A</v>
      </c>
    </row>
    <row r="1502">
      <c r="B1502" s="20" t="str">
        <f>VLOOKUP(A1502,PlayerDB!$F$2:$H3480,3,FALSE)</f>
        <v>#N/A</v>
      </c>
    </row>
    <row r="1503">
      <c r="B1503" s="20" t="str">
        <f>VLOOKUP(A1503,PlayerDB!$F$2:$H3480,3,FALSE)</f>
        <v>#N/A</v>
      </c>
    </row>
    <row r="1504">
      <c r="B1504" s="20" t="str">
        <f>VLOOKUP(A1504,PlayerDB!$F$2:$H3480,3,FALSE)</f>
        <v>#N/A</v>
      </c>
    </row>
    <row r="1505">
      <c r="B1505" s="20" t="str">
        <f>VLOOKUP(A1505,PlayerDB!$F$2:$H3480,3,FALSE)</f>
        <v>#N/A</v>
      </c>
    </row>
    <row r="1506">
      <c r="B1506" s="20" t="str">
        <f>VLOOKUP(A1506,PlayerDB!$F$2:$H3480,3,FALSE)</f>
        <v>#N/A</v>
      </c>
    </row>
    <row r="1507">
      <c r="B1507" s="20" t="str">
        <f>VLOOKUP(A1507,PlayerDB!$F$2:$H3480,3,FALSE)</f>
        <v>#N/A</v>
      </c>
    </row>
    <row r="1508">
      <c r="B1508" s="20" t="str">
        <f>VLOOKUP(A1508,PlayerDB!$F$2:$H3480,3,FALSE)</f>
        <v>#N/A</v>
      </c>
    </row>
    <row r="1509">
      <c r="B1509" s="20" t="str">
        <f>VLOOKUP(A1509,PlayerDB!$F$2:$H3480,3,FALSE)</f>
        <v>#N/A</v>
      </c>
    </row>
    <row r="1510">
      <c r="B1510" s="20" t="str">
        <f>VLOOKUP(A1510,PlayerDB!$F$2:$H3480,3,FALSE)</f>
        <v>#N/A</v>
      </c>
    </row>
    <row r="1511">
      <c r="B1511" s="20" t="str">
        <f>VLOOKUP(A1511,PlayerDB!$F$2:$H3480,3,FALSE)</f>
        <v>#N/A</v>
      </c>
    </row>
    <row r="1512">
      <c r="B1512" s="20" t="str">
        <f>VLOOKUP(A1512,PlayerDB!$F$2:$H3480,3,FALSE)</f>
        <v>#N/A</v>
      </c>
    </row>
    <row r="1513">
      <c r="B1513" s="20" t="str">
        <f>VLOOKUP(A1513,PlayerDB!$F$2:$H3480,3,FALSE)</f>
        <v>#N/A</v>
      </c>
    </row>
    <row r="1514">
      <c r="B1514" s="20" t="str">
        <f>VLOOKUP(A1514,PlayerDB!$F$2:$H3480,3,FALSE)</f>
        <v>#N/A</v>
      </c>
    </row>
    <row r="1515">
      <c r="B1515" s="20" t="str">
        <f>VLOOKUP(A1515,PlayerDB!$F$2:$H3480,3,FALSE)</f>
        <v>#N/A</v>
      </c>
    </row>
    <row r="1516">
      <c r="B1516" s="20" t="str">
        <f>VLOOKUP(A1516,PlayerDB!$F$2:$H3480,3,FALSE)</f>
        <v>#N/A</v>
      </c>
    </row>
    <row r="1517">
      <c r="B1517" s="20" t="str">
        <f>VLOOKUP(A1517,PlayerDB!$F$2:$H3480,3,FALSE)</f>
        <v>#N/A</v>
      </c>
    </row>
    <row r="1518">
      <c r="B1518" s="20" t="str">
        <f>VLOOKUP(A1518,PlayerDB!$F$2:$H3480,3,FALSE)</f>
        <v>#N/A</v>
      </c>
    </row>
    <row r="1519">
      <c r="B1519" s="20" t="str">
        <f>VLOOKUP(A1519,PlayerDB!$F$2:$H3480,3,FALSE)</f>
        <v>#N/A</v>
      </c>
    </row>
    <row r="1520">
      <c r="B1520" s="20" t="str">
        <f>VLOOKUP(A1520,PlayerDB!$F$2:$H3480,3,FALSE)</f>
        <v>#N/A</v>
      </c>
    </row>
    <row r="1521">
      <c r="B1521" s="20" t="str">
        <f>VLOOKUP(A1521,PlayerDB!$F$2:$H3480,3,FALSE)</f>
        <v>#N/A</v>
      </c>
    </row>
    <row r="1522">
      <c r="B1522" s="20" t="str">
        <f>VLOOKUP(A1522,PlayerDB!$F$2:$H3480,3,FALSE)</f>
        <v>#N/A</v>
      </c>
    </row>
    <row r="1523">
      <c r="B1523" s="20" t="str">
        <f>VLOOKUP(A1523,PlayerDB!$F$2:$H3480,3,FALSE)</f>
        <v>#N/A</v>
      </c>
    </row>
    <row r="1524">
      <c r="B1524" s="20" t="str">
        <f>VLOOKUP(A1524,PlayerDB!$F$2:$H3480,3,FALSE)</f>
        <v>#N/A</v>
      </c>
    </row>
    <row r="1525">
      <c r="B1525" s="20" t="str">
        <f>VLOOKUP(A1525,PlayerDB!$F$2:$H3480,3,FALSE)</f>
        <v>#N/A</v>
      </c>
    </row>
    <row r="1526">
      <c r="B1526" s="20" t="str">
        <f>VLOOKUP(A1526,PlayerDB!$F$2:$H3480,3,FALSE)</f>
        <v>#N/A</v>
      </c>
    </row>
    <row r="1527">
      <c r="B1527" s="20" t="str">
        <f>VLOOKUP(A1527,PlayerDB!$F$2:$H3480,3,FALSE)</f>
        <v>#N/A</v>
      </c>
    </row>
    <row r="1528">
      <c r="B1528" s="20" t="str">
        <f>VLOOKUP(A1528,PlayerDB!$F$2:$H3480,3,FALSE)</f>
        <v>#N/A</v>
      </c>
    </row>
    <row r="1529">
      <c r="B1529" s="20" t="str">
        <f>VLOOKUP(A1529,PlayerDB!$F$2:$H3480,3,FALSE)</f>
        <v>#N/A</v>
      </c>
    </row>
    <row r="1530">
      <c r="B1530" s="20" t="str">
        <f>VLOOKUP(A1530,PlayerDB!$F$2:$H3480,3,FALSE)</f>
        <v>#N/A</v>
      </c>
    </row>
    <row r="1531">
      <c r="B1531" s="20" t="str">
        <f>VLOOKUP(A1531,PlayerDB!$F$2:$H3480,3,FALSE)</f>
        <v>#N/A</v>
      </c>
    </row>
    <row r="1532">
      <c r="B1532" s="20" t="str">
        <f>VLOOKUP(A1532,PlayerDB!$F$2:$H3480,3,FALSE)</f>
        <v>#N/A</v>
      </c>
    </row>
    <row r="1533">
      <c r="B1533" s="20" t="str">
        <f>VLOOKUP(A1533,PlayerDB!$F$2:$H3480,3,FALSE)</f>
        <v>#N/A</v>
      </c>
    </row>
    <row r="1534">
      <c r="B1534" s="20" t="str">
        <f>VLOOKUP(A1534,PlayerDB!$F$2:$H3480,3,FALSE)</f>
        <v>#N/A</v>
      </c>
    </row>
    <row r="1535">
      <c r="B1535" s="20" t="str">
        <f>VLOOKUP(A1535,PlayerDB!$F$2:$H3480,3,FALSE)</f>
        <v>#N/A</v>
      </c>
    </row>
    <row r="1536">
      <c r="B1536" s="20" t="str">
        <f>VLOOKUP(A1536,PlayerDB!$F$2:$H3480,3,FALSE)</f>
        <v>#N/A</v>
      </c>
    </row>
    <row r="1537">
      <c r="B1537" s="20" t="str">
        <f>VLOOKUP(A1537,PlayerDB!$F$2:$H3480,3,FALSE)</f>
        <v>#N/A</v>
      </c>
    </row>
    <row r="1538">
      <c r="B1538" s="20" t="str">
        <f>VLOOKUP(A1538,PlayerDB!$F$2:$H3480,3,FALSE)</f>
        <v>#N/A</v>
      </c>
    </row>
    <row r="1539">
      <c r="B1539" s="20" t="str">
        <f>VLOOKUP(A1539,PlayerDB!$F$2:$H3480,3,FALSE)</f>
        <v>#N/A</v>
      </c>
    </row>
    <row r="1540">
      <c r="B1540" s="20" t="str">
        <f>VLOOKUP(A1540,PlayerDB!$F$2:$H3480,3,FALSE)</f>
        <v>#N/A</v>
      </c>
    </row>
    <row r="1541">
      <c r="B1541" s="20" t="str">
        <f>VLOOKUP(A1541,PlayerDB!$F$2:$H3480,3,FALSE)</f>
        <v>#N/A</v>
      </c>
    </row>
    <row r="1542">
      <c r="B1542" s="20" t="str">
        <f>VLOOKUP(A1542,PlayerDB!$F$2:$H3480,3,FALSE)</f>
        <v>#N/A</v>
      </c>
    </row>
    <row r="1543">
      <c r="B1543" s="20" t="str">
        <f>VLOOKUP(A1543,PlayerDB!$F$2:$H3480,3,FALSE)</f>
        <v>#N/A</v>
      </c>
    </row>
    <row r="1544">
      <c r="B1544" s="20" t="str">
        <f>VLOOKUP(A1544,PlayerDB!$F$2:$H3480,3,FALSE)</f>
        <v>#N/A</v>
      </c>
    </row>
    <row r="1545">
      <c r="B1545" s="20" t="str">
        <f>VLOOKUP(A1545,PlayerDB!$F$2:$H3480,3,FALSE)</f>
        <v>#N/A</v>
      </c>
    </row>
    <row r="1546">
      <c r="B1546" s="20" t="str">
        <f>VLOOKUP(A1546,PlayerDB!$F$2:$H3480,3,FALSE)</f>
        <v>#N/A</v>
      </c>
    </row>
    <row r="1547">
      <c r="B1547" s="20" t="str">
        <f>VLOOKUP(A1547,PlayerDB!$F$2:$H3480,3,FALSE)</f>
        <v>#N/A</v>
      </c>
    </row>
    <row r="1548">
      <c r="B1548" s="20" t="str">
        <f>VLOOKUP(A1548,PlayerDB!$F$2:$H3480,3,FALSE)</f>
        <v>#N/A</v>
      </c>
    </row>
    <row r="1549">
      <c r="B1549" s="20" t="str">
        <f>VLOOKUP(A1549,PlayerDB!$F$2:$H3480,3,FALSE)</f>
        <v>#N/A</v>
      </c>
    </row>
    <row r="1550">
      <c r="B1550" s="20" t="str">
        <f>VLOOKUP(A1550,PlayerDB!$F$2:$H3480,3,FALSE)</f>
        <v>#N/A</v>
      </c>
    </row>
    <row r="1551">
      <c r="B1551" s="20" t="str">
        <f>VLOOKUP(A1551,PlayerDB!$F$2:$H3480,3,FALSE)</f>
        <v>#N/A</v>
      </c>
    </row>
    <row r="1552">
      <c r="B1552" s="20" t="str">
        <f>VLOOKUP(A1552,PlayerDB!$F$2:$H3480,3,FALSE)</f>
        <v>#N/A</v>
      </c>
    </row>
    <row r="1553">
      <c r="B1553" s="20" t="str">
        <f>VLOOKUP(A1553,PlayerDB!$F$2:$H3480,3,FALSE)</f>
        <v>#N/A</v>
      </c>
    </row>
    <row r="1554">
      <c r="B1554" s="20" t="str">
        <f>VLOOKUP(A1554,PlayerDB!$F$2:$H3480,3,FALSE)</f>
        <v>#N/A</v>
      </c>
    </row>
    <row r="1555">
      <c r="B1555" s="20" t="str">
        <f>VLOOKUP(A1555,PlayerDB!$F$2:$H3480,3,FALSE)</f>
        <v>#N/A</v>
      </c>
    </row>
    <row r="1556">
      <c r="B1556" s="20" t="str">
        <f>VLOOKUP(A1556,PlayerDB!$F$2:$H3480,3,FALSE)</f>
        <v>#N/A</v>
      </c>
    </row>
    <row r="1557">
      <c r="B1557" s="20" t="str">
        <f>VLOOKUP(A1557,PlayerDB!$F$2:$H3480,3,FALSE)</f>
        <v>#N/A</v>
      </c>
    </row>
    <row r="1558">
      <c r="B1558" s="20" t="str">
        <f>VLOOKUP(A1558,PlayerDB!$F$2:$H3480,3,FALSE)</f>
        <v>#N/A</v>
      </c>
    </row>
    <row r="1559">
      <c r="B1559" s="20" t="str">
        <f>VLOOKUP(A1559,PlayerDB!$F$2:$H3480,3,FALSE)</f>
        <v>#N/A</v>
      </c>
    </row>
    <row r="1560">
      <c r="B1560" s="20" t="str">
        <f>VLOOKUP(A1560,PlayerDB!$F$2:$H3480,3,FALSE)</f>
        <v>#N/A</v>
      </c>
    </row>
    <row r="1561">
      <c r="B1561" s="20" t="str">
        <f>VLOOKUP(A1561,PlayerDB!$F$2:$H3480,3,FALSE)</f>
        <v>#N/A</v>
      </c>
    </row>
    <row r="1562">
      <c r="B1562" s="20" t="str">
        <f>VLOOKUP(A1562,PlayerDB!$F$2:$H3480,3,FALSE)</f>
        <v>#N/A</v>
      </c>
    </row>
    <row r="1563">
      <c r="B1563" s="20" t="str">
        <f>VLOOKUP(A1563,PlayerDB!$F$2:$H3480,3,FALSE)</f>
        <v>#N/A</v>
      </c>
    </row>
    <row r="1564">
      <c r="B1564" s="20" t="str">
        <f>VLOOKUP(A1564,PlayerDB!$F$2:$H3480,3,FALSE)</f>
        <v>#N/A</v>
      </c>
    </row>
    <row r="1565">
      <c r="B1565" s="20" t="str">
        <f>VLOOKUP(A1565,PlayerDB!$F$2:$H3480,3,FALSE)</f>
        <v>#N/A</v>
      </c>
    </row>
    <row r="1566">
      <c r="B1566" s="20" t="str">
        <f>VLOOKUP(A1566,PlayerDB!$F$2:$H3480,3,FALSE)</f>
        <v>#N/A</v>
      </c>
    </row>
    <row r="1567">
      <c r="B1567" s="20" t="str">
        <f>VLOOKUP(A1567,PlayerDB!$F$2:$H3480,3,FALSE)</f>
        <v>#N/A</v>
      </c>
    </row>
    <row r="1568">
      <c r="B1568" s="20" t="str">
        <f>VLOOKUP(A1568,PlayerDB!$F$2:$H3480,3,FALSE)</f>
        <v>#N/A</v>
      </c>
    </row>
    <row r="1569">
      <c r="B1569" s="20" t="str">
        <f>VLOOKUP(A1569,PlayerDB!$F$2:$H3480,3,FALSE)</f>
        <v>#N/A</v>
      </c>
    </row>
    <row r="1570">
      <c r="B1570" s="20" t="str">
        <f>VLOOKUP(A1570,PlayerDB!$F$2:$H3480,3,FALSE)</f>
        <v>#N/A</v>
      </c>
    </row>
    <row r="1571">
      <c r="B1571" s="20" t="str">
        <f>VLOOKUP(A1571,PlayerDB!$F$2:$H3480,3,FALSE)</f>
        <v>#N/A</v>
      </c>
    </row>
    <row r="1572">
      <c r="B1572" s="20" t="str">
        <f>VLOOKUP(A1572,PlayerDB!$F$2:$H3480,3,FALSE)</f>
        <v>#N/A</v>
      </c>
    </row>
    <row r="1573">
      <c r="B1573" s="20" t="str">
        <f>VLOOKUP(A1573,PlayerDB!$F$2:$H3480,3,FALSE)</f>
        <v>#N/A</v>
      </c>
    </row>
    <row r="1574">
      <c r="B1574" s="20" t="str">
        <f>VLOOKUP(A1574,PlayerDB!$F$2:$H3480,3,FALSE)</f>
        <v>#N/A</v>
      </c>
    </row>
    <row r="1575">
      <c r="B1575" s="20" t="str">
        <f>VLOOKUP(A1575,PlayerDB!$F$2:$H3480,3,FALSE)</f>
        <v>#N/A</v>
      </c>
    </row>
    <row r="1576">
      <c r="B1576" s="20" t="str">
        <f>VLOOKUP(A1576,PlayerDB!$F$2:$H3480,3,FALSE)</f>
        <v>#N/A</v>
      </c>
    </row>
    <row r="1577">
      <c r="B1577" s="20" t="str">
        <f>VLOOKUP(A1577,PlayerDB!$F$2:$H3480,3,FALSE)</f>
        <v>#N/A</v>
      </c>
    </row>
    <row r="1578">
      <c r="B1578" s="20" t="str">
        <f>VLOOKUP(A1578,PlayerDB!$F$2:$H3480,3,FALSE)</f>
        <v>#N/A</v>
      </c>
    </row>
    <row r="1579">
      <c r="B1579" s="20" t="str">
        <f>VLOOKUP(A1579,PlayerDB!$F$2:$H3480,3,FALSE)</f>
        <v>#N/A</v>
      </c>
    </row>
    <row r="1580">
      <c r="B1580" s="20" t="str">
        <f>VLOOKUP(A1580,PlayerDB!$F$2:$H3480,3,FALSE)</f>
        <v>#N/A</v>
      </c>
    </row>
    <row r="1581">
      <c r="B1581" s="20" t="str">
        <f>VLOOKUP(A1581,PlayerDB!$F$2:$H3480,3,FALSE)</f>
        <v>#N/A</v>
      </c>
    </row>
    <row r="1582">
      <c r="B1582" s="20" t="str">
        <f>VLOOKUP(A1582,PlayerDB!$F$2:$H3480,3,FALSE)</f>
        <v>#N/A</v>
      </c>
    </row>
    <row r="1583">
      <c r="B1583" s="20" t="str">
        <f>VLOOKUP(A1583,PlayerDB!$F$2:$H3480,3,FALSE)</f>
        <v>#N/A</v>
      </c>
    </row>
    <row r="1584">
      <c r="B1584" s="20" t="str">
        <f>VLOOKUP(A1584,PlayerDB!$F$2:$H3480,3,FALSE)</f>
        <v>#N/A</v>
      </c>
    </row>
    <row r="1585">
      <c r="B1585" s="20" t="str">
        <f>VLOOKUP(A1585,PlayerDB!$F$2:$H3480,3,FALSE)</f>
        <v>#N/A</v>
      </c>
    </row>
    <row r="1586">
      <c r="B1586" s="20" t="str">
        <f>VLOOKUP(A1586,PlayerDB!$F$2:$H3480,3,FALSE)</f>
        <v>#N/A</v>
      </c>
    </row>
    <row r="1587">
      <c r="B1587" s="20" t="str">
        <f>VLOOKUP(A1587,PlayerDB!$F$2:$H3480,3,FALSE)</f>
        <v>#N/A</v>
      </c>
    </row>
    <row r="1588">
      <c r="B1588" s="20" t="str">
        <f>VLOOKUP(A1588,PlayerDB!$F$2:$H3480,3,FALSE)</f>
        <v>#N/A</v>
      </c>
    </row>
    <row r="1589">
      <c r="B1589" s="20" t="str">
        <f>VLOOKUP(A1589,PlayerDB!$F$2:$H3480,3,FALSE)</f>
        <v>#N/A</v>
      </c>
    </row>
    <row r="1590">
      <c r="B1590" s="20" t="str">
        <f>VLOOKUP(A1590,PlayerDB!$F$2:$H3480,3,FALSE)</f>
        <v>#N/A</v>
      </c>
    </row>
    <row r="1591">
      <c r="B1591" s="20" t="str">
        <f>VLOOKUP(A1591,PlayerDB!$F$2:$H3480,3,FALSE)</f>
        <v>#N/A</v>
      </c>
    </row>
    <row r="1592">
      <c r="B1592" s="20" t="str">
        <f>VLOOKUP(A1592,PlayerDB!$F$2:$H3480,3,FALSE)</f>
        <v>#N/A</v>
      </c>
    </row>
    <row r="1593">
      <c r="B1593" s="20" t="str">
        <f>VLOOKUP(A1593,PlayerDB!$F$2:$H3480,3,FALSE)</f>
        <v>#N/A</v>
      </c>
    </row>
    <row r="1594">
      <c r="B1594" s="20" t="str">
        <f>VLOOKUP(A1594,PlayerDB!$F$2:$H3480,3,FALSE)</f>
        <v>#N/A</v>
      </c>
    </row>
    <row r="1595">
      <c r="B1595" s="20" t="str">
        <f>VLOOKUP(A1595,PlayerDB!$F$2:$H3480,3,FALSE)</f>
        <v>#N/A</v>
      </c>
    </row>
    <row r="1596">
      <c r="B1596" s="20" t="str">
        <f>VLOOKUP(A1596,PlayerDB!$F$2:$H3480,3,FALSE)</f>
        <v>#N/A</v>
      </c>
    </row>
    <row r="1597">
      <c r="B1597" s="20" t="str">
        <f>VLOOKUP(A1597,PlayerDB!$F$2:$H3480,3,FALSE)</f>
        <v>#N/A</v>
      </c>
    </row>
    <row r="1598">
      <c r="B1598" s="20" t="str">
        <f>VLOOKUP(A1598,PlayerDB!$F$2:$H3480,3,FALSE)</f>
        <v>#N/A</v>
      </c>
    </row>
    <row r="1599">
      <c r="B1599" s="20" t="str">
        <f>VLOOKUP(A1599,PlayerDB!$F$2:$H3480,3,FALSE)</f>
        <v>#N/A</v>
      </c>
    </row>
    <row r="1600">
      <c r="B1600" s="20" t="str">
        <f>VLOOKUP(A1600,PlayerDB!$F$2:$H3480,3,FALSE)</f>
        <v>#N/A</v>
      </c>
    </row>
    <row r="1601">
      <c r="B1601" s="20" t="str">
        <f>VLOOKUP(A1601,PlayerDB!$F$2:$H3480,3,FALSE)</f>
        <v>#N/A</v>
      </c>
    </row>
    <row r="1602">
      <c r="B1602" s="20" t="str">
        <f>VLOOKUP(A1602,PlayerDB!$F$2:$H3480,3,FALSE)</f>
        <v>#N/A</v>
      </c>
    </row>
    <row r="1603">
      <c r="B1603" s="20" t="str">
        <f>VLOOKUP(A1603,PlayerDB!$F$2:$H3480,3,FALSE)</f>
        <v>#N/A</v>
      </c>
    </row>
    <row r="1604">
      <c r="B1604" s="20" t="str">
        <f>VLOOKUP(A1604,PlayerDB!$F$2:$H3480,3,FALSE)</f>
        <v>#N/A</v>
      </c>
    </row>
    <row r="1605">
      <c r="B1605" s="20" t="str">
        <f>VLOOKUP(A1605,PlayerDB!$F$2:$H3480,3,FALSE)</f>
        <v>#N/A</v>
      </c>
    </row>
    <row r="1606">
      <c r="B1606" s="20" t="str">
        <f>VLOOKUP(A1606,PlayerDB!$F$2:$H3480,3,FALSE)</f>
        <v>#N/A</v>
      </c>
    </row>
    <row r="1607">
      <c r="B1607" s="20" t="str">
        <f>VLOOKUP(A1607,PlayerDB!$F$2:$H3480,3,FALSE)</f>
        <v>#N/A</v>
      </c>
    </row>
    <row r="1608">
      <c r="B1608" s="20" t="str">
        <f>VLOOKUP(A1608,PlayerDB!$F$2:$H3480,3,FALSE)</f>
        <v>#N/A</v>
      </c>
    </row>
    <row r="1609">
      <c r="B1609" s="20" t="str">
        <f>VLOOKUP(A1609,PlayerDB!$F$2:$H3480,3,FALSE)</f>
        <v>#N/A</v>
      </c>
    </row>
    <row r="1610">
      <c r="B1610" s="20" t="str">
        <f>VLOOKUP(A1610,PlayerDB!$F$2:$H3480,3,FALSE)</f>
        <v>#N/A</v>
      </c>
    </row>
    <row r="1611">
      <c r="B1611" s="20" t="str">
        <f>VLOOKUP(A1611,PlayerDB!$F$2:$H3480,3,FALSE)</f>
        <v>#N/A</v>
      </c>
    </row>
    <row r="1612">
      <c r="B1612" s="20" t="str">
        <f>VLOOKUP(A1612,PlayerDB!$F$2:$H3480,3,FALSE)</f>
        <v>#N/A</v>
      </c>
    </row>
    <row r="1613">
      <c r="B1613" s="20" t="str">
        <f>VLOOKUP(A1613,PlayerDB!$F$2:$H3480,3,FALSE)</f>
        <v>#N/A</v>
      </c>
    </row>
    <row r="1614">
      <c r="B1614" s="20" t="str">
        <f>VLOOKUP(A1614,PlayerDB!$F$2:$H3480,3,FALSE)</f>
        <v>#N/A</v>
      </c>
    </row>
    <row r="1615">
      <c r="B1615" s="20" t="str">
        <f>VLOOKUP(A1615,PlayerDB!$F$2:$H3480,3,FALSE)</f>
        <v>#N/A</v>
      </c>
    </row>
    <row r="1616">
      <c r="B1616" s="20" t="str">
        <f>VLOOKUP(A1616,PlayerDB!$F$2:$H3480,3,FALSE)</f>
        <v>#N/A</v>
      </c>
    </row>
    <row r="1617">
      <c r="B1617" s="20" t="str">
        <f>VLOOKUP(A1617,PlayerDB!$F$2:$H3480,3,FALSE)</f>
        <v>#N/A</v>
      </c>
    </row>
    <row r="1618">
      <c r="B1618" s="20" t="str">
        <f>VLOOKUP(A1618,PlayerDB!$F$2:$H3480,3,FALSE)</f>
        <v>#N/A</v>
      </c>
    </row>
    <row r="1619">
      <c r="B1619" s="20" t="str">
        <f>VLOOKUP(A1619,PlayerDB!$F$2:$H3480,3,FALSE)</f>
        <v>#N/A</v>
      </c>
    </row>
    <row r="1620">
      <c r="B1620" s="20" t="str">
        <f>VLOOKUP(A1620,PlayerDB!$F$2:$H3480,3,FALSE)</f>
        <v>#N/A</v>
      </c>
    </row>
    <row r="1621">
      <c r="B1621" s="20" t="str">
        <f>VLOOKUP(A1621,PlayerDB!$F$2:$H3480,3,FALSE)</f>
        <v>#N/A</v>
      </c>
    </row>
    <row r="1622">
      <c r="B1622" s="20" t="str">
        <f>VLOOKUP(A1622,PlayerDB!$F$2:$H3480,3,FALSE)</f>
        <v>#N/A</v>
      </c>
    </row>
    <row r="1623">
      <c r="B1623" s="20" t="str">
        <f>VLOOKUP(A1623,PlayerDB!$F$2:$H3480,3,FALSE)</f>
        <v>#N/A</v>
      </c>
    </row>
    <row r="1624">
      <c r="B1624" s="20" t="str">
        <f>VLOOKUP(A1624,PlayerDB!$F$2:$H3480,3,FALSE)</f>
        <v>#N/A</v>
      </c>
    </row>
    <row r="1625">
      <c r="B1625" s="20" t="str">
        <f>VLOOKUP(A1625,PlayerDB!$F$2:$H3480,3,FALSE)</f>
        <v>#N/A</v>
      </c>
    </row>
    <row r="1626">
      <c r="B1626" s="20" t="str">
        <f>VLOOKUP(A1626,PlayerDB!$F$2:$H3480,3,FALSE)</f>
        <v>#N/A</v>
      </c>
    </row>
    <row r="1627">
      <c r="B1627" s="20" t="str">
        <f>VLOOKUP(A1627,PlayerDB!$F$2:$H3480,3,FALSE)</f>
        <v>#N/A</v>
      </c>
    </row>
    <row r="1628">
      <c r="B1628" s="20" t="str">
        <f>VLOOKUP(A1628,PlayerDB!$F$2:$H3480,3,FALSE)</f>
        <v>#N/A</v>
      </c>
    </row>
    <row r="1629">
      <c r="B1629" s="20" t="str">
        <f>VLOOKUP(A1629,PlayerDB!$F$2:$H3480,3,FALSE)</f>
        <v>#N/A</v>
      </c>
    </row>
    <row r="1630">
      <c r="B1630" s="20" t="str">
        <f>VLOOKUP(A1630,PlayerDB!$F$2:$H3480,3,FALSE)</f>
        <v>#N/A</v>
      </c>
    </row>
    <row r="1631">
      <c r="B1631" s="20" t="str">
        <f>VLOOKUP(A1631,PlayerDB!$F$2:$H3480,3,FALSE)</f>
        <v>#N/A</v>
      </c>
    </row>
    <row r="1632">
      <c r="B1632" s="20" t="str">
        <f>VLOOKUP(A1632,PlayerDB!$F$2:$H3480,3,FALSE)</f>
        <v>#N/A</v>
      </c>
    </row>
    <row r="1633">
      <c r="B1633" s="20" t="str">
        <f>VLOOKUP(A1633,PlayerDB!$F$2:$H3480,3,FALSE)</f>
        <v>#N/A</v>
      </c>
    </row>
    <row r="1634">
      <c r="B1634" s="20" t="str">
        <f>VLOOKUP(A1634,PlayerDB!$F$2:$H3480,3,FALSE)</f>
        <v>#N/A</v>
      </c>
    </row>
    <row r="1635">
      <c r="B1635" s="20" t="str">
        <f>VLOOKUP(A1635,PlayerDB!$F$2:$H3480,3,FALSE)</f>
        <v>#N/A</v>
      </c>
    </row>
    <row r="1636">
      <c r="B1636" s="20" t="str">
        <f>VLOOKUP(A1636,PlayerDB!$F$2:$H3480,3,FALSE)</f>
        <v>#N/A</v>
      </c>
    </row>
    <row r="1637">
      <c r="B1637" s="20" t="str">
        <f>VLOOKUP(A1637,PlayerDB!$F$2:$H3480,3,FALSE)</f>
        <v>#N/A</v>
      </c>
    </row>
    <row r="1638">
      <c r="B1638" s="20" t="str">
        <f>VLOOKUP(A1638,PlayerDB!$F$2:$H3480,3,FALSE)</f>
        <v>#N/A</v>
      </c>
    </row>
    <row r="1639">
      <c r="B1639" s="20" t="str">
        <f>VLOOKUP(A1639,PlayerDB!$F$2:$H3480,3,FALSE)</f>
        <v>#N/A</v>
      </c>
    </row>
    <row r="1640">
      <c r="B1640" s="20" t="str">
        <f>VLOOKUP(A1640,PlayerDB!$F$2:$H3480,3,FALSE)</f>
        <v>#N/A</v>
      </c>
    </row>
    <row r="1641">
      <c r="B1641" s="20" t="str">
        <f>VLOOKUP(A1641,PlayerDB!$F$2:$H3480,3,FALSE)</f>
        <v>#N/A</v>
      </c>
    </row>
    <row r="1642">
      <c r="B1642" s="20" t="str">
        <f>VLOOKUP(A1642,PlayerDB!$F$2:$H3480,3,FALSE)</f>
        <v>#N/A</v>
      </c>
    </row>
    <row r="1643">
      <c r="B1643" s="20" t="str">
        <f>VLOOKUP(A1643,PlayerDB!$F$2:$H3480,3,FALSE)</f>
        <v>#N/A</v>
      </c>
    </row>
    <row r="1644">
      <c r="B1644" s="20" t="str">
        <f>VLOOKUP(A1644,PlayerDB!$F$2:$H3480,3,FALSE)</f>
        <v>#N/A</v>
      </c>
    </row>
    <row r="1645">
      <c r="B1645" s="20" t="str">
        <f>VLOOKUP(A1645,PlayerDB!$F$2:$H3480,3,FALSE)</f>
        <v>#N/A</v>
      </c>
    </row>
    <row r="1646">
      <c r="B1646" s="20" t="str">
        <f>VLOOKUP(A1646,PlayerDB!$F$2:$H3480,3,FALSE)</f>
        <v>#N/A</v>
      </c>
    </row>
    <row r="1647">
      <c r="B1647" s="20" t="str">
        <f>VLOOKUP(A1647,PlayerDB!$F$2:$H3480,3,FALSE)</f>
        <v>#N/A</v>
      </c>
    </row>
    <row r="1648">
      <c r="B1648" s="20" t="str">
        <f>VLOOKUP(A1648,PlayerDB!$F$2:$H3480,3,FALSE)</f>
        <v>#N/A</v>
      </c>
    </row>
    <row r="1649">
      <c r="B1649" s="20" t="str">
        <f>VLOOKUP(A1649,PlayerDB!$F$2:$H3480,3,FALSE)</f>
        <v>#N/A</v>
      </c>
    </row>
    <row r="1650">
      <c r="B1650" s="20" t="str">
        <f>VLOOKUP(A1650,PlayerDB!$F$2:$H3480,3,FALSE)</f>
        <v>#N/A</v>
      </c>
    </row>
    <row r="1651">
      <c r="B1651" s="20" t="str">
        <f>VLOOKUP(A1651,PlayerDB!$F$2:$H3480,3,FALSE)</f>
        <v>#N/A</v>
      </c>
    </row>
    <row r="1652">
      <c r="B1652" s="20" t="str">
        <f>VLOOKUP(A1652,PlayerDB!$F$2:$H3480,3,FALSE)</f>
        <v>#N/A</v>
      </c>
    </row>
    <row r="1653">
      <c r="B1653" s="20" t="str">
        <f>VLOOKUP(A1653,PlayerDB!$F$2:$H3480,3,FALSE)</f>
        <v>#N/A</v>
      </c>
    </row>
    <row r="1654">
      <c r="B1654" s="20" t="str">
        <f>VLOOKUP(A1654,PlayerDB!$F$2:$H3480,3,FALSE)</f>
        <v>#N/A</v>
      </c>
    </row>
    <row r="1655">
      <c r="B1655" s="20" t="str">
        <f>VLOOKUP(A1655,PlayerDB!$F$2:$H3480,3,FALSE)</f>
        <v>#N/A</v>
      </c>
    </row>
    <row r="1656">
      <c r="B1656" s="20" t="str">
        <f>VLOOKUP(A1656,PlayerDB!$F$2:$H3480,3,FALSE)</f>
        <v>#N/A</v>
      </c>
    </row>
    <row r="1657">
      <c r="B1657" s="20" t="str">
        <f>VLOOKUP(A1657,PlayerDB!$F$2:$H3480,3,FALSE)</f>
        <v>#N/A</v>
      </c>
    </row>
    <row r="1658">
      <c r="B1658" s="20" t="str">
        <f>VLOOKUP(A1658,PlayerDB!$F$2:$H3480,3,FALSE)</f>
        <v>#N/A</v>
      </c>
    </row>
    <row r="1659">
      <c r="B1659" s="20" t="str">
        <f>VLOOKUP(A1659,PlayerDB!$F$2:$H3480,3,FALSE)</f>
        <v>#N/A</v>
      </c>
    </row>
    <row r="1660">
      <c r="B1660" s="20" t="str">
        <f>VLOOKUP(A1660,PlayerDB!$F$2:$H3480,3,FALSE)</f>
        <v>#N/A</v>
      </c>
    </row>
    <row r="1661">
      <c r="B1661" s="20" t="str">
        <f>VLOOKUP(A1661,PlayerDB!$F$2:$H3480,3,FALSE)</f>
        <v>#N/A</v>
      </c>
    </row>
    <row r="1662">
      <c r="B1662" s="20" t="str">
        <f>VLOOKUP(A1662,PlayerDB!$F$2:$H3480,3,FALSE)</f>
        <v>#N/A</v>
      </c>
    </row>
    <row r="1663">
      <c r="B1663" s="20" t="str">
        <f>VLOOKUP(A1663,PlayerDB!$F$2:$H3480,3,FALSE)</f>
        <v>#N/A</v>
      </c>
    </row>
    <row r="1664">
      <c r="B1664" s="20" t="str">
        <f>VLOOKUP(A1664,PlayerDB!$F$2:$H3480,3,FALSE)</f>
        <v>#N/A</v>
      </c>
    </row>
    <row r="1665">
      <c r="B1665" s="20" t="str">
        <f>VLOOKUP(A1665,PlayerDB!$F$2:$H3480,3,FALSE)</f>
        <v>#N/A</v>
      </c>
    </row>
    <row r="1666">
      <c r="B1666" s="20" t="str">
        <f>VLOOKUP(A1666,PlayerDB!$F$2:$H3480,3,FALSE)</f>
        <v>#N/A</v>
      </c>
    </row>
    <row r="1667">
      <c r="B1667" s="20" t="str">
        <f>VLOOKUP(A1667,PlayerDB!$F$2:$H3480,3,FALSE)</f>
        <v>#N/A</v>
      </c>
    </row>
    <row r="1668">
      <c r="B1668" s="20" t="str">
        <f>VLOOKUP(A1668,PlayerDB!$F$2:$H3480,3,FALSE)</f>
        <v>#N/A</v>
      </c>
    </row>
    <row r="1669">
      <c r="B1669" s="20" t="str">
        <f>VLOOKUP(A1669,PlayerDB!$F$2:$H3480,3,FALSE)</f>
        <v>#N/A</v>
      </c>
    </row>
    <row r="1670">
      <c r="B1670" s="20" t="str">
        <f>VLOOKUP(A1670,PlayerDB!$F$2:$H3480,3,FALSE)</f>
        <v>#N/A</v>
      </c>
    </row>
    <row r="1671">
      <c r="B1671" s="20" t="str">
        <f>VLOOKUP(A1671,PlayerDB!$F$2:$H3480,3,FALSE)</f>
        <v>#N/A</v>
      </c>
    </row>
    <row r="1672">
      <c r="B1672" s="20" t="str">
        <f>VLOOKUP(A1672,PlayerDB!$F$2:$H3480,3,FALSE)</f>
        <v>#N/A</v>
      </c>
    </row>
    <row r="1673">
      <c r="B1673" s="20" t="str">
        <f>VLOOKUP(A1673,PlayerDB!$F$2:$H3480,3,FALSE)</f>
        <v>#N/A</v>
      </c>
    </row>
    <row r="1674">
      <c r="B1674" s="20" t="str">
        <f>VLOOKUP(A1674,PlayerDB!$F$2:$H3480,3,FALSE)</f>
        <v>#N/A</v>
      </c>
    </row>
    <row r="1675">
      <c r="B1675" s="20" t="str">
        <f>VLOOKUP(A1675,PlayerDB!$F$2:$H3480,3,FALSE)</f>
        <v>#N/A</v>
      </c>
    </row>
    <row r="1676">
      <c r="B1676" s="20" t="str">
        <f>VLOOKUP(A1676,PlayerDB!$F$2:$H3480,3,FALSE)</f>
        <v>#N/A</v>
      </c>
    </row>
    <row r="1677">
      <c r="B1677" s="20" t="str">
        <f>VLOOKUP(A1677,PlayerDB!$F$2:$H3480,3,FALSE)</f>
        <v>#N/A</v>
      </c>
    </row>
    <row r="1678">
      <c r="B1678" s="20" t="str">
        <f>VLOOKUP(A1678,PlayerDB!$F$2:$H3480,3,FALSE)</f>
        <v>#N/A</v>
      </c>
    </row>
    <row r="1679">
      <c r="B1679" s="20" t="str">
        <f>VLOOKUP(A1679,PlayerDB!$F$2:$H3480,3,FALSE)</f>
        <v>#N/A</v>
      </c>
    </row>
    <row r="1680">
      <c r="B1680" s="20" t="str">
        <f>VLOOKUP(A1680,PlayerDB!$F$2:$H3480,3,FALSE)</f>
        <v>#N/A</v>
      </c>
    </row>
    <row r="1681">
      <c r="B1681" s="20" t="str">
        <f>VLOOKUP(A1681,PlayerDB!$F$2:$H3480,3,FALSE)</f>
        <v>#N/A</v>
      </c>
    </row>
    <row r="1682">
      <c r="B1682" s="20" t="str">
        <f>VLOOKUP(A1682,PlayerDB!$F$2:$H3480,3,FALSE)</f>
        <v>#N/A</v>
      </c>
    </row>
    <row r="1683">
      <c r="B1683" s="20" t="str">
        <f>VLOOKUP(A1683,PlayerDB!$F$2:$H3480,3,FALSE)</f>
        <v>#N/A</v>
      </c>
    </row>
    <row r="1684">
      <c r="B1684" s="20" t="str">
        <f>VLOOKUP(A1684,PlayerDB!$F$2:$H3480,3,FALSE)</f>
        <v>#N/A</v>
      </c>
    </row>
    <row r="1685">
      <c r="B1685" s="20" t="str">
        <f>VLOOKUP(A1685,PlayerDB!$F$2:$H3480,3,FALSE)</f>
        <v>#N/A</v>
      </c>
    </row>
    <row r="1686">
      <c r="B1686" s="20" t="str">
        <f>VLOOKUP(A1686,PlayerDB!$F$2:$H3480,3,FALSE)</f>
        <v>#N/A</v>
      </c>
    </row>
    <row r="1687">
      <c r="B1687" s="20" t="str">
        <f>VLOOKUP(A1687,PlayerDB!$F$2:$H3480,3,FALSE)</f>
        <v>#N/A</v>
      </c>
    </row>
    <row r="1688">
      <c r="B1688" s="20" t="str">
        <f>VLOOKUP(A1688,PlayerDB!$F$2:$H3480,3,FALSE)</f>
        <v>#N/A</v>
      </c>
    </row>
    <row r="1689">
      <c r="B1689" s="20" t="str">
        <f>VLOOKUP(A1689,PlayerDB!$F$2:$H3480,3,FALSE)</f>
        <v>#N/A</v>
      </c>
    </row>
    <row r="1690">
      <c r="B1690" s="20" t="str">
        <f>VLOOKUP(A1690,PlayerDB!$F$2:$H3480,3,FALSE)</f>
        <v>#N/A</v>
      </c>
    </row>
    <row r="1691">
      <c r="B1691" s="20" t="str">
        <f>VLOOKUP(A1691,PlayerDB!$F$2:$H3480,3,FALSE)</f>
        <v>#N/A</v>
      </c>
    </row>
    <row r="1692">
      <c r="B1692" s="20" t="str">
        <f>VLOOKUP(A1692,PlayerDB!$F$2:$H3480,3,FALSE)</f>
        <v>#N/A</v>
      </c>
    </row>
    <row r="1693">
      <c r="B1693" s="20" t="str">
        <f>VLOOKUP(A1693,PlayerDB!$F$2:$H3480,3,FALSE)</f>
        <v>#N/A</v>
      </c>
    </row>
    <row r="1694">
      <c r="B1694" s="20" t="str">
        <f>VLOOKUP(A1694,PlayerDB!$F$2:$H3480,3,FALSE)</f>
        <v>#N/A</v>
      </c>
    </row>
    <row r="1695">
      <c r="B1695" s="20" t="str">
        <f>VLOOKUP(A1695,PlayerDB!$F$2:$H3480,3,FALSE)</f>
        <v>#N/A</v>
      </c>
    </row>
    <row r="1696">
      <c r="B1696" s="20" t="str">
        <f>VLOOKUP(A1696,PlayerDB!$F$2:$H3480,3,FALSE)</f>
        <v>#N/A</v>
      </c>
    </row>
    <row r="1697">
      <c r="B1697" s="20" t="str">
        <f>VLOOKUP(A1697,PlayerDB!$F$2:$H3480,3,FALSE)</f>
        <v>#N/A</v>
      </c>
    </row>
    <row r="1698">
      <c r="B1698" s="20" t="str">
        <f>VLOOKUP(A1698,PlayerDB!$F$2:$H3480,3,FALSE)</f>
        <v>#N/A</v>
      </c>
    </row>
    <row r="1699">
      <c r="B1699" s="20" t="str">
        <f>VLOOKUP(A1699,PlayerDB!$F$2:$H3480,3,FALSE)</f>
        <v>#N/A</v>
      </c>
    </row>
    <row r="1700">
      <c r="B1700" s="20" t="str">
        <f>VLOOKUP(A1700,PlayerDB!$F$2:$H3480,3,FALSE)</f>
        <v>#N/A</v>
      </c>
    </row>
    <row r="1701">
      <c r="B1701" s="20" t="str">
        <f>VLOOKUP(A1701,PlayerDB!$F$2:$H3480,3,FALSE)</f>
        <v>#N/A</v>
      </c>
    </row>
    <row r="1702">
      <c r="B1702" s="20" t="str">
        <f>VLOOKUP(A1702,PlayerDB!$F$2:$H3480,3,FALSE)</f>
        <v>#N/A</v>
      </c>
    </row>
    <row r="1703">
      <c r="B1703" s="20" t="str">
        <f>VLOOKUP(A1703,PlayerDB!$F$2:$H3480,3,FALSE)</f>
        <v>#N/A</v>
      </c>
    </row>
    <row r="1704">
      <c r="B1704" s="20" t="str">
        <f>VLOOKUP(A1704,PlayerDB!$F$2:$H3480,3,FALSE)</f>
        <v>#N/A</v>
      </c>
    </row>
    <row r="1705">
      <c r="B1705" s="20" t="str">
        <f>VLOOKUP(A1705,PlayerDB!$F$2:$H3480,3,FALSE)</f>
        <v>#N/A</v>
      </c>
    </row>
    <row r="1706">
      <c r="B1706" s="20" t="str">
        <f>VLOOKUP(A1706,PlayerDB!$F$2:$H3480,3,FALSE)</f>
        <v>#N/A</v>
      </c>
    </row>
    <row r="1707">
      <c r="B1707" s="20" t="str">
        <f>VLOOKUP(A1707,PlayerDB!$F$2:$H3480,3,FALSE)</f>
        <v>#N/A</v>
      </c>
    </row>
    <row r="1708">
      <c r="B1708" s="20" t="str">
        <f>VLOOKUP(A1708,PlayerDB!$F$2:$H3480,3,FALSE)</f>
        <v>#N/A</v>
      </c>
    </row>
    <row r="1709">
      <c r="B1709" s="20" t="str">
        <f>VLOOKUP(A1709,PlayerDB!$F$2:$H3480,3,FALSE)</f>
        <v>#N/A</v>
      </c>
    </row>
    <row r="1710">
      <c r="B1710" s="20" t="str">
        <f>VLOOKUP(A1710,PlayerDB!$F$2:$H3480,3,FALSE)</f>
        <v>#N/A</v>
      </c>
    </row>
    <row r="1711">
      <c r="B1711" s="20" t="str">
        <f>VLOOKUP(A1711,PlayerDB!$F$2:$H3480,3,FALSE)</f>
        <v>#N/A</v>
      </c>
    </row>
    <row r="1712">
      <c r="B1712" s="20" t="str">
        <f>VLOOKUP(A1712,PlayerDB!$F$2:$H3480,3,FALSE)</f>
        <v>#N/A</v>
      </c>
    </row>
    <row r="1713">
      <c r="B1713" s="20" t="str">
        <f>VLOOKUP(A1713,PlayerDB!$F$2:$H3480,3,FALSE)</f>
        <v>#N/A</v>
      </c>
    </row>
    <row r="1714">
      <c r="B1714" s="20" t="str">
        <f>VLOOKUP(A1714,PlayerDB!$F$2:$H3480,3,FALSE)</f>
        <v>#N/A</v>
      </c>
    </row>
    <row r="1715">
      <c r="B1715" s="20" t="str">
        <f>VLOOKUP(A1715,PlayerDB!$F$2:$H3480,3,FALSE)</f>
        <v>#N/A</v>
      </c>
    </row>
    <row r="1716">
      <c r="B1716" s="20" t="str">
        <f>VLOOKUP(A1716,PlayerDB!$F$2:$H3480,3,FALSE)</f>
        <v>#N/A</v>
      </c>
    </row>
    <row r="1717">
      <c r="B1717" s="20" t="str">
        <f>VLOOKUP(A1717,PlayerDB!$F$2:$H3480,3,FALSE)</f>
        <v>#N/A</v>
      </c>
    </row>
    <row r="1718">
      <c r="B1718" s="20" t="str">
        <f>VLOOKUP(A1718,PlayerDB!$F$2:$H3480,3,FALSE)</f>
        <v>#N/A</v>
      </c>
    </row>
    <row r="1719">
      <c r="B1719" s="20" t="str">
        <f>VLOOKUP(A1719,PlayerDB!$F$2:$H3480,3,FALSE)</f>
        <v>#N/A</v>
      </c>
    </row>
    <row r="1720">
      <c r="B1720" s="20" t="str">
        <f>VLOOKUP(A1720,PlayerDB!$F$2:$H3480,3,FALSE)</f>
        <v>#N/A</v>
      </c>
    </row>
    <row r="1721">
      <c r="B1721" s="20" t="str">
        <f>VLOOKUP(A1721,PlayerDB!$F$2:$H3480,3,FALSE)</f>
        <v>#N/A</v>
      </c>
    </row>
    <row r="1722">
      <c r="B1722" s="20" t="str">
        <f>VLOOKUP(A1722,PlayerDB!$F$2:$H3480,3,FALSE)</f>
        <v>#N/A</v>
      </c>
    </row>
    <row r="1723">
      <c r="B1723" s="20" t="str">
        <f>VLOOKUP(A1723,PlayerDB!$F$2:$H3480,3,FALSE)</f>
        <v>#N/A</v>
      </c>
    </row>
    <row r="1724">
      <c r="B1724" s="20" t="str">
        <f>VLOOKUP(A1724,PlayerDB!$F$2:$H3480,3,FALSE)</f>
        <v>#N/A</v>
      </c>
    </row>
    <row r="1725">
      <c r="B1725" s="20" t="str">
        <f>VLOOKUP(A1725,PlayerDB!$F$2:$H3480,3,FALSE)</f>
        <v>#N/A</v>
      </c>
    </row>
    <row r="1726">
      <c r="B1726" s="20" t="str">
        <f>VLOOKUP(A1726,PlayerDB!$F$2:$H3480,3,FALSE)</f>
        <v>#N/A</v>
      </c>
    </row>
    <row r="1727">
      <c r="B1727" s="20" t="str">
        <f>VLOOKUP(A1727,PlayerDB!$F$2:$H3480,3,FALSE)</f>
        <v>#N/A</v>
      </c>
    </row>
    <row r="1728">
      <c r="B1728" s="20" t="str">
        <f>VLOOKUP(A1728,PlayerDB!$F$2:$H3480,3,FALSE)</f>
        <v>#N/A</v>
      </c>
    </row>
    <row r="1729">
      <c r="B1729" s="20" t="str">
        <f>VLOOKUP(A1729,PlayerDB!$F$2:$H3480,3,FALSE)</f>
        <v>#N/A</v>
      </c>
    </row>
    <row r="1730">
      <c r="B1730" s="20" t="str">
        <f>VLOOKUP(A1730,PlayerDB!$F$2:$H3480,3,FALSE)</f>
        <v>#N/A</v>
      </c>
    </row>
    <row r="1731">
      <c r="B1731" s="20" t="str">
        <f>VLOOKUP(A1731,PlayerDB!$F$2:$H3480,3,FALSE)</f>
        <v>#N/A</v>
      </c>
    </row>
    <row r="1732">
      <c r="B1732" s="20" t="str">
        <f>VLOOKUP(A1732,PlayerDB!$F$2:$H3480,3,FALSE)</f>
        <v>#N/A</v>
      </c>
    </row>
    <row r="1733">
      <c r="B1733" s="20" t="str">
        <f>VLOOKUP(A1733,PlayerDB!$F$2:$H3480,3,FALSE)</f>
        <v>#N/A</v>
      </c>
    </row>
    <row r="1734">
      <c r="B1734" s="20" t="str">
        <f>VLOOKUP(A1734,PlayerDB!$F$2:$H3480,3,FALSE)</f>
        <v>#N/A</v>
      </c>
    </row>
    <row r="1735">
      <c r="B1735" s="20" t="str">
        <f>VLOOKUP(A1735,PlayerDB!$F$2:$H3480,3,FALSE)</f>
        <v>#N/A</v>
      </c>
    </row>
    <row r="1736">
      <c r="B1736" s="20" t="str">
        <f>VLOOKUP(A1736,PlayerDB!$F$2:$H3480,3,FALSE)</f>
        <v>#N/A</v>
      </c>
    </row>
    <row r="1737">
      <c r="B1737" s="20" t="str">
        <f>VLOOKUP(A1737,PlayerDB!$F$2:$H3480,3,FALSE)</f>
        <v>#N/A</v>
      </c>
    </row>
    <row r="1738">
      <c r="B1738" s="20" t="str">
        <f>VLOOKUP(A1738,PlayerDB!$F$2:$H3480,3,FALSE)</f>
        <v>#N/A</v>
      </c>
    </row>
    <row r="1739">
      <c r="B1739" s="20" t="str">
        <f>VLOOKUP(A1739,PlayerDB!$F$2:$H3480,3,FALSE)</f>
        <v>#N/A</v>
      </c>
    </row>
    <row r="1740">
      <c r="B1740" s="20" t="str">
        <f>VLOOKUP(A1740,PlayerDB!$F$2:$H3480,3,FALSE)</f>
        <v>#N/A</v>
      </c>
    </row>
    <row r="1741">
      <c r="B1741" s="20" t="str">
        <f>VLOOKUP(A1741,PlayerDB!$F$2:$H3480,3,FALSE)</f>
        <v>#N/A</v>
      </c>
    </row>
    <row r="1742">
      <c r="B1742" s="20" t="str">
        <f>VLOOKUP(A1742,PlayerDB!$F$2:$H3480,3,FALSE)</f>
        <v>#N/A</v>
      </c>
    </row>
    <row r="1743">
      <c r="B1743" s="20" t="str">
        <f>VLOOKUP(A1743,PlayerDB!$F$2:$H3480,3,FALSE)</f>
        <v>#N/A</v>
      </c>
    </row>
    <row r="1744">
      <c r="B1744" s="20" t="str">
        <f>VLOOKUP(A1744,PlayerDB!$F$2:$H3480,3,FALSE)</f>
        <v>#N/A</v>
      </c>
    </row>
    <row r="1745">
      <c r="B1745" s="20" t="str">
        <f>VLOOKUP(A1745,PlayerDB!$F$2:$H3480,3,FALSE)</f>
        <v>#N/A</v>
      </c>
    </row>
    <row r="1746">
      <c r="B1746" s="20" t="str">
        <f>VLOOKUP(A1746,PlayerDB!$F$2:$H3480,3,FALSE)</f>
        <v>#N/A</v>
      </c>
    </row>
    <row r="1747">
      <c r="B1747" s="20" t="str">
        <f>VLOOKUP(A1747,PlayerDB!$F$2:$H3480,3,FALSE)</f>
        <v>#N/A</v>
      </c>
    </row>
    <row r="1748">
      <c r="B1748" s="20" t="str">
        <f>VLOOKUP(A1748,PlayerDB!$F$2:$H3480,3,FALSE)</f>
        <v>#N/A</v>
      </c>
    </row>
    <row r="1749">
      <c r="B1749" s="20" t="str">
        <f>VLOOKUP(A1749,PlayerDB!$F$2:$H3480,3,FALSE)</f>
        <v>#N/A</v>
      </c>
    </row>
    <row r="1750">
      <c r="B1750" s="20" t="str">
        <f>VLOOKUP(A1750,PlayerDB!$F$2:$H3480,3,FALSE)</f>
        <v>#N/A</v>
      </c>
    </row>
    <row r="1751">
      <c r="B1751" s="20" t="str">
        <f>VLOOKUP(A1751,PlayerDB!$F$2:$H3480,3,FALSE)</f>
        <v>#N/A</v>
      </c>
    </row>
    <row r="1752">
      <c r="B1752" s="20" t="str">
        <f>VLOOKUP(A1752,PlayerDB!$F$2:$H3480,3,FALSE)</f>
        <v>#N/A</v>
      </c>
    </row>
    <row r="1753">
      <c r="B1753" s="20" t="str">
        <f>VLOOKUP(A1753,PlayerDB!$F$2:$H3480,3,FALSE)</f>
        <v>#N/A</v>
      </c>
    </row>
    <row r="1754">
      <c r="B1754" s="20" t="str">
        <f>VLOOKUP(A1754,PlayerDB!$F$2:$H3480,3,FALSE)</f>
        <v>#N/A</v>
      </c>
    </row>
    <row r="1755">
      <c r="B1755" s="20" t="str">
        <f>VLOOKUP(A1755,PlayerDB!$F$2:$H3480,3,FALSE)</f>
        <v>#N/A</v>
      </c>
    </row>
    <row r="1756">
      <c r="B1756" s="20" t="str">
        <f>VLOOKUP(A1756,PlayerDB!$F$2:$H3480,3,FALSE)</f>
        <v>#N/A</v>
      </c>
    </row>
    <row r="1757">
      <c r="B1757" s="20" t="str">
        <f>VLOOKUP(A1757,PlayerDB!$F$2:$H3480,3,FALSE)</f>
        <v>#N/A</v>
      </c>
    </row>
    <row r="1758">
      <c r="B1758" s="20" t="str">
        <f>VLOOKUP(A1758,PlayerDB!$F$2:$H3480,3,FALSE)</f>
        <v>#N/A</v>
      </c>
    </row>
    <row r="1759">
      <c r="B1759" s="20" t="str">
        <f>VLOOKUP(A1759,PlayerDB!$F$2:$H3480,3,FALSE)</f>
        <v>#N/A</v>
      </c>
    </row>
    <row r="1760">
      <c r="B1760" s="20" t="str">
        <f>VLOOKUP(A1760,PlayerDB!$F$2:$H3480,3,FALSE)</f>
        <v>#N/A</v>
      </c>
    </row>
    <row r="1761">
      <c r="B1761" s="20" t="str">
        <f>VLOOKUP(A1761,PlayerDB!$F$2:$H3480,3,FALSE)</f>
        <v>#N/A</v>
      </c>
    </row>
    <row r="1762">
      <c r="B1762" s="20" t="str">
        <f>VLOOKUP(A1762,PlayerDB!$F$2:$H3480,3,FALSE)</f>
        <v>#N/A</v>
      </c>
    </row>
    <row r="1763">
      <c r="B1763" s="20" t="str">
        <f>VLOOKUP(A1763,PlayerDB!$F$2:$H3480,3,FALSE)</f>
        <v>#N/A</v>
      </c>
    </row>
    <row r="1764">
      <c r="B1764" s="20" t="str">
        <f>VLOOKUP(A1764,PlayerDB!$F$2:$H3480,3,FALSE)</f>
        <v>#N/A</v>
      </c>
    </row>
    <row r="1765">
      <c r="B1765" s="20" t="str">
        <f>VLOOKUP(A1765,PlayerDB!$F$2:$H3480,3,FALSE)</f>
        <v>#N/A</v>
      </c>
    </row>
    <row r="1766">
      <c r="B1766" s="20" t="str">
        <f>VLOOKUP(A1766,PlayerDB!$F$2:$H3480,3,FALSE)</f>
        <v>#N/A</v>
      </c>
    </row>
    <row r="1767">
      <c r="B1767" s="20" t="str">
        <f>VLOOKUP(A1767,PlayerDB!$F$2:$H3480,3,FALSE)</f>
        <v>#N/A</v>
      </c>
    </row>
    <row r="1768">
      <c r="B1768" s="20" t="str">
        <f>VLOOKUP(A1768,PlayerDB!$F$2:$H3480,3,FALSE)</f>
        <v>#N/A</v>
      </c>
    </row>
    <row r="1769">
      <c r="B1769" s="20" t="str">
        <f>VLOOKUP(A1769,PlayerDB!$F$2:$H3480,3,FALSE)</f>
        <v>#N/A</v>
      </c>
    </row>
    <row r="1770">
      <c r="B1770" s="20" t="str">
        <f>VLOOKUP(A1770,PlayerDB!$F$2:$H3480,3,FALSE)</f>
        <v>#N/A</v>
      </c>
    </row>
    <row r="1771">
      <c r="B1771" s="20" t="str">
        <f>VLOOKUP(A1771,PlayerDB!$F$2:$H3480,3,FALSE)</f>
        <v>#N/A</v>
      </c>
    </row>
    <row r="1772">
      <c r="B1772" s="20" t="str">
        <f>VLOOKUP(A1772,PlayerDB!$F$2:$H3480,3,FALSE)</f>
        <v>#N/A</v>
      </c>
    </row>
    <row r="1773">
      <c r="B1773" s="20" t="str">
        <f>VLOOKUP(A1773,PlayerDB!$F$2:$H3480,3,FALSE)</f>
        <v>#N/A</v>
      </c>
    </row>
    <row r="1774">
      <c r="B1774" s="20" t="str">
        <f>VLOOKUP(A1774,PlayerDB!$F$2:$H3480,3,FALSE)</f>
        <v>#N/A</v>
      </c>
    </row>
    <row r="1775">
      <c r="B1775" s="20" t="str">
        <f>VLOOKUP(A1775,PlayerDB!$F$2:$H3480,3,FALSE)</f>
        <v>#N/A</v>
      </c>
    </row>
    <row r="1776">
      <c r="B1776" s="20" t="str">
        <f>VLOOKUP(A1776,PlayerDB!$F$2:$H3480,3,FALSE)</f>
        <v>#N/A</v>
      </c>
    </row>
    <row r="1777">
      <c r="B1777" s="20" t="str">
        <f>VLOOKUP(A1777,PlayerDB!$F$2:$H3480,3,FALSE)</f>
        <v>#N/A</v>
      </c>
    </row>
    <row r="1778">
      <c r="B1778" s="20" t="str">
        <f>VLOOKUP(A1778,PlayerDB!$F$2:$H3480,3,FALSE)</f>
        <v>#N/A</v>
      </c>
    </row>
    <row r="1779">
      <c r="B1779" s="20" t="str">
        <f>VLOOKUP(A1779,PlayerDB!$F$2:$H3480,3,FALSE)</f>
        <v>#N/A</v>
      </c>
    </row>
    <row r="1780">
      <c r="B1780" s="20" t="str">
        <f>VLOOKUP(A1780,PlayerDB!$F$2:$H3480,3,FALSE)</f>
        <v>#N/A</v>
      </c>
    </row>
    <row r="1781">
      <c r="B1781" s="20" t="str">
        <f>VLOOKUP(A1781,PlayerDB!$F$2:$H3480,3,FALSE)</f>
        <v>#N/A</v>
      </c>
    </row>
    <row r="1782">
      <c r="B1782" s="20" t="str">
        <f>VLOOKUP(A1782,PlayerDB!$F$2:$H3480,3,FALSE)</f>
        <v>#N/A</v>
      </c>
    </row>
    <row r="1783">
      <c r="B1783" s="20" t="str">
        <f>VLOOKUP(A1783,PlayerDB!$F$2:$H3480,3,FALSE)</f>
        <v>#N/A</v>
      </c>
    </row>
    <row r="1784">
      <c r="B1784" s="20" t="str">
        <f>VLOOKUP(A1784,PlayerDB!$F$2:$H3480,3,FALSE)</f>
        <v>#N/A</v>
      </c>
    </row>
    <row r="1785">
      <c r="B1785" s="20" t="str">
        <f>VLOOKUP(A1785,PlayerDB!$F$2:$H3480,3,FALSE)</f>
        <v>#N/A</v>
      </c>
    </row>
    <row r="1786">
      <c r="B1786" s="20" t="str">
        <f>VLOOKUP(A1786,PlayerDB!$F$2:$H3480,3,FALSE)</f>
        <v>#N/A</v>
      </c>
    </row>
    <row r="1787">
      <c r="B1787" s="20" t="str">
        <f>VLOOKUP(A1787,PlayerDB!$F$2:$H3480,3,FALSE)</f>
        <v>#N/A</v>
      </c>
    </row>
    <row r="1788">
      <c r="B1788" s="20" t="str">
        <f>VLOOKUP(A1788,PlayerDB!$F$2:$H3480,3,FALSE)</f>
        <v>#N/A</v>
      </c>
    </row>
    <row r="1789">
      <c r="B1789" s="20" t="str">
        <f>VLOOKUP(A1789,PlayerDB!$F$2:$H3480,3,FALSE)</f>
        <v>#N/A</v>
      </c>
    </row>
    <row r="1790">
      <c r="B1790" s="20" t="str">
        <f>VLOOKUP(A1790,PlayerDB!$F$2:$H3480,3,FALSE)</f>
        <v>#N/A</v>
      </c>
    </row>
    <row r="1791">
      <c r="B1791" s="20" t="str">
        <f>VLOOKUP(A1791,PlayerDB!$F$2:$H3480,3,FALSE)</f>
        <v>#N/A</v>
      </c>
    </row>
    <row r="1792">
      <c r="B1792" s="20" t="str">
        <f>VLOOKUP(A1792,PlayerDB!$F$2:$H3480,3,FALSE)</f>
        <v>#N/A</v>
      </c>
    </row>
    <row r="1793">
      <c r="B1793" s="20" t="str">
        <f>VLOOKUP(A1793,PlayerDB!$F$2:$H3480,3,FALSE)</f>
        <v>#N/A</v>
      </c>
    </row>
    <row r="1794">
      <c r="B1794" s="20" t="str">
        <f>VLOOKUP(A1794,PlayerDB!$F$2:$H3480,3,FALSE)</f>
        <v>#N/A</v>
      </c>
    </row>
    <row r="1795">
      <c r="B1795" s="20" t="str">
        <f>VLOOKUP(A1795,PlayerDB!$F$2:$H3480,3,FALSE)</f>
        <v>#N/A</v>
      </c>
    </row>
    <row r="1796">
      <c r="B1796" s="20" t="str">
        <f>VLOOKUP(A1796,PlayerDB!$F$2:$H3480,3,FALSE)</f>
        <v>#N/A</v>
      </c>
    </row>
    <row r="1797">
      <c r="B1797" s="20" t="str">
        <f>VLOOKUP(A1797,PlayerDB!$F$2:$H3480,3,FALSE)</f>
        <v>#N/A</v>
      </c>
    </row>
    <row r="1798">
      <c r="B1798" s="20" t="str">
        <f>VLOOKUP(A1798,PlayerDB!$F$2:$H3480,3,FALSE)</f>
        <v>#N/A</v>
      </c>
    </row>
    <row r="1799">
      <c r="B1799" s="20" t="str">
        <f>VLOOKUP(A1799,PlayerDB!$F$2:$H3480,3,FALSE)</f>
        <v>#N/A</v>
      </c>
    </row>
    <row r="1800">
      <c r="B1800" s="20" t="str">
        <f>VLOOKUP(A1800,PlayerDB!$F$2:$H3480,3,FALSE)</f>
        <v>#N/A</v>
      </c>
    </row>
    <row r="1801">
      <c r="B1801" s="20" t="str">
        <f>VLOOKUP(A1801,PlayerDB!$F$2:$H3480,3,FALSE)</f>
        <v>#N/A</v>
      </c>
    </row>
    <row r="1802">
      <c r="B1802" s="20" t="str">
        <f>VLOOKUP(A1802,PlayerDB!$F$2:$H3480,3,FALSE)</f>
        <v>#N/A</v>
      </c>
    </row>
    <row r="1803">
      <c r="B1803" s="20" t="str">
        <f>VLOOKUP(A1803,PlayerDB!$F$2:$H3480,3,FALSE)</f>
        <v>#N/A</v>
      </c>
    </row>
    <row r="1804">
      <c r="B1804" s="20" t="str">
        <f>VLOOKUP(A1804,PlayerDB!$F$2:$H3480,3,FALSE)</f>
        <v>#N/A</v>
      </c>
    </row>
    <row r="1805">
      <c r="B1805" s="20" t="str">
        <f>VLOOKUP(A1805,PlayerDB!$F$2:$H3480,3,FALSE)</f>
        <v>#N/A</v>
      </c>
    </row>
    <row r="1806">
      <c r="B1806" s="20" t="str">
        <f>VLOOKUP(A1806,PlayerDB!$F$2:$H3480,3,FALSE)</f>
        <v>#N/A</v>
      </c>
    </row>
    <row r="1807">
      <c r="B1807" s="20" t="str">
        <f>VLOOKUP(A1807,PlayerDB!$F$2:$H3480,3,FALSE)</f>
        <v>#N/A</v>
      </c>
    </row>
    <row r="1808">
      <c r="B1808" s="20" t="str">
        <f>VLOOKUP(A1808,PlayerDB!$F$2:$H3480,3,FALSE)</f>
        <v>#N/A</v>
      </c>
    </row>
    <row r="1809">
      <c r="B1809" s="20" t="str">
        <f>VLOOKUP(A1809,PlayerDB!$F$2:$H3480,3,FALSE)</f>
        <v>#N/A</v>
      </c>
    </row>
    <row r="1810">
      <c r="B1810" s="20" t="str">
        <f>VLOOKUP(A1810,PlayerDB!$F$2:$H3480,3,FALSE)</f>
        <v>#N/A</v>
      </c>
    </row>
    <row r="1811">
      <c r="B1811" s="20" t="str">
        <f>VLOOKUP(A1811,PlayerDB!$F$2:$H3480,3,FALSE)</f>
        <v>#N/A</v>
      </c>
    </row>
    <row r="1812">
      <c r="B1812" s="20" t="str">
        <f>VLOOKUP(A1812,PlayerDB!$F$2:$H3480,3,FALSE)</f>
        <v>#N/A</v>
      </c>
    </row>
    <row r="1813">
      <c r="B1813" s="20" t="str">
        <f>VLOOKUP(A1813,PlayerDB!$F$2:$H3480,3,FALSE)</f>
        <v>#N/A</v>
      </c>
    </row>
    <row r="1814">
      <c r="B1814" s="20" t="str">
        <f>VLOOKUP(A1814,PlayerDB!$F$2:$H3480,3,FALSE)</f>
        <v>#N/A</v>
      </c>
    </row>
    <row r="1815">
      <c r="B1815" s="20" t="str">
        <f>VLOOKUP(A1815,PlayerDB!$F$2:$H3480,3,FALSE)</f>
        <v>#N/A</v>
      </c>
    </row>
    <row r="1816">
      <c r="B1816" s="20" t="str">
        <f>VLOOKUP(A1816,PlayerDB!$F$2:$H3480,3,FALSE)</f>
        <v>#N/A</v>
      </c>
    </row>
    <row r="1817">
      <c r="B1817" s="20" t="str">
        <f>VLOOKUP(A1817,PlayerDB!$F$2:$H3480,3,FALSE)</f>
        <v>#N/A</v>
      </c>
    </row>
    <row r="1818">
      <c r="B1818" s="20" t="str">
        <f>VLOOKUP(A1818,PlayerDB!$F$2:$H3480,3,FALSE)</f>
        <v>#N/A</v>
      </c>
    </row>
    <row r="1819">
      <c r="B1819" s="20" t="str">
        <f>VLOOKUP(A1819,PlayerDB!$F$2:$H3480,3,FALSE)</f>
        <v>#N/A</v>
      </c>
    </row>
    <row r="1820">
      <c r="B1820" s="20" t="str">
        <f>VLOOKUP(A1820,PlayerDB!$F$2:$H3480,3,FALSE)</f>
        <v>#N/A</v>
      </c>
    </row>
    <row r="1821">
      <c r="B1821" s="20" t="str">
        <f>VLOOKUP(A1821,PlayerDB!$F$2:$H3480,3,FALSE)</f>
        <v>#N/A</v>
      </c>
    </row>
    <row r="1822">
      <c r="B1822" s="20" t="str">
        <f>VLOOKUP(A1822,PlayerDB!$F$2:$H3480,3,FALSE)</f>
        <v>#N/A</v>
      </c>
    </row>
    <row r="1823">
      <c r="B1823" s="20" t="str">
        <f>VLOOKUP(A1823,PlayerDB!$F$2:$H3480,3,FALSE)</f>
        <v>#N/A</v>
      </c>
    </row>
    <row r="1824">
      <c r="B1824" s="20" t="str">
        <f>VLOOKUP(A1824,PlayerDB!$F$2:$H3480,3,FALSE)</f>
        <v>#N/A</v>
      </c>
    </row>
    <row r="1825">
      <c r="B1825" s="20" t="str">
        <f>VLOOKUP(A1825,PlayerDB!$F$2:$H3480,3,FALSE)</f>
        <v>#N/A</v>
      </c>
    </row>
    <row r="1826">
      <c r="B1826" s="20" t="str">
        <f>VLOOKUP(A1826,PlayerDB!$F$2:$H3480,3,FALSE)</f>
        <v>#N/A</v>
      </c>
    </row>
    <row r="1827">
      <c r="B1827" s="20" t="str">
        <f>VLOOKUP(A1827,PlayerDB!$F$2:$H3480,3,FALSE)</f>
        <v>#N/A</v>
      </c>
    </row>
    <row r="1828">
      <c r="B1828" s="20" t="str">
        <f>VLOOKUP(A1828,PlayerDB!$F$2:$H3480,3,FALSE)</f>
        <v>#N/A</v>
      </c>
    </row>
    <row r="1829">
      <c r="B1829" s="20" t="str">
        <f>VLOOKUP(A1829,PlayerDB!$F$2:$H3480,3,FALSE)</f>
        <v>#N/A</v>
      </c>
    </row>
    <row r="1830">
      <c r="B1830" s="20" t="str">
        <f>VLOOKUP(A1830,PlayerDB!$F$2:$H3480,3,FALSE)</f>
        <v>#N/A</v>
      </c>
    </row>
    <row r="1831">
      <c r="B1831" s="20" t="str">
        <f>VLOOKUP(A1831,PlayerDB!$F$2:$H3480,3,FALSE)</f>
        <v>#N/A</v>
      </c>
    </row>
    <row r="1832">
      <c r="B1832" s="20" t="str">
        <f>VLOOKUP(A1832,PlayerDB!$F$2:$H3480,3,FALSE)</f>
        <v>#N/A</v>
      </c>
    </row>
    <row r="1833">
      <c r="B1833" s="20" t="str">
        <f>VLOOKUP(A1833,PlayerDB!$F$2:$H3480,3,FALSE)</f>
        <v>#N/A</v>
      </c>
    </row>
    <row r="1834">
      <c r="B1834" s="20" t="str">
        <f>VLOOKUP(A1834,PlayerDB!$F$2:$H3480,3,FALSE)</f>
        <v>#N/A</v>
      </c>
    </row>
    <row r="1835">
      <c r="B1835" s="20" t="str">
        <f>VLOOKUP(A1835,PlayerDB!$F$2:$H3480,3,FALSE)</f>
        <v>#N/A</v>
      </c>
    </row>
    <row r="1836">
      <c r="B1836" s="20" t="str">
        <f>VLOOKUP(A1836,PlayerDB!$F$2:$H3480,3,FALSE)</f>
        <v>#N/A</v>
      </c>
    </row>
    <row r="1837">
      <c r="B1837" s="20" t="str">
        <f>VLOOKUP(A1837,PlayerDB!$F$2:$H3480,3,FALSE)</f>
        <v>#N/A</v>
      </c>
    </row>
    <row r="1838">
      <c r="B1838" s="20" t="str">
        <f>VLOOKUP(A1838,PlayerDB!$F$2:$H3480,3,FALSE)</f>
        <v>#N/A</v>
      </c>
    </row>
    <row r="1839">
      <c r="B1839" s="20" t="str">
        <f>VLOOKUP(A1839,PlayerDB!$F$2:$H3480,3,FALSE)</f>
        <v>#N/A</v>
      </c>
    </row>
    <row r="1840">
      <c r="B1840" s="20" t="str">
        <f>VLOOKUP(A1840,PlayerDB!$F$2:$H3480,3,FALSE)</f>
        <v>#N/A</v>
      </c>
    </row>
    <row r="1841">
      <c r="B1841" s="20" t="str">
        <f>VLOOKUP(A1841,PlayerDB!$F$2:$H3480,3,FALSE)</f>
        <v>#N/A</v>
      </c>
    </row>
    <row r="1842">
      <c r="B1842" s="20" t="str">
        <f>VLOOKUP(A1842,PlayerDB!$F$2:$H3480,3,FALSE)</f>
        <v>#N/A</v>
      </c>
    </row>
    <row r="1843">
      <c r="B1843" s="20" t="str">
        <f>VLOOKUP(A1843,PlayerDB!$F$2:$H3480,3,FALSE)</f>
        <v>#N/A</v>
      </c>
    </row>
    <row r="1844">
      <c r="B1844" s="20" t="str">
        <f>VLOOKUP(A1844,PlayerDB!$F$2:$H3480,3,FALSE)</f>
        <v>#N/A</v>
      </c>
    </row>
    <row r="1845">
      <c r="B1845" s="20" t="str">
        <f>VLOOKUP(A1845,PlayerDB!$F$2:$H3480,3,FALSE)</f>
        <v>#N/A</v>
      </c>
    </row>
    <row r="1846">
      <c r="B1846" s="20" t="str">
        <f>VLOOKUP(A1846,PlayerDB!$F$2:$H3480,3,FALSE)</f>
        <v>#N/A</v>
      </c>
    </row>
    <row r="1847">
      <c r="B1847" s="20" t="str">
        <f>VLOOKUP(A1847,PlayerDB!$F$2:$H3480,3,FALSE)</f>
        <v>#N/A</v>
      </c>
    </row>
    <row r="1848">
      <c r="B1848" s="20" t="str">
        <f>VLOOKUP(A1848,PlayerDB!$F$2:$H3480,3,FALSE)</f>
        <v>#N/A</v>
      </c>
    </row>
    <row r="1849">
      <c r="B1849" s="20" t="str">
        <f>VLOOKUP(A1849,PlayerDB!$F$2:$H3480,3,FALSE)</f>
        <v>#N/A</v>
      </c>
    </row>
    <row r="1850">
      <c r="B1850" s="20" t="str">
        <f>VLOOKUP(A1850,PlayerDB!$F$2:$H3480,3,FALSE)</f>
        <v>#N/A</v>
      </c>
    </row>
    <row r="1851">
      <c r="B1851" s="20" t="str">
        <f>VLOOKUP(A1851,PlayerDB!$F$2:$H3480,3,FALSE)</f>
        <v>#N/A</v>
      </c>
    </row>
    <row r="1852">
      <c r="B1852" s="20" t="str">
        <f>VLOOKUP(A1852,PlayerDB!$F$2:$H3480,3,FALSE)</f>
        <v>#N/A</v>
      </c>
    </row>
    <row r="1853">
      <c r="B1853" s="20" t="str">
        <f>VLOOKUP(A1853,PlayerDB!$F$2:$H3480,3,FALSE)</f>
        <v>#N/A</v>
      </c>
    </row>
    <row r="1854">
      <c r="B1854" s="20" t="str">
        <f>VLOOKUP(A1854,PlayerDB!$F$2:$H3480,3,FALSE)</f>
        <v>#N/A</v>
      </c>
    </row>
    <row r="1855">
      <c r="B1855" s="20" t="str">
        <f>VLOOKUP(A1855,PlayerDB!$F$2:$H3480,3,FALSE)</f>
        <v>#N/A</v>
      </c>
    </row>
    <row r="1856">
      <c r="B1856" s="20" t="str">
        <f>VLOOKUP(A1856,PlayerDB!$F$2:$H3480,3,FALSE)</f>
        <v>#N/A</v>
      </c>
    </row>
    <row r="1857">
      <c r="B1857" s="20" t="str">
        <f>VLOOKUP(A1857,PlayerDB!$F$2:$H3480,3,FALSE)</f>
        <v>#N/A</v>
      </c>
    </row>
    <row r="1858">
      <c r="B1858" s="20" t="str">
        <f>VLOOKUP(A1858,PlayerDB!$F$2:$H3480,3,FALSE)</f>
        <v>#N/A</v>
      </c>
    </row>
    <row r="1859">
      <c r="B1859" s="20" t="str">
        <f>VLOOKUP(A1859,PlayerDB!$F$2:$H3480,3,FALSE)</f>
        <v>#N/A</v>
      </c>
    </row>
    <row r="1860">
      <c r="B1860" s="20" t="str">
        <f>VLOOKUP(A1860,PlayerDB!$F$2:$H3480,3,FALSE)</f>
        <v>#N/A</v>
      </c>
    </row>
    <row r="1861">
      <c r="B1861" s="20" t="str">
        <f>VLOOKUP(A1861,PlayerDB!$F$2:$H3480,3,FALSE)</f>
        <v>#N/A</v>
      </c>
    </row>
    <row r="1862">
      <c r="B1862" s="20" t="str">
        <f>VLOOKUP(A1862,PlayerDB!$F$2:$H3480,3,FALSE)</f>
        <v>#N/A</v>
      </c>
    </row>
    <row r="1863">
      <c r="B1863" s="20" t="str">
        <f>VLOOKUP(A1863,PlayerDB!$F$2:$H3480,3,FALSE)</f>
        <v>#N/A</v>
      </c>
    </row>
    <row r="1864">
      <c r="B1864" s="20" t="str">
        <f>VLOOKUP(A1864,PlayerDB!$F$2:$H3480,3,FALSE)</f>
        <v>#N/A</v>
      </c>
    </row>
    <row r="1865">
      <c r="B1865" s="20" t="str">
        <f>VLOOKUP(A1865,PlayerDB!$F$2:$H3480,3,FALSE)</f>
        <v>#N/A</v>
      </c>
    </row>
    <row r="1866">
      <c r="B1866" s="20" t="str">
        <f>VLOOKUP(A1866,PlayerDB!$F$2:$H3480,3,FALSE)</f>
        <v>#N/A</v>
      </c>
    </row>
    <row r="1867">
      <c r="B1867" s="20" t="str">
        <f>VLOOKUP(A1867,PlayerDB!$F$2:$H3480,3,FALSE)</f>
        <v>#N/A</v>
      </c>
    </row>
    <row r="1868">
      <c r="B1868" s="20" t="str">
        <f>VLOOKUP(A1868,PlayerDB!$F$2:$H3480,3,FALSE)</f>
        <v>#N/A</v>
      </c>
    </row>
    <row r="1869">
      <c r="B1869" s="20" t="str">
        <f>VLOOKUP(A1869,PlayerDB!$F$2:$H3480,3,FALSE)</f>
        <v>#N/A</v>
      </c>
    </row>
    <row r="1870">
      <c r="B1870" s="20" t="str">
        <f>VLOOKUP(A1870,PlayerDB!$F$2:$H3480,3,FALSE)</f>
        <v>#N/A</v>
      </c>
    </row>
    <row r="1871">
      <c r="B1871" s="20" t="str">
        <f>VLOOKUP(A1871,PlayerDB!$F$2:$H3480,3,FALSE)</f>
        <v>#N/A</v>
      </c>
    </row>
    <row r="1872">
      <c r="B1872" s="20" t="str">
        <f>VLOOKUP(A1872,PlayerDB!$F$2:$H3480,3,FALSE)</f>
        <v>#N/A</v>
      </c>
    </row>
    <row r="1873">
      <c r="B1873" s="20" t="str">
        <f>VLOOKUP(A1873,PlayerDB!$F$2:$H3480,3,FALSE)</f>
        <v>#N/A</v>
      </c>
    </row>
    <row r="1874">
      <c r="B1874" s="20" t="str">
        <f>VLOOKUP(A1874,PlayerDB!$F$2:$H3480,3,FALSE)</f>
        <v>#N/A</v>
      </c>
    </row>
    <row r="1875">
      <c r="B1875" s="20" t="str">
        <f>VLOOKUP(A1875,PlayerDB!$F$2:$H3480,3,FALSE)</f>
        <v>#N/A</v>
      </c>
    </row>
    <row r="1876">
      <c r="B1876" s="20" t="str">
        <f>VLOOKUP(A1876,PlayerDB!$F$2:$H3480,3,FALSE)</f>
        <v>#N/A</v>
      </c>
    </row>
    <row r="1877">
      <c r="B1877" s="20" t="str">
        <f>VLOOKUP(A1877,PlayerDB!$F$2:$H3480,3,FALSE)</f>
        <v>#N/A</v>
      </c>
    </row>
    <row r="1878">
      <c r="B1878" s="20" t="str">
        <f>VLOOKUP(A1878,PlayerDB!$F$2:$H3480,3,FALSE)</f>
        <v>#N/A</v>
      </c>
    </row>
    <row r="1879">
      <c r="B1879" s="20" t="str">
        <f>VLOOKUP(A1879,PlayerDB!$F$2:$H3480,3,FALSE)</f>
        <v>#N/A</v>
      </c>
    </row>
    <row r="1880">
      <c r="B1880" s="20" t="str">
        <f>VLOOKUP(A1880,PlayerDB!$F$2:$H3480,3,FALSE)</f>
        <v>#N/A</v>
      </c>
    </row>
    <row r="1881">
      <c r="B1881" s="20" t="str">
        <f>VLOOKUP(A1881,PlayerDB!$F$2:$H3480,3,FALSE)</f>
        <v>#N/A</v>
      </c>
    </row>
    <row r="1882">
      <c r="B1882" s="20" t="str">
        <f>VLOOKUP(A1882,PlayerDB!$F$2:$H3480,3,FALSE)</f>
        <v>#N/A</v>
      </c>
    </row>
    <row r="1883">
      <c r="B1883" s="20" t="str">
        <f>VLOOKUP(A1883,PlayerDB!$F$2:$H3480,3,FALSE)</f>
        <v>#N/A</v>
      </c>
    </row>
    <row r="1884">
      <c r="B1884" s="20" t="str">
        <f>VLOOKUP(A1884,PlayerDB!$F$2:$H3480,3,FALSE)</f>
        <v>#N/A</v>
      </c>
    </row>
    <row r="1885">
      <c r="B1885" s="20" t="str">
        <f>VLOOKUP(A1885,PlayerDB!$F$2:$H3480,3,FALSE)</f>
        <v>#N/A</v>
      </c>
    </row>
    <row r="1886">
      <c r="B1886" s="20" t="str">
        <f>VLOOKUP(A1886,PlayerDB!$F$2:$H3480,3,FALSE)</f>
        <v>#N/A</v>
      </c>
    </row>
    <row r="1887">
      <c r="B1887" s="20" t="str">
        <f>VLOOKUP(A1887,PlayerDB!$F$2:$H3480,3,FALSE)</f>
        <v>#N/A</v>
      </c>
    </row>
    <row r="1888">
      <c r="B1888" s="20" t="str">
        <f>VLOOKUP(A1888,PlayerDB!$F$2:$H3480,3,FALSE)</f>
        <v>#N/A</v>
      </c>
    </row>
    <row r="1889">
      <c r="B1889" s="20" t="str">
        <f>VLOOKUP(A1889,PlayerDB!$F$2:$H3480,3,FALSE)</f>
        <v>#N/A</v>
      </c>
    </row>
    <row r="1890">
      <c r="B1890" s="20" t="str">
        <f>VLOOKUP(A1890,PlayerDB!$F$2:$H3480,3,FALSE)</f>
        <v>#N/A</v>
      </c>
    </row>
    <row r="1891">
      <c r="B1891" s="20" t="str">
        <f>VLOOKUP(A1891,PlayerDB!$F$2:$H3480,3,FALSE)</f>
        <v>#N/A</v>
      </c>
    </row>
    <row r="1892">
      <c r="B1892" s="20" t="str">
        <f>VLOOKUP(A1892,PlayerDB!$F$2:$H3480,3,FALSE)</f>
        <v>#N/A</v>
      </c>
    </row>
    <row r="1893">
      <c r="B1893" s="20" t="str">
        <f>VLOOKUP(A1893,PlayerDB!$F$2:$H3480,3,FALSE)</f>
        <v>#N/A</v>
      </c>
    </row>
    <row r="1894">
      <c r="B1894" s="20" t="str">
        <f>VLOOKUP(A1894,PlayerDB!$F$2:$H3480,3,FALSE)</f>
        <v>#N/A</v>
      </c>
    </row>
    <row r="1895">
      <c r="B1895" s="20" t="str">
        <f>VLOOKUP(A1895,PlayerDB!$F$2:$H3480,3,FALSE)</f>
        <v>#N/A</v>
      </c>
    </row>
    <row r="1896">
      <c r="B1896" s="20" t="str">
        <f>VLOOKUP(A1896,PlayerDB!$F$2:$H3480,3,FALSE)</f>
        <v>#N/A</v>
      </c>
    </row>
    <row r="1897">
      <c r="B1897" s="20" t="str">
        <f>VLOOKUP(A1897,PlayerDB!$F$2:$H3480,3,FALSE)</f>
        <v>#N/A</v>
      </c>
    </row>
    <row r="1898">
      <c r="B1898" s="20" t="str">
        <f>VLOOKUP(A1898,PlayerDB!$F$2:$H3480,3,FALSE)</f>
        <v>#N/A</v>
      </c>
    </row>
    <row r="1899">
      <c r="B1899" s="20" t="str">
        <f>VLOOKUP(A1899,PlayerDB!$F$2:$H3480,3,FALSE)</f>
        <v>#N/A</v>
      </c>
    </row>
    <row r="1900">
      <c r="B1900" s="20" t="str">
        <f>VLOOKUP(A1900,PlayerDB!$F$2:$H3480,3,FALSE)</f>
        <v>#N/A</v>
      </c>
    </row>
    <row r="1901">
      <c r="B1901" s="20" t="str">
        <f>VLOOKUP(A1901,PlayerDB!$F$2:$H3480,3,FALSE)</f>
        <v>#N/A</v>
      </c>
    </row>
    <row r="1902">
      <c r="B1902" s="20" t="str">
        <f>VLOOKUP(A1902,PlayerDB!$F$2:$H3480,3,FALSE)</f>
        <v>#N/A</v>
      </c>
    </row>
    <row r="1903">
      <c r="B1903" s="20" t="str">
        <f>VLOOKUP(A1903,PlayerDB!$F$2:$H3480,3,FALSE)</f>
        <v>#N/A</v>
      </c>
    </row>
    <row r="1904">
      <c r="B1904" s="20" t="str">
        <f>VLOOKUP(A1904,PlayerDB!$F$2:$H3480,3,FALSE)</f>
        <v>#N/A</v>
      </c>
    </row>
    <row r="1905">
      <c r="B1905" s="20" t="str">
        <f>VLOOKUP(A1905,PlayerDB!$F$2:$H3480,3,FALSE)</f>
        <v>#N/A</v>
      </c>
    </row>
    <row r="1906">
      <c r="B1906" s="20" t="str">
        <f>VLOOKUP(A1906,PlayerDB!$F$2:$H3480,3,FALSE)</f>
        <v>#N/A</v>
      </c>
    </row>
    <row r="1907">
      <c r="B1907" s="20" t="str">
        <f>VLOOKUP(A1907,PlayerDB!$F$2:$H3480,3,FALSE)</f>
        <v>#N/A</v>
      </c>
    </row>
    <row r="1908">
      <c r="B1908" s="20" t="str">
        <f>VLOOKUP(A1908,PlayerDB!$F$2:$H3480,3,FALSE)</f>
        <v>#N/A</v>
      </c>
    </row>
    <row r="1909">
      <c r="B1909" s="20" t="str">
        <f>VLOOKUP(A1909,PlayerDB!$F$2:$H3480,3,FALSE)</f>
        <v>#N/A</v>
      </c>
    </row>
    <row r="1910">
      <c r="B1910" s="20" t="str">
        <f>VLOOKUP(A1910,PlayerDB!$F$2:$H3480,3,FALSE)</f>
        <v>#N/A</v>
      </c>
    </row>
    <row r="1911">
      <c r="B1911" s="20" t="str">
        <f>VLOOKUP(A1911,PlayerDB!$F$2:$H3480,3,FALSE)</f>
        <v>#N/A</v>
      </c>
    </row>
    <row r="1912">
      <c r="B1912" s="20" t="str">
        <f>VLOOKUP(A1912,PlayerDB!$F$2:$H3480,3,FALSE)</f>
        <v>#N/A</v>
      </c>
    </row>
    <row r="1913">
      <c r="B1913" s="20" t="str">
        <f>VLOOKUP(A1913,PlayerDB!$F$2:$H3480,3,FALSE)</f>
        <v>#N/A</v>
      </c>
    </row>
    <row r="1914">
      <c r="B1914" s="20" t="str">
        <f>VLOOKUP(A1914,PlayerDB!$F$2:$H3480,3,FALSE)</f>
        <v>#N/A</v>
      </c>
    </row>
    <row r="1915">
      <c r="B1915" s="20" t="str">
        <f>VLOOKUP(A1915,PlayerDB!$F$2:$H3480,3,FALSE)</f>
        <v>#N/A</v>
      </c>
    </row>
    <row r="1916">
      <c r="B1916" s="20" t="str">
        <f>VLOOKUP(A1916,PlayerDB!$F$2:$H3480,3,FALSE)</f>
        <v>#N/A</v>
      </c>
    </row>
    <row r="1917">
      <c r="B1917" s="20" t="str">
        <f>VLOOKUP(A1917,PlayerDB!$F$2:$H3480,3,FALSE)</f>
        <v>#N/A</v>
      </c>
    </row>
    <row r="1918">
      <c r="B1918" s="20" t="str">
        <f>VLOOKUP(A1918,PlayerDB!$F$2:$H3480,3,FALSE)</f>
        <v>#N/A</v>
      </c>
    </row>
    <row r="1919">
      <c r="B1919" s="20" t="str">
        <f>VLOOKUP(A1919,PlayerDB!$F$2:$H3480,3,FALSE)</f>
        <v>#N/A</v>
      </c>
    </row>
    <row r="1920">
      <c r="B1920" s="20" t="str">
        <f>VLOOKUP(A1920,PlayerDB!$F$2:$H3480,3,FALSE)</f>
        <v>#N/A</v>
      </c>
    </row>
    <row r="1921">
      <c r="B1921" s="20" t="str">
        <f>VLOOKUP(A1921,PlayerDB!$F$2:$H3480,3,FALSE)</f>
        <v>#N/A</v>
      </c>
    </row>
    <row r="1922">
      <c r="B1922" s="20" t="str">
        <f>VLOOKUP(A1922,PlayerDB!$F$2:$H3480,3,FALSE)</f>
        <v>#N/A</v>
      </c>
    </row>
    <row r="1923">
      <c r="B1923" s="20" t="str">
        <f>VLOOKUP(A1923,PlayerDB!$F$2:$H3480,3,FALSE)</f>
        <v>#N/A</v>
      </c>
    </row>
    <row r="1924">
      <c r="B1924" s="20" t="str">
        <f>VLOOKUP(A1924,PlayerDB!$F$2:$H3480,3,FALSE)</f>
        <v>#N/A</v>
      </c>
    </row>
    <row r="1925">
      <c r="B1925" s="20" t="str">
        <f>VLOOKUP(A1925,PlayerDB!$F$2:$H3480,3,FALSE)</f>
        <v>#N/A</v>
      </c>
    </row>
    <row r="1926">
      <c r="B1926" s="20" t="str">
        <f>VLOOKUP(A1926,PlayerDB!$F$2:$H3480,3,FALSE)</f>
        <v>#N/A</v>
      </c>
    </row>
    <row r="1927">
      <c r="B1927" s="20" t="str">
        <f>VLOOKUP(A1927,PlayerDB!$F$2:$H3480,3,FALSE)</f>
        <v>#N/A</v>
      </c>
    </row>
    <row r="1928">
      <c r="B1928" s="20" t="str">
        <f>VLOOKUP(A1928,PlayerDB!$F$2:$H3480,3,FALSE)</f>
        <v>#N/A</v>
      </c>
    </row>
    <row r="1929">
      <c r="B1929" s="20" t="str">
        <f>VLOOKUP(A1929,PlayerDB!$F$2:$H3480,3,FALSE)</f>
        <v>#N/A</v>
      </c>
    </row>
    <row r="1930">
      <c r="B1930" s="20" t="str">
        <f>VLOOKUP(A1930,PlayerDB!$F$2:$H3480,3,FALSE)</f>
        <v>#N/A</v>
      </c>
    </row>
    <row r="1931">
      <c r="B1931" s="20" t="str">
        <f>VLOOKUP(A1931,PlayerDB!$F$2:$H3480,3,FALSE)</f>
        <v>#N/A</v>
      </c>
    </row>
    <row r="1932">
      <c r="B1932" s="20" t="str">
        <f>VLOOKUP(A1932,PlayerDB!$F$2:$H3480,3,FALSE)</f>
        <v>#N/A</v>
      </c>
    </row>
    <row r="1933">
      <c r="B1933" s="20" t="str">
        <f>VLOOKUP(A1933,PlayerDB!$F$2:$H3480,3,FALSE)</f>
        <v>#N/A</v>
      </c>
    </row>
    <row r="1934">
      <c r="B1934" s="20" t="str">
        <f>VLOOKUP(A1934,PlayerDB!$F$2:$H3480,3,FALSE)</f>
        <v>#N/A</v>
      </c>
    </row>
    <row r="1935">
      <c r="B1935" s="20" t="str">
        <f>VLOOKUP(A1935,PlayerDB!$F$2:$H3480,3,FALSE)</f>
        <v>#N/A</v>
      </c>
    </row>
    <row r="1936">
      <c r="B1936" s="20" t="str">
        <f>VLOOKUP(A1936,PlayerDB!$F$2:$H3480,3,FALSE)</f>
        <v>#N/A</v>
      </c>
    </row>
    <row r="1937">
      <c r="B1937" s="20" t="str">
        <f>VLOOKUP(A1937,PlayerDB!$F$2:$H3480,3,FALSE)</f>
        <v>#N/A</v>
      </c>
    </row>
    <row r="1938">
      <c r="B1938" s="20" t="str">
        <f>VLOOKUP(A1938,PlayerDB!$F$2:$H3480,3,FALSE)</f>
        <v>#N/A</v>
      </c>
    </row>
    <row r="1939">
      <c r="B1939" s="20" t="str">
        <f>VLOOKUP(A1939,PlayerDB!$F$2:$H3480,3,FALSE)</f>
        <v>#N/A</v>
      </c>
    </row>
    <row r="1940">
      <c r="B1940" s="20" t="str">
        <f>VLOOKUP(A1940,PlayerDB!$F$2:$H3480,3,FALSE)</f>
        <v>#N/A</v>
      </c>
    </row>
    <row r="1941">
      <c r="B1941" s="20" t="str">
        <f>VLOOKUP(A1941,PlayerDB!$F$2:$H3480,3,FALSE)</f>
        <v>#N/A</v>
      </c>
    </row>
    <row r="1942">
      <c r="B1942" s="20" t="str">
        <f>VLOOKUP(A1942,PlayerDB!$F$2:$H3480,3,FALSE)</f>
        <v>#N/A</v>
      </c>
    </row>
    <row r="1943">
      <c r="B1943" s="20" t="str">
        <f>VLOOKUP(A1943,PlayerDB!$F$2:$H3480,3,FALSE)</f>
        <v>#N/A</v>
      </c>
    </row>
    <row r="1944">
      <c r="B1944" s="20" t="str">
        <f>VLOOKUP(A1944,PlayerDB!$F$2:$H3480,3,FALSE)</f>
        <v>#N/A</v>
      </c>
    </row>
    <row r="1945">
      <c r="B1945" s="20" t="str">
        <f>VLOOKUP(A1945,PlayerDB!$F$2:$H3480,3,FALSE)</f>
        <v>#N/A</v>
      </c>
    </row>
    <row r="1946">
      <c r="B1946" s="20" t="str">
        <f>VLOOKUP(A1946,PlayerDB!$F$2:$H3480,3,FALSE)</f>
        <v>#N/A</v>
      </c>
    </row>
    <row r="1947">
      <c r="B1947" s="20" t="str">
        <f>VLOOKUP(A1947,PlayerDB!$F$2:$H3480,3,FALSE)</f>
        <v>#N/A</v>
      </c>
    </row>
    <row r="1948">
      <c r="B1948" s="20" t="str">
        <f>VLOOKUP(A1948,PlayerDB!$F$2:$H3480,3,FALSE)</f>
        <v>#N/A</v>
      </c>
    </row>
    <row r="1949">
      <c r="B1949" s="20" t="str">
        <f>VLOOKUP(A1949,PlayerDB!$F$2:$H3480,3,FALSE)</f>
        <v>#N/A</v>
      </c>
    </row>
    <row r="1950">
      <c r="B1950" s="20" t="str">
        <f>VLOOKUP(A1950,PlayerDB!$F$2:$H3480,3,FALSE)</f>
        <v>#N/A</v>
      </c>
    </row>
    <row r="1951">
      <c r="B1951" s="20" t="str">
        <f>VLOOKUP(A1951,PlayerDB!$F$2:$H3480,3,FALSE)</f>
        <v>#N/A</v>
      </c>
    </row>
    <row r="1952">
      <c r="B1952" s="20" t="str">
        <f>VLOOKUP(A1952,PlayerDB!$F$2:$H3480,3,FALSE)</f>
        <v>#N/A</v>
      </c>
    </row>
    <row r="1953">
      <c r="B1953" s="20" t="str">
        <f>VLOOKUP(A1953,PlayerDB!$F$2:$H3480,3,FALSE)</f>
        <v>#N/A</v>
      </c>
    </row>
    <row r="1954">
      <c r="B1954" s="20" t="str">
        <f>VLOOKUP(A1954,PlayerDB!$F$2:$H3480,3,FALSE)</f>
        <v>#N/A</v>
      </c>
    </row>
    <row r="1955">
      <c r="B1955" s="20" t="str">
        <f>VLOOKUP(A1955,PlayerDB!$F$2:$H3480,3,FALSE)</f>
        <v>#N/A</v>
      </c>
    </row>
    <row r="1956">
      <c r="B1956" s="20" t="str">
        <f>VLOOKUP(A1956,PlayerDB!$F$2:$H3480,3,FALSE)</f>
        <v>#N/A</v>
      </c>
    </row>
    <row r="1957">
      <c r="B1957" s="20" t="str">
        <f>VLOOKUP(A1957,PlayerDB!$F$2:$H3480,3,FALSE)</f>
        <v>#N/A</v>
      </c>
    </row>
    <row r="1958">
      <c r="B1958" s="20" t="str">
        <f>VLOOKUP(A1958,PlayerDB!$F$2:$H3480,3,FALSE)</f>
        <v>#N/A</v>
      </c>
    </row>
    <row r="1959">
      <c r="B1959" s="20" t="str">
        <f>VLOOKUP(A1959,PlayerDB!$F$2:$H3480,3,FALSE)</f>
        <v>#N/A</v>
      </c>
    </row>
    <row r="1960">
      <c r="B1960" s="20" t="str">
        <f>VLOOKUP(A1960,PlayerDB!$F$2:$H3480,3,FALSE)</f>
        <v>#N/A</v>
      </c>
    </row>
    <row r="1961">
      <c r="B1961" s="20" t="str">
        <f>VLOOKUP(A1961,PlayerDB!$F$2:$H3480,3,FALSE)</f>
        <v>#N/A</v>
      </c>
    </row>
    <row r="1962">
      <c r="B1962" s="20" t="str">
        <f>VLOOKUP(A1962,PlayerDB!$F$2:$H3480,3,FALSE)</f>
        <v>#N/A</v>
      </c>
    </row>
    <row r="1963">
      <c r="B1963" s="20" t="str">
        <f>VLOOKUP(A1963,PlayerDB!$F$2:$H3480,3,FALSE)</f>
        <v>#N/A</v>
      </c>
    </row>
    <row r="1964">
      <c r="B1964" s="20" t="str">
        <f>VLOOKUP(A1964,PlayerDB!$F$2:$H3480,3,FALSE)</f>
        <v>#N/A</v>
      </c>
    </row>
    <row r="1965">
      <c r="B1965" s="20" t="str">
        <f>VLOOKUP(A1965,PlayerDB!$F$2:$H3480,3,FALSE)</f>
        <v>#N/A</v>
      </c>
    </row>
    <row r="1966">
      <c r="B1966" s="20" t="str">
        <f>VLOOKUP(A1966,PlayerDB!$F$2:$H3480,3,FALSE)</f>
        <v>#N/A</v>
      </c>
    </row>
    <row r="1967">
      <c r="B1967" s="20" t="str">
        <f>VLOOKUP(A1967,PlayerDB!$F$2:$H3480,3,FALSE)</f>
        <v>#N/A</v>
      </c>
    </row>
    <row r="1968">
      <c r="B1968" s="20" t="str">
        <f>VLOOKUP(A1968,PlayerDB!$F$2:$H3480,3,FALSE)</f>
        <v>#N/A</v>
      </c>
    </row>
    <row r="1969">
      <c r="B1969" s="20" t="str">
        <f>VLOOKUP(A1969,PlayerDB!$F$2:$H3480,3,FALSE)</f>
        <v>#N/A</v>
      </c>
    </row>
    <row r="1970">
      <c r="B1970" s="20" t="str">
        <f>VLOOKUP(A1970,PlayerDB!$F$2:$H3480,3,FALSE)</f>
        <v>#N/A</v>
      </c>
    </row>
    <row r="1971">
      <c r="B1971" s="20" t="str">
        <f>VLOOKUP(A1971,PlayerDB!$F$2:$H3480,3,FALSE)</f>
        <v>#N/A</v>
      </c>
    </row>
    <row r="1972">
      <c r="B1972" s="20" t="str">
        <f>VLOOKUP(A1972,PlayerDB!$F$2:$H3480,3,FALSE)</f>
        <v>#N/A</v>
      </c>
    </row>
    <row r="1973">
      <c r="B1973" s="20" t="str">
        <f>VLOOKUP(A1973,PlayerDB!$F$2:$H3480,3,FALSE)</f>
        <v>#N/A</v>
      </c>
    </row>
    <row r="1974">
      <c r="B1974" s="20" t="str">
        <f>VLOOKUP(A1974,PlayerDB!$F$2:$H3480,3,FALSE)</f>
        <v>#N/A</v>
      </c>
    </row>
    <row r="1975">
      <c r="B1975" s="20" t="str">
        <f>VLOOKUP(A1975,PlayerDB!$F$2:$H3480,3,FALSE)</f>
        <v>#N/A</v>
      </c>
    </row>
    <row r="1976">
      <c r="B1976" s="20" t="str">
        <f>VLOOKUP(A1976,PlayerDB!$F$2:$H3480,3,FALSE)</f>
        <v>#N/A</v>
      </c>
    </row>
    <row r="1977">
      <c r="B1977" s="20" t="str">
        <f>VLOOKUP(A1977,PlayerDB!$F$2:$H3480,3,FALSE)</f>
        <v>#N/A</v>
      </c>
    </row>
    <row r="1978">
      <c r="B1978" s="20" t="str">
        <f>VLOOKUP(A1978,PlayerDB!$F$2:$H3480,3,FALSE)</f>
        <v>#N/A</v>
      </c>
    </row>
    <row r="1979">
      <c r="B1979" s="20" t="str">
        <f>VLOOKUP(A1979,PlayerDB!$F$2:$H3480,3,FALSE)</f>
        <v>#N/A</v>
      </c>
    </row>
    <row r="1980">
      <c r="B1980" s="20" t="str">
        <f>VLOOKUP(A1980,PlayerDB!$F$2:$H3480,3,FALSE)</f>
        <v>#N/A</v>
      </c>
    </row>
    <row r="1981">
      <c r="B1981" s="20" t="str">
        <f>VLOOKUP(A1981,PlayerDB!$F$2:$H3480,3,FALSE)</f>
        <v>#N/A</v>
      </c>
    </row>
    <row r="1982">
      <c r="B1982" s="20" t="str">
        <f>VLOOKUP(A1982,PlayerDB!$F$2:$H3480,3,FALSE)</f>
        <v>#N/A</v>
      </c>
    </row>
    <row r="1983">
      <c r="B1983" s="20" t="str">
        <f>VLOOKUP(A1983,PlayerDB!$F$2:$H3480,3,FALSE)</f>
        <v>#N/A</v>
      </c>
    </row>
    <row r="1984">
      <c r="B1984" s="20" t="str">
        <f>VLOOKUP(A1984,PlayerDB!$F$2:$H3480,3,FALSE)</f>
        <v>#N/A</v>
      </c>
    </row>
    <row r="1985">
      <c r="B1985" s="20" t="str">
        <f>VLOOKUP(A1985,PlayerDB!$F$2:$H3480,3,FALSE)</f>
        <v>#N/A</v>
      </c>
    </row>
    <row r="1986">
      <c r="B1986" s="20" t="str">
        <f>VLOOKUP(A1986,PlayerDB!$F$2:$H3480,3,FALSE)</f>
        <v>#N/A</v>
      </c>
    </row>
    <row r="1987">
      <c r="B1987" s="20" t="str">
        <f>VLOOKUP(A1987,PlayerDB!$F$2:$H3480,3,FALSE)</f>
        <v>#N/A</v>
      </c>
    </row>
    <row r="1988">
      <c r="B1988" s="20" t="str">
        <f>VLOOKUP(A1988,PlayerDB!$F$2:$H3480,3,FALSE)</f>
        <v>#N/A</v>
      </c>
    </row>
    <row r="1989">
      <c r="B1989" s="20" t="str">
        <f>VLOOKUP(A1989,PlayerDB!$F$2:$H3480,3,FALSE)</f>
        <v>#N/A</v>
      </c>
    </row>
    <row r="1990">
      <c r="B1990" s="20" t="str">
        <f>VLOOKUP(A1990,PlayerDB!$F$2:$H3480,3,FALSE)</f>
        <v>#N/A</v>
      </c>
    </row>
    <row r="1991">
      <c r="B1991" s="20" t="str">
        <f>VLOOKUP(A1991,PlayerDB!$F$2:$H3480,3,FALSE)</f>
        <v>#N/A</v>
      </c>
    </row>
    <row r="1992">
      <c r="B1992" s="20" t="str">
        <f>VLOOKUP(A1992,PlayerDB!$F$2:$H3480,3,FALSE)</f>
        <v>#N/A</v>
      </c>
    </row>
    <row r="1993">
      <c r="B1993" s="20" t="str">
        <f>VLOOKUP(A1993,PlayerDB!$F$2:$H3480,3,FALSE)</f>
        <v>#N/A</v>
      </c>
    </row>
    <row r="1994">
      <c r="B1994" s="20" t="str">
        <f>VLOOKUP(A1994,PlayerDB!$F$2:$H3480,3,FALSE)</f>
        <v>#N/A</v>
      </c>
    </row>
    <row r="1995">
      <c r="B1995" s="20" t="str">
        <f>VLOOKUP(A1995,PlayerDB!$F$2:$H3480,3,FALSE)</f>
        <v>#N/A</v>
      </c>
    </row>
    <row r="1996">
      <c r="B1996" s="20" t="str">
        <f>VLOOKUP(A1996,PlayerDB!$F$2:$H3480,3,FALSE)</f>
        <v>#N/A</v>
      </c>
    </row>
    <row r="1997">
      <c r="B1997" s="20" t="str">
        <f>VLOOKUP(A1997,PlayerDB!$F$2:$H3480,3,FALSE)</f>
        <v>#N/A</v>
      </c>
    </row>
    <row r="1998">
      <c r="B1998" s="20" t="str">
        <f>VLOOKUP(A1998,PlayerDB!$F$2:$H3480,3,FALSE)</f>
        <v>#N/A</v>
      </c>
    </row>
    <row r="1999">
      <c r="B1999" s="20" t="str">
        <f>VLOOKUP(A1999,PlayerDB!$F$2:$H3480,3,FALSE)</f>
        <v>#N/A</v>
      </c>
    </row>
    <row r="2000">
      <c r="B2000" s="20" t="str">
        <f>VLOOKUP(A2000,PlayerDB!$F$2:$H3480,3,FALSE)</f>
        <v>#N/A</v>
      </c>
    </row>
    <row r="2001">
      <c r="B2001" s="20" t="str">
        <f>VLOOKUP(A2001,PlayerDB!$F$2:$H3480,3,FALSE)</f>
        <v>#N/A</v>
      </c>
    </row>
    <row r="2002">
      <c r="B2002" s="20" t="str">
        <f>VLOOKUP(A2002,PlayerDB!$F$2:$H3480,3,FALSE)</f>
        <v>#N/A</v>
      </c>
    </row>
    <row r="2003">
      <c r="B2003" s="20" t="str">
        <f>VLOOKUP(A2003,PlayerDB!$F$2:$H3480,3,FALSE)</f>
        <v>#N/A</v>
      </c>
    </row>
    <row r="2004">
      <c r="B2004" s="20" t="str">
        <f>VLOOKUP(A2004,PlayerDB!$F$2:$H3480,3,FALSE)</f>
        <v>#N/A</v>
      </c>
    </row>
    <row r="2005">
      <c r="B2005" s="20" t="str">
        <f>VLOOKUP(A2005,PlayerDB!$F$2:$H3480,3,FALSE)</f>
        <v>#N/A</v>
      </c>
    </row>
    <row r="2006">
      <c r="B2006" s="20" t="str">
        <f>VLOOKUP(A2006,PlayerDB!$F$2:$H3480,3,FALSE)</f>
        <v>#N/A</v>
      </c>
    </row>
    <row r="2007">
      <c r="B2007" s="20" t="str">
        <f>VLOOKUP(A2007,PlayerDB!$F$2:$H3480,3,FALSE)</f>
        <v>#N/A</v>
      </c>
    </row>
    <row r="2008">
      <c r="B2008" s="20" t="str">
        <f>VLOOKUP(A2008,PlayerDB!$F$2:$H3480,3,FALSE)</f>
        <v>#N/A</v>
      </c>
    </row>
    <row r="2009">
      <c r="B2009" s="20" t="str">
        <f>VLOOKUP(A2009,PlayerDB!$F$2:$H3480,3,FALSE)</f>
        <v>#N/A</v>
      </c>
    </row>
    <row r="2010">
      <c r="B2010" s="20" t="str">
        <f>VLOOKUP(A2010,PlayerDB!$F$2:$H3480,3,FALSE)</f>
        <v>#N/A</v>
      </c>
    </row>
    <row r="2011">
      <c r="B2011" s="20" t="str">
        <f>VLOOKUP(A2011,PlayerDB!$F$2:$H3480,3,FALSE)</f>
        <v>#N/A</v>
      </c>
    </row>
    <row r="2012">
      <c r="B2012" s="20" t="str">
        <f>VLOOKUP(A2012,PlayerDB!$F$2:$H3480,3,FALSE)</f>
        <v>#N/A</v>
      </c>
    </row>
    <row r="2013">
      <c r="B2013" s="20" t="str">
        <f>VLOOKUP(A2013,PlayerDB!$F$2:$H3480,3,FALSE)</f>
        <v>#N/A</v>
      </c>
    </row>
    <row r="2014">
      <c r="B2014" s="20" t="str">
        <f>VLOOKUP(A2014,PlayerDB!$F$2:$H3480,3,FALSE)</f>
        <v>#N/A</v>
      </c>
    </row>
    <row r="2015">
      <c r="B2015" s="20" t="str">
        <f>VLOOKUP(A2015,PlayerDB!$F$2:$H3480,3,FALSE)</f>
        <v>#N/A</v>
      </c>
    </row>
    <row r="2016">
      <c r="B2016" s="20" t="str">
        <f>VLOOKUP(A2016,PlayerDB!$F$2:$H3480,3,FALSE)</f>
        <v>#N/A</v>
      </c>
    </row>
    <row r="2017">
      <c r="B2017" s="20" t="str">
        <f>VLOOKUP(A2017,PlayerDB!$F$2:$H3480,3,FALSE)</f>
        <v>#N/A</v>
      </c>
    </row>
    <row r="2018">
      <c r="B2018" s="20" t="str">
        <f>VLOOKUP(A2018,PlayerDB!$F$2:$H3480,3,FALSE)</f>
        <v>#N/A</v>
      </c>
    </row>
    <row r="2019">
      <c r="B2019" s="20" t="str">
        <f>VLOOKUP(A2019,PlayerDB!$F$2:$H3480,3,FALSE)</f>
        <v>#N/A</v>
      </c>
    </row>
    <row r="2020">
      <c r="B2020" s="20" t="str">
        <f>VLOOKUP(A2020,PlayerDB!$F$2:$H3480,3,FALSE)</f>
        <v>#N/A</v>
      </c>
    </row>
    <row r="2021">
      <c r="B2021" s="20" t="str">
        <f>VLOOKUP(A2021,PlayerDB!$F$2:$H3480,3,FALSE)</f>
        <v>#N/A</v>
      </c>
    </row>
    <row r="2022">
      <c r="B2022" s="20" t="str">
        <f>VLOOKUP(A2022,PlayerDB!$F$2:$H3480,3,FALSE)</f>
        <v>#N/A</v>
      </c>
    </row>
    <row r="2023">
      <c r="B2023" s="20" t="str">
        <f>VLOOKUP(A2023,PlayerDB!$F$2:$H3480,3,FALSE)</f>
        <v>#N/A</v>
      </c>
    </row>
    <row r="2024">
      <c r="B2024" s="20" t="str">
        <f>VLOOKUP(A2024,PlayerDB!$F$2:$H3480,3,FALSE)</f>
        <v>#N/A</v>
      </c>
    </row>
    <row r="2025">
      <c r="B2025" s="20" t="str">
        <f>VLOOKUP(A2025,PlayerDB!$F$2:$H3480,3,FALSE)</f>
        <v>#N/A</v>
      </c>
    </row>
    <row r="2026">
      <c r="B2026" s="20" t="str">
        <f>VLOOKUP(A2026,PlayerDB!$F$2:$H3480,3,FALSE)</f>
        <v>#N/A</v>
      </c>
    </row>
    <row r="2027">
      <c r="B2027" s="20" t="str">
        <f>VLOOKUP(A2027,PlayerDB!$F$2:$H3480,3,FALSE)</f>
        <v>#N/A</v>
      </c>
    </row>
    <row r="2028">
      <c r="B2028" s="20" t="str">
        <f>VLOOKUP(A2028,PlayerDB!$F$2:$H3480,3,FALSE)</f>
        <v>#N/A</v>
      </c>
    </row>
    <row r="2029">
      <c r="B2029" s="20" t="str">
        <f>VLOOKUP(A2029,PlayerDB!$F$2:$H3480,3,FALSE)</f>
        <v>#N/A</v>
      </c>
    </row>
    <row r="2030">
      <c r="B2030" s="20" t="str">
        <f>VLOOKUP(A2030,PlayerDB!$F$2:$H3480,3,FALSE)</f>
        <v>#N/A</v>
      </c>
    </row>
    <row r="2031">
      <c r="B2031" s="20" t="str">
        <f>VLOOKUP(A2031,PlayerDB!$F$2:$H3480,3,FALSE)</f>
        <v>#N/A</v>
      </c>
    </row>
    <row r="2032">
      <c r="B2032" s="20" t="str">
        <f>VLOOKUP(A2032,PlayerDB!$F$2:$H3480,3,FALSE)</f>
        <v>#N/A</v>
      </c>
    </row>
    <row r="2033">
      <c r="B2033" s="20" t="str">
        <f>VLOOKUP(A2033,PlayerDB!$F$2:$H3480,3,FALSE)</f>
        <v>#N/A</v>
      </c>
    </row>
    <row r="2034">
      <c r="B2034" s="20" t="str">
        <f>VLOOKUP(A2034,PlayerDB!$F$2:$H3480,3,FALSE)</f>
        <v>#N/A</v>
      </c>
    </row>
    <row r="2035">
      <c r="B2035" s="20" t="str">
        <f>VLOOKUP(A2035,PlayerDB!$F$2:$H3480,3,FALSE)</f>
        <v>#N/A</v>
      </c>
    </row>
    <row r="2036">
      <c r="B2036" s="20" t="str">
        <f>VLOOKUP(A2036,PlayerDB!$F$2:$H3480,3,FALSE)</f>
        <v>#N/A</v>
      </c>
    </row>
    <row r="2037">
      <c r="B2037" s="20" t="str">
        <f>VLOOKUP(A2037,PlayerDB!$F$2:$H3480,3,FALSE)</f>
        <v>#N/A</v>
      </c>
    </row>
    <row r="2038">
      <c r="B2038" s="20" t="str">
        <f>VLOOKUP(A2038,PlayerDB!$F$2:$H3480,3,FALSE)</f>
        <v>#N/A</v>
      </c>
    </row>
    <row r="2039">
      <c r="B2039" s="20" t="str">
        <f>VLOOKUP(A2039,PlayerDB!$F$2:$H3480,3,FALSE)</f>
        <v>#N/A</v>
      </c>
    </row>
    <row r="2040">
      <c r="B2040" s="20" t="str">
        <f>VLOOKUP(A2040,PlayerDB!$F$2:$H3480,3,FALSE)</f>
        <v>#N/A</v>
      </c>
    </row>
    <row r="2041">
      <c r="B2041" s="20" t="str">
        <f>VLOOKUP(A2041,PlayerDB!$F$2:$H3480,3,FALSE)</f>
        <v>#N/A</v>
      </c>
    </row>
    <row r="2042">
      <c r="B2042" s="20" t="str">
        <f>VLOOKUP(A2042,PlayerDB!$F$2:$H3480,3,FALSE)</f>
        <v>#N/A</v>
      </c>
    </row>
    <row r="2043">
      <c r="B2043" s="20" t="str">
        <f>VLOOKUP(A2043,PlayerDB!$F$2:$H3480,3,FALSE)</f>
        <v>#N/A</v>
      </c>
    </row>
    <row r="2044">
      <c r="B2044" s="20" t="str">
        <f>VLOOKUP(A2044,PlayerDB!$F$2:$H3480,3,FALSE)</f>
        <v>#N/A</v>
      </c>
    </row>
    <row r="2045">
      <c r="B2045" s="20" t="str">
        <f>VLOOKUP(A2045,PlayerDB!$F$2:$H3480,3,FALSE)</f>
        <v>#N/A</v>
      </c>
    </row>
    <row r="2046">
      <c r="B2046" s="20" t="str">
        <f>VLOOKUP(A2046,PlayerDB!$F$2:$H3480,3,FALSE)</f>
        <v>#N/A</v>
      </c>
    </row>
    <row r="2047">
      <c r="B2047" s="20" t="str">
        <f>VLOOKUP(A2047,PlayerDB!$F$2:$H3480,3,FALSE)</f>
        <v>#N/A</v>
      </c>
    </row>
    <row r="2048">
      <c r="B2048" s="20" t="str">
        <f>VLOOKUP(A2048,PlayerDB!$F$2:$H3480,3,FALSE)</f>
        <v>#N/A</v>
      </c>
    </row>
    <row r="2049">
      <c r="B2049" s="20" t="str">
        <f>VLOOKUP(A2049,PlayerDB!$F$2:$H3480,3,FALSE)</f>
        <v>#N/A</v>
      </c>
    </row>
    <row r="2050">
      <c r="B2050" s="20" t="str">
        <f>VLOOKUP(A2050,PlayerDB!$F$2:$H3480,3,FALSE)</f>
        <v>#N/A</v>
      </c>
    </row>
    <row r="2051">
      <c r="B2051" s="20" t="str">
        <f>VLOOKUP(A2051,PlayerDB!$F$2:$H3480,3,FALSE)</f>
        <v>#N/A</v>
      </c>
    </row>
    <row r="2052">
      <c r="B2052" s="20" t="str">
        <f>VLOOKUP(A2052,PlayerDB!$F$2:$H3480,3,FALSE)</f>
        <v>#N/A</v>
      </c>
    </row>
    <row r="2053">
      <c r="B2053" s="20" t="str">
        <f>VLOOKUP(A2053,PlayerDB!$F$2:$H3480,3,FALSE)</f>
        <v>#N/A</v>
      </c>
    </row>
    <row r="2054">
      <c r="B2054" s="20" t="str">
        <f>VLOOKUP(A2054,PlayerDB!$F$2:$H3480,3,FALSE)</f>
        <v>#N/A</v>
      </c>
    </row>
    <row r="2055">
      <c r="B2055" s="20" t="str">
        <f>VLOOKUP(A2055,PlayerDB!$F$2:$H3480,3,FALSE)</f>
        <v>#N/A</v>
      </c>
    </row>
    <row r="2056">
      <c r="B2056" s="20" t="str">
        <f>VLOOKUP(A2056,PlayerDB!$F$2:$H3480,3,FALSE)</f>
        <v>#N/A</v>
      </c>
    </row>
    <row r="2057">
      <c r="B2057" s="20" t="str">
        <f>VLOOKUP(A2057,PlayerDB!$F$2:$H3480,3,FALSE)</f>
        <v>#N/A</v>
      </c>
    </row>
    <row r="2058">
      <c r="B2058" s="20" t="str">
        <f>VLOOKUP(A2058,PlayerDB!$F$2:$H3480,3,FALSE)</f>
        <v>#N/A</v>
      </c>
    </row>
    <row r="2059">
      <c r="B2059" s="20" t="str">
        <f>VLOOKUP(A2059,PlayerDB!$F$2:$H3480,3,FALSE)</f>
        <v>#N/A</v>
      </c>
    </row>
    <row r="2060">
      <c r="B2060" s="20" t="str">
        <f>VLOOKUP(A2060,PlayerDB!$F$2:$H3480,3,FALSE)</f>
        <v>#N/A</v>
      </c>
    </row>
    <row r="2061">
      <c r="B2061" s="20" t="str">
        <f>VLOOKUP(A2061,PlayerDB!$F$2:$H3480,3,FALSE)</f>
        <v>#N/A</v>
      </c>
    </row>
    <row r="2062">
      <c r="B2062" s="20" t="str">
        <f>VLOOKUP(A2062,PlayerDB!$F$2:$H3480,3,FALSE)</f>
        <v>#N/A</v>
      </c>
    </row>
    <row r="2063">
      <c r="B2063" s="20" t="str">
        <f>VLOOKUP(A2063,PlayerDB!$F$2:$H3480,3,FALSE)</f>
        <v>#N/A</v>
      </c>
    </row>
    <row r="2064">
      <c r="B2064" s="20" t="str">
        <f>VLOOKUP(A2064,PlayerDB!$F$2:$H3480,3,FALSE)</f>
        <v>#N/A</v>
      </c>
    </row>
    <row r="2065">
      <c r="B2065" s="20" t="str">
        <f>VLOOKUP(A2065,PlayerDB!$F$2:$H3480,3,FALSE)</f>
        <v>#N/A</v>
      </c>
    </row>
    <row r="2066">
      <c r="B2066" s="20" t="str">
        <f>VLOOKUP(A2066,PlayerDB!$F$2:$H3480,3,FALSE)</f>
        <v>#N/A</v>
      </c>
    </row>
    <row r="2067">
      <c r="B2067" s="20" t="str">
        <f>VLOOKUP(A2067,PlayerDB!$F$2:$H3480,3,FALSE)</f>
        <v>#N/A</v>
      </c>
    </row>
    <row r="2068">
      <c r="B2068" s="20" t="str">
        <f>VLOOKUP(A2068,PlayerDB!$F$2:$H3480,3,FALSE)</f>
        <v>#N/A</v>
      </c>
    </row>
    <row r="2069">
      <c r="B2069" s="20" t="str">
        <f>VLOOKUP(A2069,PlayerDB!$F$2:$H3480,3,FALSE)</f>
        <v>#N/A</v>
      </c>
    </row>
    <row r="2070">
      <c r="B2070" s="20" t="str">
        <f>VLOOKUP(A2070,PlayerDB!$F$2:$H3480,3,FALSE)</f>
        <v>#N/A</v>
      </c>
    </row>
    <row r="2071">
      <c r="B2071" s="20" t="str">
        <f>VLOOKUP(A2071,PlayerDB!$F$2:$H3480,3,FALSE)</f>
        <v>#N/A</v>
      </c>
    </row>
    <row r="2072">
      <c r="B2072" s="20" t="str">
        <f>VLOOKUP(A2072,PlayerDB!$F$2:$H3480,3,FALSE)</f>
        <v>#N/A</v>
      </c>
    </row>
    <row r="2073">
      <c r="B2073" s="20" t="str">
        <f>VLOOKUP(A2073,PlayerDB!$F$2:$H3480,3,FALSE)</f>
        <v>#N/A</v>
      </c>
    </row>
    <row r="2074">
      <c r="B2074" s="20" t="str">
        <f>VLOOKUP(A2074,PlayerDB!$F$2:$H3480,3,FALSE)</f>
        <v>#N/A</v>
      </c>
    </row>
    <row r="2075">
      <c r="B2075" s="20" t="str">
        <f>VLOOKUP(A2075,PlayerDB!$F$2:$H3480,3,FALSE)</f>
        <v>#N/A</v>
      </c>
    </row>
    <row r="2076">
      <c r="B2076" s="20" t="str">
        <f>VLOOKUP(A2076,PlayerDB!$F$2:$H3480,3,FALSE)</f>
        <v>#N/A</v>
      </c>
    </row>
    <row r="2077">
      <c r="B2077" s="20" t="str">
        <f>VLOOKUP(A2077,PlayerDB!$F$2:$H3480,3,FALSE)</f>
        <v>#N/A</v>
      </c>
    </row>
    <row r="2078">
      <c r="B2078" s="20" t="str">
        <f>VLOOKUP(A2078,PlayerDB!$F$2:$H3480,3,FALSE)</f>
        <v>#N/A</v>
      </c>
    </row>
    <row r="2079">
      <c r="B2079" s="20" t="str">
        <f>VLOOKUP(A2079,PlayerDB!$F$2:$H3480,3,FALSE)</f>
        <v>#N/A</v>
      </c>
    </row>
    <row r="2080">
      <c r="B2080" s="20" t="str">
        <f>VLOOKUP(A2080,PlayerDB!$F$2:$H3480,3,FALSE)</f>
        <v>#N/A</v>
      </c>
    </row>
    <row r="2081">
      <c r="B2081" s="20" t="str">
        <f>VLOOKUP(A2081,PlayerDB!$F$2:$H3480,3,FALSE)</f>
        <v>#N/A</v>
      </c>
    </row>
    <row r="2082">
      <c r="B2082" s="20" t="str">
        <f>VLOOKUP(A2082,PlayerDB!$F$2:$H3480,3,FALSE)</f>
        <v>#N/A</v>
      </c>
    </row>
    <row r="2083">
      <c r="B2083" s="20" t="str">
        <f>VLOOKUP(A2083,PlayerDB!$F$2:$H3480,3,FALSE)</f>
        <v>#N/A</v>
      </c>
    </row>
    <row r="2084">
      <c r="B2084" s="20" t="str">
        <f>VLOOKUP(A2084,PlayerDB!$F$2:$H3480,3,FALSE)</f>
        <v>#N/A</v>
      </c>
    </row>
    <row r="2085">
      <c r="B2085" s="20" t="str">
        <f>VLOOKUP(A2085,PlayerDB!$F$2:$H3480,3,FALSE)</f>
        <v>#N/A</v>
      </c>
    </row>
    <row r="2086">
      <c r="B2086" s="20" t="str">
        <f>VLOOKUP(A2086,PlayerDB!$F$2:$H3480,3,FALSE)</f>
        <v>#N/A</v>
      </c>
    </row>
    <row r="2087">
      <c r="B2087" s="20" t="str">
        <f>VLOOKUP(A2087,PlayerDB!$F$2:$H3480,3,FALSE)</f>
        <v>#N/A</v>
      </c>
    </row>
    <row r="2088">
      <c r="B2088" s="20" t="str">
        <f>VLOOKUP(A2088,PlayerDB!$F$2:$H3480,3,FALSE)</f>
        <v>#N/A</v>
      </c>
    </row>
    <row r="2089">
      <c r="B2089" s="20" t="str">
        <f>VLOOKUP(A2089,PlayerDB!$F$2:$H3480,3,FALSE)</f>
        <v>#N/A</v>
      </c>
    </row>
    <row r="2090">
      <c r="B2090" s="20" t="str">
        <f>VLOOKUP(A2090,PlayerDB!$F$2:$H3480,3,FALSE)</f>
        <v>#N/A</v>
      </c>
    </row>
    <row r="2091">
      <c r="B2091" s="20" t="str">
        <f>VLOOKUP(A2091,PlayerDB!$F$2:$H3480,3,FALSE)</f>
        <v>#N/A</v>
      </c>
    </row>
    <row r="2092">
      <c r="B2092" s="20" t="str">
        <f>VLOOKUP(A2092,PlayerDB!$F$2:$H3480,3,FALSE)</f>
        <v>#N/A</v>
      </c>
    </row>
    <row r="2093">
      <c r="B2093" s="20" t="str">
        <f>VLOOKUP(A2093,PlayerDB!$F$2:$H3480,3,FALSE)</f>
        <v>#N/A</v>
      </c>
    </row>
    <row r="2094">
      <c r="B2094" s="20" t="str">
        <f>VLOOKUP(A2094,PlayerDB!$F$2:$H3480,3,FALSE)</f>
        <v>#N/A</v>
      </c>
    </row>
    <row r="2095">
      <c r="B2095" s="20" t="str">
        <f>VLOOKUP(A2095,PlayerDB!$F$2:$H3480,3,FALSE)</f>
        <v>#N/A</v>
      </c>
    </row>
    <row r="2096">
      <c r="B2096" s="20" t="str">
        <f>VLOOKUP(A2096,PlayerDB!$F$2:$H3480,3,FALSE)</f>
        <v>#N/A</v>
      </c>
    </row>
    <row r="2097">
      <c r="B2097" s="20" t="str">
        <f>VLOOKUP(A2097,PlayerDB!$F$2:$H3480,3,FALSE)</f>
        <v>#N/A</v>
      </c>
    </row>
    <row r="2098">
      <c r="B2098" s="20" t="str">
        <f>VLOOKUP(A2098,PlayerDB!$F$2:$H3480,3,FALSE)</f>
        <v>#N/A</v>
      </c>
    </row>
    <row r="2099">
      <c r="B2099" s="20" t="str">
        <f>VLOOKUP(A2099,PlayerDB!$F$2:$H3480,3,FALSE)</f>
        <v>#N/A</v>
      </c>
    </row>
    <row r="2100">
      <c r="B2100" s="20" t="str">
        <f>VLOOKUP(A2100,PlayerDB!$F$2:$H3480,3,FALSE)</f>
        <v>#N/A</v>
      </c>
    </row>
    <row r="2101">
      <c r="B2101" s="20" t="str">
        <f>VLOOKUP(A2101,PlayerDB!$F$2:$H3480,3,FALSE)</f>
        <v>#N/A</v>
      </c>
    </row>
    <row r="2102">
      <c r="B2102" s="20" t="str">
        <f>VLOOKUP(A2102,PlayerDB!$F$2:$H3480,3,FALSE)</f>
        <v>#N/A</v>
      </c>
    </row>
    <row r="2103">
      <c r="B2103" s="20" t="str">
        <f>VLOOKUP(A2103,PlayerDB!$F$2:$H3480,3,FALSE)</f>
        <v>#N/A</v>
      </c>
    </row>
    <row r="2104">
      <c r="B2104" s="20" t="str">
        <f>VLOOKUP(A2104,PlayerDB!$F$2:$H3480,3,FALSE)</f>
        <v>#N/A</v>
      </c>
    </row>
    <row r="2105">
      <c r="B2105" s="20" t="str">
        <f>VLOOKUP(A2105,PlayerDB!$F$2:$H3480,3,FALSE)</f>
        <v>#N/A</v>
      </c>
    </row>
    <row r="2106">
      <c r="B2106" s="20" t="str">
        <f>VLOOKUP(A2106,PlayerDB!$F$2:$H3480,3,FALSE)</f>
        <v>#N/A</v>
      </c>
    </row>
    <row r="2107">
      <c r="B2107" s="20" t="str">
        <f>VLOOKUP(A2107,PlayerDB!$F$2:$H3480,3,FALSE)</f>
        <v>#N/A</v>
      </c>
    </row>
    <row r="2108">
      <c r="B2108" s="20" t="str">
        <f>VLOOKUP(A2108,PlayerDB!$F$2:$H3480,3,FALSE)</f>
        <v>#N/A</v>
      </c>
    </row>
    <row r="2109">
      <c r="B2109" s="20" t="str">
        <f>VLOOKUP(A2109,PlayerDB!$F$2:$H3480,3,FALSE)</f>
        <v>#N/A</v>
      </c>
    </row>
    <row r="2110">
      <c r="B2110" s="20" t="str">
        <f>VLOOKUP(A2110,PlayerDB!$F$2:$H3480,3,FALSE)</f>
        <v>#N/A</v>
      </c>
    </row>
    <row r="2111">
      <c r="B2111" s="20" t="str">
        <f>VLOOKUP(A2111,PlayerDB!$F$2:$H3480,3,FALSE)</f>
        <v>#N/A</v>
      </c>
    </row>
    <row r="2112">
      <c r="B2112" s="20" t="str">
        <f>VLOOKUP(A2112,PlayerDB!$F$2:$H3480,3,FALSE)</f>
        <v>#N/A</v>
      </c>
    </row>
    <row r="2113">
      <c r="B2113" s="20" t="str">
        <f>VLOOKUP(A2113,PlayerDB!$F$2:$H3480,3,FALSE)</f>
        <v>#N/A</v>
      </c>
    </row>
    <row r="2114">
      <c r="B2114" s="20" t="str">
        <f>VLOOKUP(A2114,PlayerDB!$F$2:$H3480,3,FALSE)</f>
        <v>#N/A</v>
      </c>
    </row>
    <row r="2115">
      <c r="B2115" s="20" t="str">
        <f>VLOOKUP(A2115,PlayerDB!$F$2:$H3480,3,FALSE)</f>
        <v>#N/A</v>
      </c>
    </row>
    <row r="2116">
      <c r="B2116" s="20" t="str">
        <f>VLOOKUP(A2116,PlayerDB!$F$2:$H3480,3,FALSE)</f>
        <v>#N/A</v>
      </c>
    </row>
    <row r="2117">
      <c r="B2117" s="20" t="str">
        <f>VLOOKUP(A2117,PlayerDB!$F$2:$H3480,3,FALSE)</f>
        <v>#N/A</v>
      </c>
    </row>
    <row r="2118">
      <c r="B2118" s="20" t="str">
        <f>VLOOKUP(A2118,PlayerDB!$F$2:$H3480,3,FALSE)</f>
        <v>#N/A</v>
      </c>
    </row>
    <row r="2119">
      <c r="B2119" s="20" t="str">
        <f>VLOOKUP(A2119,PlayerDB!$F$2:$H3480,3,FALSE)</f>
        <v>#N/A</v>
      </c>
    </row>
    <row r="2120">
      <c r="B2120" s="20" t="str">
        <f>VLOOKUP(A2120,PlayerDB!$F$2:$H3480,3,FALSE)</f>
        <v>#N/A</v>
      </c>
    </row>
    <row r="2121">
      <c r="B2121" s="20" t="str">
        <f>VLOOKUP(A2121,PlayerDB!$F$2:$H3480,3,FALSE)</f>
        <v>#N/A</v>
      </c>
    </row>
    <row r="2122">
      <c r="B2122" s="20" t="str">
        <f>VLOOKUP(A2122,PlayerDB!$F$2:$H3480,3,FALSE)</f>
        <v>#N/A</v>
      </c>
    </row>
    <row r="2123">
      <c r="B2123" s="20" t="str">
        <f>VLOOKUP(A2123,PlayerDB!$F$2:$H3480,3,FALSE)</f>
        <v>#N/A</v>
      </c>
    </row>
    <row r="2124">
      <c r="B2124" s="20" t="str">
        <f>VLOOKUP(A2124,PlayerDB!$F$2:$H3480,3,FALSE)</f>
        <v>#N/A</v>
      </c>
    </row>
    <row r="2125">
      <c r="B2125" s="20" t="str">
        <f>VLOOKUP(A2125,PlayerDB!$F$2:$H3480,3,FALSE)</f>
        <v>#N/A</v>
      </c>
    </row>
    <row r="2126">
      <c r="B2126" s="20" t="str">
        <f>VLOOKUP(A2126,PlayerDB!$F$2:$H3480,3,FALSE)</f>
        <v>#N/A</v>
      </c>
    </row>
    <row r="2127">
      <c r="B2127" s="20" t="str">
        <f>VLOOKUP(A2127,PlayerDB!$F$2:$H3480,3,FALSE)</f>
        <v>#N/A</v>
      </c>
    </row>
    <row r="2128">
      <c r="B2128" s="20" t="str">
        <f>VLOOKUP(A2128,PlayerDB!$F$2:$H3480,3,FALSE)</f>
        <v>#N/A</v>
      </c>
    </row>
    <row r="2129">
      <c r="B2129" s="20" t="str">
        <f>VLOOKUP(A2129,PlayerDB!$F$2:$H3480,3,FALSE)</f>
        <v>#N/A</v>
      </c>
    </row>
    <row r="2130">
      <c r="B2130" s="20" t="str">
        <f>VLOOKUP(A2130,PlayerDB!$F$2:$H3480,3,FALSE)</f>
        <v>#N/A</v>
      </c>
    </row>
    <row r="2131">
      <c r="B2131" s="20" t="str">
        <f>VLOOKUP(A2131,PlayerDB!$F$2:$H3480,3,FALSE)</f>
        <v>#N/A</v>
      </c>
    </row>
    <row r="2132">
      <c r="B2132" s="20" t="str">
        <f>VLOOKUP(A2132,PlayerDB!$F$2:$H3480,3,FALSE)</f>
        <v>#N/A</v>
      </c>
    </row>
    <row r="2133">
      <c r="B2133" s="20" t="str">
        <f>VLOOKUP(A2133,PlayerDB!$F$2:$H3480,3,FALSE)</f>
        <v>#N/A</v>
      </c>
    </row>
    <row r="2134">
      <c r="B2134" s="20" t="str">
        <f>VLOOKUP(A2134,PlayerDB!$F$2:$H3480,3,FALSE)</f>
        <v>#N/A</v>
      </c>
    </row>
    <row r="2135">
      <c r="B2135" s="20" t="str">
        <f>VLOOKUP(A2135,PlayerDB!$F$2:$H3480,3,FALSE)</f>
        <v>#N/A</v>
      </c>
    </row>
    <row r="2136">
      <c r="B2136" s="20" t="str">
        <f>VLOOKUP(A2136,PlayerDB!$F$2:$H3480,3,FALSE)</f>
        <v>#N/A</v>
      </c>
    </row>
    <row r="2137">
      <c r="B2137" s="20" t="str">
        <f>VLOOKUP(A2137,PlayerDB!$F$2:$H3480,3,FALSE)</f>
        <v>#N/A</v>
      </c>
    </row>
    <row r="2138">
      <c r="B2138" s="20" t="str">
        <f>VLOOKUP(A2138,PlayerDB!$F$2:$H3480,3,FALSE)</f>
        <v>#N/A</v>
      </c>
    </row>
    <row r="2139">
      <c r="B2139" s="20" t="str">
        <f>VLOOKUP(A2139,PlayerDB!$F$2:$H3480,3,FALSE)</f>
        <v>#N/A</v>
      </c>
    </row>
    <row r="2140">
      <c r="B2140" s="20" t="str">
        <f>VLOOKUP(A2140,PlayerDB!$F$2:$H3480,3,FALSE)</f>
        <v>#N/A</v>
      </c>
    </row>
    <row r="2141">
      <c r="B2141" s="20" t="str">
        <f>VLOOKUP(A2141,PlayerDB!$F$2:$H3480,3,FALSE)</f>
        <v>#N/A</v>
      </c>
    </row>
    <row r="2142">
      <c r="B2142" s="20" t="str">
        <f>VLOOKUP(A2142,PlayerDB!$F$2:$H3480,3,FALSE)</f>
        <v>#N/A</v>
      </c>
    </row>
    <row r="2143">
      <c r="B2143" s="20" t="str">
        <f>VLOOKUP(A2143,PlayerDB!$F$2:$H3480,3,FALSE)</f>
        <v>#N/A</v>
      </c>
    </row>
    <row r="2144">
      <c r="B2144" s="20" t="str">
        <f>VLOOKUP(A2144,PlayerDB!$F$2:$H3480,3,FALSE)</f>
        <v>#N/A</v>
      </c>
    </row>
    <row r="2145">
      <c r="B2145" s="20" t="str">
        <f>VLOOKUP(A2145,PlayerDB!$F$2:$H3480,3,FALSE)</f>
        <v>#N/A</v>
      </c>
    </row>
    <row r="2146">
      <c r="B2146" s="20" t="str">
        <f>VLOOKUP(A2146,PlayerDB!$F$2:$H3480,3,FALSE)</f>
        <v>#N/A</v>
      </c>
    </row>
    <row r="2147">
      <c r="B2147" s="20" t="str">
        <f>VLOOKUP(A2147,PlayerDB!$F$2:$H3480,3,FALSE)</f>
        <v>#N/A</v>
      </c>
    </row>
    <row r="2148">
      <c r="B2148" s="20" t="str">
        <f>VLOOKUP(A2148,PlayerDB!$F$2:$H3480,3,FALSE)</f>
        <v>#N/A</v>
      </c>
    </row>
    <row r="2149">
      <c r="B2149" s="20" t="str">
        <f>VLOOKUP(A2149,PlayerDB!$F$2:$H3480,3,FALSE)</f>
        <v>#N/A</v>
      </c>
    </row>
    <row r="2150">
      <c r="B2150" s="20" t="str">
        <f>VLOOKUP(A2150,PlayerDB!$F$2:$H3480,3,FALSE)</f>
        <v>#N/A</v>
      </c>
    </row>
    <row r="2151">
      <c r="B2151" s="20" t="str">
        <f>VLOOKUP(A2151,PlayerDB!$F$2:$H3480,3,FALSE)</f>
        <v>#N/A</v>
      </c>
    </row>
    <row r="2152">
      <c r="B2152" s="20" t="str">
        <f>VLOOKUP(A2152,PlayerDB!$F$2:$H3480,3,FALSE)</f>
        <v>#N/A</v>
      </c>
    </row>
    <row r="2153">
      <c r="B2153" s="20" t="str">
        <f>VLOOKUP(A2153,PlayerDB!$F$2:$H3480,3,FALSE)</f>
        <v>#N/A</v>
      </c>
    </row>
    <row r="2154">
      <c r="B2154" s="20" t="str">
        <f>VLOOKUP(A2154,PlayerDB!$F$2:$H3480,3,FALSE)</f>
        <v>#N/A</v>
      </c>
    </row>
    <row r="2155">
      <c r="B2155" s="20" t="str">
        <f>VLOOKUP(A2155,PlayerDB!$F$2:$H3480,3,FALSE)</f>
        <v>#N/A</v>
      </c>
    </row>
    <row r="2156">
      <c r="B2156" s="20" t="str">
        <f>VLOOKUP(A2156,PlayerDB!$F$2:$H3480,3,FALSE)</f>
        <v>#N/A</v>
      </c>
    </row>
    <row r="2157">
      <c r="B2157" s="20" t="str">
        <f>VLOOKUP(A2157,PlayerDB!$F$2:$H3480,3,FALSE)</f>
        <v>#N/A</v>
      </c>
    </row>
    <row r="2158">
      <c r="B2158" s="20" t="str">
        <f>VLOOKUP(A2158,PlayerDB!$F$2:$H3480,3,FALSE)</f>
        <v>#N/A</v>
      </c>
    </row>
    <row r="2159">
      <c r="B2159" s="20" t="str">
        <f>VLOOKUP(A2159,PlayerDB!$F$2:$H3480,3,FALSE)</f>
        <v>#N/A</v>
      </c>
    </row>
    <row r="2160">
      <c r="B2160" s="20" t="str">
        <f>VLOOKUP(A2160,PlayerDB!$F$2:$H3480,3,FALSE)</f>
        <v>#N/A</v>
      </c>
    </row>
    <row r="2161">
      <c r="B2161" s="20" t="str">
        <f>VLOOKUP(A2161,PlayerDB!$F$2:$H3480,3,FALSE)</f>
        <v>#N/A</v>
      </c>
    </row>
    <row r="2162">
      <c r="B2162" s="20" t="str">
        <f>VLOOKUP(A2162,PlayerDB!$F$2:$H3480,3,FALSE)</f>
        <v>#N/A</v>
      </c>
    </row>
    <row r="2163">
      <c r="B2163" s="20" t="str">
        <f>VLOOKUP(A2163,PlayerDB!$F$2:$H3480,3,FALSE)</f>
        <v>#N/A</v>
      </c>
    </row>
    <row r="2164">
      <c r="B2164" s="20" t="str">
        <f>VLOOKUP(A2164,PlayerDB!$F$2:$H3480,3,FALSE)</f>
        <v>#N/A</v>
      </c>
    </row>
    <row r="2165">
      <c r="B2165" s="20" t="str">
        <f>VLOOKUP(A2165,PlayerDB!$F$2:$H3480,3,FALSE)</f>
        <v>#N/A</v>
      </c>
    </row>
    <row r="2166">
      <c r="B2166" s="20" t="str">
        <f>VLOOKUP(A2166,PlayerDB!$F$2:$H3480,3,FALSE)</f>
        <v>#N/A</v>
      </c>
    </row>
    <row r="2167">
      <c r="B2167" s="20" t="str">
        <f>VLOOKUP(A2167,PlayerDB!$F$2:$H3480,3,FALSE)</f>
        <v>#N/A</v>
      </c>
    </row>
    <row r="2168">
      <c r="B2168" s="20" t="str">
        <f>VLOOKUP(A2168,PlayerDB!$F$2:$H3480,3,FALSE)</f>
        <v>#N/A</v>
      </c>
    </row>
    <row r="2169">
      <c r="B2169" s="20" t="str">
        <f>VLOOKUP(A2169,PlayerDB!$F$2:$H3480,3,FALSE)</f>
        <v>#N/A</v>
      </c>
    </row>
    <row r="2170">
      <c r="B2170" s="20" t="str">
        <f>VLOOKUP(A2170,PlayerDB!$F$2:$H3480,3,FALSE)</f>
        <v>#N/A</v>
      </c>
    </row>
    <row r="2171">
      <c r="B2171" s="20" t="str">
        <f>VLOOKUP(A2171,PlayerDB!$F$2:$H3480,3,FALSE)</f>
        <v>#N/A</v>
      </c>
    </row>
    <row r="2172">
      <c r="B2172" s="20" t="str">
        <f>VLOOKUP(A2172,PlayerDB!$F$2:$H3480,3,FALSE)</f>
        <v>#N/A</v>
      </c>
    </row>
    <row r="2173">
      <c r="B2173" s="20" t="str">
        <f>VLOOKUP(A2173,PlayerDB!$F$2:$H3480,3,FALSE)</f>
        <v>#N/A</v>
      </c>
    </row>
    <row r="2174">
      <c r="B2174" s="20" t="str">
        <f>VLOOKUP(A2174,PlayerDB!$F$2:$H3480,3,FALSE)</f>
        <v>#N/A</v>
      </c>
    </row>
    <row r="2175">
      <c r="B2175" s="20" t="str">
        <f>VLOOKUP(A2175,PlayerDB!$F$2:$H3480,3,FALSE)</f>
        <v>#N/A</v>
      </c>
    </row>
    <row r="2176">
      <c r="B2176" s="20" t="str">
        <f>VLOOKUP(A2176,PlayerDB!$F$2:$H3480,3,FALSE)</f>
        <v>#N/A</v>
      </c>
    </row>
    <row r="2177">
      <c r="B2177" s="20" t="str">
        <f>VLOOKUP(A2177,PlayerDB!$F$2:$H3480,3,FALSE)</f>
        <v>#N/A</v>
      </c>
    </row>
    <row r="2178">
      <c r="B2178" s="20" t="str">
        <f>VLOOKUP(A2178,PlayerDB!$F$2:$H3480,3,FALSE)</f>
        <v>#N/A</v>
      </c>
    </row>
    <row r="2179">
      <c r="B2179" s="20" t="str">
        <f>VLOOKUP(A2179,PlayerDB!$F$2:$H3480,3,FALSE)</f>
        <v>#N/A</v>
      </c>
    </row>
    <row r="2180">
      <c r="B2180" s="20" t="str">
        <f>VLOOKUP(A2180,PlayerDB!$F$2:$H3480,3,FALSE)</f>
        <v>#N/A</v>
      </c>
    </row>
    <row r="2181">
      <c r="B2181" s="20" t="str">
        <f>VLOOKUP(A2181,PlayerDB!$F$2:$H3480,3,FALSE)</f>
        <v>#N/A</v>
      </c>
    </row>
    <row r="2182">
      <c r="B2182" s="20" t="str">
        <f>VLOOKUP(A2182,PlayerDB!$F$2:$H3480,3,FALSE)</f>
        <v>#N/A</v>
      </c>
    </row>
    <row r="2183">
      <c r="B2183" s="20" t="str">
        <f>VLOOKUP(A2183,PlayerDB!$F$2:$H3480,3,FALSE)</f>
        <v>#N/A</v>
      </c>
    </row>
    <row r="2184">
      <c r="B2184" s="20" t="str">
        <f>VLOOKUP(A2184,PlayerDB!$F$2:$H3480,3,FALSE)</f>
        <v>#N/A</v>
      </c>
    </row>
    <row r="2185">
      <c r="B2185" s="20" t="str">
        <f>VLOOKUP(A2185,PlayerDB!$F$2:$H3480,3,FALSE)</f>
        <v>#N/A</v>
      </c>
    </row>
    <row r="2186">
      <c r="B2186" s="20" t="str">
        <f>VLOOKUP(A2186,PlayerDB!$F$2:$H3480,3,FALSE)</f>
        <v>#N/A</v>
      </c>
    </row>
    <row r="2187">
      <c r="B2187" s="20" t="str">
        <f>VLOOKUP(A2187,PlayerDB!$F$2:$H3480,3,FALSE)</f>
        <v>#N/A</v>
      </c>
    </row>
    <row r="2188">
      <c r="B2188" s="20" t="str">
        <f>VLOOKUP(A2188,PlayerDB!$F$2:$H3480,3,FALSE)</f>
        <v>#N/A</v>
      </c>
    </row>
    <row r="2189">
      <c r="B2189" s="20" t="str">
        <f>VLOOKUP(A2189,PlayerDB!$F$2:$H3480,3,FALSE)</f>
        <v>#N/A</v>
      </c>
    </row>
    <row r="2190">
      <c r="B2190" s="20" t="str">
        <f>VLOOKUP(A2190,PlayerDB!$F$2:$H3480,3,FALSE)</f>
        <v>#N/A</v>
      </c>
    </row>
    <row r="2191">
      <c r="B2191" s="20" t="str">
        <f>VLOOKUP(A2191,PlayerDB!$F$2:$H3480,3,FALSE)</f>
        <v>#N/A</v>
      </c>
    </row>
    <row r="2192">
      <c r="B2192" s="20" t="str">
        <f>VLOOKUP(A2192,PlayerDB!$F$2:$H3480,3,FALSE)</f>
        <v>#N/A</v>
      </c>
    </row>
    <row r="2193">
      <c r="B2193" s="20" t="str">
        <f>VLOOKUP(A2193,PlayerDB!$F$2:$H3480,3,FALSE)</f>
        <v>#N/A</v>
      </c>
    </row>
    <row r="2194">
      <c r="B2194" s="20" t="str">
        <f>VLOOKUP(A2194,PlayerDB!$F$2:$H3480,3,FALSE)</f>
        <v>#N/A</v>
      </c>
    </row>
    <row r="2195">
      <c r="B2195" s="20" t="str">
        <f>VLOOKUP(A2195,PlayerDB!$F$2:$H3480,3,FALSE)</f>
        <v>#N/A</v>
      </c>
    </row>
    <row r="2196">
      <c r="B2196" s="20" t="str">
        <f>VLOOKUP(A2196,PlayerDB!$F$2:$H3480,3,FALSE)</f>
        <v>#N/A</v>
      </c>
    </row>
    <row r="2197">
      <c r="B2197" s="20" t="str">
        <f>VLOOKUP(A2197,PlayerDB!$F$2:$H3480,3,FALSE)</f>
        <v>#N/A</v>
      </c>
    </row>
    <row r="2198">
      <c r="B2198" s="20" t="str">
        <f>VLOOKUP(A2198,PlayerDB!$F$2:$H3480,3,FALSE)</f>
        <v>#N/A</v>
      </c>
    </row>
    <row r="2199">
      <c r="B2199" s="20" t="str">
        <f>VLOOKUP(A2199,PlayerDB!$F$2:$H3480,3,FALSE)</f>
        <v>#N/A</v>
      </c>
    </row>
    <row r="2200">
      <c r="B2200" s="20" t="str">
        <f>VLOOKUP(A2200,PlayerDB!$F$2:$H3480,3,FALSE)</f>
        <v>#N/A</v>
      </c>
    </row>
    <row r="2201">
      <c r="B2201" s="20" t="str">
        <f>VLOOKUP(A2201,PlayerDB!$F$2:$H3480,3,FALSE)</f>
        <v>#N/A</v>
      </c>
    </row>
    <row r="2202">
      <c r="B2202" s="20" t="str">
        <f>VLOOKUP(A2202,PlayerDB!$F$2:$H3480,3,FALSE)</f>
        <v>#N/A</v>
      </c>
    </row>
    <row r="2203">
      <c r="B2203" s="20" t="str">
        <f>VLOOKUP(A2203,PlayerDB!$F$2:$H3480,3,FALSE)</f>
        <v>#N/A</v>
      </c>
    </row>
    <row r="2204">
      <c r="B2204" s="20" t="str">
        <f>VLOOKUP(A2204,PlayerDB!$F$2:$H3480,3,FALSE)</f>
        <v>#N/A</v>
      </c>
    </row>
    <row r="2205">
      <c r="B2205" s="20" t="str">
        <f>VLOOKUP(A2205,PlayerDB!$F$2:$H3480,3,FALSE)</f>
        <v>#N/A</v>
      </c>
    </row>
    <row r="2206">
      <c r="B2206" s="20" t="str">
        <f>VLOOKUP(A2206,PlayerDB!$F$2:$H3480,3,FALSE)</f>
        <v>#N/A</v>
      </c>
    </row>
    <row r="2207">
      <c r="B2207" s="20" t="str">
        <f>VLOOKUP(A2207,PlayerDB!$F$2:$H3480,3,FALSE)</f>
        <v>#N/A</v>
      </c>
    </row>
    <row r="2208">
      <c r="B2208" s="20" t="str">
        <f>VLOOKUP(A2208,PlayerDB!$F$2:$H3480,3,FALSE)</f>
        <v>#N/A</v>
      </c>
    </row>
    <row r="2209">
      <c r="B2209" s="20" t="str">
        <f>VLOOKUP(A2209,PlayerDB!$F$2:$H3480,3,FALSE)</f>
        <v>#N/A</v>
      </c>
    </row>
    <row r="2210">
      <c r="B2210" s="20" t="str">
        <f>VLOOKUP(A2210,PlayerDB!$F$2:$H3480,3,FALSE)</f>
        <v>#N/A</v>
      </c>
    </row>
    <row r="2211">
      <c r="B2211" s="20" t="str">
        <f>VLOOKUP(A2211,PlayerDB!$F$2:$H3480,3,FALSE)</f>
        <v>#N/A</v>
      </c>
    </row>
    <row r="2212">
      <c r="B2212" s="20" t="str">
        <f>VLOOKUP(A2212,PlayerDB!$F$2:$H3480,3,FALSE)</f>
        <v>#N/A</v>
      </c>
    </row>
    <row r="2213">
      <c r="B2213" s="20" t="str">
        <f>VLOOKUP(A2213,PlayerDB!$F$2:$H3480,3,FALSE)</f>
        <v>#N/A</v>
      </c>
    </row>
    <row r="2214">
      <c r="B2214" s="20" t="str">
        <f>VLOOKUP(A2214,PlayerDB!$F$2:$H3480,3,FALSE)</f>
        <v>#N/A</v>
      </c>
    </row>
    <row r="2215">
      <c r="B2215" s="20" t="str">
        <f>VLOOKUP(A2215,PlayerDB!$F$2:$H3480,3,FALSE)</f>
        <v>#N/A</v>
      </c>
    </row>
    <row r="2216">
      <c r="B2216" s="20" t="str">
        <f>VLOOKUP(A2216,PlayerDB!$F$2:$H3480,3,FALSE)</f>
        <v>#N/A</v>
      </c>
    </row>
    <row r="2217">
      <c r="B2217" s="20" t="str">
        <f>VLOOKUP(A2217,PlayerDB!$F$2:$H3480,3,FALSE)</f>
        <v>#N/A</v>
      </c>
    </row>
    <row r="2218">
      <c r="B2218" s="20" t="str">
        <f>VLOOKUP(A2218,PlayerDB!$F$2:$H3480,3,FALSE)</f>
        <v>#N/A</v>
      </c>
    </row>
    <row r="2219">
      <c r="B2219" s="20" t="str">
        <f>VLOOKUP(A2219,PlayerDB!$F$2:$H3480,3,FALSE)</f>
        <v>#N/A</v>
      </c>
    </row>
    <row r="2220">
      <c r="B2220" s="20" t="str">
        <f>VLOOKUP(A2220,PlayerDB!$F$2:$H3480,3,FALSE)</f>
        <v>#N/A</v>
      </c>
    </row>
    <row r="2221">
      <c r="B2221" s="20" t="str">
        <f>VLOOKUP(A2221,PlayerDB!$F$2:$H3480,3,FALSE)</f>
        <v>#N/A</v>
      </c>
    </row>
    <row r="2222">
      <c r="B2222" s="20" t="str">
        <f>VLOOKUP(A2222,PlayerDB!$F$2:$H3480,3,FALSE)</f>
        <v>#N/A</v>
      </c>
    </row>
    <row r="2223">
      <c r="B2223" s="20" t="str">
        <f>VLOOKUP(A2223,PlayerDB!$F$2:$H3480,3,FALSE)</f>
        <v>#N/A</v>
      </c>
    </row>
    <row r="2224">
      <c r="B2224" s="20" t="str">
        <f>VLOOKUP(A2224,PlayerDB!$F$2:$H3480,3,FALSE)</f>
        <v>#N/A</v>
      </c>
    </row>
    <row r="2225">
      <c r="B2225" s="20" t="str">
        <f>VLOOKUP(A2225,PlayerDB!$F$2:$H3480,3,FALSE)</f>
        <v>#N/A</v>
      </c>
    </row>
    <row r="2226">
      <c r="B2226" s="20" t="str">
        <f>VLOOKUP(A2226,PlayerDB!$F$2:$H3480,3,FALSE)</f>
        <v>#N/A</v>
      </c>
    </row>
    <row r="2227">
      <c r="B2227" s="20" t="str">
        <f>VLOOKUP(A2227,PlayerDB!$F$2:$H3480,3,FALSE)</f>
        <v>#N/A</v>
      </c>
    </row>
    <row r="2228">
      <c r="B2228" s="20" t="str">
        <f>VLOOKUP(A2228,PlayerDB!$F$2:$H3480,3,FALSE)</f>
        <v>#N/A</v>
      </c>
    </row>
    <row r="2229">
      <c r="B2229" s="20" t="str">
        <f>VLOOKUP(A2229,PlayerDB!$F$2:$H3480,3,FALSE)</f>
        <v>#N/A</v>
      </c>
    </row>
    <row r="2230">
      <c r="B2230" s="20" t="str">
        <f>VLOOKUP(A2230,PlayerDB!$F$2:$H3480,3,FALSE)</f>
        <v>#N/A</v>
      </c>
    </row>
    <row r="2231">
      <c r="B2231" s="20" t="str">
        <f>VLOOKUP(A2231,PlayerDB!$F$2:$H3480,3,FALSE)</f>
        <v>#N/A</v>
      </c>
    </row>
    <row r="2232">
      <c r="B2232" s="20" t="str">
        <f>VLOOKUP(A2232,PlayerDB!$F$2:$H3480,3,FALSE)</f>
        <v>#N/A</v>
      </c>
    </row>
    <row r="2233">
      <c r="B2233" s="20" t="str">
        <f>VLOOKUP(A2233,PlayerDB!$F$2:$H3480,3,FALSE)</f>
        <v>#N/A</v>
      </c>
    </row>
    <row r="2234">
      <c r="B2234" s="20" t="str">
        <f>VLOOKUP(A2234,PlayerDB!$F$2:$H3480,3,FALSE)</f>
        <v>#N/A</v>
      </c>
    </row>
    <row r="2235">
      <c r="B2235" s="20" t="str">
        <f>VLOOKUP(A2235,PlayerDB!$F$2:$H3480,3,FALSE)</f>
        <v>#N/A</v>
      </c>
    </row>
    <row r="2236">
      <c r="B2236" s="20" t="str">
        <f>VLOOKUP(A2236,PlayerDB!$F$2:$H3480,3,FALSE)</f>
        <v>#N/A</v>
      </c>
    </row>
    <row r="2237">
      <c r="B2237" s="20" t="str">
        <f>VLOOKUP(A2237,PlayerDB!$F$2:$H3480,3,FALSE)</f>
        <v>#N/A</v>
      </c>
    </row>
    <row r="2238">
      <c r="B2238" s="20" t="str">
        <f>VLOOKUP(A2238,PlayerDB!$F$2:$H3480,3,FALSE)</f>
        <v>#N/A</v>
      </c>
    </row>
    <row r="2239">
      <c r="B2239" s="20" t="str">
        <f>VLOOKUP(A2239,PlayerDB!$F$2:$H3480,3,FALSE)</f>
        <v>#N/A</v>
      </c>
    </row>
    <row r="2240">
      <c r="B2240" s="20" t="str">
        <f>VLOOKUP(A2240,PlayerDB!$F$2:$H3480,3,FALSE)</f>
        <v>#N/A</v>
      </c>
    </row>
    <row r="2241">
      <c r="B2241" s="20" t="str">
        <f>VLOOKUP(A2241,PlayerDB!$F$2:$H3480,3,FALSE)</f>
        <v>#N/A</v>
      </c>
    </row>
    <row r="2242">
      <c r="B2242" s="20" t="str">
        <f>VLOOKUP(A2242,PlayerDB!$F$2:$H3480,3,FALSE)</f>
        <v>#N/A</v>
      </c>
    </row>
    <row r="2243">
      <c r="B2243" s="20" t="str">
        <f>VLOOKUP(A2243,PlayerDB!$F$2:$H3480,3,FALSE)</f>
        <v>#N/A</v>
      </c>
    </row>
    <row r="2244">
      <c r="B2244" s="20" t="str">
        <f>VLOOKUP(A2244,PlayerDB!$F$2:$H3480,3,FALSE)</f>
        <v>#N/A</v>
      </c>
    </row>
    <row r="2245">
      <c r="B2245" s="20" t="str">
        <f>VLOOKUP(A2245,PlayerDB!$F$2:$H3480,3,FALSE)</f>
        <v>#N/A</v>
      </c>
    </row>
    <row r="2246">
      <c r="B2246" s="20" t="str">
        <f>VLOOKUP(A2246,PlayerDB!$F$2:$H3480,3,FALSE)</f>
        <v>#N/A</v>
      </c>
    </row>
    <row r="2247">
      <c r="B2247" s="20" t="str">
        <f>VLOOKUP(A2247,PlayerDB!$F$2:$H3480,3,FALSE)</f>
        <v>#N/A</v>
      </c>
    </row>
    <row r="2248">
      <c r="B2248" s="20" t="str">
        <f>VLOOKUP(A2248,PlayerDB!$F$2:$H3480,3,FALSE)</f>
        <v>#N/A</v>
      </c>
    </row>
    <row r="2249">
      <c r="B2249" s="20" t="str">
        <f>VLOOKUP(A2249,PlayerDB!$F$2:$H3480,3,FALSE)</f>
        <v>#N/A</v>
      </c>
    </row>
    <row r="2250">
      <c r="B2250" s="20" t="str">
        <f>VLOOKUP(A2250,PlayerDB!$F$2:$H3480,3,FALSE)</f>
        <v>#N/A</v>
      </c>
    </row>
    <row r="2251">
      <c r="B2251" s="20" t="str">
        <f>VLOOKUP(A2251,PlayerDB!$F$2:$H3480,3,FALSE)</f>
        <v>#N/A</v>
      </c>
    </row>
    <row r="2252">
      <c r="B2252" s="20" t="str">
        <f>VLOOKUP(A2252,PlayerDB!$F$2:$H3480,3,FALSE)</f>
        <v>#N/A</v>
      </c>
    </row>
    <row r="2253">
      <c r="B2253" s="20" t="str">
        <f>VLOOKUP(A2253,PlayerDB!$F$2:$H3480,3,FALSE)</f>
        <v>#N/A</v>
      </c>
    </row>
    <row r="2254">
      <c r="B2254" s="20" t="str">
        <f>VLOOKUP(A2254,PlayerDB!$F$2:$H3480,3,FALSE)</f>
        <v>#N/A</v>
      </c>
    </row>
    <row r="2255">
      <c r="B2255" s="20" t="str">
        <f>VLOOKUP(A2255,PlayerDB!$F$2:$H3480,3,FALSE)</f>
        <v>#N/A</v>
      </c>
    </row>
    <row r="2256">
      <c r="B2256" s="20" t="str">
        <f>VLOOKUP(A2256,PlayerDB!$F$2:$H3480,3,FALSE)</f>
        <v>#N/A</v>
      </c>
    </row>
    <row r="2257">
      <c r="B2257" s="20" t="str">
        <f>VLOOKUP(A2257,PlayerDB!$F$2:$H3480,3,FALSE)</f>
        <v>#N/A</v>
      </c>
    </row>
    <row r="2258">
      <c r="B2258" s="20" t="str">
        <f>VLOOKUP(A2258,PlayerDB!$F$2:$H3480,3,FALSE)</f>
        <v>#N/A</v>
      </c>
    </row>
    <row r="2259">
      <c r="B2259" s="20" t="str">
        <f>VLOOKUP(A2259,PlayerDB!$F$2:$H3480,3,FALSE)</f>
        <v>#N/A</v>
      </c>
    </row>
    <row r="2260">
      <c r="B2260" s="20" t="str">
        <f>VLOOKUP(A2260,PlayerDB!$F$2:$H3480,3,FALSE)</f>
        <v>#N/A</v>
      </c>
    </row>
    <row r="2261">
      <c r="B2261" s="20" t="str">
        <f>VLOOKUP(A2261,PlayerDB!$F$2:$H3480,3,FALSE)</f>
        <v>#N/A</v>
      </c>
    </row>
    <row r="2262">
      <c r="B2262" s="20" t="str">
        <f>VLOOKUP(A2262,PlayerDB!$F$2:$H3480,3,FALSE)</f>
        <v>#N/A</v>
      </c>
    </row>
    <row r="2263">
      <c r="B2263" s="20" t="str">
        <f>VLOOKUP(A2263,PlayerDB!$F$2:$H3480,3,FALSE)</f>
        <v>#N/A</v>
      </c>
    </row>
    <row r="2264">
      <c r="B2264" s="20" t="str">
        <f>VLOOKUP(A2264,PlayerDB!$F$2:$H3480,3,FALSE)</f>
        <v>#N/A</v>
      </c>
    </row>
    <row r="2265">
      <c r="B2265" s="20" t="str">
        <f>VLOOKUP(A2265,PlayerDB!$F$2:$H3480,3,FALSE)</f>
        <v>#N/A</v>
      </c>
    </row>
    <row r="2266">
      <c r="B2266" s="20" t="str">
        <f>VLOOKUP(A2266,PlayerDB!$F$2:$H3480,3,FALSE)</f>
        <v>#N/A</v>
      </c>
    </row>
    <row r="2267">
      <c r="B2267" s="20" t="str">
        <f>VLOOKUP(A2267,PlayerDB!$F$2:$H3480,3,FALSE)</f>
        <v>#N/A</v>
      </c>
    </row>
    <row r="2268">
      <c r="B2268" s="20" t="str">
        <f>VLOOKUP(A2268,PlayerDB!$F$2:$H3480,3,FALSE)</f>
        <v>#N/A</v>
      </c>
    </row>
    <row r="2269">
      <c r="B2269" s="20" t="str">
        <f>VLOOKUP(A2269,PlayerDB!$F$2:$H3480,3,FALSE)</f>
        <v>#N/A</v>
      </c>
    </row>
    <row r="2270">
      <c r="B2270" s="20" t="str">
        <f>VLOOKUP(A2270,PlayerDB!$F$2:$H3480,3,FALSE)</f>
        <v>#N/A</v>
      </c>
    </row>
    <row r="2271">
      <c r="B2271" s="20" t="str">
        <f>VLOOKUP(A2271,PlayerDB!$F$2:$H3480,3,FALSE)</f>
        <v>#N/A</v>
      </c>
    </row>
    <row r="2272">
      <c r="B2272" s="20" t="str">
        <f>VLOOKUP(A2272,PlayerDB!$F$2:$H3480,3,FALSE)</f>
        <v>#N/A</v>
      </c>
    </row>
    <row r="2273">
      <c r="B2273" s="20" t="str">
        <f>VLOOKUP(A2273,PlayerDB!$F$2:$H3480,3,FALSE)</f>
        <v>#N/A</v>
      </c>
    </row>
    <row r="2274">
      <c r="B2274" s="20" t="str">
        <f>VLOOKUP(A2274,PlayerDB!$F$2:$H3480,3,FALSE)</f>
        <v>#N/A</v>
      </c>
    </row>
    <row r="2275">
      <c r="B2275" s="20" t="str">
        <f>VLOOKUP(A2275,PlayerDB!$F$2:$H3480,3,FALSE)</f>
        <v>#N/A</v>
      </c>
    </row>
    <row r="2276">
      <c r="B2276" s="20" t="str">
        <f>VLOOKUP(A2276,PlayerDB!$F$2:$H3480,3,FALSE)</f>
        <v>#N/A</v>
      </c>
    </row>
    <row r="2277">
      <c r="B2277" s="20" t="str">
        <f>VLOOKUP(A2277,PlayerDB!$F$2:$H3480,3,FALSE)</f>
        <v>#N/A</v>
      </c>
    </row>
    <row r="2278">
      <c r="B2278" s="20" t="str">
        <f>VLOOKUP(A2278,PlayerDB!$F$2:$H3480,3,FALSE)</f>
        <v>#N/A</v>
      </c>
    </row>
    <row r="2279">
      <c r="B2279" s="20" t="str">
        <f>VLOOKUP(A2279,PlayerDB!$F$2:$H3480,3,FALSE)</f>
        <v>#N/A</v>
      </c>
    </row>
    <row r="2280">
      <c r="B2280" s="20" t="str">
        <f>VLOOKUP(A2280,PlayerDB!$F$2:$H3480,3,FALSE)</f>
        <v>#N/A</v>
      </c>
    </row>
    <row r="2281">
      <c r="B2281" s="20" t="str">
        <f>VLOOKUP(A2281,PlayerDB!$F$2:$H3480,3,FALSE)</f>
        <v>#N/A</v>
      </c>
    </row>
    <row r="2282">
      <c r="B2282" s="20" t="str">
        <f>VLOOKUP(A2282,PlayerDB!$F$2:$H3480,3,FALSE)</f>
        <v>#N/A</v>
      </c>
    </row>
    <row r="2283">
      <c r="B2283" s="20" t="str">
        <f>VLOOKUP(A2283,PlayerDB!$F$2:$H3480,3,FALSE)</f>
        <v>#N/A</v>
      </c>
    </row>
    <row r="2284">
      <c r="B2284" s="20" t="str">
        <f>VLOOKUP(A2284,PlayerDB!$F$2:$H3480,3,FALSE)</f>
        <v>#N/A</v>
      </c>
    </row>
    <row r="2285">
      <c r="B2285" s="20" t="str">
        <f>VLOOKUP(A2285,PlayerDB!$F$2:$H3480,3,FALSE)</f>
        <v>#N/A</v>
      </c>
    </row>
    <row r="2286">
      <c r="B2286" s="20" t="str">
        <f>VLOOKUP(A2286,PlayerDB!$F$2:$H3480,3,FALSE)</f>
        <v>#N/A</v>
      </c>
    </row>
    <row r="2287">
      <c r="B2287" s="20" t="str">
        <f>VLOOKUP(A2287,PlayerDB!$F$2:$H3480,3,FALSE)</f>
        <v>#N/A</v>
      </c>
    </row>
    <row r="2288">
      <c r="B2288" s="20" t="str">
        <f>VLOOKUP(A2288,PlayerDB!$F$2:$H3480,3,FALSE)</f>
        <v>#N/A</v>
      </c>
    </row>
    <row r="2289">
      <c r="B2289" s="20" t="str">
        <f>VLOOKUP(A2289,PlayerDB!$F$2:$H3480,3,FALSE)</f>
        <v>#N/A</v>
      </c>
    </row>
    <row r="2290">
      <c r="B2290" s="20" t="str">
        <f>VLOOKUP(A2290,PlayerDB!$F$2:$H3480,3,FALSE)</f>
        <v>#N/A</v>
      </c>
    </row>
    <row r="2291">
      <c r="B2291" s="20" t="str">
        <f>VLOOKUP(A2291,PlayerDB!$F$2:$H3480,3,FALSE)</f>
        <v>#N/A</v>
      </c>
    </row>
    <row r="2292">
      <c r="B2292" s="20" t="str">
        <f>VLOOKUP(A2292,PlayerDB!$F$2:$H3480,3,FALSE)</f>
        <v>#N/A</v>
      </c>
    </row>
    <row r="2293">
      <c r="B2293" s="20" t="str">
        <f>VLOOKUP(A2293,PlayerDB!$F$2:$H3480,3,FALSE)</f>
        <v>#N/A</v>
      </c>
    </row>
    <row r="2294">
      <c r="B2294" s="20" t="str">
        <f>VLOOKUP(A2294,PlayerDB!$F$2:$H3480,3,FALSE)</f>
        <v>#N/A</v>
      </c>
    </row>
    <row r="2295">
      <c r="B2295" s="20" t="str">
        <f>VLOOKUP(A2295,PlayerDB!$F$2:$H3480,3,FALSE)</f>
        <v>#N/A</v>
      </c>
    </row>
    <row r="2296">
      <c r="B2296" s="20" t="str">
        <f>VLOOKUP(A2296,PlayerDB!$F$2:$H3480,3,FALSE)</f>
        <v>#N/A</v>
      </c>
    </row>
    <row r="2297">
      <c r="B2297" s="20" t="str">
        <f>VLOOKUP(A2297,PlayerDB!$F$2:$H3480,3,FALSE)</f>
        <v>#N/A</v>
      </c>
    </row>
    <row r="2298">
      <c r="B2298" s="20" t="str">
        <f>VLOOKUP(A2298,PlayerDB!$F$2:$H3480,3,FALSE)</f>
        <v>#N/A</v>
      </c>
    </row>
    <row r="2299">
      <c r="B2299" s="20" t="str">
        <f>VLOOKUP(A2299,PlayerDB!$F$2:$H3480,3,FALSE)</f>
        <v>#N/A</v>
      </c>
    </row>
    <row r="2300">
      <c r="B2300" s="20" t="str">
        <f>VLOOKUP(A2300,PlayerDB!$F$2:$H3480,3,FALSE)</f>
        <v>#N/A</v>
      </c>
    </row>
    <row r="2301">
      <c r="B2301" s="20" t="str">
        <f>VLOOKUP(A2301,PlayerDB!$F$2:$H3480,3,FALSE)</f>
        <v>#N/A</v>
      </c>
    </row>
    <row r="2302">
      <c r="B2302" s="20" t="str">
        <f>VLOOKUP(A2302,PlayerDB!$F$2:$H3480,3,FALSE)</f>
        <v>#N/A</v>
      </c>
    </row>
    <row r="2303">
      <c r="B2303" s="20" t="str">
        <f>VLOOKUP(A2303,PlayerDB!$F$2:$H3480,3,FALSE)</f>
        <v>#N/A</v>
      </c>
    </row>
    <row r="2304">
      <c r="B2304" s="20" t="str">
        <f>VLOOKUP(A2304,PlayerDB!$F$2:$H3480,3,FALSE)</f>
        <v>#N/A</v>
      </c>
    </row>
    <row r="2305">
      <c r="B2305" s="20" t="str">
        <f>VLOOKUP(A2305,PlayerDB!$F$2:$H3480,3,FALSE)</f>
        <v>#N/A</v>
      </c>
    </row>
    <row r="2306">
      <c r="B2306" s="20" t="str">
        <f>VLOOKUP(A2306,PlayerDB!$F$2:$H3480,3,FALSE)</f>
        <v>#N/A</v>
      </c>
    </row>
    <row r="2307">
      <c r="B2307" s="20" t="str">
        <f>VLOOKUP(A2307,PlayerDB!$F$2:$H3480,3,FALSE)</f>
        <v>#N/A</v>
      </c>
    </row>
    <row r="2308">
      <c r="B2308" s="20" t="str">
        <f>VLOOKUP(A2308,PlayerDB!$F$2:$H3480,3,FALSE)</f>
        <v>#N/A</v>
      </c>
    </row>
    <row r="2309">
      <c r="B2309" s="20" t="str">
        <f>VLOOKUP(A2309,PlayerDB!$F$2:$H3480,3,FALSE)</f>
        <v>#N/A</v>
      </c>
    </row>
    <row r="2310">
      <c r="B2310" s="20" t="str">
        <f>VLOOKUP(A2310,PlayerDB!$F$2:$H3480,3,FALSE)</f>
        <v>#N/A</v>
      </c>
    </row>
    <row r="2311">
      <c r="B2311" s="20" t="str">
        <f>VLOOKUP(A2311,PlayerDB!$F$2:$H3480,3,FALSE)</f>
        <v>#N/A</v>
      </c>
    </row>
    <row r="2312">
      <c r="B2312" s="20" t="str">
        <f>VLOOKUP(A2312,PlayerDB!$F$2:$H3480,3,FALSE)</f>
        <v>#N/A</v>
      </c>
    </row>
    <row r="2313">
      <c r="B2313" s="20" t="str">
        <f>VLOOKUP(A2313,PlayerDB!$F$2:$H3480,3,FALSE)</f>
        <v>#N/A</v>
      </c>
    </row>
    <row r="2314">
      <c r="B2314" s="20" t="str">
        <f>VLOOKUP(A2314,PlayerDB!$F$2:$H3480,3,FALSE)</f>
        <v>#N/A</v>
      </c>
    </row>
    <row r="2315">
      <c r="B2315" s="20" t="str">
        <f>VLOOKUP(A2315,PlayerDB!$F$2:$H3480,3,FALSE)</f>
        <v>#N/A</v>
      </c>
    </row>
    <row r="2316">
      <c r="B2316" s="20" t="str">
        <f>VLOOKUP(A2316,PlayerDB!$F$2:$H3480,3,FALSE)</f>
        <v>#N/A</v>
      </c>
    </row>
    <row r="2317">
      <c r="B2317" s="20" t="str">
        <f>VLOOKUP(A2317,PlayerDB!$F$2:$H3480,3,FALSE)</f>
        <v>#N/A</v>
      </c>
    </row>
    <row r="2318">
      <c r="B2318" s="20" t="str">
        <f>VLOOKUP(A2318,PlayerDB!$F$2:$H3480,3,FALSE)</f>
        <v>#N/A</v>
      </c>
    </row>
    <row r="2319">
      <c r="B2319" s="20" t="str">
        <f>VLOOKUP(A2319,PlayerDB!$F$2:$H3480,3,FALSE)</f>
        <v>#N/A</v>
      </c>
    </row>
    <row r="2320">
      <c r="B2320" s="20" t="str">
        <f>VLOOKUP(A2320,PlayerDB!$F$2:$H3480,3,FALSE)</f>
        <v>#N/A</v>
      </c>
    </row>
    <row r="2321">
      <c r="B2321" s="20" t="str">
        <f>VLOOKUP(A2321,PlayerDB!$F$2:$H3480,3,FALSE)</f>
        <v>#N/A</v>
      </c>
    </row>
    <row r="2322">
      <c r="B2322" s="20" t="str">
        <f>VLOOKUP(A2322,PlayerDB!$F$2:$H3480,3,FALSE)</f>
        <v>#N/A</v>
      </c>
    </row>
    <row r="2323">
      <c r="B2323" s="20" t="str">
        <f>VLOOKUP(A2323,PlayerDB!$F$2:$H3480,3,FALSE)</f>
        <v>#N/A</v>
      </c>
    </row>
    <row r="2324">
      <c r="B2324" s="20" t="str">
        <f>VLOOKUP(A2324,PlayerDB!$F$2:$H3480,3,FALSE)</f>
        <v>#N/A</v>
      </c>
    </row>
    <row r="2325">
      <c r="B2325" s="20" t="str">
        <f>VLOOKUP(A2325,PlayerDB!$F$2:$H3480,3,FALSE)</f>
        <v>#N/A</v>
      </c>
    </row>
    <row r="2326">
      <c r="B2326" s="20" t="str">
        <f>VLOOKUP(A2326,PlayerDB!$F$2:$H3480,3,FALSE)</f>
        <v>#N/A</v>
      </c>
    </row>
    <row r="2327">
      <c r="B2327" s="20" t="str">
        <f>VLOOKUP(A2327,PlayerDB!$F$2:$H3480,3,FALSE)</f>
        <v>#N/A</v>
      </c>
    </row>
    <row r="2328">
      <c r="B2328" s="20" t="str">
        <f>VLOOKUP(A2328,PlayerDB!$F$2:$H3480,3,FALSE)</f>
        <v>#N/A</v>
      </c>
    </row>
    <row r="2329">
      <c r="B2329" s="20" t="str">
        <f>VLOOKUP(A2329,PlayerDB!$F$2:$H3480,3,FALSE)</f>
        <v>#N/A</v>
      </c>
    </row>
    <row r="2330">
      <c r="B2330" s="20" t="str">
        <f>VLOOKUP(A2330,PlayerDB!$F$2:$H3480,3,FALSE)</f>
        <v>#N/A</v>
      </c>
    </row>
    <row r="2331">
      <c r="B2331" s="20" t="str">
        <f>VLOOKUP(A2331,PlayerDB!$F$2:$H3480,3,FALSE)</f>
        <v>#N/A</v>
      </c>
    </row>
    <row r="2332">
      <c r="B2332" s="20" t="str">
        <f>VLOOKUP(A2332,PlayerDB!$F$2:$H3480,3,FALSE)</f>
        <v>#N/A</v>
      </c>
    </row>
    <row r="2333">
      <c r="B2333" s="20" t="str">
        <f>VLOOKUP(A2333,PlayerDB!$F$2:$H3480,3,FALSE)</f>
        <v>#N/A</v>
      </c>
    </row>
    <row r="2334">
      <c r="B2334" s="20" t="str">
        <f>VLOOKUP(A2334,PlayerDB!$F$2:$H3480,3,FALSE)</f>
        <v>#N/A</v>
      </c>
    </row>
    <row r="2335">
      <c r="B2335" s="20" t="str">
        <f>VLOOKUP(A2335,PlayerDB!$F$2:$H3480,3,FALSE)</f>
        <v>#N/A</v>
      </c>
    </row>
    <row r="2336">
      <c r="B2336" s="20" t="str">
        <f>VLOOKUP(A2336,PlayerDB!$F$2:$H3480,3,FALSE)</f>
        <v>#N/A</v>
      </c>
    </row>
    <row r="2337">
      <c r="B2337" s="20" t="str">
        <f>VLOOKUP(A2337,PlayerDB!$F$2:$H3480,3,FALSE)</f>
        <v>#N/A</v>
      </c>
    </row>
    <row r="2338">
      <c r="B2338" s="20" t="str">
        <f>VLOOKUP(A2338,PlayerDB!$F$2:$H3480,3,FALSE)</f>
        <v>#N/A</v>
      </c>
    </row>
    <row r="2339">
      <c r="B2339" s="20" t="str">
        <f>VLOOKUP(A2339,PlayerDB!$F$2:$H3480,3,FALSE)</f>
        <v>#N/A</v>
      </c>
    </row>
    <row r="2340">
      <c r="B2340" s="20" t="str">
        <f>VLOOKUP(A2340,PlayerDB!$F$2:$H3480,3,FALSE)</f>
        <v>#N/A</v>
      </c>
    </row>
    <row r="2341">
      <c r="B2341" s="20" t="str">
        <f>VLOOKUP(A2341,PlayerDB!$F$2:$H3480,3,FALSE)</f>
        <v>#N/A</v>
      </c>
    </row>
    <row r="2342">
      <c r="B2342" s="20" t="str">
        <f>VLOOKUP(A2342,PlayerDB!$F$2:$H3480,3,FALSE)</f>
        <v>#N/A</v>
      </c>
    </row>
    <row r="2343">
      <c r="B2343" s="20" t="str">
        <f>VLOOKUP(A2343,PlayerDB!$F$2:$H3480,3,FALSE)</f>
        <v>#N/A</v>
      </c>
    </row>
    <row r="2344">
      <c r="B2344" s="20" t="str">
        <f>VLOOKUP(A2344,PlayerDB!$F$2:$H3480,3,FALSE)</f>
        <v>#N/A</v>
      </c>
    </row>
    <row r="2345">
      <c r="B2345" s="20" t="str">
        <f>VLOOKUP(A2345,PlayerDB!$F$2:$H3480,3,FALSE)</f>
        <v>#N/A</v>
      </c>
    </row>
    <row r="2346">
      <c r="B2346" s="20" t="str">
        <f>VLOOKUP(A2346,PlayerDB!$F$2:$H3480,3,FALSE)</f>
        <v>#N/A</v>
      </c>
    </row>
    <row r="2347">
      <c r="B2347" s="20" t="str">
        <f>VLOOKUP(A2347,PlayerDB!$F$2:$H3480,3,FALSE)</f>
        <v>#N/A</v>
      </c>
    </row>
    <row r="2348">
      <c r="B2348" s="20" t="str">
        <f>VLOOKUP(A2348,PlayerDB!$F$2:$H3480,3,FALSE)</f>
        <v>#N/A</v>
      </c>
    </row>
    <row r="2349">
      <c r="B2349" s="20" t="str">
        <f>VLOOKUP(A2349,PlayerDB!$F$2:$H3480,3,FALSE)</f>
        <v>#N/A</v>
      </c>
    </row>
    <row r="2350">
      <c r="B2350" s="20" t="str">
        <f>VLOOKUP(A2350,PlayerDB!$F$2:$H3480,3,FALSE)</f>
        <v>#N/A</v>
      </c>
    </row>
    <row r="2351">
      <c r="B2351" s="20" t="str">
        <f>VLOOKUP(A2351,PlayerDB!$F$2:$H3480,3,FALSE)</f>
        <v>#N/A</v>
      </c>
    </row>
    <row r="2352">
      <c r="B2352" s="20" t="str">
        <f>VLOOKUP(A2352,PlayerDB!$F$2:$H3480,3,FALSE)</f>
        <v>#N/A</v>
      </c>
    </row>
    <row r="2353">
      <c r="B2353" s="20" t="str">
        <f>VLOOKUP(A2353,PlayerDB!$F$2:$H3480,3,FALSE)</f>
        <v>#N/A</v>
      </c>
    </row>
    <row r="2354">
      <c r="B2354" s="20" t="str">
        <f>VLOOKUP(A2354,PlayerDB!$F$2:$H3480,3,FALSE)</f>
        <v>#N/A</v>
      </c>
    </row>
    <row r="2355">
      <c r="B2355" s="20" t="str">
        <f>VLOOKUP(A2355,PlayerDB!$F$2:$H3480,3,FALSE)</f>
        <v>#N/A</v>
      </c>
    </row>
    <row r="2356">
      <c r="B2356" s="20" t="str">
        <f>VLOOKUP(A2356,PlayerDB!$F$2:$H3480,3,FALSE)</f>
        <v>#N/A</v>
      </c>
    </row>
    <row r="2357">
      <c r="B2357" s="20" t="str">
        <f>VLOOKUP(A2357,PlayerDB!$F$2:$H3480,3,FALSE)</f>
        <v>#N/A</v>
      </c>
    </row>
    <row r="2358">
      <c r="B2358" s="20" t="str">
        <f>VLOOKUP(A2358,PlayerDB!$F$2:$H3480,3,FALSE)</f>
        <v>#N/A</v>
      </c>
    </row>
    <row r="2359">
      <c r="B2359" s="20" t="str">
        <f>VLOOKUP(A2359,PlayerDB!$F$2:$H3480,3,FALSE)</f>
        <v>#N/A</v>
      </c>
    </row>
    <row r="2360">
      <c r="B2360" s="20" t="str">
        <f>VLOOKUP(A2360,PlayerDB!$F$2:$H3480,3,FALSE)</f>
        <v>#N/A</v>
      </c>
    </row>
    <row r="2361">
      <c r="B2361" s="20" t="str">
        <f>VLOOKUP(A2361,PlayerDB!$F$2:$H3480,3,FALSE)</f>
        <v>#N/A</v>
      </c>
    </row>
    <row r="2362">
      <c r="B2362" s="20" t="str">
        <f>VLOOKUP(A2362,PlayerDB!$F$2:$H3480,3,FALSE)</f>
        <v>#N/A</v>
      </c>
    </row>
    <row r="2363">
      <c r="B2363" s="20" t="str">
        <f>VLOOKUP(A2363,PlayerDB!$F$2:$H3480,3,FALSE)</f>
        <v>#N/A</v>
      </c>
    </row>
    <row r="2364">
      <c r="B2364" s="20" t="str">
        <f>VLOOKUP(A2364,PlayerDB!$F$2:$H3480,3,FALSE)</f>
        <v>#N/A</v>
      </c>
    </row>
    <row r="2365">
      <c r="B2365" s="20" t="str">
        <f>VLOOKUP(A2365,PlayerDB!$F$2:$H3480,3,FALSE)</f>
        <v>#N/A</v>
      </c>
    </row>
    <row r="2366">
      <c r="B2366" s="20" t="str">
        <f>VLOOKUP(A2366,PlayerDB!$F$2:$H3480,3,FALSE)</f>
        <v>#N/A</v>
      </c>
    </row>
    <row r="2367">
      <c r="B2367" s="20" t="str">
        <f>VLOOKUP(A2367,PlayerDB!$F$2:$H3480,3,FALSE)</f>
        <v>#N/A</v>
      </c>
    </row>
    <row r="2368">
      <c r="B2368" s="20" t="str">
        <f>VLOOKUP(A2368,PlayerDB!$F$2:$H3480,3,FALSE)</f>
        <v>#N/A</v>
      </c>
    </row>
    <row r="2369">
      <c r="B2369" s="20" t="str">
        <f>VLOOKUP(A2369,PlayerDB!$F$2:$H3480,3,FALSE)</f>
        <v>#N/A</v>
      </c>
    </row>
    <row r="2370">
      <c r="B2370" s="20" t="str">
        <f>VLOOKUP(A2370,PlayerDB!$F$2:$H3480,3,FALSE)</f>
        <v>#N/A</v>
      </c>
    </row>
    <row r="2371">
      <c r="B2371" s="20" t="str">
        <f>VLOOKUP(A2371,PlayerDB!$F$2:$H3480,3,FALSE)</f>
        <v>#N/A</v>
      </c>
    </row>
    <row r="2372">
      <c r="B2372" s="20" t="str">
        <f>VLOOKUP(A2372,PlayerDB!$F$2:$H3480,3,FALSE)</f>
        <v>#N/A</v>
      </c>
    </row>
    <row r="2373">
      <c r="B2373" s="20" t="str">
        <f>VLOOKUP(A2373,PlayerDB!$F$2:$H3480,3,FALSE)</f>
        <v>#N/A</v>
      </c>
    </row>
    <row r="2374">
      <c r="B2374" s="20" t="str">
        <f>VLOOKUP(A2374,PlayerDB!$F$2:$H3480,3,FALSE)</f>
        <v>#N/A</v>
      </c>
    </row>
    <row r="2375">
      <c r="B2375" s="20" t="str">
        <f>VLOOKUP(A2375,PlayerDB!$F$2:$H3480,3,FALSE)</f>
        <v>#N/A</v>
      </c>
    </row>
    <row r="2376">
      <c r="B2376" s="20" t="str">
        <f>VLOOKUP(A2376,PlayerDB!$F$2:$H3480,3,FALSE)</f>
        <v>#N/A</v>
      </c>
    </row>
    <row r="2377">
      <c r="B2377" s="20" t="str">
        <f>VLOOKUP(A2377,PlayerDB!$F$2:$H3480,3,FALSE)</f>
        <v>#N/A</v>
      </c>
    </row>
    <row r="2378">
      <c r="B2378" s="20" t="str">
        <f>VLOOKUP(A2378,PlayerDB!$F$2:$H3480,3,FALSE)</f>
        <v>#N/A</v>
      </c>
    </row>
    <row r="2379">
      <c r="B2379" s="20" t="str">
        <f>VLOOKUP(A2379,PlayerDB!$F$2:$H3480,3,FALSE)</f>
        <v>#N/A</v>
      </c>
    </row>
    <row r="2380">
      <c r="B2380" s="20" t="str">
        <f>VLOOKUP(A2380,PlayerDB!$F$2:$H3480,3,FALSE)</f>
        <v>#N/A</v>
      </c>
    </row>
    <row r="2381">
      <c r="B2381" s="20" t="str">
        <f>VLOOKUP(A2381,PlayerDB!$F$2:$H3480,3,FALSE)</f>
        <v>#N/A</v>
      </c>
    </row>
    <row r="2382">
      <c r="B2382" s="20" t="str">
        <f>VLOOKUP(A2382,PlayerDB!$F$2:$H3480,3,FALSE)</f>
        <v>#N/A</v>
      </c>
    </row>
    <row r="2383">
      <c r="B2383" s="20" t="str">
        <f>VLOOKUP(A2383,PlayerDB!$F$2:$H3480,3,FALSE)</f>
        <v>#N/A</v>
      </c>
    </row>
    <row r="2384">
      <c r="B2384" s="20" t="str">
        <f>VLOOKUP(A2384,PlayerDB!$F$2:$H3480,3,FALSE)</f>
        <v>#N/A</v>
      </c>
    </row>
    <row r="2385">
      <c r="B2385" s="20" t="str">
        <f>VLOOKUP(A2385,PlayerDB!$F$2:$H3480,3,FALSE)</f>
        <v>#N/A</v>
      </c>
    </row>
    <row r="2386">
      <c r="B2386" s="20" t="str">
        <f>VLOOKUP(A2386,PlayerDB!$F$2:$H3480,3,FALSE)</f>
        <v>#N/A</v>
      </c>
    </row>
    <row r="2387">
      <c r="B2387" s="20" t="str">
        <f>VLOOKUP(A2387,PlayerDB!$F$2:$H3480,3,FALSE)</f>
        <v>#N/A</v>
      </c>
    </row>
    <row r="2388">
      <c r="B2388" s="20" t="str">
        <f>VLOOKUP(A2388,PlayerDB!$F$2:$H3480,3,FALSE)</f>
        <v>#N/A</v>
      </c>
    </row>
    <row r="2389">
      <c r="B2389" s="20" t="str">
        <f>VLOOKUP(A2389,PlayerDB!$F$2:$H3480,3,FALSE)</f>
        <v>#N/A</v>
      </c>
    </row>
    <row r="2390">
      <c r="B2390" s="20" t="str">
        <f>VLOOKUP(A2390,PlayerDB!$F$2:$H3480,3,FALSE)</f>
        <v>#N/A</v>
      </c>
    </row>
    <row r="2391">
      <c r="B2391" s="20" t="str">
        <f>VLOOKUP(A2391,PlayerDB!$F$2:$H3480,3,FALSE)</f>
        <v>#N/A</v>
      </c>
    </row>
    <row r="2392">
      <c r="B2392" s="20" t="str">
        <f>VLOOKUP(A2392,PlayerDB!$F$2:$H3480,3,FALSE)</f>
        <v>#N/A</v>
      </c>
    </row>
    <row r="2393">
      <c r="B2393" s="20" t="str">
        <f>VLOOKUP(A2393,PlayerDB!$F$2:$H3480,3,FALSE)</f>
        <v>#N/A</v>
      </c>
    </row>
    <row r="2394">
      <c r="B2394" s="20" t="str">
        <f>VLOOKUP(A2394,PlayerDB!$F$2:$H3480,3,FALSE)</f>
        <v>#N/A</v>
      </c>
    </row>
    <row r="2395">
      <c r="B2395" s="20" t="str">
        <f>VLOOKUP(A2395,PlayerDB!$F$2:$H3480,3,FALSE)</f>
        <v>#N/A</v>
      </c>
    </row>
    <row r="2396">
      <c r="B2396" s="20" t="str">
        <f>VLOOKUP(A2396,PlayerDB!$F$2:$H3480,3,FALSE)</f>
        <v>#N/A</v>
      </c>
    </row>
    <row r="2397">
      <c r="B2397" s="20" t="str">
        <f>VLOOKUP(A2397,PlayerDB!$F$2:$H3480,3,FALSE)</f>
        <v>#N/A</v>
      </c>
    </row>
    <row r="2398">
      <c r="B2398" s="20" t="str">
        <f>VLOOKUP(A2398,PlayerDB!$F$2:$H3480,3,FALSE)</f>
        <v>#N/A</v>
      </c>
    </row>
    <row r="2399">
      <c r="B2399" s="20" t="str">
        <f>VLOOKUP(A2399,PlayerDB!$F$2:$H3480,3,FALSE)</f>
        <v>#N/A</v>
      </c>
    </row>
    <row r="2400">
      <c r="B2400" s="20" t="str">
        <f>VLOOKUP(A2400,PlayerDB!$F$2:$H3480,3,FALSE)</f>
        <v>#N/A</v>
      </c>
    </row>
    <row r="2401">
      <c r="B2401" s="20" t="str">
        <f>VLOOKUP(A2401,PlayerDB!$F$2:$H3480,3,FALSE)</f>
        <v>#N/A</v>
      </c>
    </row>
    <row r="2402">
      <c r="B2402" s="20" t="str">
        <f>VLOOKUP(A2402,PlayerDB!$F$2:$H3480,3,FALSE)</f>
        <v>#N/A</v>
      </c>
    </row>
    <row r="2403">
      <c r="B2403" s="20" t="str">
        <f>VLOOKUP(A2403,PlayerDB!$F$2:$H3480,3,FALSE)</f>
        <v>#N/A</v>
      </c>
    </row>
    <row r="2404">
      <c r="B2404" s="20" t="str">
        <f>VLOOKUP(A2404,PlayerDB!$F$2:$H3480,3,FALSE)</f>
        <v>#N/A</v>
      </c>
    </row>
    <row r="2405">
      <c r="B2405" s="20" t="str">
        <f>VLOOKUP(A2405,PlayerDB!$F$2:$H3480,3,FALSE)</f>
        <v>#N/A</v>
      </c>
    </row>
    <row r="2406">
      <c r="B2406" s="20" t="str">
        <f>VLOOKUP(A2406,PlayerDB!$F$2:$H3480,3,FALSE)</f>
        <v>#N/A</v>
      </c>
    </row>
    <row r="2407">
      <c r="B2407" s="20" t="str">
        <f>VLOOKUP(A2407,PlayerDB!$F$2:$H3480,3,FALSE)</f>
        <v>#N/A</v>
      </c>
    </row>
    <row r="2408">
      <c r="B2408" s="20" t="str">
        <f>VLOOKUP(A2408,PlayerDB!$F$2:$H3480,3,FALSE)</f>
        <v>#N/A</v>
      </c>
    </row>
    <row r="2409">
      <c r="B2409" s="20" t="str">
        <f>VLOOKUP(A2409,PlayerDB!$F$2:$H3480,3,FALSE)</f>
        <v>#N/A</v>
      </c>
    </row>
    <row r="2410">
      <c r="B2410" s="20" t="str">
        <f>VLOOKUP(A2410,PlayerDB!$F$2:$H3480,3,FALSE)</f>
        <v>#N/A</v>
      </c>
    </row>
    <row r="2411">
      <c r="B2411" s="20" t="str">
        <f>VLOOKUP(A2411,PlayerDB!$F$2:$H3480,3,FALSE)</f>
        <v>#N/A</v>
      </c>
    </row>
    <row r="2412">
      <c r="B2412" s="20" t="str">
        <f>VLOOKUP(A2412,PlayerDB!$F$2:$H3480,3,FALSE)</f>
        <v>#N/A</v>
      </c>
    </row>
    <row r="2413">
      <c r="B2413" s="20" t="str">
        <f>VLOOKUP(A2413,PlayerDB!$F$2:$H3480,3,FALSE)</f>
        <v>#N/A</v>
      </c>
    </row>
    <row r="2414">
      <c r="B2414" s="20" t="str">
        <f>VLOOKUP(A2414,PlayerDB!$F$2:$H3480,3,FALSE)</f>
        <v>#N/A</v>
      </c>
    </row>
    <row r="2415">
      <c r="B2415" s="20" t="str">
        <f>VLOOKUP(A2415,PlayerDB!$F$2:$H3480,3,FALSE)</f>
        <v>#N/A</v>
      </c>
    </row>
    <row r="2416">
      <c r="B2416" s="20" t="str">
        <f>VLOOKUP(A2416,PlayerDB!$F$2:$H3480,3,FALSE)</f>
        <v>#N/A</v>
      </c>
    </row>
    <row r="2417">
      <c r="B2417" s="20" t="str">
        <f>VLOOKUP(A2417,PlayerDB!$F$2:$H3480,3,FALSE)</f>
        <v>#N/A</v>
      </c>
    </row>
    <row r="2418">
      <c r="B2418" s="20" t="str">
        <f>VLOOKUP(A2418,PlayerDB!$F$2:$H3480,3,FALSE)</f>
        <v>#N/A</v>
      </c>
    </row>
    <row r="2419">
      <c r="B2419" s="20" t="str">
        <f>VLOOKUP(A2419,PlayerDB!$F$2:$H3480,3,FALSE)</f>
        <v>#N/A</v>
      </c>
    </row>
    <row r="2420">
      <c r="B2420" s="20" t="str">
        <f>VLOOKUP(A2420,PlayerDB!$F$2:$H3480,3,FALSE)</f>
        <v>#N/A</v>
      </c>
    </row>
    <row r="2421">
      <c r="B2421" s="20" t="str">
        <f>VLOOKUP(A2421,PlayerDB!$F$2:$H3480,3,FALSE)</f>
        <v>#N/A</v>
      </c>
    </row>
    <row r="2422">
      <c r="B2422" s="20" t="str">
        <f>VLOOKUP(A2422,PlayerDB!$F$2:$H3480,3,FALSE)</f>
        <v>#N/A</v>
      </c>
    </row>
    <row r="2423">
      <c r="B2423" s="20" t="str">
        <f>VLOOKUP(A2423,PlayerDB!$F$2:$H3480,3,FALSE)</f>
        <v>#N/A</v>
      </c>
    </row>
    <row r="2424">
      <c r="B2424" s="20" t="str">
        <f>VLOOKUP(A2424,PlayerDB!$F$2:$H3480,3,FALSE)</f>
        <v>#N/A</v>
      </c>
    </row>
    <row r="2425">
      <c r="B2425" s="20" t="str">
        <f>VLOOKUP(A2425,PlayerDB!$F$2:$H3480,3,FALSE)</f>
        <v>#N/A</v>
      </c>
    </row>
    <row r="2426">
      <c r="B2426" s="20" t="str">
        <f>VLOOKUP(A2426,PlayerDB!$F$2:$H3480,3,FALSE)</f>
        <v>#N/A</v>
      </c>
    </row>
    <row r="2427">
      <c r="B2427" s="20" t="str">
        <f>VLOOKUP(A2427,PlayerDB!$F$2:$H3480,3,FALSE)</f>
        <v>#N/A</v>
      </c>
    </row>
    <row r="2428">
      <c r="B2428" s="20" t="str">
        <f>VLOOKUP(A2428,PlayerDB!$F$2:$H3480,3,FALSE)</f>
        <v>#N/A</v>
      </c>
    </row>
    <row r="2429">
      <c r="B2429" s="20" t="str">
        <f>VLOOKUP(A2429,PlayerDB!$F$2:$H3480,3,FALSE)</f>
        <v>#N/A</v>
      </c>
    </row>
    <row r="2430">
      <c r="B2430" s="20" t="str">
        <f>VLOOKUP(A2430,PlayerDB!$F$2:$H3480,3,FALSE)</f>
        <v>#N/A</v>
      </c>
    </row>
    <row r="2431">
      <c r="B2431" s="20" t="str">
        <f>VLOOKUP(A2431,PlayerDB!$F$2:$H3480,3,FALSE)</f>
        <v>#N/A</v>
      </c>
    </row>
    <row r="2432">
      <c r="B2432" s="20" t="str">
        <f>VLOOKUP(A2432,PlayerDB!$F$2:$H3480,3,FALSE)</f>
        <v>#N/A</v>
      </c>
    </row>
    <row r="2433">
      <c r="B2433" s="20" t="str">
        <f>VLOOKUP(A2433,PlayerDB!$F$2:$H3480,3,FALSE)</f>
        <v>#N/A</v>
      </c>
    </row>
    <row r="2434">
      <c r="B2434" s="20" t="str">
        <f>VLOOKUP(A2434,PlayerDB!$F$2:$H3480,3,FALSE)</f>
        <v>#N/A</v>
      </c>
    </row>
    <row r="2435">
      <c r="B2435" s="20" t="str">
        <f>VLOOKUP(A2435,PlayerDB!$F$2:$H3480,3,FALSE)</f>
        <v>#N/A</v>
      </c>
    </row>
    <row r="2436">
      <c r="B2436" s="20" t="str">
        <f>VLOOKUP(A2436,PlayerDB!$F$2:$H3480,3,FALSE)</f>
        <v>#N/A</v>
      </c>
    </row>
    <row r="2437">
      <c r="B2437" s="20" t="str">
        <f>VLOOKUP(A2437,PlayerDB!$F$2:$H3480,3,FALSE)</f>
        <v>#N/A</v>
      </c>
    </row>
    <row r="2438">
      <c r="B2438" s="20" t="str">
        <f>VLOOKUP(A2438,PlayerDB!$F$2:$H3480,3,FALSE)</f>
        <v>#N/A</v>
      </c>
    </row>
    <row r="2439">
      <c r="B2439" s="20" t="str">
        <f>VLOOKUP(A2439,PlayerDB!$F$2:$H3480,3,FALSE)</f>
        <v>#N/A</v>
      </c>
    </row>
    <row r="2440">
      <c r="B2440" s="20" t="str">
        <f>VLOOKUP(A2440,PlayerDB!$F$2:$H3480,3,FALSE)</f>
        <v>#N/A</v>
      </c>
    </row>
    <row r="2441">
      <c r="B2441" s="20" t="str">
        <f>VLOOKUP(A2441,PlayerDB!$F$2:$H3480,3,FALSE)</f>
        <v>#N/A</v>
      </c>
    </row>
    <row r="2442">
      <c r="B2442" s="20" t="str">
        <f>VLOOKUP(A2442,PlayerDB!$F$2:$H3480,3,FALSE)</f>
        <v>#N/A</v>
      </c>
    </row>
    <row r="2443">
      <c r="B2443" s="20" t="str">
        <f>VLOOKUP(A2443,PlayerDB!$F$2:$H3480,3,FALSE)</f>
        <v>#N/A</v>
      </c>
    </row>
    <row r="2444">
      <c r="B2444" s="20" t="str">
        <f>VLOOKUP(A2444,PlayerDB!$F$2:$H3480,3,FALSE)</f>
        <v>#N/A</v>
      </c>
    </row>
    <row r="2445">
      <c r="B2445" s="20" t="str">
        <f>VLOOKUP(A2445,PlayerDB!$F$2:$H3480,3,FALSE)</f>
        <v>#N/A</v>
      </c>
    </row>
    <row r="2446">
      <c r="B2446" s="20" t="str">
        <f>VLOOKUP(A2446,PlayerDB!$F$2:$H3480,3,FALSE)</f>
        <v>#N/A</v>
      </c>
    </row>
    <row r="2447">
      <c r="B2447" s="20" t="str">
        <f>VLOOKUP(A2447,PlayerDB!$F$2:$H3480,3,FALSE)</f>
        <v>#N/A</v>
      </c>
    </row>
    <row r="2448">
      <c r="B2448" s="20" t="str">
        <f>VLOOKUP(A2448,PlayerDB!$F$2:$H3480,3,FALSE)</f>
        <v>#N/A</v>
      </c>
    </row>
    <row r="2449">
      <c r="B2449" s="20" t="str">
        <f>VLOOKUP(A2449,PlayerDB!$F$2:$H3480,3,FALSE)</f>
        <v>#N/A</v>
      </c>
    </row>
    <row r="2450">
      <c r="B2450" s="20" t="str">
        <f>VLOOKUP(A2450,PlayerDB!$F$2:$H3480,3,FALSE)</f>
        <v>#N/A</v>
      </c>
    </row>
    <row r="2451">
      <c r="B2451" s="20" t="str">
        <f>VLOOKUP(A2451,PlayerDB!$F$2:$H3480,3,FALSE)</f>
        <v>#N/A</v>
      </c>
    </row>
    <row r="2452">
      <c r="B2452" s="20" t="str">
        <f>VLOOKUP(A2452,PlayerDB!$F$2:$H3480,3,FALSE)</f>
        <v>#N/A</v>
      </c>
    </row>
    <row r="2453">
      <c r="B2453" s="20" t="str">
        <f>VLOOKUP(A2453,PlayerDB!$F$2:$H3480,3,FALSE)</f>
        <v>#N/A</v>
      </c>
    </row>
    <row r="2454">
      <c r="B2454" s="20" t="str">
        <f>VLOOKUP(A2454,PlayerDB!$F$2:$H3480,3,FALSE)</f>
        <v>#N/A</v>
      </c>
    </row>
    <row r="2455">
      <c r="B2455" s="20" t="str">
        <f>VLOOKUP(A2455,PlayerDB!$F$2:$H3480,3,FALSE)</f>
        <v>#N/A</v>
      </c>
    </row>
    <row r="2456">
      <c r="B2456" s="20" t="str">
        <f>VLOOKUP(A2456,PlayerDB!$F$2:$H3480,3,FALSE)</f>
        <v>#N/A</v>
      </c>
    </row>
    <row r="2457">
      <c r="B2457" s="20" t="str">
        <f>VLOOKUP(A2457,PlayerDB!$F$2:$H3480,3,FALSE)</f>
        <v>#N/A</v>
      </c>
    </row>
    <row r="2458">
      <c r="B2458" s="20" t="str">
        <f>VLOOKUP(A2458,PlayerDB!$F$2:$H3480,3,FALSE)</f>
        <v>#N/A</v>
      </c>
    </row>
    <row r="2459">
      <c r="B2459" s="20" t="str">
        <f>VLOOKUP(A2459,PlayerDB!$F$2:$H3480,3,FALSE)</f>
        <v>#N/A</v>
      </c>
    </row>
    <row r="2460">
      <c r="B2460" s="20" t="str">
        <f>VLOOKUP(A2460,PlayerDB!$F$2:$H3480,3,FALSE)</f>
        <v>#N/A</v>
      </c>
    </row>
    <row r="2461">
      <c r="B2461" s="20" t="str">
        <f>VLOOKUP(A2461,PlayerDB!$F$2:$H3480,3,FALSE)</f>
        <v>#N/A</v>
      </c>
    </row>
    <row r="2462">
      <c r="B2462" s="20" t="str">
        <f>VLOOKUP(A2462,PlayerDB!$F$2:$H3480,3,FALSE)</f>
        <v>#N/A</v>
      </c>
    </row>
    <row r="2463">
      <c r="B2463" s="20" t="str">
        <f>VLOOKUP(A2463,PlayerDB!$F$2:$H3480,3,FALSE)</f>
        <v>#N/A</v>
      </c>
    </row>
    <row r="2464">
      <c r="B2464" s="20" t="str">
        <f>VLOOKUP(A2464,PlayerDB!$F$2:$H3480,3,FALSE)</f>
        <v>#N/A</v>
      </c>
    </row>
    <row r="2465">
      <c r="B2465" s="20" t="str">
        <f>VLOOKUP(A2465,PlayerDB!$F$2:$H3480,3,FALSE)</f>
        <v>#N/A</v>
      </c>
    </row>
    <row r="2466">
      <c r="B2466" s="20" t="str">
        <f>VLOOKUP(A2466,PlayerDB!$F$2:$H3480,3,FALSE)</f>
        <v>#N/A</v>
      </c>
    </row>
    <row r="2467">
      <c r="B2467" s="20" t="str">
        <f>VLOOKUP(A2467,PlayerDB!$F$2:$H3480,3,FALSE)</f>
        <v>#N/A</v>
      </c>
    </row>
    <row r="2468">
      <c r="B2468" s="20" t="str">
        <f>VLOOKUP(A2468,PlayerDB!$F$2:$H3480,3,FALSE)</f>
        <v>#N/A</v>
      </c>
    </row>
    <row r="2469">
      <c r="B2469" s="20" t="str">
        <f>VLOOKUP(A2469,PlayerDB!$F$2:$H3480,3,FALSE)</f>
        <v>#N/A</v>
      </c>
    </row>
    <row r="2470">
      <c r="B2470" s="20" t="str">
        <f>VLOOKUP(A2470,PlayerDB!$F$2:$H3480,3,FALSE)</f>
        <v>#N/A</v>
      </c>
    </row>
    <row r="2471">
      <c r="B2471" s="20" t="str">
        <f>VLOOKUP(A2471,PlayerDB!$F$2:$H3480,3,FALSE)</f>
        <v>#N/A</v>
      </c>
    </row>
    <row r="2472">
      <c r="B2472" s="20" t="str">
        <f>VLOOKUP(A2472,PlayerDB!$F$2:$H3480,3,FALSE)</f>
        <v>#N/A</v>
      </c>
    </row>
    <row r="2473">
      <c r="B2473" s="20" t="str">
        <f>VLOOKUP(A2473,PlayerDB!$F$2:$H3480,3,FALSE)</f>
        <v>#N/A</v>
      </c>
    </row>
    <row r="2474">
      <c r="B2474" s="20" t="str">
        <f>VLOOKUP(A2474,PlayerDB!$F$2:$H3480,3,FALSE)</f>
        <v>#N/A</v>
      </c>
    </row>
    <row r="2475">
      <c r="B2475" s="20" t="str">
        <f>VLOOKUP(A2475,PlayerDB!$F$2:$H3480,3,FALSE)</f>
        <v>#N/A</v>
      </c>
    </row>
    <row r="2476">
      <c r="B2476" s="20" t="str">
        <f>VLOOKUP(A2476,PlayerDB!$F$2:$H3480,3,FALSE)</f>
        <v>#N/A</v>
      </c>
    </row>
    <row r="2477">
      <c r="B2477" s="20" t="str">
        <f>VLOOKUP(A2477,PlayerDB!$F$2:$H3480,3,FALSE)</f>
        <v>#N/A</v>
      </c>
    </row>
    <row r="2478">
      <c r="B2478" s="20" t="str">
        <f>VLOOKUP(A2478,PlayerDB!$F$2:$H3480,3,FALSE)</f>
        <v>#N/A</v>
      </c>
    </row>
    <row r="2479">
      <c r="B2479" s="20" t="str">
        <f>VLOOKUP(A2479,PlayerDB!$F$2:$H3480,3,FALSE)</f>
        <v>#N/A</v>
      </c>
    </row>
    <row r="2480">
      <c r="B2480" s="20" t="str">
        <f>VLOOKUP(A2480,PlayerDB!$F$2:$H3480,3,FALSE)</f>
        <v>#N/A</v>
      </c>
    </row>
    <row r="2481">
      <c r="B2481" s="20" t="str">
        <f>VLOOKUP(A2481,PlayerDB!$F$2:$H3480,3,FALSE)</f>
        <v>#N/A</v>
      </c>
    </row>
    <row r="2482">
      <c r="B2482" s="20" t="str">
        <f>VLOOKUP(A2482,PlayerDB!$F$2:$H3480,3,FALSE)</f>
        <v>#N/A</v>
      </c>
    </row>
    <row r="2483">
      <c r="B2483" s="20" t="str">
        <f>VLOOKUP(A2483,PlayerDB!$F$2:$H3480,3,FALSE)</f>
        <v>#N/A</v>
      </c>
    </row>
    <row r="2484">
      <c r="B2484" s="20" t="str">
        <f>VLOOKUP(A2484,PlayerDB!$F$2:$H3480,3,FALSE)</f>
        <v>#N/A</v>
      </c>
    </row>
    <row r="2485">
      <c r="B2485" s="20" t="str">
        <f>VLOOKUP(A2485,PlayerDB!$F$2:$H3480,3,FALSE)</f>
        <v>#N/A</v>
      </c>
    </row>
    <row r="2486">
      <c r="B2486" s="20" t="str">
        <f>VLOOKUP(A2486,PlayerDB!$F$2:$H3480,3,FALSE)</f>
        <v>#N/A</v>
      </c>
    </row>
    <row r="2487">
      <c r="B2487" s="20" t="str">
        <f>VLOOKUP(A2487,PlayerDB!$F$2:$H3480,3,FALSE)</f>
        <v>#N/A</v>
      </c>
    </row>
    <row r="2488">
      <c r="B2488" s="20" t="str">
        <f>VLOOKUP(A2488,PlayerDB!$F$2:$H3480,3,FALSE)</f>
        <v>#N/A</v>
      </c>
    </row>
    <row r="2489">
      <c r="B2489" s="20" t="str">
        <f>VLOOKUP(A2489,PlayerDB!$F$2:$H3480,3,FALSE)</f>
        <v>#N/A</v>
      </c>
    </row>
    <row r="2490">
      <c r="B2490" s="20" t="str">
        <f>VLOOKUP(A2490,PlayerDB!$F$2:$H3480,3,FALSE)</f>
        <v>#N/A</v>
      </c>
    </row>
    <row r="2491">
      <c r="B2491" s="20" t="str">
        <f>VLOOKUP(A2491,PlayerDB!$F$2:$H3480,3,FALSE)</f>
        <v>#N/A</v>
      </c>
    </row>
    <row r="2492">
      <c r="B2492" s="20" t="str">
        <f>VLOOKUP(A2492,PlayerDB!$F$2:$H3480,3,FALSE)</f>
        <v>#N/A</v>
      </c>
    </row>
    <row r="2493">
      <c r="B2493" s="20" t="str">
        <f>VLOOKUP(A2493,PlayerDB!$F$2:$H3480,3,FALSE)</f>
        <v>#N/A</v>
      </c>
    </row>
    <row r="2494">
      <c r="B2494" s="20" t="str">
        <f>VLOOKUP(A2494,PlayerDB!$F$2:$H3480,3,FALSE)</f>
        <v>#N/A</v>
      </c>
    </row>
    <row r="2495">
      <c r="B2495" s="20" t="str">
        <f>VLOOKUP(A2495,PlayerDB!$F$2:$H3480,3,FALSE)</f>
        <v>#N/A</v>
      </c>
    </row>
    <row r="2496">
      <c r="B2496" s="20" t="str">
        <f>VLOOKUP(A2496,PlayerDB!$F$2:$H3480,3,FALSE)</f>
        <v>#N/A</v>
      </c>
    </row>
    <row r="2497">
      <c r="B2497" s="20" t="str">
        <f>VLOOKUP(A2497,PlayerDB!$F$2:$H3480,3,FALSE)</f>
        <v>#N/A</v>
      </c>
    </row>
    <row r="2498">
      <c r="B2498" s="20" t="str">
        <f>VLOOKUP(A2498,PlayerDB!$F$2:$H3480,3,FALSE)</f>
        <v>#N/A</v>
      </c>
    </row>
    <row r="2499">
      <c r="B2499" s="20" t="str">
        <f>VLOOKUP(A2499,PlayerDB!$F$2:$H3480,3,FALSE)</f>
        <v>#N/A</v>
      </c>
    </row>
    <row r="2500">
      <c r="B2500" s="20" t="str">
        <f>VLOOKUP(A2500,PlayerDB!$F$2:$H3480,3,FALSE)</f>
        <v>#N/A</v>
      </c>
    </row>
    <row r="2501">
      <c r="B2501" s="20" t="str">
        <f>VLOOKUP(A2501,PlayerDB!$F$2:$H3480,3,FALSE)</f>
        <v>#N/A</v>
      </c>
    </row>
    <row r="2502">
      <c r="B2502" s="20" t="str">
        <f>VLOOKUP(A2502,PlayerDB!$F$2:$H3480,3,FALSE)</f>
        <v>#N/A</v>
      </c>
    </row>
    <row r="2503">
      <c r="B2503" s="20" t="str">
        <f>VLOOKUP(A2503,PlayerDB!$F$2:$H3480,3,FALSE)</f>
        <v>#N/A</v>
      </c>
    </row>
    <row r="2504">
      <c r="B2504" s="20" t="str">
        <f>VLOOKUP(A2504,PlayerDB!$F$2:$H3480,3,FALSE)</f>
        <v>#N/A</v>
      </c>
    </row>
    <row r="2505">
      <c r="B2505" s="20" t="str">
        <f>VLOOKUP(A2505,PlayerDB!$F$2:$H3480,3,FALSE)</f>
        <v>#N/A</v>
      </c>
    </row>
    <row r="2506">
      <c r="B2506" s="20" t="str">
        <f>VLOOKUP(A2506,PlayerDB!$F$2:$H3480,3,FALSE)</f>
        <v>#N/A</v>
      </c>
    </row>
    <row r="2507">
      <c r="B2507" s="20" t="str">
        <f>VLOOKUP(A2507,PlayerDB!$F$2:$H3480,3,FALSE)</f>
        <v>#N/A</v>
      </c>
    </row>
    <row r="2508">
      <c r="B2508" s="20" t="str">
        <f>VLOOKUP(A2508,PlayerDB!$F$2:$H3480,3,FALSE)</f>
        <v>#N/A</v>
      </c>
    </row>
    <row r="2509">
      <c r="B2509" s="20" t="str">
        <f>VLOOKUP(A2509,PlayerDB!$F$2:$H3480,3,FALSE)</f>
        <v>#N/A</v>
      </c>
    </row>
    <row r="2510">
      <c r="B2510" s="20" t="str">
        <f>VLOOKUP(A2510,PlayerDB!$F$2:$H3480,3,FALSE)</f>
        <v>#N/A</v>
      </c>
    </row>
    <row r="2511">
      <c r="B2511" s="20" t="str">
        <f>VLOOKUP(A2511,PlayerDB!$F$2:$H3480,3,FALSE)</f>
        <v>#N/A</v>
      </c>
    </row>
    <row r="2512">
      <c r="B2512" s="20" t="str">
        <f>VLOOKUP(A2512,PlayerDB!$F$2:$H3480,3,FALSE)</f>
        <v>#N/A</v>
      </c>
    </row>
    <row r="2513">
      <c r="B2513" s="20" t="str">
        <f>VLOOKUP(A2513,PlayerDB!$F$2:$H3480,3,FALSE)</f>
        <v>#N/A</v>
      </c>
    </row>
    <row r="2514">
      <c r="B2514" s="20" t="str">
        <f>VLOOKUP(A2514,PlayerDB!$F$2:$H3480,3,FALSE)</f>
        <v>#N/A</v>
      </c>
    </row>
    <row r="2515">
      <c r="B2515" s="20" t="str">
        <f>VLOOKUP(A2515,PlayerDB!$F$2:$H3480,3,FALSE)</f>
        <v>#N/A</v>
      </c>
    </row>
    <row r="2516">
      <c r="B2516" s="20" t="str">
        <f>VLOOKUP(A2516,PlayerDB!$F$2:$H3480,3,FALSE)</f>
        <v>#N/A</v>
      </c>
    </row>
    <row r="2517">
      <c r="B2517" s="20" t="str">
        <f>VLOOKUP(A2517,PlayerDB!$F$2:$H3480,3,FALSE)</f>
        <v>#N/A</v>
      </c>
    </row>
    <row r="2518">
      <c r="B2518" s="20" t="str">
        <f>VLOOKUP(A2518,PlayerDB!$F$2:$H3480,3,FALSE)</f>
        <v>#N/A</v>
      </c>
    </row>
    <row r="2519">
      <c r="B2519" s="20" t="str">
        <f>VLOOKUP(A2519,PlayerDB!$F$2:$H3480,3,FALSE)</f>
        <v>#N/A</v>
      </c>
    </row>
    <row r="2520">
      <c r="B2520" s="20" t="str">
        <f>VLOOKUP(A2520,PlayerDB!$F$2:$H3480,3,FALSE)</f>
        <v>#N/A</v>
      </c>
    </row>
    <row r="2521">
      <c r="B2521" s="20" t="str">
        <f>VLOOKUP(A2521,PlayerDB!$F$2:$H3480,3,FALSE)</f>
        <v>#N/A</v>
      </c>
    </row>
    <row r="2522">
      <c r="B2522" s="20" t="str">
        <f>VLOOKUP(A2522,PlayerDB!$F$2:$H3480,3,FALSE)</f>
        <v>#N/A</v>
      </c>
    </row>
    <row r="2523">
      <c r="B2523" s="20" t="str">
        <f>VLOOKUP(A2523,PlayerDB!$F$2:$H3480,3,FALSE)</f>
        <v>#N/A</v>
      </c>
    </row>
    <row r="2524">
      <c r="B2524" s="20" t="str">
        <f>VLOOKUP(A2524,PlayerDB!$F$2:$H3480,3,FALSE)</f>
        <v>#N/A</v>
      </c>
    </row>
    <row r="2525">
      <c r="B2525" s="20" t="str">
        <f>VLOOKUP(A2525,PlayerDB!$F$2:$H3480,3,FALSE)</f>
        <v>#N/A</v>
      </c>
    </row>
    <row r="2526">
      <c r="B2526" s="20" t="str">
        <f>VLOOKUP(A2526,PlayerDB!$F$2:$H3480,3,FALSE)</f>
        <v>#N/A</v>
      </c>
    </row>
    <row r="2527">
      <c r="B2527" s="20" t="str">
        <f>VLOOKUP(A2527,PlayerDB!$F$2:$H3480,3,FALSE)</f>
        <v>#N/A</v>
      </c>
    </row>
    <row r="2528">
      <c r="B2528" s="20" t="str">
        <f>VLOOKUP(A2528,PlayerDB!$F$2:$H3480,3,FALSE)</f>
        <v>#N/A</v>
      </c>
    </row>
    <row r="2529">
      <c r="B2529" s="20" t="str">
        <f>VLOOKUP(A2529,PlayerDB!$F$2:$H3480,3,FALSE)</f>
        <v>#N/A</v>
      </c>
    </row>
    <row r="2530">
      <c r="B2530" s="20" t="str">
        <f>VLOOKUP(A2530,PlayerDB!$F$2:$H3480,3,FALSE)</f>
        <v>#N/A</v>
      </c>
    </row>
    <row r="2531">
      <c r="B2531" s="20" t="str">
        <f>VLOOKUP(A2531,PlayerDB!$F$2:$H3480,3,FALSE)</f>
        <v>#N/A</v>
      </c>
    </row>
    <row r="2532">
      <c r="B2532" s="20" t="str">
        <f>VLOOKUP(A2532,PlayerDB!$F$2:$H3480,3,FALSE)</f>
        <v>#N/A</v>
      </c>
    </row>
    <row r="2533">
      <c r="B2533" s="20" t="str">
        <f>VLOOKUP(A2533,PlayerDB!$F$2:$H3480,3,FALSE)</f>
        <v>#N/A</v>
      </c>
    </row>
    <row r="2534">
      <c r="B2534" s="20" t="str">
        <f>VLOOKUP(A2534,PlayerDB!$F$2:$H3480,3,FALSE)</f>
        <v>#N/A</v>
      </c>
    </row>
    <row r="2535">
      <c r="B2535" s="20" t="str">
        <f>VLOOKUP(A2535,PlayerDB!$F$2:$H3480,3,FALSE)</f>
        <v>#N/A</v>
      </c>
    </row>
    <row r="2536">
      <c r="B2536" s="20" t="str">
        <f>VLOOKUP(A2536,PlayerDB!$F$2:$H3480,3,FALSE)</f>
        <v>#N/A</v>
      </c>
    </row>
    <row r="2537">
      <c r="B2537" s="20" t="str">
        <f>VLOOKUP(A2537,PlayerDB!$F$2:$H3480,3,FALSE)</f>
        <v>#N/A</v>
      </c>
    </row>
    <row r="2538">
      <c r="B2538" s="20" t="str">
        <f>VLOOKUP(A2538,PlayerDB!$F$2:$H3480,3,FALSE)</f>
        <v>#N/A</v>
      </c>
    </row>
    <row r="2539">
      <c r="B2539" s="20" t="str">
        <f>VLOOKUP(A2539,PlayerDB!$F$2:$H3480,3,FALSE)</f>
        <v>#N/A</v>
      </c>
    </row>
    <row r="2540">
      <c r="B2540" s="20" t="str">
        <f>VLOOKUP(A2540,PlayerDB!$F$2:$H3480,3,FALSE)</f>
        <v>#N/A</v>
      </c>
    </row>
    <row r="2541">
      <c r="B2541" s="20" t="str">
        <f>VLOOKUP(A2541,PlayerDB!$F$2:$H3480,3,FALSE)</f>
        <v>#N/A</v>
      </c>
    </row>
    <row r="2542">
      <c r="B2542" s="20" t="str">
        <f>VLOOKUP(A2542,PlayerDB!$F$2:$H3480,3,FALSE)</f>
        <v>#N/A</v>
      </c>
    </row>
    <row r="2543">
      <c r="B2543" s="20" t="str">
        <f>VLOOKUP(A2543,PlayerDB!$F$2:$H3480,3,FALSE)</f>
        <v>#N/A</v>
      </c>
    </row>
    <row r="2544">
      <c r="B2544" s="20" t="str">
        <f>VLOOKUP(A2544,PlayerDB!$F$2:$H3480,3,FALSE)</f>
        <v>#N/A</v>
      </c>
    </row>
    <row r="2545">
      <c r="B2545" s="20" t="str">
        <f>VLOOKUP(A2545,PlayerDB!$F$2:$H3480,3,FALSE)</f>
        <v>#N/A</v>
      </c>
    </row>
    <row r="2546">
      <c r="B2546" s="20" t="str">
        <f>VLOOKUP(A2546,PlayerDB!$F$2:$H3480,3,FALSE)</f>
        <v>#N/A</v>
      </c>
    </row>
    <row r="2547">
      <c r="B2547" s="20" t="str">
        <f>VLOOKUP(A2547,PlayerDB!$F$2:$H3480,3,FALSE)</f>
        <v>#N/A</v>
      </c>
    </row>
    <row r="2548">
      <c r="B2548" s="20" t="str">
        <f>VLOOKUP(A2548,PlayerDB!$F$2:$H3480,3,FALSE)</f>
        <v>#N/A</v>
      </c>
    </row>
    <row r="2549">
      <c r="B2549" s="20" t="str">
        <f>VLOOKUP(A2549,PlayerDB!$F$2:$H3480,3,FALSE)</f>
        <v>#N/A</v>
      </c>
    </row>
    <row r="2550">
      <c r="B2550" s="20" t="str">
        <f>VLOOKUP(A2550,PlayerDB!$F$2:$H3480,3,FALSE)</f>
        <v>#N/A</v>
      </c>
    </row>
    <row r="2551">
      <c r="B2551" s="20" t="str">
        <f>VLOOKUP(A2551,PlayerDB!$F$2:$H3480,3,FALSE)</f>
        <v>#N/A</v>
      </c>
    </row>
    <row r="2552">
      <c r="B2552" s="20" t="str">
        <f>VLOOKUP(A2552,PlayerDB!$F$2:$H3480,3,FALSE)</f>
        <v>#N/A</v>
      </c>
    </row>
    <row r="2553">
      <c r="B2553" s="20" t="str">
        <f>VLOOKUP(A2553,PlayerDB!$F$2:$H3480,3,FALSE)</f>
        <v>#N/A</v>
      </c>
    </row>
    <row r="2554">
      <c r="B2554" s="20" t="str">
        <f>VLOOKUP(A2554,PlayerDB!$F$2:$H3480,3,FALSE)</f>
        <v>#N/A</v>
      </c>
    </row>
    <row r="2555">
      <c r="B2555" s="20" t="str">
        <f>VLOOKUP(A2555,PlayerDB!$F$2:$H3480,3,FALSE)</f>
        <v>#N/A</v>
      </c>
    </row>
    <row r="2556">
      <c r="B2556" s="20" t="str">
        <f>VLOOKUP(A2556,PlayerDB!$F$2:$H3480,3,FALSE)</f>
        <v>#N/A</v>
      </c>
    </row>
    <row r="2557">
      <c r="B2557" s="20" t="str">
        <f>VLOOKUP(A2557,PlayerDB!$F$2:$H3480,3,FALSE)</f>
        <v>#N/A</v>
      </c>
    </row>
    <row r="2558">
      <c r="B2558" s="20" t="str">
        <f>VLOOKUP(A2558,PlayerDB!$F$2:$H3480,3,FALSE)</f>
        <v>#N/A</v>
      </c>
    </row>
    <row r="2559">
      <c r="B2559" s="20" t="str">
        <f>VLOOKUP(A2559,PlayerDB!$F$2:$H3480,3,FALSE)</f>
        <v>#N/A</v>
      </c>
    </row>
    <row r="2560">
      <c r="B2560" s="20" t="str">
        <f>VLOOKUP(A2560,PlayerDB!$F$2:$H3480,3,FALSE)</f>
        <v>#N/A</v>
      </c>
    </row>
    <row r="2561">
      <c r="B2561" s="20" t="str">
        <f>VLOOKUP(A2561,PlayerDB!$F$2:$H3480,3,FALSE)</f>
        <v>#N/A</v>
      </c>
    </row>
    <row r="2562">
      <c r="B2562" s="20" t="str">
        <f>VLOOKUP(A2562,PlayerDB!$F$2:$H3480,3,FALSE)</f>
        <v>#N/A</v>
      </c>
    </row>
    <row r="2563">
      <c r="B2563" s="20" t="str">
        <f>VLOOKUP(A2563,PlayerDB!$F$2:$H3480,3,FALSE)</f>
        <v>#N/A</v>
      </c>
    </row>
    <row r="2564">
      <c r="B2564" s="20" t="str">
        <f>VLOOKUP(A2564,PlayerDB!$F$2:$H3480,3,FALSE)</f>
        <v>#N/A</v>
      </c>
    </row>
    <row r="2565">
      <c r="B2565" s="20" t="str">
        <f>VLOOKUP(A2565,PlayerDB!$F$2:$H3480,3,FALSE)</f>
        <v>#N/A</v>
      </c>
    </row>
    <row r="2566">
      <c r="B2566" s="20" t="str">
        <f>VLOOKUP(A2566,PlayerDB!$F$2:$H3480,3,FALSE)</f>
        <v>#N/A</v>
      </c>
    </row>
    <row r="2567">
      <c r="B2567" s="20" t="str">
        <f>VLOOKUP(A2567,PlayerDB!$F$2:$H3480,3,FALSE)</f>
        <v>#N/A</v>
      </c>
    </row>
    <row r="2568">
      <c r="B2568" s="20" t="str">
        <f>VLOOKUP(A2568,PlayerDB!$F$2:$H3480,3,FALSE)</f>
        <v>#N/A</v>
      </c>
    </row>
    <row r="2569">
      <c r="B2569" s="20" t="str">
        <f>VLOOKUP(A2569,PlayerDB!$F$2:$H3480,3,FALSE)</f>
        <v>#N/A</v>
      </c>
    </row>
    <row r="2570">
      <c r="B2570" s="20" t="str">
        <f>VLOOKUP(A2570,PlayerDB!$F$2:$H3480,3,FALSE)</f>
        <v>#N/A</v>
      </c>
    </row>
    <row r="2571">
      <c r="B2571" s="20" t="str">
        <f>VLOOKUP(A2571,PlayerDB!$F$2:$H3480,3,FALSE)</f>
        <v>#N/A</v>
      </c>
    </row>
    <row r="2572">
      <c r="B2572" s="20" t="str">
        <f>VLOOKUP(A2572,PlayerDB!$F$2:$H3480,3,FALSE)</f>
        <v>#N/A</v>
      </c>
    </row>
    <row r="2573">
      <c r="B2573" s="20" t="str">
        <f>VLOOKUP(A2573,PlayerDB!$F$2:$H3480,3,FALSE)</f>
        <v>#N/A</v>
      </c>
    </row>
    <row r="2574">
      <c r="B2574" s="20" t="str">
        <f>VLOOKUP(A2574,PlayerDB!$F$2:$H3480,3,FALSE)</f>
        <v>#N/A</v>
      </c>
    </row>
    <row r="2575">
      <c r="B2575" s="20" t="str">
        <f>VLOOKUP(A2575,PlayerDB!$F$2:$H3480,3,FALSE)</f>
        <v>#N/A</v>
      </c>
    </row>
    <row r="2576">
      <c r="B2576" s="20" t="str">
        <f>VLOOKUP(A2576,PlayerDB!$F$2:$H3480,3,FALSE)</f>
        <v>#N/A</v>
      </c>
    </row>
    <row r="2577">
      <c r="B2577" s="20" t="str">
        <f>VLOOKUP(A2577,PlayerDB!$F$2:$H3480,3,FALSE)</f>
        <v>#N/A</v>
      </c>
    </row>
    <row r="2578">
      <c r="B2578" s="20" t="str">
        <f>VLOOKUP(A2578,PlayerDB!$F$2:$H3480,3,FALSE)</f>
        <v>#N/A</v>
      </c>
    </row>
    <row r="2579">
      <c r="B2579" s="20" t="str">
        <f>VLOOKUP(A2579,PlayerDB!$F$2:$H3480,3,FALSE)</f>
        <v>#N/A</v>
      </c>
    </row>
    <row r="2580">
      <c r="B2580" s="20" t="str">
        <f>VLOOKUP(A2580,PlayerDB!$F$2:$H3480,3,FALSE)</f>
        <v>#N/A</v>
      </c>
    </row>
    <row r="2581">
      <c r="B2581" s="20" t="str">
        <f>VLOOKUP(A2581,PlayerDB!$F$2:$H3480,3,FALSE)</f>
        <v>#N/A</v>
      </c>
    </row>
    <row r="2582">
      <c r="B2582" s="20" t="str">
        <f>VLOOKUP(A2582,PlayerDB!$F$2:$H3480,3,FALSE)</f>
        <v>#N/A</v>
      </c>
    </row>
    <row r="2583">
      <c r="B2583" s="20" t="str">
        <f>VLOOKUP(A2583,PlayerDB!$F$2:$H3480,3,FALSE)</f>
        <v>#N/A</v>
      </c>
    </row>
    <row r="2584">
      <c r="B2584" s="20" t="str">
        <f>VLOOKUP(A2584,PlayerDB!$F$2:$H3480,3,FALSE)</f>
        <v>#N/A</v>
      </c>
    </row>
    <row r="2585">
      <c r="B2585" s="20" t="str">
        <f>VLOOKUP(A2585,PlayerDB!$F$2:$H3480,3,FALSE)</f>
        <v>#N/A</v>
      </c>
    </row>
    <row r="2586">
      <c r="B2586" s="20" t="str">
        <f>VLOOKUP(A2586,PlayerDB!$F$2:$H3480,3,FALSE)</f>
        <v>#N/A</v>
      </c>
    </row>
    <row r="2587">
      <c r="B2587" s="20" t="str">
        <f>VLOOKUP(A2587,PlayerDB!$F$2:$H3480,3,FALSE)</f>
        <v>#N/A</v>
      </c>
    </row>
    <row r="2588">
      <c r="B2588" s="20" t="str">
        <f>VLOOKUP(A2588,PlayerDB!$F$2:$H3480,3,FALSE)</f>
        <v>#N/A</v>
      </c>
    </row>
    <row r="2589">
      <c r="B2589" s="20" t="str">
        <f>VLOOKUP(A2589,PlayerDB!$F$2:$H3480,3,FALSE)</f>
        <v>#N/A</v>
      </c>
    </row>
    <row r="2590">
      <c r="B2590" s="20" t="str">
        <f>VLOOKUP(A2590,PlayerDB!$F$2:$H3480,3,FALSE)</f>
        <v>#N/A</v>
      </c>
    </row>
    <row r="2591">
      <c r="B2591" s="20" t="str">
        <f>VLOOKUP(A2591,PlayerDB!$F$2:$H3480,3,FALSE)</f>
        <v>#N/A</v>
      </c>
    </row>
    <row r="2592">
      <c r="B2592" s="20" t="str">
        <f>VLOOKUP(A2592,PlayerDB!$F$2:$H3480,3,FALSE)</f>
        <v>#N/A</v>
      </c>
    </row>
    <row r="2593">
      <c r="B2593" s="20" t="str">
        <f>VLOOKUP(A2593,PlayerDB!$F$2:$H3480,3,FALSE)</f>
        <v>#N/A</v>
      </c>
    </row>
    <row r="2594">
      <c r="B2594" s="20" t="str">
        <f>VLOOKUP(A2594,PlayerDB!$F$2:$H3480,3,FALSE)</f>
        <v>#N/A</v>
      </c>
    </row>
    <row r="2595">
      <c r="B2595" s="20" t="str">
        <f>VLOOKUP(A2595,PlayerDB!$F$2:$H3480,3,FALSE)</f>
        <v>#N/A</v>
      </c>
    </row>
    <row r="2596">
      <c r="B2596" s="20" t="str">
        <f>VLOOKUP(A2596,PlayerDB!$F$2:$H3480,3,FALSE)</f>
        <v>#N/A</v>
      </c>
    </row>
    <row r="2597">
      <c r="B2597" s="20" t="str">
        <f>VLOOKUP(A2597,PlayerDB!$F$2:$H3480,3,FALSE)</f>
        <v>#N/A</v>
      </c>
    </row>
    <row r="2598">
      <c r="B2598" s="20" t="str">
        <f>VLOOKUP(A2598,PlayerDB!$F$2:$H3480,3,FALSE)</f>
        <v>#N/A</v>
      </c>
    </row>
    <row r="2599">
      <c r="B2599" s="20" t="str">
        <f>VLOOKUP(A2599,PlayerDB!$F$2:$H3480,3,FALSE)</f>
        <v>#N/A</v>
      </c>
    </row>
    <row r="2600">
      <c r="B2600" s="20" t="str">
        <f>VLOOKUP(A2600,PlayerDB!$F$2:$H3480,3,FALSE)</f>
        <v>#N/A</v>
      </c>
    </row>
    <row r="2601">
      <c r="B2601" s="20" t="str">
        <f>VLOOKUP(A2601,PlayerDB!$F$2:$H3480,3,FALSE)</f>
        <v>#N/A</v>
      </c>
    </row>
    <row r="2602">
      <c r="B2602" s="20" t="str">
        <f>VLOOKUP(A2602,PlayerDB!$F$2:$H3480,3,FALSE)</f>
        <v>#N/A</v>
      </c>
    </row>
    <row r="2603">
      <c r="B2603" s="20" t="str">
        <f>VLOOKUP(A2603,PlayerDB!$F$2:$H3480,3,FALSE)</f>
        <v>#N/A</v>
      </c>
    </row>
    <row r="2604">
      <c r="B2604" s="20" t="str">
        <f>VLOOKUP(A2604,PlayerDB!$F$2:$H3480,3,FALSE)</f>
        <v>#N/A</v>
      </c>
    </row>
    <row r="2605">
      <c r="B2605" s="20" t="str">
        <f>VLOOKUP(A2605,PlayerDB!$F$2:$H3480,3,FALSE)</f>
        <v>#N/A</v>
      </c>
    </row>
    <row r="2606">
      <c r="B2606" s="20" t="str">
        <f>VLOOKUP(A2606,PlayerDB!$F$2:$H3480,3,FALSE)</f>
        <v>#N/A</v>
      </c>
    </row>
    <row r="2607">
      <c r="B2607" s="20" t="str">
        <f>VLOOKUP(A2607,PlayerDB!$F$2:$H3480,3,FALSE)</f>
        <v>#N/A</v>
      </c>
    </row>
    <row r="2608">
      <c r="B2608" s="20" t="str">
        <f>VLOOKUP(A2608,PlayerDB!$F$2:$H3480,3,FALSE)</f>
        <v>#N/A</v>
      </c>
    </row>
    <row r="2609">
      <c r="B2609" s="20" t="str">
        <f>VLOOKUP(A2609,PlayerDB!$F$2:$H3480,3,FALSE)</f>
        <v>#N/A</v>
      </c>
    </row>
    <row r="2610">
      <c r="B2610" s="20" t="str">
        <f>VLOOKUP(A2610,PlayerDB!$F$2:$H3480,3,FALSE)</f>
        <v>#N/A</v>
      </c>
    </row>
    <row r="2611">
      <c r="B2611" s="20" t="str">
        <f>VLOOKUP(A2611,PlayerDB!$F$2:$H3480,3,FALSE)</f>
        <v>#N/A</v>
      </c>
    </row>
    <row r="2612">
      <c r="B2612" s="20" t="str">
        <f>VLOOKUP(A2612,PlayerDB!$F$2:$H3480,3,FALSE)</f>
        <v>#N/A</v>
      </c>
    </row>
    <row r="2613">
      <c r="B2613" s="20" t="str">
        <f>VLOOKUP(A2613,PlayerDB!$F$2:$H3480,3,FALSE)</f>
        <v>#N/A</v>
      </c>
    </row>
    <row r="2614">
      <c r="B2614" s="20" t="str">
        <f>VLOOKUP(A2614,PlayerDB!$F$2:$H3480,3,FALSE)</f>
        <v>#N/A</v>
      </c>
    </row>
    <row r="2615">
      <c r="B2615" s="20" t="str">
        <f>VLOOKUP(A2615,PlayerDB!$F$2:$H3480,3,FALSE)</f>
        <v>#N/A</v>
      </c>
    </row>
    <row r="2616">
      <c r="B2616" s="20" t="str">
        <f>VLOOKUP(A2616,PlayerDB!$F$2:$H3480,3,FALSE)</f>
        <v>#N/A</v>
      </c>
    </row>
    <row r="2617">
      <c r="B2617" s="20" t="str">
        <f>VLOOKUP(A2617,PlayerDB!$F$2:$H3480,3,FALSE)</f>
        <v>#N/A</v>
      </c>
    </row>
    <row r="2618">
      <c r="B2618" s="20" t="str">
        <f>VLOOKUP(A2618,PlayerDB!$F$2:$H3480,3,FALSE)</f>
        <v>#N/A</v>
      </c>
    </row>
    <row r="2619">
      <c r="B2619" s="20" t="str">
        <f>VLOOKUP(A2619,PlayerDB!$F$2:$H3480,3,FALSE)</f>
        <v>#N/A</v>
      </c>
    </row>
    <row r="2620">
      <c r="B2620" s="20" t="str">
        <f>VLOOKUP(A2620,PlayerDB!$F$2:$H3480,3,FALSE)</f>
        <v>#N/A</v>
      </c>
    </row>
    <row r="2621">
      <c r="B2621" s="20" t="str">
        <f>VLOOKUP(A2621,PlayerDB!$F$2:$H3480,3,FALSE)</f>
        <v>#N/A</v>
      </c>
    </row>
    <row r="2622">
      <c r="B2622" s="20" t="str">
        <f>VLOOKUP(A2622,PlayerDB!$F$2:$H3480,3,FALSE)</f>
        <v>#N/A</v>
      </c>
    </row>
    <row r="2623">
      <c r="B2623" s="20" t="str">
        <f>VLOOKUP(A2623,PlayerDB!$F$2:$H3480,3,FALSE)</f>
        <v>#N/A</v>
      </c>
    </row>
    <row r="2624">
      <c r="B2624" s="20" t="str">
        <f>VLOOKUP(A2624,PlayerDB!$F$2:$H3480,3,FALSE)</f>
        <v>#N/A</v>
      </c>
    </row>
    <row r="2625">
      <c r="B2625" s="20" t="str">
        <f>VLOOKUP(A2625,PlayerDB!$F$2:$H3480,3,FALSE)</f>
        <v>#N/A</v>
      </c>
    </row>
    <row r="2626">
      <c r="B2626" s="20" t="str">
        <f>VLOOKUP(A2626,PlayerDB!$F$2:$H3480,3,FALSE)</f>
        <v>#N/A</v>
      </c>
    </row>
    <row r="2627">
      <c r="B2627" s="20" t="str">
        <f>VLOOKUP(A2627,PlayerDB!$F$2:$H3480,3,FALSE)</f>
        <v>#N/A</v>
      </c>
    </row>
    <row r="2628">
      <c r="B2628" s="20" t="str">
        <f>VLOOKUP(A2628,PlayerDB!$F$2:$H3480,3,FALSE)</f>
        <v>#N/A</v>
      </c>
    </row>
    <row r="2629">
      <c r="B2629" s="20" t="str">
        <f>VLOOKUP(A2629,PlayerDB!$F$2:$H3480,3,FALSE)</f>
        <v>#N/A</v>
      </c>
    </row>
    <row r="2630">
      <c r="B2630" s="20" t="str">
        <f>VLOOKUP(A2630,PlayerDB!$F$2:$H3480,3,FALSE)</f>
        <v>#N/A</v>
      </c>
    </row>
    <row r="2631">
      <c r="B2631" s="20" t="str">
        <f>VLOOKUP(A2631,PlayerDB!$F$2:$H3480,3,FALSE)</f>
        <v>#N/A</v>
      </c>
    </row>
    <row r="2632">
      <c r="B2632" s="20" t="str">
        <f>VLOOKUP(A2632,PlayerDB!$F$2:$H3480,3,FALSE)</f>
        <v>#N/A</v>
      </c>
    </row>
    <row r="2633">
      <c r="B2633" s="20" t="str">
        <f>VLOOKUP(A2633,PlayerDB!$F$2:$H3480,3,FALSE)</f>
        <v>#N/A</v>
      </c>
    </row>
    <row r="2634">
      <c r="B2634" s="20" t="str">
        <f>VLOOKUP(A2634,PlayerDB!$F$2:$H3480,3,FALSE)</f>
        <v>#N/A</v>
      </c>
    </row>
    <row r="2635">
      <c r="B2635" s="20" t="str">
        <f>VLOOKUP(A2635,PlayerDB!$F$2:$H3480,3,FALSE)</f>
        <v>#N/A</v>
      </c>
    </row>
    <row r="2636">
      <c r="B2636" s="20" t="str">
        <f>VLOOKUP(A2636,PlayerDB!$F$2:$H3480,3,FALSE)</f>
        <v>#N/A</v>
      </c>
    </row>
    <row r="2637">
      <c r="B2637" s="20" t="str">
        <f>VLOOKUP(A2637,PlayerDB!$F$2:$H3480,3,FALSE)</f>
        <v>#N/A</v>
      </c>
    </row>
    <row r="2638">
      <c r="B2638" s="20" t="str">
        <f>VLOOKUP(A2638,PlayerDB!$F$2:$H3480,3,FALSE)</f>
        <v>#N/A</v>
      </c>
    </row>
    <row r="2639">
      <c r="B2639" s="20" t="str">
        <f>VLOOKUP(A2639,PlayerDB!$F$2:$H3480,3,FALSE)</f>
        <v>#N/A</v>
      </c>
    </row>
    <row r="2640">
      <c r="B2640" s="20" t="str">
        <f>VLOOKUP(A2640,PlayerDB!$F$2:$H3480,3,FALSE)</f>
        <v>#N/A</v>
      </c>
    </row>
    <row r="2641">
      <c r="B2641" s="20" t="str">
        <f>VLOOKUP(A2641,PlayerDB!$F$2:$H3480,3,FALSE)</f>
        <v>#N/A</v>
      </c>
    </row>
    <row r="2642">
      <c r="B2642" s="20" t="str">
        <f>VLOOKUP(A2642,PlayerDB!$F$2:$H3480,3,FALSE)</f>
        <v>#N/A</v>
      </c>
    </row>
    <row r="2643">
      <c r="B2643" s="20" t="str">
        <f>VLOOKUP(A2643,PlayerDB!$F$2:$H3480,3,FALSE)</f>
        <v>#N/A</v>
      </c>
    </row>
    <row r="2644">
      <c r="B2644" s="20" t="str">
        <f>VLOOKUP(A2644,PlayerDB!$F$2:$H3480,3,FALSE)</f>
        <v>#N/A</v>
      </c>
    </row>
    <row r="2645">
      <c r="B2645" s="20" t="str">
        <f>VLOOKUP(A2645,PlayerDB!$F$2:$H3480,3,FALSE)</f>
        <v>#N/A</v>
      </c>
    </row>
    <row r="2646">
      <c r="B2646" s="20" t="str">
        <f>VLOOKUP(A2646,PlayerDB!$F$2:$H3480,3,FALSE)</f>
        <v>#N/A</v>
      </c>
    </row>
    <row r="2647">
      <c r="B2647" s="20" t="str">
        <f>VLOOKUP(A2647,PlayerDB!$F$2:$H3480,3,FALSE)</f>
        <v>#N/A</v>
      </c>
    </row>
    <row r="2648">
      <c r="B2648" s="20" t="str">
        <f>VLOOKUP(A2648,PlayerDB!$F$2:$H3480,3,FALSE)</f>
        <v>#N/A</v>
      </c>
    </row>
    <row r="2649">
      <c r="B2649" s="20" t="str">
        <f>VLOOKUP(A2649,PlayerDB!$F$2:$H3480,3,FALSE)</f>
        <v>#N/A</v>
      </c>
    </row>
    <row r="2650">
      <c r="B2650" s="20" t="str">
        <f>VLOOKUP(A2650,PlayerDB!$F$2:$H3480,3,FALSE)</f>
        <v>#N/A</v>
      </c>
    </row>
    <row r="2651">
      <c r="B2651" s="20" t="str">
        <f>VLOOKUP(A2651,PlayerDB!$F$2:$H3480,3,FALSE)</f>
        <v>#N/A</v>
      </c>
    </row>
    <row r="2652">
      <c r="B2652" s="20" t="str">
        <f>VLOOKUP(A2652,PlayerDB!$F$2:$H3480,3,FALSE)</f>
        <v>#N/A</v>
      </c>
    </row>
    <row r="2653">
      <c r="B2653" s="20" t="str">
        <f>VLOOKUP(A2653,PlayerDB!$F$2:$H3480,3,FALSE)</f>
        <v>#N/A</v>
      </c>
    </row>
    <row r="2654">
      <c r="B2654" s="20" t="str">
        <f>VLOOKUP(A2654,PlayerDB!$F$2:$H3480,3,FALSE)</f>
        <v>#N/A</v>
      </c>
    </row>
    <row r="2655">
      <c r="B2655" s="20" t="str">
        <f>VLOOKUP(A2655,PlayerDB!$F$2:$H3480,3,FALSE)</f>
        <v>#N/A</v>
      </c>
    </row>
    <row r="2656">
      <c r="B2656" s="20" t="str">
        <f>VLOOKUP(A2656,PlayerDB!$F$2:$H3480,3,FALSE)</f>
        <v>#N/A</v>
      </c>
    </row>
    <row r="2657">
      <c r="B2657" s="20" t="str">
        <f>VLOOKUP(A2657,PlayerDB!$F$2:$H3480,3,FALSE)</f>
        <v>#N/A</v>
      </c>
    </row>
    <row r="2658">
      <c r="B2658" s="20" t="str">
        <f>VLOOKUP(A2658,PlayerDB!$F$2:$H3480,3,FALSE)</f>
        <v>#N/A</v>
      </c>
    </row>
    <row r="2659">
      <c r="B2659" s="20" t="str">
        <f>VLOOKUP(A2659,PlayerDB!$F$2:$H3480,3,FALSE)</f>
        <v>#N/A</v>
      </c>
    </row>
    <row r="2660">
      <c r="B2660" s="20" t="str">
        <f>VLOOKUP(A2660,PlayerDB!$F$2:$H3480,3,FALSE)</f>
        <v>#N/A</v>
      </c>
    </row>
    <row r="2661">
      <c r="B2661" s="20" t="str">
        <f>VLOOKUP(A2661,PlayerDB!$F$2:$H3480,3,FALSE)</f>
        <v>#N/A</v>
      </c>
    </row>
    <row r="2662">
      <c r="B2662" s="20" t="str">
        <f>VLOOKUP(A2662,PlayerDB!$F$2:$H3480,3,FALSE)</f>
        <v>#N/A</v>
      </c>
    </row>
    <row r="2663">
      <c r="B2663" s="20" t="str">
        <f>VLOOKUP(A2663,PlayerDB!$F$2:$H3480,3,FALSE)</f>
        <v>#N/A</v>
      </c>
    </row>
    <row r="2664">
      <c r="B2664" s="20" t="str">
        <f>VLOOKUP(A2664,PlayerDB!$F$2:$H3480,3,FALSE)</f>
        <v>#N/A</v>
      </c>
    </row>
    <row r="2665">
      <c r="B2665" s="20" t="str">
        <f>VLOOKUP(A2665,PlayerDB!$F$2:$H3480,3,FALSE)</f>
        <v>#N/A</v>
      </c>
    </row>
    <row r="2666">
      <c r="B2666" s="20" t="str">
        <f>VLOOKUP(A2666,PlayerDB!$F$2:$H3480,3,FALSE)</f>
        <v>#N/A</v>
      </c>
    </row>
    <row r="2667">
      <c r="B2667" s="20" t="str">
        <f>VLOOKUP(A2667,PlayerDB!$F$2:$H3480,3,FALSE)</f>
        <v>#N/A</v>
      </c>
    </row>
    <row r="2668">
      <c r="B2668" s="20" t="str">
        <f>VLOOKUP(A2668,PlayerDB!$F$2:$H3480,3,FALSE)</f>
        <v>#N/A</v>
      </c>
    </row>
    <row r="2669">
      <c r="B2669" s="20" t="str">
        <f>VLOOKUP(A2669,PlayerDB!$F$2:$H3480,3,FALSE)</f>
        <v>#N/A</v>
      </c>
    </row>
    <row r="2670">
      <c r="B2670" s="20" t="str">
        <f>VLOOKUP(A2670,PlayerDB!$F$2:$H3480,3,FALSE)</f>
        <v>#N/A</v>
      </c>
    </row>
    <row r="2671">
      <c r="B2671" s="20" t="str">
        <f>VLOOKUP(A2671,PlayerDB!$F$2:$H3480,3,FALSE)</f>
        <v>#N/A</v>
      </c>
    </row>
    <row r="2672">
      <c r="B2672" s="20" t="str">
        <f>VLOOKUP(A2672,PlayerDB!$F$2:$H3480,3,FALSE)</f>
        <v>#N/A</v>
      </c>
    </row>
    <row r="2673">
      <c r="B2673" s="20" t="str">
        <f>VLOOKUP(A2673,PlayerDB!$F$2:$H3480,3,FALSE)</f>
        <v>#N/A</v>
      </c>
    </row>
    <row r="2674">
      <c r="B2674" s="20" t="str">
        <f>VLOOKUP(A2674,PlayerDB!$F$2:$H3480,3,FALSE)</f>
        <v>#N/A</v>
      </c>
    </row>
    <row r="2675">
      <c r="B2675" s="20" t="str">
        <f>VLOOKUP(A2675,PlayerDB!$F$2:$H3480,3,FALSE)</f>
        <v>#N/A</v>
      </c>
    </row>
    <row r="2676">
      <c r="B2676" s="20" t="str">
        <f>VLOOKUP(A2676,PlayerDB!$F$2:$H3480,3,FALSE)</f>
        <v>#N/A</v>
      </c>
    </row>
    <row r="2677">
      <c r="B2677" s="20" t="str">
        <f>VLOOKUP(A2677,PlayerDB!$F$2:$H3480,3,FALSE)</f>
        <v>#N/A</v>
      </c>
    </row>
    <row r="2678">
      <c r="B2678" s="20" t="str">
        <f>VLOOKUP(A2678,PlayerDB!$F$2:$H3480,3,FALSE)</f>
        <v>#N/A</v>
      </c>
    </row>
    <row r="2679">
      <c r="B2679" s="20" t="str">
        <f>VLOOKUP(A2679,PlayerDB!$F$2:$H3480,3,FALSE)</f>
        <v>#N/A</v>
      </c>
    </row>
    <row r="2680">
      <c r="B2680" s="20" t="str">
        <f>VLOOKUP(A2680,PlayerDB!$F$2:$H3480,3,FALSE)</f>
        <v>#N/A</v>
      </c>
    </row>
    <row r="2681">
      <c r="B2681" s="20" t="str">
        <f>VLOOKUP(A2681,PlayerDB!$F$2:$H3480,3,FALSE)</f>
        <v>#N/A</v>
      </c>
    </row>
    <row r="2682">
      <c r="B2682" s="20" t="str">
        <f>VLOOKUP(A2682,PlayerDB!$F$2:$H3480,3,FALSE)</f>
        <v>#N/A</v>
      </c>
    </row>
    <row r="2683">
      <c r="B2683" s="20" t="str">
        <f>VLOOKUP(A2683,PlayerDB!$F$2:$H3480,3,FALSE)</f>
        <v>#N/A</v>
      </c>
    </row>
    <row r="2684">
      <c r="B2684" s="20" t="str">
        <f>VLOOKUP(A2684,PlayerDB!$F$2:$H3480,3,FALSE)</f>
        <v>#N/A</v>
      </c>
    </row>
    <row r="2685">
      <c r="B2685" s="20" t="str">
        <f>VLOOKUP(A2685,PlayerDB!$F$2:$H3480,3,FALSE)</f>
        <v>#N/A</v>
      </c>
    </row>
    <row r="2686">
      <c r="B2686" s="20" t="str">
        <f>VLOOKUP(A2686,PlayerDB!$F$2:$H3480,3,FALSE)</f>
        <v>#N/A</v>
      </c>
    </row>
    <row r="2687">
      <c r="B2687" s="20" t="str">
        <f>VLOOKUP(A2687,PlayerDB!$F$2:$H3480,3,FALSE)</f>
        <v>#N/A</v>
      </c>
    </row>
    <row r="2688">
      <c r="B2688" s="20" t="str">
        <f>VLOOKUP(A2688,PlayerDB!$F$2:$H3480,3,FALSE)</f>
        <v>#N/A</v>
      </c>
    </row>
    <row r="2689">
      <c r="B2689" s="20" t="str">
        <f>VLOOKUP(A2689,PlayerDB!$F$2:$H3480,3,FALSE)</f>
        <v>#N/A</v>
      </c>
    </row>
    <row r="2690">
      <c r="B2690" s="20" t="str">
        <f>VLOOKUP(A2690,PlayerDB!$F$2:$H3480,3,FALSE)</f>
        <v>#N/A</v>
      </c>
    </row>
    <row r="2691">
      <c r="B2691" s="20" t="str">
        <f>VLOOKUP(A2691,PlayerDB!$F$2:$H3480,3,FALSE)</f>
        <v>#N/A</v>
      </c>
    </row>
    <row r="2692">
      <c r="B2692" s="20" t="str">
        <f>VLOOKUP(A2692,PlayerDB!$F$2:$H3480,3,FALSE)</f>
        <v>#N/A</v>
      </c>
    </row>
    <row r="2693">
      <c r="B2693" s="20" t="str">
        <f>VLOOKUP(A2693,PlayerDB!$F$2:$H3480,3,FALSE)</f>
        <v>#N/A</v>
      </c>
    </row>
    <row r="2694">
      <c r="B2694" s="20" t="str">
        <f>VLOOKUP(A2694,PlayerDB!$F$2:$H3480,3,FALSE)</f>
        <v>#N/A</v>
      </c>
    </row>
    <row r="2695">
      <c r="B2695" s="20" t="str">
        <f>VLOOKUP(A2695,PlayerDB!$F$2:$H3480,3,FALSE)</f>
        <v>#N/A</v>
      </c>
    </row>
    <row r="2696">
      <c r="B2696" s="20" t="str">
        <f>VLOOKUP(A2696,PlayerDB!$F$2:$H3480,3,FALSE)</f>
        <v>#N/A</v>
      </c>
    </row>
    <row r="2697">
      <c r="B2697" s="20" t="str">
        <f>VLOOKUP(A2697,PlayerDB!$F$2:$H3480,3,FALSE)</f>
        <v>#N/A</v>
      </c>
    </row>
    <row r="2698">
      <c r="B2698" s="20" t="str">
        <f>VLOOKUP(A2698,PlayerDB!$F$2:$H3480,3,FALSE)</f>
        <v>#N/A</v>
      </c>
    </row>
    <row r="2699">
      <c r="B2699" s="20" t="str">
        <f>VLOOKUP(A2699,PlayerDB!$F$2:$H3480,3,FALSE)</f>
        <v>#N/A</v>
      </c>
    </row>
    <row r="2700">
      <c r="B2700" s="20" t="str">
        <f>VLOOKUP(A2700,PlayerDB!$F$2:$H3480,3,FALSE)</f>
        <v>#N/A</v>
      </c>
    </row>
    <row r="2701">
      <c r="B2701" s="20" t="str">
        <f>VLOOKUP(A2701,PlayerDB!$F$2:$H3480,3,FALSE)</f>
        <v>#N/A</v>
      </c>
    </row>
    <row r="2702">
      <c r="B2702" s="20" t="str">
        <f>VLOOKUP(A2702,PlayerDB!$F$2:$H3480,3,FALSE)</f>
        <v>#N/A</v>
      </c>
    </row>
    <row r="2703">
      <c r="B2703" s="20" t="str">
        <f>VLOOKUP(A2703,PlayerDB!$F$2:$H3480,3,FALSE)</f>
        <v>#N/A</v>
      </c>
    </row>
    <row r="2704">
      <c r="B2704" s="20" t="str">
        <f>VLOOKUP(A2704,PlayerDB!$F$2:$H3480,3,FALSE)</f>
        <v>#N/A</v>
      </c>
    </row>
    <row r="2705">
      <c r="B2705" s="20" t="str">
        <f>VLOOKUP(A2705,PlayerDB!$F$2:$H3480,3,FALSE)</f>
        <v>#N/A</v>
      </c>
    </row>
    <row r="2706">
      <c r="B2706" s="20" t="str">
        <f>VLOOKUP(A2706,PlayerDB!$F$2:$H3480,3,FALSE)</f>
        <v>#N/A</v>
      </c>
    </row>
    <row r="2707">
      <c r="B2707" s="20" t="str">
        <f>VLOOKUP(A2707,PlayerDB!$F$2:$H3480,3,FALSE)</f>
        <v>#N/A</v>
      </c>
    </row>
    <row r="2708">
      <c r="B2708" s="20" t="str">
        <f>VLOOKUP(A2708,PlayerDB!$F$2:$H3480,3,FALSE)</f>
        <v>#N/A</v>
      </c>
    </row>
    <row r="2709">
      <c r="B2709" s="20" t="str">
        <f>VLOOKUP(A2709,PlayerDB!$F$2:$H3480,3,FALSE)</f>
        <v>#N/A</v>
      </c>
    </row>
    <row r="2710">
      <c r="B2710" s="20" t="str">
        <f>VLOOKUP(A2710,PlayerDB!$F$2:$H3480,3,FALSE)</f>
        <v>#N/A</v>
      </c>
    </row>
    <row r="2711">
      <c r="B2711" s="20" t="str">
        <f>VLOOKUP(A2711,PlayerDB!$F$2:$H3480,3,FALSE)</f>
        <v>#N/A</v>
      </c>
    </row>
    <row r="2712">
      <c r="B2712" s="20" t="str">
        <f>VLOOKUP(A2712,PlayerDB!$F$2:$H3480,3,FALSE)</f>
        <v>#N/A</v>
      </c>
    </row>
    <row r="2713">
      <c r="B2713" s="20" t="str">
        <f>VLOOKUP(A2713,PlayerDB!$F$2:$H3480,3,FALSE)</f>
        <v>#N/A</v>
      </c>
    </row>
    <row r="2714">
      <c r="B2714" s="20" t="str">
        <f>VLOOKUP(A2714,PlayerDB!$F$2:$H3480,3,FALSE)</f>
        <v>#N/A</v>
      </c>
    </row>
    <row r="2715">
      <c r="B2715" s="20" t="str">
        <f>VLOOKUP(A2715,PlayerDB!$F$2:$H3480,3,FALSE)</f>
        <v>#N/A</v>
      </c>
    </row>
    <row r="2716">
      <c r="B2716" s="20" t="str">
        <f>VLOOKUP(A2716,PlayerDB!$F$2:$H3480,3,FALSE)</f>
        <v>#N/A</v>
      </c>
    </row>
    <row r="2717">
      <c r="B2717" s="20" t="str">
        <f>VLOOKUP(A2717,PlayerDB!$F$2:$H3480,3,FALSE)</f>
        <v>#N/A</v>
      </c>
    </row>
    <row r="2718">
      <c r="B2718" s="20" t="str">
        <f>VLOOKUP(A2718,PlayerDB!$F$2:$H3480,3,FALSE)</f>
        <v>#N/A</v>
      </c>
    </row>
    <row r="2719">
      <c r="B2719" s="20" t="str">
        <f>VLOOKUP(A2719,PlayerDB!$F$2:$H3480,3,FALSE)</f>
        <v>#N/A</v>
      </c>
    </row>
    <row r="2720">
      <c r="B2720" s="20" t="str">
        <f>VLOOKUP(A2720,PlayerDB!$F$2:$H3480,3,FALSE)</f>
        <v>#N/A</v>
      </c>
    </row>
    <row r="2721">
      <c r="B2721" s="20" t="str">
        <f>VLOOKUP(A2721,PlayerDB!$F$2:$H3480,3,FALSE)</f>
        <v>#N/A</v>
      </c>
    </row>
    <row r="2722">
      <c r="B2722" s="20" t="str">
        <f>VLOOKUP(A2722,PlayerDB!$F$2:$H3480,3,FALSE)</f>
        <v>#N/A</v>
      </c>
    </row>
    <row r="2723">
      <c r="B2723" s="20" t="str">
        <f>VLOOKUP(A2723,PlayerDB!$F$2:$H3480,3,FALSE)</f>
        <v>#N/A</v>
      </c>
    </row>
    <row r="2724">
      <c r="B2724" s="20" t="str">
        <f>VLOOKUP(A2724,PlayerDB!$F$2:$H3480,3,FALSE)</f>
        <v>#N/A</v>
      </c>
    </row>
    <row r="2725">
      <c r="B2725" s="20" t="str">
        <f>VLOOKUP(A2725,PlayerDB!$F$2:$H3480,3,FALSE)</f>
        <v>#N/A</v>
      </c>
    </row>
    <row r="2726">
      <c r="B2726" s="20" t="str">
        <f>VLOOKUP(A2726,PlayerDB!$F$2:$H3480,3,FALSE)</f>
        <v>#N/A</v>
      </c>
    </row>
    <row r="2727">
      <c r="B2727" s="20" t="str">
        <f>VLOOKUP(A2727,PlayerDB!$F$2:$H3480,3,FALSE)</f>
        <v>#N/A</v>
      </c>
    </row>
    <row r="2728">
      <c r="B2728" s="20" t="str">
        <f>VLOOKUP(A2728,PlayerDB!$F$2:$H3480,3,FALSE)</f>
        <v>#N/A</v>
      </c>
    </row>
    <row r="2729">
      <c r="B2729" s="20" t="str">
        <f>VLOOKUP(A2729,PlayerDB!$F$2:$H3480,3,FALSE)</f>
        <v>#N/A</v>
      </c>
    </row>
    <row r="2730">
      <c r="B2730" s="20" t="str">
        <f>VLOOKUP(A2730,PlayerDB!$F$2:$H3480,3,FALSE)</f>
        <v>#N/A</v>
      </c>
    </row>
    <row r="2731">
      <c r="B2731" s="20" t="str">
        <f>VLOOKUP(A2731,PlayerDB!$F$2:$H3480,3,FALSE)</f>
        <v>#N/A</v>
      </c>
    </row>
    <row r="2732">
      <c r="B2732" s="20" t="str">
        <f>VLOOKUP(A2732,PlayerDB!$F$2:$H3480,3,FALSE)</f>
        <v>#N/A</v>
      </c>
    </row>
    <row r="2733">
      <c r="B2733" s="20" t="str">
        <f>VLOOKUP(A2733,PlayerDB!$F$2:$H3480,3,FALSE)</f>
        <v>#N/A</v>
      </c>
    </row>
    <row r="2734">
      <c r="B2734" s="20" t="str">
        <f>VLOOKUP(A2734,PlayerDB!$F$2:$H3480,3,FALSE)</f>
        <v>#N/A</v>
      </c>
    </row>
    <row r="2735">
      <c r="B2735" s="20" t="str">
        <f>VLOOKUP(A2735,PlayerDB!$F$2:$H3480,3,FALSE)</f>
        <v>#N/A</v>
      </c>
    </row>
    <row r="2736">
      <c r="B2736" s="20" t="str">
        <f>VLOOKUP(A2736,PlayerDB!$F$2:$H3480,3,FALSE)</f>
        <v>#N/A</v>
      </c>
    </row>
    <row r="2737">
      <c r="B2737" s="20" t="str">
        <f>VLOOKUP(A2737,PlayerDB!$F$2:$H3480,3,FALSE)</f>
        <v>#N/A</v>
      </c>
    </row>
    <row r="2738">
      <c r="B2738" s="20" t="str">
        <f>VLOOKUP(A2738,PlayerDB!$F$2:$H3480,3,FALSE)</f>
        <v>#N/A</v>
      </c>
    </row>
    <row r="2739">
      <c r="B2739" s="20" t="str">
        <f>VLOOKUP(A2739,PlayerDB!$F$2:$H3480,3,FALSE)</f>
        <v>#N/A</v>
      </c>
    </row>
    <row r="2740">
      <c r="B2740" s="20" t="str">
        <f>VLOOKUP(A2740,PlayerDB!$F$2:$H3480,3,FALSE)</f>
        <v>#N/A</v>
      </c>
    </row>
    <row r="2741">
      <c r="B2741" s="20" t="str">
        <f>VLOOKUP(A2741,PlayerDB!$F$2:$H3480,3,FALSE)</f>
        <v>#N/A</v>
      </c>
    </row>
    <row r="2742">
      <c r="B2742" s="20" t="str">
        <f>VLOOKUP(A2742,PlayerDB!$F$2:$H3480,3,FALSE)</f>
        <v>#N/A</v>
      </c>
    </row>
    <row r="2743">
      <c r="B2743" s="20" t="str">
        <f>VLOOKUP(A2743,PlayerDB!$F$2:$H3480,3,FALSE)</f>
        <v>#N/A</v>
      </c>
    </row>
    <row r="2744">
      <c r="B2744" s="20" t="str">
        <f>VLOOKUP(A2744,PlayerDB!$F$2:$H3480,3,FALSE)</f>
        <v>#N/A</v>
      </c>
    </row>
    <row r="2745">
      <c r="B2745" s="20" t="str">
        <f>VLOOKUP(A2745,PlayerDB!$F$2:$H3480,3,FALSE)</f>
        <v>#N/A</v>
      </c>
    </row>
    <row r="2746">
      <c r="B2746" s="20" t="str">
        <f>VLOOKUP(A2746,PlayerDB!$F$2:$H3480,3,FALSE)</f>
        <v>#N/A</v>
      </c>
    </row>
    <row r="2747">
      <c r="B2747" s="20" t="str">
        <f>VLOOKUP(A2747,PlayerDB!$F$2:$H3480,3,FALSE)</f>
        <v>#N/A</v>
      </c>
    </row>
    <row r="2748">
      <c r="B2748" s="20" t="str">
        <f>VLOOKUP(A2748,PlayerDB!$F$2:$H3480,3,FALSE)</f>
        <v>#N/A</v>
      </c>
    </row>
    <row r="2749">
      <c r="B2749" s="20" t="str">
        <f>VLOOKUP(A2749,PlayerDB!$F$2:$H3480,3,FALSE)</f>
        <v>#N/A</v>
      </c>
    </row>
    <row r="2750">
      <c r="B2750" s="20" t="str">
        <f>VLOOKUP(A2750,PlayerDB!$F$2:$H3480,3,FALSE)</f>
        <v>#N/A</v>
      </c>
    </row>
    <row r="2751">
      <c r="B2751" s="20" t="str">
        <f>VLOOKUP(A2751,PlayerDB!$F$2:$H3480,3,FALSE)</f>
        <v>#N/A</v>
      </c>
    </row>
    <row r="2752">
      <c r="B2752" s="20" t="str">
        <f>VLOOKUP(A2752,PlayerDB!$F$2:$H3480,3,FALSE)</f>
        <v>#N/A</v>
      </c>
    </row>
    <row r="2753">
      <c r="B2753" s="20" t="str">
        <f>VLOOKUP(A2753,PlayerDB!$F$2:$H3480,3,FALSE)</f>
        <v>#N/A</v>
      </c>
    </row>
    <row r="2754">
      <c r="B2754" s="20" t="str">
        <f>VLOOKUP(A2754,PlayerDB!$F$2:$H3480,3,FALSE)</f>
        <v>#N/A</v>
      </c>
    </row>
    <row r="2755">
      <c r="B2755" s="20" t="str">
        <f>VLOOKUP(A2755,PlayerDB!$F$2:$H3480,3,FALSE)</f>
        <v>#N/A</v>
      </c>
    </row>
    <row r="2756">
      <c r="B2756" s="20" t="str">
        <f>VLOOKUP(A2756,PlayerDB!$F$2:$H3480,3,FALSE)</f>
        <v>#N/A</v>
      </c>
    </row>
    <row r="2757">
      <c r="B2757" s="20" t="str">
        <f>VLOOKUP(A2757,PlayerDB!$F$2:$H3480,3,FALSE)</f>
        <v>#N/A</v>
      </c>
    </row>
    <row r="2758">
      <c r="B2758" s="20" t="str">
        <f>VLOOKUP(A2758,PlayerDB!$F$2:$H3480,3,FALSE)</f>
        <v>#N/A</v>
      </c>
    </row>
    <row r="2759">
      <c r="B2759" s="20" t="str">
        <f>VLOOKUP(A2759,PlayerDB!$F$2:$H3480,3,FALSE)</f>
        <v>#N/A</v>
      </c>
    </row>
    <row r="2760">
      <c r="B2760" s="20" t="str">
        <f>VLOOKUP(A2760,PlayerDB!$F$2:$H3480,3,FALSE)</f>
        <v>#N/A</v>
      </c>
    </row>
    <row r="2761">
      <c r="B2761" s="20" t="str">
        <f>VLOOKUP(A2761,PlayerDB!$F$2:$H3480,3,FALSE)</f>
        <v>#N/A</v>
      </c>
    </row>
    <row r="2762">
      <c r="B2762" s="20" t="str">
        <f>VLOOKUP(A2762,PlayerDB!$F$2:$H3480,3,FALSE)</f>
        <v>#N/A</v>
      </c>
    </row>
    <row r="2763">
      <c r="B2763" s="20" t="str">
        <f>VLOOKUP(A2763,PlayerDB!$F$2:$H3480,3,FALSE)</f>
        <v>#N/A</v>
      </c>
    </row>
    <row r="2764">
      <c r="B2764" s="20" t="str">
        <f>VLOOKUP(A2764,PlayerDB!$F$2:$H3480,3,FALSE)</f>
        <v>#N/A</v>
      </c>
    </row>
    <row r="2765">
      <c r="B2765" s="20" t="str">
        <f>VLOOKUP(A2765,PlayerDB!$F$2:$H3480,3,FALSE)</f>
        <v>#N/A</v>
      </c>
    </row>
    <row r="2766">
      <c r="B2766" s="20" t="str">
        <f>VLOOKUP(A2766,PlayerDB!$F$2:$H3480,3,FALSE)</f>
        <v>#N/A</v>
      </c>
    </row>
    <row r="2767">
      <c r="B2767" s="20" t="str">
        <f>VLOOKUP(A2767,PlayerDB!$F$2:$H3480,3,FALSE)</f>
        <v>#N/A</v>
      </c>
    </row>
    <row r="2768">
      <c r="B2768" s="20" t="str">
        <f>VLOOKUP(A2768,PlayerDB!$F$2:$H3480,3,FALSE)</f>
        <v>#N/A</v>
      </c>
    </row>
    <row r="2769">
      <c r="B2769" s="20" t="str">
        <f>VLOOKUP(A2769,PlayerDB!$F$2:$H3480,3,FALSE)</f>
        <v>#N/A</v>
      </c>
    </row>
    <row r="2770">
      <c r="B2770" s="20" t="str">
        <f>VLOOKUP(A2770,PlayerDB!$F$2:$H3480,3,FALSE)</f>
        <v>#N/A</v>
      </c>
    </row>
    <row r="2771">
      <c r="B2771" s="20" t="str">
        <f>VLOOKUP(A2771,PlayerDB!$F$2:$H3480,3,FALSE)</f>
        <v>#N/A</v>
      </c>
    </row>
    <row r="2772">
      <c r="B2772" s="20" t="str">
        <f>VLOOKUP(A2772,PlayerDB!$F$2:$H3480,3,FALSE)</f>
        <v>#N/A</v>
      </c>
    </row>
    <row r="2773">
      <c r="B2773" s="20" t="str">
        <f>VLOOKUP(A2773,PlayerDB!$F$2:$H3480,3,FALSE)</f>
        <v>#N/A</v>
      </c>
    </row>
    <row r="2774">
      <c r="B2774" s="20" t="str">
        <f>VLOOKUP(A2774,PlayerDB!$F$2:$H3480,3,FALSE)</f>
        <v>#N/A</v>
      </c>
    </row>
    <row r="2775">
      <c r="B2775" s="20" t="str">
        <f>VLOOKUP(A2775,PlayerDB!$F$2:$H3480,3,FALSE)</f>
        <v>#N/A</v>
      </c>
    </row>
    <row r="2776">
      <c r="B2776" s="20" t="str">
        <f>VLOOKUP(A2776,PlayerDB!$F$2:$H3480,3,FALSE)</f>
        <v>#N/A</v>
      </c>
    </row>
    <row r="2777">
      <c r="B2777" s="20" t="str">
        <f>VLOOKUP(A2777,PlayerDB!$F$2:$H3480,3,FALSE)</f>
        <v>#N/A</v>
      </c>
    </row>
    <row r="2778">
      <c r="B2778" s="20" t="str">
        <f>VLOOKUP(A2778,PlayerDB!$F$2:$H3480,3,FALSE)</f>
        <v>#N/A</v>
      </c>
    </row>
    <row r="2779">
      <c r="B2779" s="20" t="str">
        <f>VLOOKUP(A2779,PlayerDB!$F$2:$H3480,3,FALSE)</f>
        <v>#N/A</v>
      </c>
    </row>
    <row r="2780">
      <c r="B2780" s="20" t="str">
        <f>VLOOKUP(A2780,PlayerDB!$F$2:$H3480,3,FALSE)</f>
        <v>#N/A</v>
      </c>
    </row>
    <row r="2781">
      <c r="B2781" s="20" t="str">
        <f>VLOOKUP(A2781,PlayerDB!$F$2:$H3480,3,FALSE)</f>
        <v>#N/A</v>
      </c>
    </row>
    <row r="2782">
      <c r="B2782" s="20" t="str">
        <f>VLOOKUP(A2782,PlayerDB!$F$2:$H3480,3,FALSE)</f>
        <v>#N/A</v>
      </c>
    </row>
    <row r="2783">
      <c r="B2783" s="20" t="str">
        <f>VLOOKUP(A2783,PlayerDB!$F$2:$H3480,3,FALSE)</f>
        <v>#N/A</v>
      </c>
    </row>
    <row r="2784">
      <c r="B2784" s="20" t="str">
        <f>VLOOKUP(A2784,PlayerDB!$F$2:$H3480,3,FALSE)</f>
        <v>#N/A</v>
      </c>
    </row>
    <row r="2785">
      <c r="B2785" s="20" t="str">
        <f>VLOOKUP(A2785,PlayerDB!$F$2:$H3480,3,FALSE)</f>
        <v>#N/A</v>
      </c>
    </row>
    <row r="2786">
      <c r="B2786" s="20" t="str">
        <f>VLOOKUP(A2786,PlayerDB!$F$2:$H3480,3,FALSE)</f>
        <v>#N/A</v>
      </c>
    </row>
    <row r="2787">
      <c r="B2787" s="20" t="str">
        <f>VLOOKUP(A2787,PlayerDB!$F$2:$H3480,3,FALSE)</f>
        <v>#N/A</v>
      </c>
    </row>
    <row r="2788">
      <c r="B2788" s="20" t="str">
        <f>VLOOKUP(A2788,PlayerDB!$F$2:$H3480,3,FALSE)</f>
        <v>#N/A</v>
      </c>
    </row>
    <row r="2789">
      <c r="B2789" s="20" t="str">
        <f>VLOOKUP(A2789,PlayerDB!$F$2:$H3480,3,FALSE)</f>
        <v>#N/A</v>
      </c>
    </row>
    <row r="2790">
      <c r="B2790" s="20" t="str">
        <f>VLOOKUP(A2790,PlayerDB!$F$2:$H3480,3,FALSE)</f>
        <v>#N/A</v>
      </c>
    </row>
    <row r="2791">
      <c r="B2791" s="20" t="str">
        <f>VLOOKUP(A2791,PlayerDB!$F$2:$H3480,3,FALSE)</f>
        <v>#N/A</v>
      </c>
    </row>
    <row r="2792">
      <c r="B2792" s="20" t="str">
        <f>VLOOKUP(A2792,PlayerDB!$F$2:$H3480,3,FALSE)</f>
        <v>#N/A</v>
      </c>
    </row>
    <row r="2793">
      <c r="B2793" s="20" t="str">
        <f>VLOOKUP(A2793,PlayerDB!$F$2:$H3480,3,FALSE)</f>
        <v>#N/A</v>
      </c>
    </row>
    <row r="2794">
      <c r="B2794" s="20" t="str">
        <f>VLOOKUP(A2794,PlayerDB!$F$2:$H3480,3,FALSE)</f>
        <v>#N/A</v>
      </c>
    </row>
    <row r="2795">
      <c r="B2795" s="20" t="str">
        <f>VLOOKUP(A2795,PlayerDB!$F$2:$H3480,3,FALSE)</f>
        <v>#N/A</v>
      </c>
    </row>
    <row r="2796">
      <c r="B2796" s="20" t="str">
        <f>VLOOKUP(A2796,PlayerDB!$F$2:$H3480,3,FALSE)</f>
        <v>#N/A</v>
      </c>
    </row>
    <row r="2797">
      <c r="B2797" s="20" t="str">
        <f>VLOOKUP(A2797,PlayerDB!$F$2:$H3480,3,FALSE)</f>
        <v>#N/A</v>
      </c>
    </row>
    <row r="2798">
      <c r="B2798" s="20" t="str">
        <f>VLOOKUP(A2798,PlayerDB!$F$2:$H3480,3,FALSE)</f>
        <v>#N/A</v>
      </c>
    </row>
    <row r="2799">
      <c r="B2799" s="20" t="str">
        <f>VLOOKUP(A2799,PlayerDB!$F$2:$H3480,3,FALSE)</f>
        <v>#N/A</v>
      </c>
    </row>
    <row r="2800">
      <c r="B2800" s="20" t="str">
        <f>VLOOKUP(A2800,PlayerDB!$F$2:$H3480,3,FALSE)</f>
        <v>#N/A</v>
      </c>
    </row>
    <row r="2801">
      <c r="B2801" s="20" t="str">
        <f>VLOOKUP(A2801,PlayerDB!$F$2:$H3480,3,FALSE)</f>
        <v>#N/A</v>
      </c>
    </row>
    <row r="2802">
      <c r="B2802" s="20" t="str">
        <f>VLOOKUP(A2802,PlayerDB!$F$2:$H3480,3,FALSE)</f>
        <v>#N/A</v>
      </c>
    </row>
    <row r="2803">
      <c r="B2803" s="20" t="str">
        <f>VLOOKUP(A2803,PlayerDB!$F$2:$H3480,3,FALSE)</f>
        <v>#N/A</v>
      </c>
    </row>
    <row r="2804">
      <c r="B2804" s="20" t="str">
        <f>VLOOKUP(A2804,PlayerDB!$F$2:$H3480,3,FALSE)</f>
        <v>#N/A</v>
      </c>
    </row>
    <row r="2805">
      <c r="B2805" s="20" t="str">
        <f>VLOOKUP(A2805,PlayerDB!$F$2:$H3480,3,FALSE)</f>
        <v>#N/A</v>
      </c>
    </row>
    <row r="2806">
      <c r="B2806" s="20" t="str">
        <f>VLOOKUP(A2806,PlayerDB!$F$2:$H3480,3,FALSE)</f>
        <v>#N/A</v>
      </c>
    </row>
    <row r="2807">
      <c r="B2807" s="20" t="str">
        <f>VLOOKUP(A2807,PlayerDB!$F$2:$H3480,3,FALSE)</f>
        <v>#N/A</v>
      </c>
    </row>
    <row r="2808">
      <c r="B2808" s="20" t="str">
        <f>VLOOKUP(A2808,PlayerDB!$F$2:$H3480,3,FALSE)</f>
        <v>#N/A</v>
      </c>
    </row>
    <row r="2809">
      <c r="B2809" s="20" t="str">
        <f>VLOOKUP(A2809,PlayerDB!$F$2:$H3480,3,FALSE)</f>
        <v>#N/A</v>
      </c>
    </row>
    <row r="2810">
      <c r="B2810" s="20" t="str">
        <f>VLOOKUP(A2810,PlayerDB!$F$2:$H3480,3,FALSE)</f>
        <v>#N/A</v>
      </c>
    </row>
    <row r="2811">
      <c r="B2811" s="20" t="str">
        <f>VLOOKUP(A2811,PlayerDB!$F$2:$H3480,3,FALSE)</f>
        <v>#N/A</v>
      </c>
    </row>
    <row r="2812">
      <c r="B2812" s="20" t="str">
        <f>VLOOKUP(A2812,PlayerDB!$F$2:$H3480,3,FALSE)</f>
        <v>#N/A</v>
      </c>
    </row>
    <row r="2813">
      <c r="B2813" s="20" t="str">
        <f>VLOOKUP(A2813,PlayerDB!$F$2:$H3480,3,FALSE)</f>
        <v>#N/A</v>
      </c>
    </row>
    <row r="2814">
      <c r="B2814" s="20" t="str">
        <f>VLOOKUP(A2814,PlayerDB!$F$2:$H3480,3,FALSE)</f>
        <v>#N/A</v>
      </c>
    </row>
    <row r="2815">
      <c r="B2815" s="20" t="str">
        <f>VLOOKUP(A2815,PlayerDB!$F$2:$H3480,3,FALSE)</f>
        <v>#N/A</v>
      </c>
    </row>
    <row r="2816">
      <c r="B2816" s="20" t="str">
        <f>VLOOKUP(A2816,PlayerDB!$F$2:$H3480,3,FALSE)</f>
        <v>#N/A</v>
      </c>
    </row>
    <row r="2817">
      <c r="B2817" s="20" t="str">
        <f>VLOOKUP(A2817,PlayerDB!$F$2:$H3480,3,FALSE)</f>
        <v>#N/A</v>
      </c>
    </row>
    <row r="2818">
      <c r="B2818" s="20" t="str">
        <f>VLOOKUP(A2818,PlayerDB!$F$2:$H3480,3,FALSE)</f>
        <v>#N/A</v>
      </c>
    </row>
    <row r="2819">
      <c r="B2819" s="20" t="str">
        <f>VLOOKUP(A2819,PlayerDB!$F$2:$H3480,3,FALSE)</f>
        <v>#N/A</v>
      </c>
    </row>
    <row r="2820">
      <c r="B2820" s="20" t="str">
        <f>VLOOKUP(A2820,PlayerDB!$F$2:$H3480,3,FALSE)</f>
        <v>#N/A</v>
      </c>
    </row>
    <row r="2821">
      <c r="B2821" s="20" t="str">
        <f>VLOOKUP(A2821,PlayerDB!$F$2:$H3480,3,FALSE)</f>
        <v>#N/A</v>
      </c>
    </row>
    <row r="2822">
      <c r="B2822" s="20" t="str">
        <f>VLOOKUP(A2822,PlayerDB!$F$2:$H3480,3,FALSE)</f>
        <v>#N/A</v>
      </c>
    </row>
    <row r="2823">
      <c r="B2823" s="20" t="str">
        <f>VLOOKUP(A2823,PlayerDB!$F$2:$H3480,3,FALSE)</f>
        <v>#N/A</v>
      </c>
    </row>
    <row r="2824">
      <c r="B2824" s="20" t="str">
        <f>VLOOKUP(A2824,PlayerDB!$F$2:$H3480,3,FALSE)</f>
        <v>#N/A</v>
      </c>
    </row>
    <row r="2825">
      <c r="B2825" s="20" t="str">
        <f>VLOOKUP(A2825,PlayerDB!$F$2:$H3480,3,FALSE)</f>
        <v>#N/A</v>
      </c>
    </row>
    <row r="2826">
      <c r="B2826" s="20" t="str">
        <f>VLOOKUP(A2826,PlayerDB!$F$2:$H3480,3,FALSE)</f>
        <v>#N/A</v>
      </c>
    </row>
    <row r="2827">
      <c r="B2827" s="20" t="str">
        <f>VLOOKUP(A2827,PlayerDB!$F$2:$H3480,3,FALSE)</f>
        <v>#N/A</v>
      </c>
    </row>
    <row r="2828">
      <c r="B2828" s="20" t="str">
        <f>VLOOKUP(A2828,PlayerDB!$F$2:$H3480,3,FALSE)</f>
        <v>#N/A</v>
      </c>
    </row>
    <row r="2829">
      <c r="B2829" s="20" t="str">
        <f>VLOOKUP(A2829,PlayerDB!$F$2:$H3480,3,FALSE)</f>
        <v>#N/A</v>
      </c>
    </row>
    <row r="2830">
      <c r="B2830" s="20" t="str">
        <f>VLOOKUP(A2830,PlayerDB!$F$2:$H3480,3,FALSE)</f>
        <v>#N/A</v>
      </c>
    </row>
    <row r="2831">
      <c r="B2831" s="20" t="str">
        <f>VLOOKUP(A2831,PlayerDB!$F$2:$H3480,3,FALSE)</f>
        <v>#N/A</v>
      </c>
    </row>
    <row r="2832">
      <c r="B2832" s="20" t="str">
        <f>VLOOKUP(A2832,PlayerDB!$F$2:$H3480,3,FALSE)</f>
        <v>#N/A</v>
      </c>
    </row>
    <row r="2833">
      <c r="B2833" s="20" t="str">
        <f>VLOOKUP(A2833,PlayerDB!$F$2:$H3480,3,FALSE)</f>
        <v>#N/A</v>
      </c>
    </row>
    <row r="2834">
      <c r="B2834" s="20" t="str">
        <f>VLOOKUP(A2834,PlayerDB!$F$2:$H3480,3,FALSE)</f>
        <v>#N/A</v>
      </c>
    </row>
    <row r="2835">
      <c r="B2835" s="20" t="str">
        <f>VLOOKUP(A2835,PlayerDB!$F$2:$H3480,3,FALSE)</f>
        <v>#N/A</v>
      </c>
    </row>
    <row r="2836">
      <c r="B2836" s="20" t="str">
        <f>VLOOKUP(A2836,PlayerDB!$F$2:$H3480,3,FALSE)</f>
        <v>#N/A</v>
      </c>
    </row>
    <row r="2837">
      <c r="B2837" s="20" t="str">
        <f>VLOOKUP(A2837,PlayerDB!$F$2:$H3480,3,FALSE)</f>
        <v>#N/A</v>
      </c>
    </row>
    <row r="2838">
      <c r="B2838" s="20" t="str">
        <f>VLOOKUP(A2838,PlayerDB!$F$2:$H3480,3,FALSE)</f>
        <v>#N/A</v>
      </c>
    </row>
    <row r="2839">
      <c r="B2839" s="20" t="str">
        <f>VLOOKUP(A2839,PlayerDB!$F$2:$H3480,3,FALSE)</f>
        <v>#N/A</v>
      </c>
    </row>
    <row r="2840">
      <c r="B2840" s="20" t="str">
        <f>VLOOKUP(A2840,PlayerDB!$F$2:$H3480,3,FALSE)</f>
        <v>#N/A</v>
      </c>
    </row>
    <row r="2841">
      <c r="B2841" s="20" t="str">
        <f>VLOOKUP(A2841,PlayerDB!$F$2:$H3480,3,FALSE)</f>
        <v>#N/A</v>
      </c>
    </row>
    <row r="2842">
      <c r="B2842" s="20" t="str">
        <f>VLOOKUP(A2842,PlayerDB!$F$2:$H3480,3,FALSE)</f>
        <v>#N/A</v>
      </c>
    </row>
    <row r="2843">
      <c r="B2843" s="20" t="str">
        <f>VLOOKUP(A2843,PlayerDB!$F$2:$H3480,3,FALSE)</f>
        <v>#N/A</v>
      </c>
    </row>
    <row r="2844">
      <c r="B2844" s="20" t="str">
        <f>VLOOKUP(A2844,PlayerDB!$F$2:$H3480,3,FALSE)</f>
        <v>#N/A</v>
      </c>
    </row>
    <row r="2845">
      <c r="B2845" s="20" t="str">
        <f>VLOOKUP(A2845,PlayerDB!$F$2:$H3480,3,FALSE)</f>
        <v>#N/A</v>
      </c>
    </row>
    <row r="2846">
      <c r="B2846" s="20" t="str">
        <f>VLOOKUP(A2846,PlayerDB!$F$2:$H3480,3,FALSE)</f>
        <v>#N/A</v>
      </c>
    </row>
    <row r="2847">
      <c r="B2847" s="20" t="str">
        <f>VLOOKUP(A2847,PlayerDB!$F$2:$H3480,3,FALSE)</f>
        <v>#N/A</v>
      </c>
    </row>
    <row r="2848">
      <c r="B2848" s="20" t="str">
        <f>VLOOKUP(A2848,PlayerDB!$F$2:$H3480,3,FALSE)</f>
        <v>#N/A</v>
      </c>
    </row>
    <row r="2849">
      <c r="B2849" s="20" t="str">
        <f>VLOOKUP(A2849,PlayerDB!$F$2:$H3480,3,FALSE)</f>
        <v>#N/A</v>
      </c>
    </row>
    <row r="2850">
      <c r="B2850" s="20" t="str">
        <f>VLOOKUP(A2850,PlayerDB!$F$2:$H3480,3,FALSE)</f>
        <v>#N/A</v>
      </c>
    </row>
    <row r="2851">
      <c r="B2851" s="20" t="str">
        <f>VLOOKUP(A2851,PlayerDB!$F$2:$H3480,3,FALSE)</f>
        <v>#N/A</v>
      </c>
    </row>
    <row r="2852">
      <c r="B2852" s="20" t="str">
        <f>VLOOKUP(A2852,PlayerDB!$F$2:$H3480,3,FALSE)</f>
        <v>#N/A</v>
      </c>
    </row>
    <row r="2853">
      <c r="B2853" s="20" t="str">
        <f>VLOOKUP(A2853,PlayerDB!$F$2:$H3480,3,FALSE)</f>
        <v>#N/A</v>
      </c>
    </row>
    <row r="2854">
      <c r="B2854" s="20" t="str">
        <f>VLOOKUP(A2854,PlayerDB!$F$2:$H3480,3,FALSE)</f>
        <v>#N/A</v>
      </c>
    </row>
    <row r="2855">
      <c r="B2855" s="20" t="str">
        <f>VLOOKUP(A2855,PlayerDB!$F$2:$H3480,3,FALSE)</f>
        <v>#N/A</v>
      </c>
    </row>
    <row r="2856">
      <c r="B2856" s="20" t="str">
        <f>VLOOKUP(A2856,PlayerDB!$F$2:$H3480,3,FALSE)</f>
        <v>#N/A</v>
      </c>
    </row>
    <row r="2857">
      <c r="B2857" s="20" t="str">
        <f>VLOOKUP(A2857,PlayerDB!$F$2:$H3480,3,FALSE)</f>
        <v>#N/A</v>
      </c>
    </row>
    <row r="2858">
      <c r="B2858" s="20" t="str">
        <f>VLOOKUP(A2858,PlayerDB!$F$2:$H3480,3,FALSE)</f>
        <v>#N/A</v>
      </c>
    </row>
    <row r="2859">
      <c r="B2859" s="20" t="str">
        <f>VLOOKUP(A2859,PlayerDB!$F$2:$H3480,3,FALSE)</f>
        <v>#N/A</v>
      </c>
    </row>
    <row r="2860">
      <c r="B2860" s="20" t="str">
        <f>VLOOKUP(A2860,PlayerDB!$F$2:$H3480,3,FALSE)</f>
        <v>#N/A</v>
      </c>
    </row>
    <row r="2861">
      <c r="B2861" s="20" t="str">
        <f>VLOOKUP(A2861,PlayerDB!$F$2:$H3480,3,FALSE)</f>
        <v>#N/A</v>
      </c>
    </row>
    <row r="2862">
      <c r="B2862" s="20" t="str">
        <f>VLOOKUP(A2862,PlayerDB!$F$2:$H3480,3,FALSE)</f>
        <v>#N/A</v>
      </c>
    </row>
    <row r="2863">
      <c r="B2863" s="20" t="str">
        <f>VLOOKUP(A2863,PlayerDB!$F$2:$H3480,3,FALSE)</f>
        <v>#N/A</v>
      </c>
    </row>
    <row r="2864">
      <c r="B2864" s="20" t="str">
        <f>VLOOKUP(A2864,PlayerDB!$F$2:$H3480,3,FALSE)</f>
        <v>#N/A</v>
      </c>
    </row>
    <row r="2865">
      <c r="B2865" s="20" t="str">
        <f>VLOOKUP(A2865,PlayerDB!$F$2:$H3480,3,FALSE)</f>
        <v>#N/A</v>
      </c>
    </row>
    <row r="2866">
      <c r="B2866" s="20" t="str">
        <f>VLOOKUP(A2866,PlayerDB!$F$2:$H3480,3,FALSE)</f>
        <v>#N/A</v>
      </c>
    </row>
    <row r="2867">
      <c r="B2867" s="20" t="str">
        <f>VLOOKUP(A2867,PlayerDB!$F$2:$H3480,3,FALSE)</f>
        <v>#N/A</v>
      </c>
    </row>
    <row r="2868">
      <c r="B2868" s="20" t="str">
        <f>VLOOKUP(A2868,PlayerDB!$F$2:$H3480,3,FALSE)</f>
        <v>#N/A</v>
      </c>
    </row>
    <row r="2869">
      <c r="B2869" s="20" t="str">
        <f>VLOOKUP(A2869,PlayerDB!$F$2:$H3480,3,FALSE)</f>
        <v>#N/A</v>
      </c>
    </row>
    <row r="2870">
      <c r="B2870" s="20" t="str">
        <f>VLOOKUP(A2870,PlayerDB!$F$2:$H3480,3,FALSE)</f>
        <v>#N/A</v>
      </c>
    </row>
    <row r="2871">
      <c r="B2871" s="20" t="str">
        <f>VLOOKUP(A2871,PlayerDB!$F$2:$H3480,3,FALSE)</f>
        <v>#N/A</v>
      </c>
    </row>
    <row r="2872">
      <c r="B2872" s="20" t="str">
        <f>VLOOKUP(A2872,PlayerDB!$F$2:$H3480,3,FALSE)</f>
        <v>#N/A</v>
      </c>
    </row>
    <row r="2873">
      <c r="B2873" s="20" t="str">
        <f>VLOOKUP(A2873,PlayerDB!$F$2:$H3480,3,FALSE)</f>
        <v>#N/A</v>
      </c>
    </row>
    <row r="2874">
      <c r="B2874" s="20" t="str">
        <f>VLOOKUP(A2874,PlayerDB!$F$2:$H3480,3,FALSE)</f>
        <v>#N/A</v>
      </c>
    </row>
    <row r="2875">
      <c r="B2875" s="20" t="str">
        <f>VLOOKUP(A2875,PlayerDB!$F$2:$H3480,3,FALSE)</f>
        <v>#N/A</v>
      </c>
    </row>
    <row r="2876">
      <c r="B2876" s="20" t="str">
        <f>VLOOKUP(A2876,PlayerDB!$F$2:$H3480,3,FALSE)</f>
        <v>#N/A</v>
      </c>
    </row>
    <row r="2877">
      <c r="B2877" s="20" t="str">
        <f>VLOOKUP(A2877,PlayerDB!$F$2:$H3480,3,FALSE)</f>
        <v>#N/A</v>
      </c>
    </row>
    <row r="2878">
      <c r="B2878" s="20" t="str">
        <f>VLOOKUP(A2878,PlayerDB!$F$2:$H3480,3,FALSE)</f>
        <v>#N/A</v>
      </c>
    </row>
    <row r="2879">
      <c r="B2879" s="20" t="str">
        <f>VLOOKUP(A2879,PlayerDB!$F$2:$H3480,3,FALSE)</f>
        <v>#N/A</v>
      </c>
    </row>
    <row r="2880">
      <c r="B2880" s="20" t="str">
        <f>VLOOKUP(A2880,PlayerDB!$F$2:$H3480,3,FALSE)</f>
        <v>#N/A</v>
      </c>
    </row>
    <row r="2881">
      <c r="B2881" s="20" t="str">
        <f>VLOOKUP(A2881,PlayerDB!$F$2:$H3480,3,FALSE)</f>
        <v>#N/A</v>
      </c>
    </row>
    <row r="2882">
      <c r="B2882" s="20" t="str">
        <f>VLOOKUP(A2882,PlayerDB!$F$2:$H3480,3,FALSE)</f>
        <v>#N/A</v>
      </c>
    </row>
    <row r="2883">
      <c r="B2883" s="20" t="str">
        <f>VLOOKUP(A2883,PlayerDB!$F$2:$H3480,3,FALSE)</f>
        <v>#N/A</v>
      </c>
    </row>
    <row r="2884">
      <c r="B2884" s="20" t="str">
        <f>VLOOKUP(A2884,PlayerDB!$F$2:$H3480,3,FALSE)</f>
        <v>#N/A</v>
      </c>
    </row>
    <row r="2885">
      <c r="B2885" s="20" t="str">
        <f>VLOOKUP(A2885,PlayerDB!$F$2:$H3480,3,FALSE)</f>
        <v>#N/A</v>
      </c>
    </row>
    <row r="2886">
      <c r="B2886" s="20" t="str">
        <f>VLOOKUP(A2886,PlayerDB!$F$2:$H3480,3,FALSE)</f>
        <v>#N/A</v>
      </c>
    </row>
    <row r="2887">
      <c r="B2887" s="20" t="str">
        <f>VLOOKUP(A2887,PlayerDB!$F$2:$H3480,3,FALSE)</f>
        <v>#N/A</v>
      </c>
    </row>
    <row r="2888">
      <c r="B2888" s="20" t="str">
        <f>VLOOKUP(A2888,PlayerDB!$F$2:$H3480,3,FALSE)</f>
        <v>#N/A</v>
      </c>
    </row>
    <row r="2889">
      <c r="B2889" s="20" t="str">
        <f>VLOOKUP(A2889,PlayerDB!$F$2:$H3480,3,FALSE)</f>
        <v>#N/A</v>
      </c>
    </row>
    <row r="2890">
      <c r="B2890" s="20" t="str">
        <f>VLOOKUP(A2890,PlayerDB!$F$2:$H3480,3,FALSE)</f>
        <v>#N/A</v>
      </c>
    </row>
    <row r="2891">
      <c r="B2891" s="20" t="str">
        <f>VLOOKUP(A2891,PlayerDB!$F$2:$H3480,3,FALSE)</f>
        <v>#N/A</v>
      </c>
    </row>
    <row r="2892">
      <c r="B2892" s="20" t="str">
        <f>VLOOKUP(A2892,PlayerDB!$F$2:$H3480,3,FALSE)</f>
        <v>#N/A</v>
      </c>
    </row>
    <row r="2893">
      <c r="B2893" s="20" t="str">
        <f>VLOOKUP(A2893,PlayerDB!$F$2:$H3480,3,FALSE)</f>
        <v>#N/A</v>
      </c>
    </row>
    <row r="2894">
      <c r="B2894" s="20" t="str">
        <f>VLOOKUP(A2894,PlayerDB!$F$2:$H3480,3,FALSE)</f>
        <v>#N/A</v>
      </c>
    </row>
    <row r="2895">
      <c r="B2895" s="20" t="str">
        <f>VLOOKUP(A2895,PlayerDB!$F$2:$H3480,3,FALSE)</f>
        <v>#N/A</v>
      </c>
    </row>
    <row r="2896">
      <c r="B2896" s="20" t="str">
        <f>VLOOKUP(A2896,PlayerDB!$F$2:$H3480,3,FALSE)</f>
        <v>#N/A</v>
      </c>
    </row>
    <row r="2897">
      <c r="B2897" s="20" t="str">
        <f>VLOOKUP(A2897,PlayerDB!$F$2:$H3480,3,FALSE)</f>
        <v>#N/A</v>
      </c>
    </row>
    <row r="2898">
      <c r="B2898" s="20" t="str">
        <f>VLOOKUP(A2898,PlayerDB!$F$2:$H3480,3,FALSE)</f>
        <v>#N/A</v>
      </c>
    </row>
    <row r="2899">
      <c r="B2899" s="20" t="str">
        <f>VLOOKUP(A2899,PlayerDB!$F$2:$H3480,3,FALSE)</f>
        <v>#N/A</v>
      </c>
    </row>
    <row r="2900">
      <c r="B2900" s="20" t="str">
        <f>VLOOKUP(A2900,PlayerDB!$F$2:$H3480,3,FALSE)</f>
        <v>#N/A</v>
      </c>
    </row>
    <row r="2901">
      <c r="B2901" s="20" t="str">
        <f>VLOOKUP(A2901,PlayerDB!$F$2:$H3480,3,FALSE)</f>
        <v>#N/A</v>
      </c>
    </row>
    <row r="2902">
      <c r="B2902" s="20" t="str">
        <f>VLOOKUP(A2902,PlayerDB!$F$2:$H3480,3,FALSE)</f>
        <v>#N/A</v>
      </c>
    </row>
    <row r="2903">
      <c r="B2903" s="20" t="str">
        <f>VLOOKUP(A2903,PlayerDB!$F$2:$H3480,3,FALSE)</f>
        <v>#N/A</v>
      </c>
    </row>
    <row r="2904">
      <c r="B2904" s="20" t="str">
        <f>VLOOKUP(A2904,PlayerDB!$F$2:$H3480,3,FALSE)</f>
        <v>#N/A</v>
      </c>
    </row>
    <row r="2905">
      <c r="B2905" s="20" t="str">
        <f>VLOOKUP(A2905,PlayerDB!$F$2:$H3480,3,FALSE)</f>
        <v>#N/A</v>
      </c>
    </row>
    <row r="2906">
      <c r="B2906" s="20" t="str">
        <f>VLOOKUP(A2906,PlayerDB!$F$2:$H3480,3,FALSE)</f>
        <v>#N/A</v>
      </c>
    </row>
    <row r="2907">
      <c r="B2907" s="20" t="str">
        <f>VLOOKUP(A2907,PlayerDB!$F$2:$H3480,3,FALSE)</f>
        <v>#N/A</v>
      </c>
    </row>
    <row r="2908">
      <c r="B2908" s="20" t="str">
        <f>VLOOKUP(A2908,PlayerDB!$F$2:$H3480,3,FALSE)</f>
        <v>#N/A</v>
      </c>
    </row>
    <row r="2909">
      <c r="B2909" s="20" t="str">
        <f>VLOOKUP(A2909,PlayerDB!$F$2:$H3480,3,FALSE)</f>
        <v>#N/A</v>
      </c>
    </row>
    <row r="2910">
      <c r="B2910" s="20" t="str">
        <f>VLOOKUP(A2910,PlayerDB!$F$2:$H3480,3,FALSE)</f>
        <v>#N/A</v>
      </c>
    </row>
    <row r="2911">
      <c r="B2911" s="20" t="str">
        <f>VLOOKUP(A2911,PlayerDB!$F$2:$H3480,3,FALSE)</f>
        <v>#N/A</v>
      </c>
    </row>
    <row r="2912">
      <c r="B2912" s="20" t="str">
        <f>VLOOKUP(A2912,PlayerDB!$F$2:$H3480,3,FALSE)</f>
        <v>#N/A</v>
      </c>
    </row>
    <row r="2913">
      <c r="B2913" s="20" t="str">
        <f>VLOOKUP(A2913,PlayerDB!$F$2:$H3480,3,FALSE)</f>
        <v>#N/A</v>
      </c>
    </row>
    <row r="2914">
      <c r="B2914" s="20" t="str">
        <f>VLOOKUP(A2914,PlayerDB!$F$2:$H3480,3,FALSE)</f>
        <v>#N/A</v>
      </c>
    </row>
    <row r="2915">
      <c r="B2915" s="20" t="str">
        <f>VLOOKUP(A2915,PlayerDB!$F$2:$H3480,3,FALSE)</f>
        <v>#N/A</v>
      </c>
    </row>
    <row r="2916">
      <c r="B2916" s="20" t="str">
        <f>VLOOKUP(A2916,PlayerDB!$F$2:$H3480,3,FALSE)</f>
        <v>#N/A</v>
      </c>
    </row>
    <row r="2917">
      <c r="B2917" s="20" t="str">
        <f>VLOOKUP(A2917,PlayerDB!$F$2:$H3480,3,FALSE)</f>
        <v>#N/A</v>
      </c>
    </row>
    <row r="2918">
      <c r="B2918" s="20" t="str">
        <f>VLOOKUP(A2918,PlayerDB!$F$2:$H3480,3,FALSE)</f>
        <v>#N/A</v>
      </c>
    </row>
    <row r="2919">
      <c r="B2919" s="20" t="str">
        <f>VLOOKUP(A2919,PlayerDB!$F$2:$H3480,3,FALSE)</f>
        <v>#N/A</v>
      </c>
    </row>
    <row r="2920">
      <c r="B2920" s="20" t="str">
        <f>VLOOKUP(A2920,PlayerDB!$F$2:$H3480,3,FALSE)</f>
        <v>#N/A</v>
      </c>
    </row>
    <row r="2921">
      <c r="B2921" s="20" t="str">
        <f>VLOOKUP(A2921,PlayerDB!$F$2:$H3480,3,FALSE)</f>
        <v>#N/A</v>
      </c>
    </row>
    <row r="2922">
      <c r="B2922" s="20" t="str">
        <f>VLOOKUP(A2922,PlayerDB!$F$2:$H3480,3,FALSE)</f>
        <v>#N/A</v>
      </c>
    </row>
    <row r="2923">
      <c r="B2923" s="20" t="str">
        <f>VLOOKUP(A2923,PlayerDB!$F$2:$H3480,3,FALSE)</f>
        <v>#N/A</v>
      </c>
    </row>
    <row r="2924">
      <c r="B2924" s="20" t="str">
        <f>VLOOKUP(A2924,PlayerDB!$F$2:$H3480,3,FALSE)</f>
        <v>#N/A</v>
      </c>
    </row>
    <row r="2925">
      <c r="B2925" s="20" t="str">
        <f>VLOOKUP(A2925,PlayerDB!$F$2:$H3480,3,FALSE)</f>
        <v>#N/A</v>
      </c>
    </row>
    <row r="2926">
      <c r="B2926" s="20" t="str">
        <f>VLOOKUP(A2926,PlayerDB!$F$2:$H3480,3,FALSE)</f>
        <v>#N/A</v>
      </c>
    </row>
    <row r="2927">
      <c r="B2927" s="20" t="str">
        <f>VLOOKUP(A2927,PlayerDB!$F$2:$H3480,3,FALSE)</f>
        <v>#N/A</v>
      </c>
    </row>
    <row r="2928">
      <c r="B2928" s="20" t="str">
        <f>VLOOKUP(A2928,PlayerDB!$F$2:$H3480,3,FALSE)</f>
        <v>#N/A</v>
      </c>
    </row>
    <row r="2929">
      <c r="B2929" s="20" t="str">
        <f>VLOOKUP(A2929,PlayerDB!$F$2:$H3480,3,FALSE)</f>
        <v>#N/A</v>
      </c>
    </row>
    <row r="2930">
      <c r="B2930" s="20" t="str">
        <f>VLOOKUP(A2930,PlayerDB!$F$2:$H3480,3,FALSE)</f>
        <v>#N/A</v>
      </c>
    </row>
    <row r="2931">
      <c r="B2931" s="20" t="str">
        <f>VLOOKUP(A2931,PlayerDB!$F$2:$H3480,3,FALSE)</f>
        <v>#N/A</v>
      </c>
    </row>
    <row r="2932">
      <c r="B2932" s="20" t="str">
        <f>VLOOKUP(A2932,PlayerDB!$F$2:$H3480,3,FALSE)</f>
        <v>#N/A</v>
      </c>
    </row>
    <row r="2933">
      <c r="B2933" s="20" t="str">
        <f>VLOOKUP(A2933,PlayerDB!$F$2:$H3480,3,FALSE)</f>
        <v>#N/A</v>
      </c>
    </row>
    <row r="2934">
      <c r="B2934" s="20" t="str">
        <f>VLOOKUP(A2934,PlayerDB!$F$2:$H3480,3,FALSE)</f>
        <v>#N/A</v>
      </c>
    </row>
    <row r="2935">
      <c r="B2935" s="20" t="str">
        <f>VLOOKUP(A2935,PlayerDB!$F$2:$H3480,3,FALSE)</f>
        <v>#N/A</v>
      </c>
    </row>
    <row r="2936">
      <c r="B2936" s="20" t="str">
        <f>VLOOKUP(A2936,PlayerDB!$F$2:$H3480,3,FALSE)</f>
        <v>#N/A</v>
      </c>
    </row>
    <row r="2937">
      <c r="B2937" s="20" t="str">
        <f>VLOOKUP(A2937,PlayerDB!$F$2:$H3480,3,FALSE)</f>
        <v>#N/A</v>
      </c>
    </row>
    <row r="2938">
      <c r="B2938" s="20" t="str">
        <f>VLOOKUP(A2938,PlayerDB!$F$2:$H3480,3,FALSE)</f>
        <v>#N/A</v>
      </c>
    </row>
    <row r="2939">
      <c r="B2939" s="20" t="str">
        <f>VLOOKUP(A2939,PlayerDB!$F$2:$H3480,3,FALSE)</f>
        <v>#N/A</v>
      </c>
    </row>
    <row r="2940">
      <c r="B2940" s="20" t="str">
        <f>VLOOKUP(A2940,PlayerDB!$F$2:$H3480,3,FALSE)</f>
        <v>#N/A</v>
      </c>
    </row>
    <row r="2941">
      <c r="B2941" s="20" t="str">
        <f>VLOOKUP(A2941,PlayerDB!$F$2:$H3480,3,FALSE)</f>
        <v>#N/A</v>
      </c>
    </row>
    <row r="2942">
      <c r="B2942" s="20" t="str">
        <f>VLOOKUP(A2942,PlayerDB!$F$2:$H3480,3,FALSE)</f>
        <v>#N/A</v>
      </c>
    </row>
    <row r="2943">
      <c r="B2943" s="20" t="str">
        <f>VLOOKUP(A2943,PlayerDB!$F$2:$H3480,3,FALSE)</f>
        <v>#N/A</v>
      </c>
    </row>
    <row r="2944">
      <c r="B2944" s="20" t="str">
        <f>VLOOKUP(A2944,PlayerDB!$F$2:$H3480,3,FALSE)</f>
        <v>#N/A</v>
      </c>
    </row>
    <row r="2945">
      <c r="B2945" s="20" t="str">
        <f>VLOOKUP(A2945,PlayerDB!$F$2:$H3480,3,FALSE)</f>
        <v>#N/A</v>
      </c>
    </row>
    <row r="2946">
      <c r="B2946" s="20" t="str">
        <f>VLOOKUP(A2946,PlayerDB!$F$2:$H3480,3,FALSE)</f>
        <v>#N/A</v>
      </c>
    </row>
    <row r="2947">
      <c r="B2947" s="20" t="str">
        <f>VLOOKUP(A2947,PlayerDB!$F$2:$H3480,3,FALSE)</f>
        <v>#N/A</v>
      </c>
    </row>
    <row r="2948">
      <c r="B2948" s="20" t="str">
        <f>VLOOKUP(A2948,PlayerDB!$F$2:$H3480,3,FALSE)</f>
        <v>#N/A</v>
      </c>
    </row>
    <row r="2949">
      <c r="B2949" s="20" t="str">
        <f>VLOOKUP(A2949,PlayerDB!$F$2:$H3480,3,FALSE)</f>
        <v>#N/A</v>
      </c>
    </row>
    <row r="2950">
      <c r="B2950" s="20" t="str">
        <f>VLOOKUP(A2950,PlayerDB!$F$2:$H3480,3,FALSE)</f>
        <v>#N/A</v>
      </c>
    </row>
    <row r="2951">
      <c r="B2951" s="20" t="str">
        <f>VLOOKUP(A2951,PlayerDB!$F$2:$H3480,3,FALSE)</f>
        <v>#N/A</v>
      </c>
    </row>
    <row r="2952">
      <c r="B2952" s="20" t="str">
        <f>VLOOKUP(A2952,PlayerDB!$F$2:$H3480,3,FALSE)</f>
        <v>#N/A</v>
      </c>
    </row>
    <row r="2953">
      <c r="B2953" s="20" t="str">
        <f>VLOOKUP(A2953,PlayerDB!$F$2:$H3480,3,FALSE)</f>
        <v>#N/A</v>
      </c>
    </row>
    <row r="2954">
      <c r="B2954" s="20" t="str">
        <f>VLOOKUP(A2954,PlayerDB!$F$2:$H3480,3,FALSE)</f>
        <v>#N/A</v>
      </c>
    </row>
    <row r="2955">
      <c r="B2955" s="20" t="str">
        <f>VLOOKUP(A2955,PlayerDB!$F$2:$H3480,3,FALSE)</f>
        <v>#N/A</v>
      </c>
    </row>
    <row r="2956">
      <c r="B2956" s="20" t="str">
        <f>VLOOKUP(A2956,PlayerDB!$F$2:$H3480,3,FALSE)</f>
        <v>#N/A</v>
      </c>
    </row>
    <row r="2957">
      <c r="B2957" s="20" t="str">
        <f>VLOOKUP(A2957,PlayerDB!$F$2:$H3480,3,FALSE)</f>
        <v>#N/A</v>
      </c>
    </row>
    <row r="2958">
      <c r="B2958" s="20" t="str">
        <f>VLOOKUP(A2958,PlayerDB!$F$2:$H3480,3,FALSE)</f>
        <v>#N/A</v>
      </c>
    </row>
    <row r="2959">
      <c r="B2959" s="20" t="str">
        <f>VLOOKUP(A2959,PlayerDB!$F$2:$H3480,3,FALSE)</f>
        <v>#N/A</v>
      </c>
    </row>
    <row r="2960">
      <c r="B2960" s="20" t="str">
        <f>VLOOKUP(A2960,PlayerDB!$F$2:$H3480,3,FALSE)</f>
        <v>#N/A</v>
      </c>
    </row>
    <row r="2961">
      <c r="B2961" s="20" t="str">
        <f>VLOOKUP(A2961,PlayerDB!$F$2:$H3480,3,FALSE)</f>
        <v>#N/A</v>
      </c>
    </row>
    <row r="2962">
      <c r="B2962" s="20" t="str">
        <f>VLOOKUP(A2962,PlayerDB!$F$2:$H3480,3,FALSE)</f>
        <v>#N/A</v>
      </c>
    </row>
    <row r="2963">
      <c r="B2963" s="20" t="str">
        <f>VLOOKUP(A2963,PlayerDB!$F$2:$H3480,3,FALSE)</f>
        <v>#N/A</v>
      </c>
    </row>
    <row r="2964">
      <c r="B2964" s="20" t="str">
        <f>VLOOKUP(A2964,PlayerDB!$F$2:$H3480,3,FALSE)</f>
        <v>#N/A</v>
      </c>
    </row>
    <row r="2965">
      <c r="B2965" s="20" t="str">
        <f>VLOOKUP(A2965,PlayerDB!$F$2:$H3480,3,FALSE)</f>
        <v>#N/A</v>
      </c>
    </row>
    <row r="2966">
      <c r="B2966" s="20" t="str">
        <f>VLOOKUP(A2966,PlayerDB!$F$2:$H3480,3,FALSE)</f>
        <v>#N/A</v>
      </c>
    </row>
    <row r="2967">
      <c r="B2967" s="20" t="str">
        <f>VLOOKUP(A2967,PlayerDB!$F$2:$H3480,3,FALSE)</f>
        <v>#N/A</v>
      </c>
    </row>
    <row r="2968">
      <c r="B2968" s="20" t="str">
        <f>VLOOKUP(A2968,PlayerDB!$F$2:$H3480,3,FALSE)</f>
        <v>#N/A</v>
      </c>
    </row>
    <row r="2969">
      <c r="B2969" s="20" t="str">
        <f>VLOOKUP(A2969,PlayerDB!$F$2:$H3480,3,FALSE)</f>
        <v>#N/A</v>
      </c>
    </row>
    <row r="2970">
      <c r="B2970" s="20" t="str">
        <f>VLOOKUP(A2970,PlayerDB!$F$2:$H3480,3,FALSE)</f>
        <v>#N/A</v>
      </c>
    </row>
    <row r="2971">
      <c r="B2971" s="20" t="str">
        <f>VLOOKUP(A2971,PlayerDB!$F$2:$H3480,3,FALSE)</f>
        <v>#N/A</v>
      </c>
    </row>
    <row r="2972">
      <c r="B2972" s="20" t="str">
        <f>VLOOKUP(A2972,PlayerDB!$F$2:$H3480,3,FALSE)</f>
        <v>#N/A</v>
      </c>
    </row>
    <row r="2973">
      <c r="B2973" s="20" t="str">
        <f>VLOOKUP(A2973,PlayerDB!$F$2:$H3480,3,FALSE)</f>
        <v>#N/A</v>
      </c>
    </row>
    <row r="2974">
      <c r="B2974" s="20" t="str">
        <f>VLOOKUP(A2974,PlayerDB!$F$2:$H3480,3,FALSE)</f>
        <v>#N/A</v>
      </c>
    </row>
    <row r="2975">
      <c r="B2975" s="20" t="str">
        <f>VLOOKUP(A2975,PlayerDB!$F$2:$H3480,3,FALSE)</f>
        <v>#N/A</v>
      </c>
    </row>
    <row r="2976">
      <c r="B2976" s="20" t="str">
        <f>VLOOKUP(A2976,PlayerDB!$F$2:$H3480,3,FALSE)</f>
        <v>#N/A</v>
      </c>
    </row>
    <row r="2977">
      <c r="B2977" s="20" t="str">
        <f>VLOOKUP(A2977,PlayerDB!$F$2:$H3480,3,FALSE)</f>
        <v>#N/A</v>
      </c>
    </row>
    <row r="2978">
      <c r="B2978" s="20" t="str">
        <f>VLOOKUP(A2978,PlayerDB!$F$2:$H3480,3,FALSE)</f>
        <v>#N/A</v>
      </c>
    </row>
    <row r="2979">
      <c r="B2979" s="20" t="str">
        <f>VLOOKUP(A2979,PlayerDB!$F$2:$H3480,3,FALSE)</f>
        <v>#N/A</v>
      </c>
    </row>
    <row r="2980">
      <c r="B2980" s="20" t="str">
        <f>VLOOKUP(A2980,PlayerDB!$F$2:$H3480,3,FALSE)</f>
        <v>#N/A</v>
      </c>
    </row>
    <row r="2981">
      <c r="B2981" s="20" t="str">
        <f>VLOOKUP(A2981,PlayerDB!$F$2:$H3480,3,FALSE)</f>
        <v>#N/A</v>
      </c>
    </row>
    <row r="2982">
      <c r="B2982" s="20" t="str">
        <f>VLOOKUP(A2982,PlayerDB!$F$2:$H3480,3,FALSE)</f>
        <v>#N/A</v>
      </c>
    </row>
    <row r="2983">
      <c r="B2983" s="20" t="str">
        <f>VLOOKUP(A2983,PlayerDB!$F$2:$H3480,3,FALSE)</f>
        <v>#N/A</v>
      </c>
    </row>
    <row r="2984">
      <c r="B2984" s="20" t="str">
        <f>VLOOKUP(A2984,PlayerDB!$F$2:$H3480,3,FALSE)</f>
        <v>#N/A</v>
      </c>
    </row>
    <row r="2985">
      <c r="B2985" s="20" t="str">
        <f>VLOOKUP(A2985,PlayerDB!$F$2:$H3480,3,FALSE)</f>
        <v>#N/A</v>
      </c>
    </row>
    <row r="2986">
      <c r="B2986" s="20" t="str">
        <f>VLOOKUP(A2986,PlayerDB!$F$2:$H3480,3,FALSE)</f>
        <v>#N/A</v>
      </c>
    </row>
    <row r="2987">
      <c r="B2987" s="20" t="str">
        <f>VLOOKUP(A2987,PlayerDB!$F$2:$H3480,3,FALSE)</f>
        <v>#N/A</v>
      </c>
    </row>
    <row r="2988">
      <c r="B2988" s="20" t="str">
        <f>VLOOKUP(A2988,PlayerDB!$F$2:$H3480,3,FALSE)</f>
        <v>#N/A</v>
      </c>
    </row>
    <row r="2989">
      <c r="B2989" s="20" t="str">
        <f>VLOOKUP(A2989,PlayerDB!$F$2:$H3480,3,FALSE)</f>
        <v>#N/A</v>
      </c>
    </row>
    <row r="2990">
      <c r="B2990" s="20" t="str">
        <f>VLOOKUP(A2990,PlayerDB!$F$2:$H3480,3,FALSE)</f>
        <v>#N/A</v>
      </c>
    </row>
    <row r="2991">
      <c r="B2991" s="20" t="str">
        <f>VLOOKUP(A2991,PlayerDB!$F$2:$H3480,3,FALSE)</f>
        <v>#N/A</v>
      </c>
    </row>
    <row r="2992">
      <c r="B2992" s="20" t="str">
        <f>VLOOKUP(A2992,PlayerDB!$F$2:$H3480,3,FALSE)</f>
        <v>#N/A</v>
      </c>
    </row>
    <row r="2993">
      <c r="B2993" s="20" t="str">
        <f>VLOOKUP(A2993,PlayerDB!$F$2:$H3480,3,FALSE)</f>
        <v>#N/A</v>
      </c>
    </row>
    <row r="2994">
      <c r="B2994" s="20" t="str">
        <f>VLOOKUP(A2994,PlayerDB!$F$2:$H3480,3,FALSE)</f>
        <v>#N/A</v>
      </c>
    </row>
    <row r="2995">
      <c r="B2995" s="20" t="str">
        <f>VLOOKUP(A2995,PlayerDB!$F$2:$H3480,3,FALSE)</f>
        <v>#N/A</v>
      </c>
    </row>
    <row r="2996">
      <c r="B2996" s="20" t="str">
        <f>VLOOKUP(A2996,PlayerDB!$F$2:$H3480,3,FALSE)</f>
        <v>#N/A</v>
      </c>
    </row>
    <row r="2997">
      <c r="B2997" s="20" t="str">
        <f>VLOOKUP(A2997,PlayerDB!$F$2:$H3480,3,FALSE)</f>
        <v>#N/A</v>
      </c>
    </row>
    <row r="2998">
      <c r="B2998" s="20" t="str">
        <f>VLOOKUP(A2998,PlayerDB!$F$2:$H3480,3,FALSE)</f>
        <v>#N/A</v>
      </c>
    </row>
    <row r="2999">
      <c r="B2999" s="20" t="str">
        <f>VLOOKUP(A2999,PlayerDB!$F$2:$H3480,3,FALSE)</f>
        <v>#N/A</v>
      </c>
    </row>
    <row r="3000">
      <c r="B3000" s="20" t="str">
        <f>VLOOKUP(A3000,PlayerDB!$F$2:$H3480,3,FALSE)</f>
        <v>#N/A</v>
      </c>
    </row>
    <row r="3001">
      <c r="B3001" s="20" t="str">
        <f>VLOOKUP(A3001,PlayerDB!$F$2:$H3480,3,FALSE)</f>
        <v>#N/A</v>
      </c>
    </row>
    <row r="3002">
      <c r="B3002" s="20" t="str">
        <f>VLOOKUP(A3002,PlayerDB!$F$2:$H3480,3,FALSE)</f>
        <v>#N/A</v>
      </c>
    </row>
    <row r="3003">
      <c r="B3003" s="20" t="str">
        <f>VLOOKUP(A3003,PlayerDB!$F$2:$H3480,3,FALSE)</f>
        <v>#N/A</v>
      </c>
    </row>
    <row r="3004">
      <c r="B3004" s="20" t="str">
        <f>VLOOKUP(A3004,PlayerDB!$F$2:$H3480,3,FALSE)</f>
        <v>#N/A</v>
      </c>
    </row>
    <row r="3005">
      <c r="B3005" s="20" t="str">
        <f>VLOOKUP(A3005,PlayerDB!$F$2:$H3480,3,FALSE)</f>
        <v>#N/A</v>
      </c>
    </row>
    <row r="3006">
      <c r="B3006" s="20" t="str">
        <f>VLOOKUP(A3006,PlayerDB!$F$2:$H3480,3,FALSE)</f>
        <v>#N/A</v>
      </c>
    </row>
    <row r="3007">
      <c r="B3007" s="20" t="str">
        <f>VLOOKUP(A3007,PlayerDB!$F$2:$H3480,3,FALSE)</f>
        <v>#N/A</v>
      </c>
    </row>
    <row r="3008">
      <c r="B3008" s="20" t="str">
        <f>VLOOKUP(A3008,PlayerDB!$F$2:$H3480,3,FALSE)</f>
        <v>#N/A</v>
      </c>
    </row>
    <row r="3009">
      <c r="B3009" s="20" t="str">
        <f>VLOOKUP(A3009,PlayerDB!$F$2:$H3480,3,FALSE)</f>
        <v>#N/A</v>
      </c>
    </row>
    <row r="3010">
      <c r="B3010" s="20" t="str">
        <f>VLOOKUP(A3010,PlayerDB!$F$2:$H3480,3,FALSE)</f>
        <v>#N/A</v>
      </c>
    </row>
    <row r="3011">
      <c r="B3011" s="20" t="str">
        <f>VLOOKUP(A3011,PlayerDB!$F$2:$H3480,3,FALSE)</f>
        <v>#N/A</v>
      </c>
    </row>
    <row r="3012">
      <c r="B3012" s="20" t="str">
        <f>VLOOKUP(A3012,PlayerDB!$F$2:$H3480,3,FALSE)</f>
        <v>#N/A</v>
      </c>
    </row>
    <row r="3013">
      <c r="B3013" s="20" t="str">
        <f>VLOOKUP(A3013,PlayerDB!$F$2:$H3480,3,FALSE)</f>
        <v>#N/A</v>
      </c>
    </row>
    <row r="3014">
      <c r="B3014" s="20" t="str">
        <f>VLOOKUP(A3014,PlayerDB!$F$2:$H3480,3,FALSE)</f>
        <v>#N/A</v>
      </c>
    </row>
    <row r="3015">
      <c r="B3015" s="20" t="str">
        <f>VLOOKUP(A3015,PlayerDB!$F$2:$H3480,3,FALSE)</f>
        <v>#N/A</v>
      </c>
    </row>
    <row r="3016">
      <c r="B3016" s="20" t="str">
        <f>VLOOKUP(A3016,PlayerDB!$F$2:$H3480,3,FALSE)</f>
        <v>#N/A</v>
      </c>
    </row>
    <row r="3017">
      <c r="B3017" s="20" t="str">
        <f>VLOOKUP(A3017,PlayerDB!$F$2:$H3480,3,FALSE)</f>
        <v>#N/A</v>
      </c>
    </row>
    <row r="3018">
      <c r="B3018" s="20" t="str">
        <f>VLOOKUP(A3018,PlayerDB!$F$2:$H3480,3,FALSE)</f>
        <v>#N/A</v>
      </c>
    </row>
    <row r="3019">
      <c r="B3019" s="20" t="str">
        <f>VLOOKUP(A3019,PlayerDB!$F$2:$H3480,3,FALSE)</f>
        <v>#N/A</v>
      </c>
    </row>
    <row r="3020">
      <c r="B3020" s="20" t="str">
        <f>VLOOKUP(A3020,PlayerDB!$F$2:$H3480,3,FALSE)</f>
        <v>#N/A</v>
      </c>
    </row>
    <row r="3021">
      <c r="B3021" s="20" t="str">
        <f>VLOOKUP(A3021,PlayerDB!$F$2:$H3480,3,FALSE)</f>
        <v>#N/A</v>
      </c>
    </row>
    <row r="3022">
      <c r="B3022" s="20" t="str">
        <f>VLOOKUP(A3022,PlayerDB!$F$2:$H3480,3,FALSE)</f>
        <v>#N/A</v>
      </c>
    </row>
    <row r="3023">
      <c r="B3023" s="20" t="str">
        <f>VLOOKUP(A3023,PlayerDB!$F$2:$H3480,3,FALSE)</f>
        <v>#N/A</v>
      </c>
    </row>
    <row r="3024">
      <c r="B3024" s="20" t="str">
        <f>VLOOKUP(A3024,PlayerDB!$F$2:$H3480,3,FALSE)</f>
        <v>#N/A</v>
      </c>
    </row>
    <row r="3025">
      <c r="B3025" s="20" t="str">
        <f>VLOOKUP(A3025,PlayerDB!$F$2:$H3480,3,FALSE)</f>
        <v>#N/A</v>
      </c>
    </row>
    <row r="3026">
      <c r="B3026" s="20" t="str">
        <f>VLOOKUP(A3026,PlayerDB!$F$2:$H3480,3,FALSE)</f>
        <v>#N/A</v>
      </c>
    </row>
    <row r="3027">
      <c r="B3027" s="20" t="str">
        <f>VLOOKUP(A3027,PlayerDB!$F$2:$H3480,3,FALSE)</f>
        <v>#N/A</v>
      </c>
    </row>
    <row r="3028">
      <c r="B3028" s="20" t="str">
        <f>VLOOKUP(A3028,PlayerDB!$F$2:$H3480,3,FALSE)</f>
        <v>#N/A</v>
      </c>
    </row>
    <row r="3029">
      <c r="B3029" s="20" t="str">
        <f>VLOOKUP(A3029,PlayerDB!$F$2:$H3480,3,FALSE)</f>
        <v>#N/A</v>
      </c>
    </row>
    <row r="3030">
      <c r="B3030" s="20" t="str">
        <f>VLOOKUP(A3030,PlayerDB!$F$2:$H3480,3,FALSE)</f>
        <v>#N/A</v>
      </c>
    </row>
    <row r="3031">
      <c r="B3031" s="20" t="str">
        <f>VLOOKUP(A3031,PlayerDB!$F$2:$H3480,3,FALSE)</f>
        <v>#N/A</v>
      </c>
    </row>
    <row r="3032">
      <c r="B3032" s="20" t="str">
        <f>VLOOKUP(A3032,PlayerDB!$F$2:$H3480,3,FALSE)</f>
        <v>#N/A</v>
      </c>
    </row>
    <row r="3033">
      <c r="B3033" s="20" t="str">
        <f>VLOOKUP(A3033,PlayerDB!$F$2:$H3480,3,FALSE)</f>
        <v>#N/A</v>
      </c>
    </row>
    <row r="3034">
      <c r="B3034" s="20" t="str">
        <f>VLOOKUP(A3034,PlayerDB!$F$2:$H3480,3,FALSE)</f>
        <v>#N/A</v>
      </c>
    </row>
    <row r="3035">
      <c r="B3035" s="20" t="str">
        <f>VLOOKUP(A3035,PlayerDB!$F$2:$H3480,3,FALSE)</f>
        <v>#N/A</v>
      </c>
    </row>
    <row r="3036">
      <c r="B3036" s="20" t="str">
        <f>VLOOKUP(A3036,PlayerDB!$F$2:$H3480,3,FALSE)</f>
        <v>#N/A</v>
      </c>
    </row>
    <row r="3037">
      <c r="B3037" s="20" t="str">
        <f>VLOOKUP(A3037,PlayerDB!$F$2:$H3480,3,FALSE)</f>
        <v>#N/A</v>
      </c>
    </row>
    <row r="3038">
      <c r="B3038" s="20" t="str">
        <f>VLOOKUP(A3038,PlayerDB!$F$2:$H3480,3,FALSE)</f>
        <v>#N/A</v>
      </c>
    </row>
    <row r="3039">
      <c r="B3039" s="20" t="str">
        <f>VLOOKUP(A3039,PlayerDB!$F$2:$H3480,3,FALSE)</f>
        <v>#N/A</v>
      </c>
    </row>
    <row r="3040">
      <c r="B3040" s="20" t="str">
        <f>VLOOKUP(A3040,PlayerDB!$F$2:$H3480,3,FALSE)</f>
        <v>#N/A</v>
      </c>
    </row>
    <row r="3041">
      <c r="B3041" s="20" t="str">
        <f>VLOOKUP(A3041,PlayerDB!$F$2:$H3480,3,FALSE)</f>
        <v>#N/A</v>
      </c>
    </row>
    <row r="3042">
      <c r="B3042" s="20" t="str">
        <f>VLOOKUP(A3042,PlayerDB!$F$2:$H3480,3,FALSE)</f>
        <v>#N/A</v>
      </c>
    </row>
    <row r="3043">
      <c r="B3043" s="20" t="str">
        <f>VLOOKUP(A3043,PlayerDB!$F$2:$H3480,3,FALSE)</f>
        <v>#N/A</v>
      </c>
    </row>
    <row r="3044">
      <c r="B3044" s="20" t="str">
        <f>VLOOKUP(A3044,PlayerDB!$F$2:$H3480,3,FALSE)</f>
        <v>#N/A</v>
      </c>
    </row>
    <row r="3045">
      <c r="B3045" s="20" t="str">
        <f>VLOOKUP(A3045,PlayerDB!$F$2:$H3480,3,FALSE)</f>
        <v>#N/A</v>
      </c>
    </row>
    <row r="3046">
      <c r="B3046" s="20" t="str">
        <f>VLOOKUP(A3046,PlayerDB!$F$2:$H3480,3,FALSE)</f>
        <v>#N/A</v>
      </c>
    </row>
    <row r="3047">
      <c r="B3047" s="20" t="str">
        <f>VLOOKUP(A3047,PlayerDB!$F$2:$H3480,3,FALSE)</f>
        <v>#N/A</v>
      </c>
    </row>
    <row r="3048">
      <c r="B3048" s="20" t="str">
        <f>VLOOKUP(A3048,PlayerDB!$F$2:$H3480,3,FALSE)</f>
        <v>#N/A</v>
      </c>
    </row>
    <row r="3049">
      <c r="B3049" s="20" t="str">
        <f>VLOOKUP(A3049,PlayerDB!$F$2:$H3480,3,FALSE)</f>
        <v>#N/A</v>
      </c>
    </row>
    <row r="3050">
      <c r="B3050" s="20" t="str">
        <f>VLOOKUP(A3050,PlayerDB!$F$2:$H3480,3,FALSE)</f>
        <v>#N/A</v>
      </c>
    </row>
    <row r="3051">
      <c r="B3051" s="20" t="str">
        <f>VLOOKUP(A3051,PlayerDB!$F$2:$H3480,3,FALSE)</f>
        <v>#N/A</v>
      </c>
    </row>
    <row r="3052">
      <c r="B3052" s="20" t="str">
        <f>VLOOKUP(A3052,PlayerDB!$F$2:$H3480,3,FALSE)</f>
        <v>#N/A</v>
      </c>
    </row>
    <row r="3053">
      <c r="B3053" s="20" t="str">
        <f>VLOOKUP(A3053,PlayerDB!$F$2:$H3480,3,FALSE)</f>
        <v>#N/A</v>
      </c>
    </row>
    <row r="3054">
      <c r="B3054" s="20" t="str">
        <f>VLOOKUP(A3054,PlayerDB!$F$2:$H3480,3,FALSE)</f>
        <v>#N/A</v>
      </c>
    </row>
    <row r="3055">
      <c r="B3055" s="20" t="str">
        <f>VLOOKUP(A3055,PlayerDB!$F$2:$H3480,3,FALSE)</f>
        <v>#N/A</v>
      </c>
    </row>
    <row r="3056">
      <c r="B3056" s="20" t="str">
        <f>VLOOKUP(A3056,PlayerDB!$F$2:$H3480,3,FALSE)</f>
        <v>#N/A</v>
      </c>
    </row>
    <row r="3057">
      <c r="B3057" s="20" t="str">
        <f>VLOOKUP(A3057,PlayerDB!$F$2:$H3480,3,FALSE)</f>
        <v>#N/A</v>
      </c>
    </row>
    <row r="3058">
      <c r="B3058" s="20" t="str">
        <f>VLOOKUP(A3058,PlayerDB!$F$2:$H3480,3,FALSE)</f>
        <v>#N/A</v>
      </c>
    </row>
    <row r="3059">
      <c r="B3059" s="20" t="str">
        <f>VLOOKUP(A3059,PlayerDB!$F$2:$H3480,3,FALSE)</f>
        <v>#N/A</v>
      </c>
    </row>
    <row r="3060">
      <c r="B3060" s="20" t="str">
        <f>VLOOKUP(A3060,PlayerDB!$F$2:$H3480,3,FALSE)</f>
        <v>#N/A</v>
      </c>
    </row>
    <row r="3061">
      <c r="B3061" s="20" t="str">
        <f>VLOOKUP(A3061,PlayerDB!$F$2:$H3480,3,FALSE)</f>
        <v>#N/A</v>
      </c>
    </row>
    <row r="3062">
      <c r="B3062" s="20" t="str">
        <f>VLOOKUP(A3062,PlayerDB!$F$2:$H3480,3,FALSE)</f>
        <v>#N/A</v>
      </c>
    </row>
    <row r="3063">
      <c r="B3063" s="20" t="str">
        <f>VLOOKUP(A3063,PlayerDB!$F$2:$H3480,3,FALSE)</f>
        <v>#N/A</v>
      </c>
    </row>
    <row r="3064">
      <c r="B3064" s="20" t="str">
        <f>VLOOKUP(A3064,PlayerDB!$F$2:$H3480,3,FALSE)</f>
        <v>#N/A</v>
      </c>
    </row>
    <row r="3065">
      <c r="B3065" s="20" t="str">
        <f>VLOOKUP(A3065,PlayerDB!$F$2:$H3480,3,FALSE)</f>
        <v>#N/A</v>
      </c>
    </row>
    <row r="3066">
      <c r="B3066" s="20" t="str">
        <f>VLOOKUP(A3066,PlayerDB!$F$2:$H3480,3,FALSE)</f>
        <v>#N/A</v>
      </c>
    </row>
    <row r="3067">
      <c r="B3067" s="20" t="str">
        <f>VLOOKUP(A3067,PlayerDB!$F$2:$H3480,3,FALSE)</f>
        <v>#N/A</v>
      </c>
    </row>
    <row r="3068">
      <c r="B3068" s="20" t="str">
        <f>VLOOKUP(A3068,PlayerDB!$F$2:$H3480,3,FALSE)</f>
        <v>#N/A</v>
      </c>
    </row>
    <row r="3069">
      <c r="B3069" s="20" t="str">
        <f>VLOOKUP(A3069,PlayerDB!$F$2:$H3480,3,FALSE)</f>
        <v>#N/A</v>
      </c>
    </row>
    <row r="3070">
      <c r="B3070" s="20" t="str">
        <f>VLOOKUP(A3070,PlayerDB!$F$2:$H3480,3,FALSE)</f>
        <v>#N/A</v>
      </c>
    </row>
    <row r="3071">
      <c r="B3071" s="20" t="str">
        <f>VLOOKUP(A3071,PlayerDB!$F$2:$H3480,3,FALSE)</f>
        <v>#N/A</v>
      </c>
    </row>
    <row r="3072">
      <c r="B3072" s="20" t="str">
        <f>VLOOKUP(A3072,PlayerDB!$F$2:$H3480,3,FALSE)</f>
        <v>#N/A</v>
      </c>
    </row>
    <row r="3073">
      <c r="B3073" s="20" t="str">
        <f>VLOOKUP(A3073,PlayerDB!$F$2:$H3480,3,FALSE)</f>
        <v>#N/A</v>
      </c>
    </row>
    <row r="3074">
      <c r="B3074" s="20" t="str">
        <f>VLOOKUP(A3074,PlayerDB!$F$2:$H3480,3,FALSE)</f>
        <v>#N/A</v>
      </c>
    </row>
    <row r="3075">
      <c r="B3075" s="20" t="str">
        <f>VLOOKUP(A3075,PlayerDB!$F$2:$H3480,3,FALSE)</f>
        <v>#N/A</v>
      </c>
    </row>
    <row r="3076">
      <c r="B3076" s="20" t="str">
        <f>VLOOKUP(A3076,PlayerDB!$F$2:$H3480,3,FALSE)</f>
        <v>#N/A</v>
      </c>
    </row>
    <row r="3077">
      <c r="B3077" s="20" t="str">
        <f>VLOOKUP(A3077,PlayerDB!$F$2:$H3480,3,FALSE)</f>
        <v>#N/A</v>
      </c>
    </row>
    <row r="3078">
      <c r="B3078" s="20" t="str">
        <f>VLOOKUP(A3078,PlayerDB!$F$2:$H3480,3,FALSE)</f>
        <v>#N/A</v>
      </c>
    </row>
    <row r="3079">
      <c r="B3079" s="20" t="str">
        <f>VLOOKUP(A3079,PlayerDB!$F$2:$H3480,3,FALSE)</f>
        <v>#N/A</v>
      </c>
    </row>
    <row r="3080">
      <c r="B3080" s="20" t="str">
        <f>VLOOKUP(A3080,PlayerDB!$F$2:$H3480,3,FALSE)</f>
        <v>#N/A</v>
      </c>
    </row>
    <row r="3081">
      <c r="B3081" s="20" t="str">
        <f>VLOOKUP(A3081,PlayerDB!$F$2:$H3480,3,FALSE)</f>
        <v>#N/A</v>
      </c>
    </row>
    <row r="3082">
      <c r="B3082" s="20" t="str">
        <f>VLOOKUP(A3082,PlayerDB!$F$2:$H3480,3,FALSE)</f>
        <v>#N/A</v>
      </c>
    </row>
    <row r="3083">
      <c r="B3083" s="20" t="str">
        <f>VLOOKUP(A3083,PlayerDB!$F$2:$H3480,3,FALSE)</f>
        <v>#N/A</v>
      </c>
    </row>
    <row r="3084">
      <c r="B3084" s="20" t="str">
        <f>VLOOKUP(A3084,PlayerDB!$F$2:$H3480,3,FALSE)</f>
        <v>#N/A</v>
      </c>
    </row>
    <row r="3085">
      <c r="B3085" s="20" t="str">
        <f>VLOOKUP(A3085,PlayerDB!$F$2:$H3480,3,FALSE)</f>
        <v>#N/A</v>
      </c>
    </row>
    <row r="3086">
      <c r="B3086" s="20" t="str">
        <f>VLOOKUP(A3086,PlayerDB!$F$2:$H3480,3,FALSE)</f>
        <v>#N/A</v>
      </c>
    </row>
    <row r="3087">
      <c r="B3087" s="20" t="str">
        <f>VLOOKUP(A3087,PlayerDB!$F$2:$H3480,3,FALSE)</f>
        <v>#N/A</v>
      </c>
    </row>
    <row r="3088">
      <c r="B3088" s="20" t="str">
        <f>VLOOKUP(A3088,PlayerDB!$F$2:$H3480,3,FALSE)</f>
        <v>#N/A</v>
      </c>
    </row>
    <row r="3089">
      <c r="B3089" s="20" t="str">
        <f>VLOOKUP(A3089,PlayerDB!$F$2:$H3480,3,FALSE)</f>
        <v>#N/A</v>
      </c>
    </row>
    <row r="3090">
      <c r="B3090" s="20" t="str">
        <f>VLOOKUP(A3090,PlayerDB!$F$2:$H3480,3,FALSE)</f>
        <v>#N/A</v>
      </c>
    </row>
    <row r="3091">
      <c r="B3091" s="20" t="str">
        <f>VLOOKUP(A3091,PlayerDB!$F$2:$H3480,3,FALSE)</f>
        <v>#N/A</v>
      </c>
    </row>
    <row r="3092">
      <c r="B3092" s="20" t="str">
        <f>VLOOKUP(A3092,PlayerDB!$F$2:$H3480,3,FALSE)</f>
        <v>#N/A</v>
      </c>
    </row>
    <row r="3093">
      <c r="B3093" s="20" t="str">
        <f>VLOOKUP(A3093,PlayerDB!$F$2:$H3480,3,FALSE)</f>
        <v>#N/A</v>
      </c>
    </row>
    <row r="3094">
      <c r="B3094" s="20" t="str">
        <f>VLOOKUP(A3094,PlayerDB!$F$2:$H3480,3,FALSE)</f>
        <v>#N/A</v>
      </c>
    </row>
    <row r="3095">
      <c r="B3095" s="20" t="str">
        <f>VLOOKUP(A3095,PlayerDB!$F$2:$H3480,3,FALSE)</f>
        <v>#N/A</v>
      </c>
    </row>
    <row r="3096">
      <c r="B3096" s="20" t="str">
        <f>VLOOKUP(A3096,PlayerDB!$F$2:$H3480,3,FALSE)</f>
        <v>#N/A</v>
      </c>
    </row>
    <row r="3097">
      <c r="B3097" s="20" t="str">
        <f>VLOOKUP(A3097,PlayerDB!$F$2:$H3480,3,FALSE)</f>
        <v>#N/A</v>
      </c>
    </row>
    <row r="3098">
      <c r="B3098" s="20" t="str">
        <f>VLOOKUP(A3098,PlayerDB!$F$2:$H3480,3,FALSE)</f>
        <v>#N/A</v>
      </c>
    </row>
    <row r="3099">
      <c r="B3099" s="20" t="str">
        <f>VLOOKUP(A3099,PlayerDB!$F$2:$H3480,3,FALSE)</f>
        <v>#N/A</v>
      </c>
    </row>
    <row r="3100">
      <c r="B3100" s="20" t="str">
        <f>VLOOKUP(A3100,PlayerDB!$F$2:$H3480,3,FALSE)</f>
        <v>#N/A</v>
      </c>
    </row>
    <row r="3101">
      <c r="B3101" s="20" t="str">
        <f>VLOOKUP(A3101,PlayerDB!$F$2:$H3480,3,FALSE)</f>
        <v>#N/A</v>
      </c>
    </row>
    <row r="3102">
      <c r="B3102" s="20" t="str">
        <f>VLOOKUP(A3102,PlayerDB!$F$2:$H3480,3,FALSE)</f>
        <v>#N/A</v>
      </c>
    </row>
    <row r="3103">
      <c r="B3103" s="20" t="str">
        <f>VLOOKUP(A3103,PlayerDB!$F$2:$H3480,3,FALSE)</f>
        <v>#N/A</v>
      </c>
    </row>
    <row r="3104">
      <c r="B3104" s="20" t="str">
        <f>VLOOKUP(A3104,PlayerDB!$F$2:$H3480,3,FALSE)</f>
        <v>#N/A</v>
      </c>
    </row>
    <row r="3105">
      <c r="B3105" s="20" t="str">
        <f>VLOOKUP(A3105,PlayerDB!$F$2:$H3480,3,FALSE)</f>
        <v>#N/A</v>
      </c>
    </row>
    <row r="3106">
      <c r="B3106" s="20" t="str">
        <f>VLOOKUP(A3106,PlayerDB!$F$2:$H3480,3,FALSE)</f>
        <v>#N/A</v>
      </c>
    </row>
    <row r="3107">
      <c r="B3107" s="20" t="str">
        <f>VLOOKUP(A3107,PlayerDB!$F$2:$H3480,3,FALSE)</f>
        <v>#N/A</v>
      </c>
    </row>
    <row r="3108">
      <c r="B3108" s="20" t="str">
        <f>VLOOKUP(A3108,PlayerDB!$F$2:$H3480,3,FALSE)</f>
        <v>#N/A</v>
      </c>
    </row>
    <row r="3109">
      <c r="B3109" s="20" t="str">
        <f>VLOOKUP(A3109,PlayerDB!$F$2:$H3480,3,FALSE)</f>
        <v>#N/A</v>
      </c>
    </row>
    <row r="3110">
      <c r="B3110" s="20" t="str">
        <f>VLOOKUP(A3110,PlayerDB!$F$2:$H3480,3,FALSE)</f>
        <v>#N/A</v>
      </c>
    </row>
    <row r="3111">
      <c r="B3111" s="20" t="str">
        <f>VLOOKUP(A3111,PlayerDB!$F$2:$H3480,3,FALSE)</f>
        <v>#N/A</v>
      </c>
    </row>
    <row r="3112">
      <c r="B3112" s="20" t="str">
        <f>VLOOKUP(A3112,PlayerDB!$F$2:$H3480,3,FALSE)</f>
        <v>#N/A</v>
      </c>
    </row>
    <row r="3113">
      <c r="B3113" s="20" t="str">
        <f>VLOOKUP(A3113,PlayerDB!$F$2:$H3480,3,FALSE)</f>
        <v>#N/A</v>
      </c>
    </row>
    <row r="3114">
      <c r="B3114" s="20" t="str">
        <f>VLOOKUP(A3114,PlayerDB!$F$2:$H3480,3,FALSE)</f>
        <v>#N/A</v>
      </c>
    </row>
    <row r="3115">
      <c r="B3115" s="20" t="str">
        <f>VLOOKUP(A3115,PlayerDB!$F$2:$H3480,3,FALSE)</f>
        <v>#N/A</v>
      </c>
    </row>
    <row r="3116">
      <c r="B3116" s="20" t="str">
        <f>VLOOKUP(A3116,PlayerDB!$F$2:$H3480,3,FALSE)</f>
        <v>#N/A</v>
      </c>
    </row>
    <row r="3117">
      <c r="B3117" s="20" t="str">
        <f>VLOOKUP(A3117,PlayerDB!$F$2:$H3480,3,FALSE)</f>
        <v>#N/A</v>
      </c>
    </row>
    <row r="3118">
      <c r="B3118" s="20" t="str">
        <f>VLOOKUP(A3118,PlayerDB!$F$2:$H3480,3,FALSE)</f>
        <v>#N/A</v>
      </c>
    </row>
    <row r="3119">
      <c r="B3119" s="20" t="str">
        <f>VLOOKUP(A3119,PlayerDB!$F$2:$H3480,3,FALSE)</f>
        <v>#N/A</v>
      </c>
    </row>
    <row r="3120">
      <c r="B3120" s="20" t="str">
        <f>VLOOKUP(A3120,PlayerDB!$F$2:$H3480,3,FALSE)</f>
        <v>#N/A</v>
      </c>
    </row>
    <row r="3121">
      <c r="B3121" s="20" t="str">
        <f>VLOOKUP(A3121,PlayerDB!$F$2:$H3480,3,FALSE)</f>
        <v>#N/A</v>
      </c>
    </row>
    <row r="3122">
      <c r="B3122" s="20" t="str">
        <f>VLOOKUP(A3122,PlayerDB!$F$2:$H3480,3,FALSE)</f>
        <v>#N/A</v>
      </c>
    </row>
    <row r="3123">
      <c r="B3123" s="20" t="str">
        <f>VLOOKUP(A3123,PlayerDB!$F$2:$H3480,3,FALSE)</f>
        <v>#N/A</v>
      </c>
    </row>
    <row r="3124">
      <c r="B3124" s="20" t="str">
        <f>VLOOKUP(A3124,PlayerDB!$F$2:$H3480,3,FALSE)</f>
        <v>#N/A</v>
      </c>
    </row>
    <row r="3125">
      <c r="B3125" s="20" t="str">
        <f>VLOOKUP(A3125,PlayerDB!$F$2:$H3480,3,FALSE)</f>
        <v>#N/A</v>
      </c>
    </row>
    <row r="3126">
      <c r="B3126" s="20" t="str">
        <f>VLOOKUP(A3126,PlayerDB!$F$2:$H3480,3,FALSE)</f>
        <v>#N/A</v>
      </c>
    </row>
    <row r="3127">
      <c r="B3127" s="20" t="str">
        <f>VLOOKUP(A3127,PlayerDB!$F$2:$H3480,3,FALSE)</f>
        <v>#N/A</v>
      </c>
    </row>
    <row r="3128">
      <c r="B3128" s="20" t="str">
        <f>VLOOKUP(A3128,PlayerDB!$F$2:$H3480,3,FALSE)</f>
        <v>#N/A</v>
      </c>
    </row>
    <row r="3129">
      <c r="B3129" s="20" t="str">
        <f>VLOOKUP(A3129,PlayerDB!$F$2:$H3480,3,FALSE)</f>
        <v>#N/A</v>
      </c>
    </row>
    <row r="3130">
      <c r="B3130" s="20" t="str">
        <f>VLOOKUP(A3130,PlayerDB!$F$2:$H3480,3,FALSE)</f>
        <v>#N/A</v>
      </c>
    </row>
    <row r="3131">
      <c r="B3131" s="20" t="str">
        <f>VLOOKUP(A3131,PlayerDB!$F$2:$H3480,3,FALSE)</f>
        <v>#N/A</v>
      </c>
    </row>
    <row r="3132">
      <c r="B3132" s="20" t="str">
        <f>VLOOKUP(A3132,PlayerDB!$F$2:$H3480,3,FALSE)</f>
        <v>#N/A</v>
      </c>
    </row>
    <row r="3133">
      <c r="B3133" s="20" t="str">
        <f>VLOOKUP(A3133,PlayerDB!$F$2:$H3480,3,FALSE)</f>
        <v>#N/A</v>
      </c>
    </row>
    <row r="3134">
      <c r="B3134" s="20" t="str">
        <f>VLOOKUP(A3134,PlayerDB!$F$2:$H3480,3,FALSE)</f>
        <v>#N/A</v>
      </c>
    </row>
    <row r="3135">
      <c r="B3135" s="20" t="str">
        <f>VLOOKUP(A3135,PlayerDB!$F$2:$H3480,3,FALSE)</f>
        <v>#N/A</v>
      </c>
    </row>
    <row r="3136">
      <c r="B3136" s="20" t="str">
        <f>VLOOKUP(A3136,PlayerDB!$F$2:$H3480,3,FALSE)</f>
        <v>#N/A</v>
      </c>
    </row>
    <row r="3137">
      <c r="B3137" s="20" t="str">
        <f>VLOOKUP(A3137,PlayerDB!$F$2:$H3480,3,FALSE)</f>
        <v>#N/A</v>
      </c>
    </row>
    <row r="3138">
      <c r="B3138" s="20" t="str">
        <f>VLOOKUP(A3138,PlayerDB!$F$2:$H3480,3,FALSE)</f>
        <v>#N/A</v>
      </c>
    </row>
    <row r="3139">
      <c r="B3139" s="20" t="str">
        <f>VLOOKUP(A3139,PlayerDB!$F$2:$H3480,3,FALSE)</f>
        <v>#N/A</v>
      </c>
    </row>
    <row r="3140">
      <c r="B3140" s="20" t="str">
        <f>VLOOKUP(A3140,PlayerDB!$F$2:$H3480,3,FALSE)</f>
        <v>#N/A</v>
      </c>
    </row>
    <row r="3141">
      <c r="B3141" s="20" t="str">
        <f>VLOOKUP(A3141,PlayerDB!$F$2:$H3480,3,FALSE)</f>
        <v>#N/A</v>
      </c>
    </row>
    <row r="3142">
      <c r="B3142" s="20" t="str">
        <f>VLOOKUP(A3142,PlayerDB!$F$2:$H3480,3,FALSE)</f>
        <v>#N/A</v>
      </c>
    </row>
    <row r="3143">
      <c r="B3143" s="20" t="str">
        <f>VLOOKUP(A3143,PlayerDB!$F$2:$H3480,3,FALSE)</f>
        <v>#N/A</v>
      </c>
    </row>
    <row r="3144">
      <c r="B3144" s="20" t="str">
        <f>VLOOKUP(A3144,PlayerDB!$F$2:$H3480,3,FALSE)</f>
        <v>#N/A</v>
      </c>
    </row>
    <row r="3145">
      <c r="B3145" s="20" t="str">
        <f>VLOOKUP(A3145,PlayerDB!$F$2:$H3480,3,FALSE)</f>
        <v>#N/A</v>
      </c>
    </row>
    <row r="3146">
      <c r="B3146" s="20" t="str">
        <f>VLOOKUP(A3146,PlayerDB!$F$2:$H3480,3,FALSE)</f>
        <v>#N/A</v>
      </c>
    </row>
    <row r="3147">
      <c r="B3147" s="20" t="str">
        <f>VLOOKUP(A3147,PlayerDB!$F$2:$H3480,3,FALSE)</f>
        <v>#N/A</v>
      </c>
    </row>
    <row r="3148">
      <c r="B3148" s="20" t="str">
        <f>VLOOKUP(A3148,PlayerDB!$F$2:$H3480,3,FALSE)</f>
        <v>#N/A</v>
      </c>
    </row>
    <row r="3149">
      <c r="B3149" s="20" t="str">
        <f>VLOOKUP(A3149,PlayerDB!$F$2:$H3480,3,FALSE)</f>
        <v>#N/A</v>
      </c>
    </row>
    <row r="3150">
      <c r="B3150" s="20" t="str">
        <f>VLOOKUP(A3150,PlayerDB!$F$2:$H3480,3,FALSE)</f>
        <v>#N/A</v>
      </c>
    </row>
    <row r="3151">
      <c r="B3151" s="20" t="str">
        <f>VLOOKUP(A3151,PlayerDB!$F$2:$H3480,3,FALSE)</f>
        <v>#N/A</v>
      </c>
    </row>
    <row r="3152">
      <c r="B3152" s="20" t="str">
        <f>VLOOKUP(A3152,PlayerDB!$F$2:$H3480,3,FALSE)</f>
        <v>#N/A</v>
      </c>
    </row>
    <row r="3153">
      <c r="B3153" s="20" t="str">
        <f>VLOOKUP(A3153,PlayerDB!$F$2:$H3480,3,FALSE)</f>
        <v>#N/A</v>
      </c>
    </row>
    <row r="3154">
      <c r="B3154" s="20" t="str">
        <f>VLOOKUP(A3154,PlayerDB!$F$2:$H3480,3,FALSE)</f>
        <v>#N/A</v>
      </c>
    </row>
    <row r="3155">
      <c r="B3155" s="20" t="str">
        <f>VLOOKUP(A3155,PlayerDB!$F$2:$H3480,3,FALSE)</f>
        <v>#N/A</v>
      </c>
    </row>
    <row r="3156">
      <c r="B3156" s="20" t="str">
        <f>VLOOKUP(A3156,PlayerDB!$F$2:$H3480,3,FALSE)</f>
        <v>#N/A</v>
      </c>
    </row>
    <row r="3157">
      <c r="B3157" s="20" t="str">
        <f>VLOOKUP(A3157,PlayerDB!$F$2:$H3480,3,FALSE)</f>
        <v>#N/A</v>
      </c>
    </row>
    <row r="3158">
      <c r="B3158" s="20" t="str">
        <f>VLOOKUP(A3158,PlayerDB!$F$2:$H3480,3,FALSE)</f>
        <v>#N/A</v>
      </c>
    </row>
    <row r="3159">
      <c r="B3159" s="20" t="str">
        <f>VLOOKUP(A3159,PlayerDB!$F$2:$H3480,3,FALSE)</f>
        <v>#N/A</v>
      </c>
    </row>
    <row r="3160">
      <c r="B3160" s="20" t="str">
        <f>VLOOKUP(A3160,PlayerDB!$F$2:$H3480,3,FALSE)</f>
        <v>#N/A</v>
      </c>
    </row>
    <row r="3161">
      <c r="B3161" s="20" t="str">
        <f>VLOOKUP(A3161,PlayerDB!$F$2:$H3480,3,FALSE)</f>
        <v>#N/A</v>
      </c>
    </row>
    <row r="3162">
      <c r="B3162" s="20" t="str">
        <f>VLOOKUP(A3162,PlayerDB!$F$2:$H3480,3,FALSE)</f>
        <v>#N/A</v>
      </c>
    </row>
    <row r="3163">
      <c r="B3163" s="20" t="str">
        <f>VLOOKUP(A3163,PlayerDB!$F$2:$H3480,3,FALSE)</f>
        <v>#N/A</v>
      </c>
    </row>
    <row r="3164">
      <c r="B3164" s="20" t="str">
        <f>VLOOKUP(A3164,PlayerDB!$F$2:$H3480,3,FALSE)</f>
        <v>#N/A</v>
      </c>
    </row>
    <row r="3165">
      <c r="B3165" s="20" t="str">
        <f>VLOOKUP(A3165,PlayerDB!$F$2:$H3480,3,FALSE)</f>
        <v>#N/A</v>
      </c>
    </row>
    <row r="3166">
      <c r="B3166" s="20" t="str">
        <f>VLOOKUP(A3166,PlayerDB!$F$2:$H3480,3,FALSE)</f>
        <v>#N/A</v>
      </c>
    </row>
    <row r="3167">
      <c r="B3167" s="20" t="str">
        <f>VLOOKUP(A3167,PlayerDB!$F$2:$H3480,3,FALSE)</f>
        <v>#N/A</v>
      </c>
    </row>
    <row r="3168">
      <c r="B3168" s="20" t="str">
        <f>VLOOKUP(A3168,PlayerDB!$F$2:$H3480,3,FALSE)</f>
        <v>#N/A</v>
      </c>
    </row>
    <row r="3169">
      <c r="B3169" s="20" t="str">
        <f>VLOOKUP(A3169,PlayerDB!$F$2:$H3480,3,FALSE)</f>
        <v>#N/A</v>
      </c>
    </row>
    <row r="3170">
      <c r="B3170" s="20" t="str">
        <f>VLOOKUP(A3170,PlayerDB!$F$2:$H3480,3,FALSE)</f>
        <v>#N/A</v>
      </c>
    </row>
    <row r="3171">
      <c r="B3171" s="20" t="str">
        <f>VLOOKUP(A3171,PlayerDB!$F$2:$H3480,3,FALSE)</f>
        <v>#N/A</v>
      </c>
    </row>
    <row r="3172">
      <c r="B3172" s="20" t="str">
        <f>VLOOKUP(A3172,PlayerDB!$F$2:$H3480,3,FALSE)</f>
        <v>#N/A</v>
      </c>
    </row>
    <row r="3173">
      <c r="B3173" s="20" t="str">
        <f>VLOOKUP(A3173,PlayerDB!$F$2:$H3480,3,FALSE)</f>
        <v>#N/A</v>
      </c>
    </row>
    <row r="3174">
      <c r="B3174" s="20" t="str">
        <f>VLOOKUP(A3174,PlayerDB!$F$2:$H3480,3,FALSE)</f>
        <v>#N/A</v>
      </c>
    </row>
    <row r="3175">
      <c r="B3175" s="20" t="str">
        <f>VLOOKUP(A3175,PlayerDB!$F$2:$H3480,3,FALSE)</f>
        <v>#N/A</v>
      </c>
    </row>
    <row r="3176">
      <c r="B3176" s="20" t="str">
        <f>VLOOKUP(A3176,PlayerDB!$F$2:$H3480,3,FALSE)</f>
        <v>#N/A</v>
      </c>
    </row>
    <row r="3177">
      <c r="B3177" s="20" t="str">
        <f>VLOOKUP(A3177,PlayerDB!$F$2:$H3480,3,FALSE)</f>
        <v>#N/A</v>
      </c>
    </row>
    <row r="3178">
      <c r="B3178" s="20" t="str">
        <f>VLOOKUP(A3178,PlayerDB!$F$2:$H3480,3,FALSE)</f>
        <v>#N/A</v>
      </c>
    </row>
    <row r="3179">
      <c r="B3179" s="20" t="str">
        <f>VLOOKUP(A3179,PlayerDB!$F$2:$H3480,3,FALSE)</f>
        <v>#N/A</v>
      </c>
    </row>
    <row r="3180">
      <c r="B3180" s="20" t="str">
        <f>VLOOKUP(A3180,PlayerDB!$F$2:$H3480,3,FALSE)</f>
        <v>#N/A</v>
      </c>
    </row>
    <row r="3181">
      <c r="B3181" s="20" t="str">
        <f>VLOOKUP(A3181,PlayerDB!$F$2:$H3480,3,FALSE)</f>
        <v>#N/A</v>
      </c>
    </row>
    <row r="3182">
      <c r="B3182" s="20" t="str">
        <f>VLOOKUP(A3182,PlayerDB!$F$2:$H3480,3,FALSE)</f>
        <v>#N/A</v>
      </c>
    </row>
    <row r="3183">
      <c r="B3183" s="20" t="str">
        <f>VLOOKUP(A3183,PlayerDB!$F$2:$H3480,3,FALSE)</f>
        <v>#N/A</v>
      </c>
    </row>
    <row r="3184">
      <c r="B3184" s="20" t="str">
        <f>VLOOKUP(A3184,PlayerDB!$F$2:$H3480,3,FALSE)</f>
        <v>#N/A</v>
      </c>
    </row>
    <row r="3185">
      <c r="B3185" s="20" t="str">
        <f>VLOOKUP(A3185,PlayerDB!$F$2:$H3480,3,FALSE)</f>
        <v>#N/A</v>
      </c>
    </row>
    <row r="3186">
      <c r="B3186" s="20" t="str">
        <f>VLOOKUP(A3186,PlayerDB!$F$2:$H3480,3,FALSE)</f>
        <v>#N/A</v>
      </c>
    </row>
    <row r="3187">
      <c r="B3187" s="20" t="str">
        <f>VLOOKUP(A3187,PlayerDB!$F$2:$H3480,3,FALSE)</f>
        <v>#N/A</v>
      </c>
    </row>
    <row r="3188">
      <c r="B3188" s="20" t="str">
        <f>VLOOKUP(A3188,PlayerDB!$F$2:$H3480,3,FALSE)</f>
        <v>#N/A</v>
      </c>
    </row>
    <row r="3189">
      <c r="B3189" s="20" t="str">
        <f>VLOOKUP(A3189,PlayerDB!$F$2:$H3480,3,FALSE)</f>
        <v>#N/A</v>
      </c>
    </row>
    <row r="3190">
      <c r="B3190" s="20" t="str">
        <f>VLOOKUP(A3190,PlayerDB!$F$2:$H3480,3,FALSE)</f>
        <v>#N/A</v>
      </c>
    </row>
    <row r="3191">
      <c r="B3191" s="20" t="str">
        <f>VLOOKUP(A3191,PlayerDB!$F$2:$H3480,3,FALSE)</f>
        <v>#N/A</v>
      </c>
    </row>
    <row r="3192">
      <c r="B3192" s="20" t="str">
        <f>VLOOKUP(A3192,PlayerDB!$F$2:$H3480,3,FALSE)</f>
        <v>#N/A</v>
      </c>
    </row>
    <row r="3193">
      <c r="B3193" s="20" t="str">
        <f>VLOOKUP(A3193,PlayerDB!$F$2:$H3480,3,FALSE)</f>
        <v>#N/A</v>
      </c>
    </row>
    <row r="3194">
      <c r="B3194" s="20" t="str">
        <f>VLOOKUP(A3194,PlayerDB!$F$2:$H3480,3,FALSE)</f>
        <v>#N/A</v>
      </c>
    </row>
    <row r="3195">
      <c r="B3195" s="20" t="str">
        <f>VLOOKUP(A3195,PlayerDB!$F$2:$H3480,3,FALSE)</f>
        <v>#N/A</v>
      </c>
    </row>
    <row r="3196">
      <c r="B3196" s="20" t="str">
        <f>VLOOKUP(A3196,PlayerDB!$F$2:$H3480,3,FALSE)</f>
        <v>#N/A</v>
      </c>
    </row>
    <row r="3197">
      <c r="B3197" s="20" t="str">
        <f>VLOOKUP(A3197,PlayerDB!$F$2:$H3480,3,FALSE)</f>
        <v>#N/A</v>
      </c>
    </row>
    <row r="3198">
      <c r="B3198" s="20" t="str">
        <f>VLOOKUP(A3198,PlayerDB!$F$2:$H3480,3,FALSE)</f>
        <v>#N/A</v>
      </c>
    </row>
    <row r="3199">
      <c r="B3199" s="20" t="str">
        <f>VLOOKUP(A3199,PlayerDB!$F$2:$H3480,3,FALSE)</f>
        <v>#N/A</v>
      </c>
    </row>
    <row r="3200">
      <c r="B3200" s="20" t="str">
        <f>VLOOKUP(A3200,PlayerDB!$F$2:$H3480,3,FALSE)</f>
        <v>#N/A</v>
      </c>
    </row>
    <row r="3201">
      <c r="B3201" s="20" t="str">
        <f>VLOOKUP(A3201,PlayerDB!$F$2:$H3480,3,FALSE)</f>
        <v>#N/A</v>
      </c>
    </row>
    <row r="3202">
      <c r="B3202" s="20" t="str">
        <f>VLOOKUP(A3202,PlayerDB!$F$2:$H3480,3,FALSE)</f>
        <v>#N/A</v>
      </c>
    </row>
    <row r="3203">
      <c r="B3203" s="20" t="str">
        <f>VLOOKUP(A3203,PlayerDB!$F$2:$H3480,3,FALSE)</f>
        <v>#N/A</v>
      </c>
    </row>
    <row r="3204">
      <c r="B3204" s="20" t="str">
        <f>VLOOKUP(A3204,PlayerDB!$F$2:$H3480,3,FALSE)</f>
        <v>#N/A</v>
      </c>
    </row>
    <row r="3205">
      <c r="B3205" s="20" t="str">
        <f>VLOOKUP(A3205,PlayerDB!$F$2:$H3480,3,FALSE)</f>
        <v>#N/A</v>
      </c>
    </row>
    <row r="3206">
      <c r="B3206" s="20" t="str">
        <f>VLOOKUP(A3206,PlayerDB!$F$2:$H3480,3,FALSE)</f>
        <v>#N/A</v>
      </c>
    </row>
    <row r="3207">
      <c r="B3207" s="20" t="str">
        <f>VLOOKUP(A3207,PlayerDB!$F$2:$H3480,3,FALSE)</f>
        <v>#N/A</v>
      </c>
    </row>
    <row r="3208">
      <c r="B3208" s="20" t="str">
        <f>VLOOKUP(A3208,PlayerDB!$F$2:$H3480,3,FALSE)</f>
        <v>#N/A</v>
      </c>
    </row>
    <row r="3209">
      <c r="B3209" s="20" t="str">
        <f>VLOOKUP(A3209,PlayerDB!$F$2:$H3480,3,FALSE)</f>
        <v>#N/A</v>
      </c>
    </row>
    <row r="3210">
      <c r="B3210" s="20" t="str">
        <f>VLOOKUP(A3210,PlayerDB!$F$2:$H3480,3,FALSE)</f>
        <v>#N/A</v>
      </c>
    </row>
    <row r="3211">
      <c r="B3211" s="20" t="str">
        <f>VLOOKUP(A3211,PlayerDB!$F$2:$H3480,3,FALSE)</f>
        <v>#N/A</v>
      </c>
    </row>
    <row r="3212">
      <c r="B3212" s="20" t="str">
        <f>VLOOKUP(A3212,PlayerDB!$F$2:$H3480,3,FALSE)</f>
        <v>#N/A</v>
      </c>
    </row>
    <row r="3213">
      <c r="B3213" s="20" t="str">
        <f>VLOOKUP(A3213,PlayerDB!$F$2:$H3480,3,FALSE)</f>
        <v>#N/A</v>
      </c>
    </row>
    <row r="3214">
      <c r="B3214" s="20" t="str">
        <f>VLOOKUP(A3214,PlayerDB!$F$2:$H3480,3,FALSE)</f>
        <v>#N/A</v>
      </c>
    </row>
    <row r="3215">
      <c r="B3215" s="20" t="str">
        <f>VLOOKUP(A3215,PlayerDB!$F$2:$H3480,3,FALSE)</f>
        <v>#N/A</v>
      </c>
    </row>
    <row r="3216">
      <c r="B3216" s="20" t="str">
        <f>VLOOKUP(A3216,PlayerDB!$F$2:$H3480,3,FALSE)</f>
        <v>#N/A</v>
      </c>
    </row>
    <row r="3217">
      <c r="B3217" s="20" t="str">
        <f>VLOOKUP(A3217,PlayerDB!$F$2:$H3480,3,FALSE)</f>
        <v>#N/A</v>
      </c>
    </row>
    <row r="3218">
      <c r="B3218" s="20" t="str">
        <f>VLOOKUP(A3218,PlayerDB!$F$2:$H3480,3,FALSE)</f>
        <v>#N/A</v>
      </c>
    </row>
    <row r="3219">
      <c r="B3219" s="20" t="str">
        <f>VLOOKUP(A3219,PlayerDB!$F$2:$H3480,3,FALSE)</f>
        <v>#N/A</v>
      </c>
    </row>
    <row r="3220">
      <c r="B3220" s="20" t="str">
        <f>VLOOKUP(A3220,PlayerDB!$F$2:$H3480,3,FALSE)</f>
        <v>#N/A</v>
      </c>
    </row>
    <row r="3221">
      <c r="B3221" s="20" t="str">
        <f>VLOOKUP(A3221,PlayerDB!$F$2:$H3480,3,FALSE)</f>
        <v>#N/A</v>
      </c>
    </row>
    <row r="3222">
      <c r="B3222" s="20" t="str">
        <f>VLOOKUP(A3222,PlayerDB!$F$2:$H3480,3,FALSE)</f>
        <v>#N/A</v>
      </c>
    </row>
    <row r="3223">
      <c r="B3223" s="20" t="str">
        <f>VLOOKUP(A3223,PlayerDB!$F$2:$H3480,3,FALSE)</f>
        <v>#N/A</v>
      </c>
    </row>
    <row r="3224">
      <c r="B3224" s="20" t="str">
        <f>VLOOKUP(A3224,PlayerDB!$F$2:$H3480,3,FALSE)</f>
        <v>#N/A</v>
      </c>
    </row>
    <row r="3225">
      <c r="B3225" s="20" t="str">
        <f>VLOOKUP(A3225,PlayerDB!$F$2:$H3480,3,FALSE)</f>
        <v>#N/A</v>
      </c>
    </row>
    <row r="3226">
      <c r="B3226" s="20" t="str">
        <f>VLOOKUP(A3226,PlayerDB!$F$2:$H3480,3,FALSE)</f>
        <v>#N/A</v>
      </c>
    </row>
    <row r="3227">
      <c r="B3227" s="20" t="str">
        <f>VLOOKUP(A3227,PlayerDB!$F$2:$H3480,3,FALSE)</f>
        <v>#N/A</v>
      </c>
    </row>
    <row r="3228">
      <c r="B3228" s="20" t="str">
        <f>VLOOKUP(A3228,PlayerDB!$F$2:$H3480,3,FALSE)</f>
        <v>#N/A</v>
      </c>
    </row>
    <row r="3229">
      <c r="B3229" s="20" t="str">
        <f>VLOOKUP(A3229,PlayerDB!$F$2:$H3480,3,FALSE)</f>
        <v>#N/A</v>
      </c>
    </row>
    <row r="3230">
      <c r="B3230" s="20" t="str">
        <f>VLOOKUP(A3230,PlayerDB!$F$2:$H3480,3,FALSE)</f>
        <v>#N/A</v>
      </c>
    </row>
    <row r="3231">
      <c r="B3231" s="20" t="str">
        <f>VLOOKUP(A3231,PlayerDB!$F$2:$H3480,3,FALSE)</f>
        <v>#N/A</v>
      </c>
    </row>
    <row r="3232">
      <c r="B3232" s="20" t="str">
        <f>VLOOKUP(A3232,PlayerDB!$F$2:$H3480,3,FALSE)</f>
        <v>#N/A</v>
      </c>
    </row>
    <row r="3233">
      <c r="B3233" s="20" t="str">
        <f>VLOOKUP(A3233,PlayerDB!$F$2:$H3480,3,FALSE)</f>
        <v>#N/A</v>
      </c>
    </row>
    <row r="3234">
      <c r="B3234" s="20" t="str">
        <f>VLOOKUP(A3234,PlayerDB!$F$2:$H3480,3,FALSE)</f>
        <v>#N/A</v>
      </c>
    </row>
    <row r="3235">
      <c r="B3235" s="20" t="str">
        <f>VLOOKUP(A3235,PlayerDB!$F$2:$H3480,3,FALSE)</f>
        <v>#N/A</v>
      </c>
    </row>
    <row r="3236">
      <c r="B3236" s="20" t="str">
        <f>VLOOKUP(A3236,PlayerDB!$F$2:$H3480,3,FALSE)</f>
        <v>#N/A</v>
      </c>
    </row>
    <row r="3237">
      <c r="B3237" s="20" t="str">
        <f>VLOOKUP(A3237,PlayerDB!$F$2:$H3480,3,FALSE)</f>
        <v>#N/A</v>
      </c>
    </row>
    <row r="3238">
      <c r="B3238" s="20" t="str">
        <f>VLOOKUP(A3238,PlayerDB!$F$2:$H3480,3,FALSE)</f>
        <v>#N/A</v>
      </c>
    </row>
    <row r="3239">
      <c r="B3239" s="20" t="str">
        <f>VLOOKUP(A3239,PlayerDB!$F$2:$H3480,3,FALSE)</f>
        <v>#N/A</v>
      </c>
    </row>
    <row r="3240">
      <c r="B3240" s="20" t="str">
        <f>VLOOKUP(A3240,PlayerDB!$F$2:$H3480,3,FALSE)</f>
        <v>#N/A</v>
      </c>
    </row>
    <row r="3241">
      <c r="B3241" s="20" t="str">
        <f>VLOOKUP(A3241,PlayerDB!$F$2:$H3480,3,FALSE)</f>
        <v>#N/A</v>
      </c>
    </row>
    <row r="3242">
      <c r="B3242" s="20" t="str">
        <f>VLOOKUP(A3242,PlayerDB!$F$2:$H3480,3,FALSE)</f>
        <v>#N/A</v>
      </c>
    </row>
    <row r="3243">
      <c r="B3243" s="20" t="str">
        <f>VLOOKUP(A3243,PlayerDB!$F$2:$H3480,3,FALSE)</f>
        <v>#N/A</v>
      </c>
    </row>
    <row r="3244">
      <c r="B3244" s="20" t="str">
        <f>VLOOKUP(A3244,PlayerDB!$F$2:$H3480,3,FALSE)</f>
        <v>#N/A</v>
      </c>
    </row>
    <row r="3245">
      <c r="B3245" s="20" t="str">
        <f>VLOOKUP(A3245,PlayerDB!$F$2:$H3480,3,FALSE)</f>
        <v>#N/A</v>
      </c>
    </row>
    <row r="3246">
      <c r="B3246" s="20" t="str">
        <f>VLOOKUP(A3246,PlayerDB!$F$2:$H3480,3,FALSE)</f>
        <v>#N/A</v>
      </c>
    </row>
    <row r="3247">
      <c r="B3247" s="20" t="str">
        <f>VLOOKUP(A3247,PlayerDB!$F$2:$H3480,3,FALSE)</f>
        <v>#N/A</v>
      </c>
    </row>
    <row r="3248">
      <c r="B3248" s="20" t="str">
        <f>VLOOKUP(A3248,PlayerDB!$F$2:$H3480,3,FALSE)</f>
        <v>#N/A</v>
      </c>
    </row>
    <row r="3249">
      <c r="B3249" s="20" t="str">
        <f>VLOOKUP(A3249,PlayerDB!$F$2:$H3480,3,FALSE)</f>
        <v>#N/A</v>
      </c>
    </row>
    <row r="3250">
      <c r="B3250" s="20" t="str">
        <f>VLOOKUP(A3250,PlayerDB!$F$2:$H3480,3,FALSE)</f>
        <v>#N/A</v>
      </c>
    </row>
    <row r="3251">
      <c r="B3251" s="20" t="str">
        <f>VLOOKUP(A3251,PlayerDB!$F$2:$H3480,3,FALSE)</f>
        <v>#N/A</v>
      </c>
    </row>
    <row r="3252">
      <c r="B3252" s="20" t="str">
        <f>VLOOKUP(A3252,PlayerDB!$F$2:$H3480,3,FALSE)</f>
        <v>#N/A</v>
      </c>
    </row>
    <row r="3253">
      <c r="B3253" s="20" t="str">
        <f>VLOOKUP(A3253,PlayerDB!$F$2:$H3480,3,FALSE)</f>
        <v>#N/A</v>
      </c>
    </row>
    <row r="3254">
      <c r="B3254" s="20" t="str">
        <f>VLOOKUP(A3254,PlayerDB!$F$2:$H3480,3,FALSE)</f>
        <v>#N/A</v>
      </c>
    </row>
    <row r="3255">
      <c r="B3255" s="20" t="str">
        <f>VLOOKUP(A3255,PlayerDB!$F$2:$H3480,3,FALSE)</f>
        <v>#N/A</v>
      </c>
    </row>
    <row r="3256">
      <c r="B3256" s="20" t="str">
        <f>VLOOKUP(A3256,PlayerDB!$F$2:$H3480,3,FALSE)</f>
        <v>#N/A</v>
      </c>
    </row>
    <row r="3257">
      <c r="B3257" s="20" t="str">
        <f>VLOOKUP(A3257,PlayerDB!$F$2:$H3480,3,FALSE)</f>
        <v>#N/A</v>
      </c>
    </row>
    <row r="3258">
      <c r="B3258" s="20" t="str">
        <f>VLOOKUP(A3258,PlayerDB!$F$2:$H3480,3,FALSE)</f>
        <v>#N/A</v>
      </c>
    </row>
    <row r="3259">
      <c r="B3259" s="20" t="str">
        <f>VLOOKUP(A3259,PlayerDB!$F$2:$H3480,3,FALSE)</f>
        <v>#N/A</v>
      </c>
    </row>
    <row r="3260">
      <c r="B3260" s="20" t="str">
        <f>VLOOKUP(A3260,PlayerDB!$F$2:$H3480,3,FALSE)</f>
        <v>#N/A</v>
      </c>
    </row>
    <row r="3261">
      <c r="B3261" s="20" t="str">
        <f>VLOOKUP(A3261,PlayerDB!$F$2:$H3480,3,FALSE)</f>
        <v>#N/A</v>
      </c>
    </row>
    <row r="3262">
      <c r="B3262" s="20" t="str">
        <f>VLOOKUP(A3262,PlayerDB!$F$2:$H3480,3,FALSE)</f>
        <v>#N/A</v>
      </c>
    </row>
    <row r="3263">
      <c r="B3263" s="20" t="str">
        <f>VLOOKUP(A3263,PlayerDB!$F$2:$H3480,3,FALSE)</f>
        <v>#N/A</v>
      </c>
    </row>
    <row r="3264">
      <c r="B3264" s="20" t="str">
        <f>VLOOKUP(A3264,PlayerDB!$F$2:$H3480,3,FALSE)</f>
        <v>#N/A</v>
      </c>
    </row>
    <row r="3265">
      <c r="B3265" s="20" t="str">
        <f>VLOOKUP(A3265,PlayerDB!$F$2:$H3480,3,FALSE)</f>
        <v>#N/A</v>
      </c>
    </row>
    <row r="3266">
      <c r="B3266" s="20" t="str">
        <f>VLOOKUP(A3266,PlayerDB!$F$2:$H3480,3,FALSE)</f>
        <v>#N/A</v>
      </c>
    </row>
    <row r="3267">
      <c r="B3267" s="20" t="str">
        <f>VLOOKUP(A3267,PlayerDB!$F$2:$H3480,3,FALSE)</f>
        <v>#N/A</v>
      </c>
    </row>
    <row r="3268">
      <c r="B3268" s="20" t="str">
        <f>VLOOKUP(A3268,PlayerDB!$F$2:$H3480,3,FALSE)</f>
        <v>#N/A</v>
      </c>
    </row>
    <row r="3269">
      <c r="B3269" s="20" t="str">
        <f>VLOOKUP(A3269,PlayerDB!$F$2:$H3480,3,FALSE)</f>
        <v>#N/A</v>
      </c>
    </row>
    <row r="3270">
      <c r="B3270" s="20" t="str">
        <f>VLOOKUP(A3270,PlayerDB!$F$2:$H3480,3,FALSE)</f>
        <v>#N/A</v>
      </c>
    </row>
    <row r="3271">
      <c r="B3271" s="20" t="str">
        <f>VLOOKUP(A3271,PlayerDB!$F$2:$H3480,3,FALSE)</f>
        <v>#N/A</v>
      </c>
    </row>
    <row r="3272">
      <c r="B3272" s="20" t="str">
        <f>VLOOKUP(A3272,PlayerDB!$F$2:$H3480,3,FALSE)</f>
        <v>#N/A</v>
      </c>
    </row>
    <row r="3273">
      <c r="B3273" s="20" t="str">
        <f>VLOOKUP(A3273,PlayerDB!$F$2:$H3480,3,FALSE)</f>
        <v>#N/A</v>
      </c>
    </row>
    <row r="3274">
      <c r="B3274" s="20" t="str">
        <f>VLOOKUP(A3274,PlayerDB!$F$2:$H3480,3,FALSE)</f>
        <v>#N/A</v>
      </c>
    </row>
    <row r="3275">
      <c r="B3275" s="20" t="str">
        <f>VLOOKUP(A3275,PlayerDB!$F$2:$H3480,3,FALSE)</f>
        <v>#N/A</v>
      </c>
    </row>
    <row r="3276">
      <c r="B3276" s="20" t="str">
        <f>VLOOKUP(A3276,PlayerDB!$F$2:$H3480,3,FALSE)</f>
        <v>#N/A</v>
      </c>
    </row>
    <row r="3277">
      <c r="B3277" s="20" t="str">
        <f>VLOOKUP(A3277,PlayerDB!$F$2:$H3480,3,FALSE)</f>
        <v>#N/A</v>
      </c>
    </row>
    <row r="3278">
      <c r="B3278" s="20" t="str">
        <f>VLOOKUP(A3278,PlayerDB!$F$2:$H3480,3,FALSE)</f>
        <v>#N/A</v>
      </c>
    </row>
    <row r="3279">
      <c r="B3279" s="20" t="str">
        <f>VLOOKUP(A3279,PlayerDB!$F$2:$H3480,3,FALSE)</f>
        <v>#N/A</v>
      </c>
    </row>
    <row r="3280">
      <c r="B3280" s="20" t="str">
        <f>VLOOKUP(A3280,PlayerDB!$F$2:$H3480,3,FALSE)</f>
        <v>#N/A</v>
      </c>
    </row>
    <row r="3281">
      <c r="B3281" s="20" t="str">
        <f>VLOOKUP(A3281,PlayerDB!$F$2:$H3480,3,FALSE)</f>
        <v>#N/A</v>
      </c>
    </row>
    <row r="3282">
      <c r="B3282" s="20" t="str">
        <f>VLOOKUP(A3282,PlayerDB!$F$2:$H3480,3,FALSE)</f>
        <v>#N/A</v>
      </c>
    </row>
    <row r="3283">
      <c r="B3283" s="20" t="str">
        <f>VLOOKUP(A3283,PlayerDB!$F$2:$H3480,3,FALSE)</f>
        <v>#N/A</v>
      </c>
    </row>
    <row r="3284">
      <c r="B3284" s="20" t="str">
        <f>VLOOKUP(A3284,PlayerDB!$F$2:$H3480,3,FALSE)</f>
        <v>#N/A</v>
      </c>
    </row>
    <row r="3285">
      <c r="B3285" s="20" t="str">
        <f>VLOOKUP(A3285,PlayerDB!$F$2:$H3480,3,FALSE)</f>
        <v>#N/A</v>
      </c>
    </row>
    <row r="3286">
      <c r="B3286" s="20" t="str">
        <f>VLOOKUP(A3286,PlayerDB!$F$2:$H3480,3,FALSE)</f>
        <v>#N/A</v>
      </c>
    </row>
    <row r="3287">
      <c r="B3287" s="20" t="str">
        <f>VLOOKUP(A3287,PlayerDB!$F$2:$H3480,3,FALSE)</f>
        <v>#N/A</v>
      </c>
    </row>
    <row r="3288">
      <c r="B3288" s="20" t="str">
        <f>VLOOKUP(A3288,PlayerDB!$F$2:$H3480,3,FALSE)</f>
        <v>#N/A</v>
      </c>
    </row>
    <row r="3289">
      <c r="B3289" s="20" t="str">
        <f>VLOOKUP(A3289,PlayerDB!$F$2:$H3480,3,FALSE)</f>
        <v>#N/A</v>
      </c>
    </row>
    <row r="3290">
      <c r="B3290" s="20" t="str">
        <f>VLOOKUP(A3290,PlayerDB!$F$2:$H3480,3,FALSE)</f>
        <v>#N/A</v>
      </c>
    </row>
    <row r="3291">
      <c r="B3291" s="20" t="str">
        <f>VLOOKUP(A3291,PlayerDB!$F$2:$H3480,3,FALSE)</f>
        <v>#N/A</v>
      </c>
    </row>
    <row r="3292">
      <c r="B3292" s="20" t="str">
        <f>VLOOKUP(A3292,PlayerDB!$F$2:$H3480,3,FALSE)</f>
        <v>#N/A</v>
      </c>
    </row>
    <row r="3293">
      <c r="B3293" s="20" t="str">
        <f>VLOOKUP(A3293,PlayerDB!$F$2:$H3480,3,FALSE)</f>
        <v>#N/A</v>
      </c>
    </row>
    <row r="3294">
      <c r="B3294" s="20" t="str">
        <f>VLOOKUP(A3294,PlayerDB!$F$2:$H3480,3,FALSE)</f>
        <v>#N/A</v>
      </c>
    </row>
    <row r="3295">
      <c r="B3295" s="20" t="str">
        <f>VLOOKUP(A3295,PlayerDB!$F$2:$H3480,3,FALSE)</f>
        <v>#N/A</v>
      </c>
    </row>
    <row r="3296">
      <c r="B3296" s="20" t="str">
        <f>VLOOKUP(A3296,PlayerDB!$F$2:$H3480,3,FALSE)</f>
        <v>#N/A</v>
      </c>
    </row>
    <row r="3297">
      <c r="B3297" s="20" t="str">
        <f>VLOOKUP(A3297,PlayerDB!$F$2:$H3480,3,FALSE)</f>
        <v>#N/A</v>
      </c>
    </row>
    <row r="3298">
      <c r="B3298" s="20" t="str">
        <f>VLOOKUP(A3298,PlayerDB!$F$2:$H3480,3,FALSE)</f>
        <v>#N/A</v>
      </c>
    </row>
    <row r="3299">
      <c r="B3299" s="20" t="str">
        <f>VLOOKUP(A3299,PlayerDB!$F$2:$H3480,3,FALSE)</f>
        <v>#N/A</v>
      </c>
    </row>
    <row r="3300">
      <c r="B3300" s="20" t="str">
        <f>VLOOKUP(A3300,PlayerDB!$F$2:$H3480,3,FALSE)</f>
        <v>#N/A</v>
      </c>
    </row>
    <row r="3301">
      <c r="B3301" s="20" t="str">
        <f>VLOOKUP(A3301,PlayerDB!$F$2:$H3480,3,FALSE)</f>
        <v>#N/A</v>
      </c>
    </row>
    <row r="3302">
      <c r="B3302" s="20" t="str">
        <f>VLOOKUP(A3302,PlayerDB!$F$2:$H3480,3,FALSE)</f>
        <v>#N/A</v>
      </c>
    </row>
    <row r="3303">
      <c r="B3303" s="20" t="str">
        <f>VLOOKUP(A3303,PlayerDB!$F$2:$H3480,3,FALSE)</f>
        <v>#N/A</v>
      </c>
    </row>
    <row r="3304">
      <c r="B3304" s="20" t="str">
        <f>VLOOKUP(A3304,PlayerDB!$F$2:$H3480,3,FALSE)</f>
        <v>#N/A</v>
      </c>
    </row>
    <row r="3305">
      <c r="B3305" s="20" t="str">
        <f>VLOOKUP(A3305,PlayerDB!$F$2:$H3480,3,FALSE)</f>
        <v>#N/A</v>
      </c>
    </row>
    <row r="3306">
      <c r="B3306" s="20" t="str">
        <f>VLOOKUP(A3306,PlayerDB!$F$2:$H3480,3,FALSE)</f>
        <v>#N/A</v>
      </c>
    </row>
    <row r="3307">
      <c r="B3307" s="20" t="str">
        <f>VLOOKUP(A3307,PlayerDB!$F$2:$H3480,3,FALSE)</f>
        <v>#N/A</v>
      </c>
    </row>
    <row r="3308">
      <c r="B3308" s="20" t="str">
        <f>VLOOKUP(A3308,PlayerDB!$F$2:$H3480,3,FALSE)</f>
        <v>#N/A</v>
      </c>
    </row>
    <row r="3309">
      <c r="B3309" s="20" t="str">
        <f>VLOOKUP(A3309,PlayerDB!$F$2:$H3480,3,FALSE)</f>
        <v>#N/A</v>
      </c>
    </row>
    <row r="3310">
      <c r="B3310" s="20" t="str">
        <f>VLOOKUP(A3310,PlayerDB!$F$2:$H3480,3,FALSE)</f>
        <v>#N/A</v>
      </c>
    </row>
    <row r="3311">
      <c r="B3311" s="20" t="str">
        <f>VLOOKUP(A3311,PlayerDB!$F$2:$H3480,3,FALSE)</f>
        <v>#N/A</v>
      </c>
    </row>
    <row r="3312">
      <c r="B3312" s="20" t="str">
        <f>VLOOKUP(A3312,PlayerDB!$F$2:$H3480,3,FALSE)</f>
        <v>#N/A</v>
      </c>
    </row>
    <row r="3313">
      <c r="B3313" s="20" t="str">
        <f>VLOOKUP(A3313,PlayerDB!$F$2:$H3480,3,FALSE)</f>
        <v>#N/A</v>
      </c>
    </row>
    <row r="3314">
      <c r="B3314" s="20" t="str">
        <f>VLOOKUP(A3314,PlayerDB!$F$2:$H3480,3,FALSE)</f>
        <v>#N/A</v>
      </c>
    </row>
    <row r="3315">
      <c r="B3315" s="20" t="str">
        <f>VLOOKUP(A3315,PlayerDB!$F$2:$H3480,3,FALSE)</f>
        <v>#N/A</v>
      </c>
    </row>
    <row r="3316">
      <c r="B3316" s="20" t="str">
        <f>VLOOKUP(A3316,PlayerDB!$F$2:$H3480,3,FALSE)</f>
        <v>#N/A</v>
      </c>
    </row>
    <row r="3317">
      <c r="B3317" s="20" t="str">
        <f>VLOOKUP(A3317,PlayerDB!$F$2:$H3480,3,FALSE)</f>
        <v>#N/A</v>
      </c>
    </row>
    <row r="3318">
      <c r="B3318" s="20" t="str">
        <f>VLOOKUP(A3318,PlayerDB!$F$2:$H3480,3,FALSE)</f>
        <v>#N/A</v>
      </c>
    </row>
    <row r="3319">
      <c r="B3319" s="20" t="str">
        <f>VLOOKUP(A3319,PlayerDB!$F$2:$H3480,3,FALSE)</f>
        <v>#N/A</v>
      </c>
    </row>
    <row r="3320">
      <c r="B3320" s="20" t="str">
        <f>VLOOKUP(A3320,PlayerDB!$F$2:$H3480,3,FALSE)</f>
        <v>#N/A</v>
      </c>
    </row>
    <row r="3321">
      <c r="B3321" s="20" t="str">
        <f>VLOOKUP(A3321,PlayerDB!$F$2:$H3480,3,FALSE)</f>
        <v>#N/A</v>
      </c>
    </row>
    <row r="3322">
      <c r="B3322" s="20" t="str">
        <f>VLOOKUP(A3322,PlayerDB!$F$2:$H3480,3,FALSE)</f>
        <v>#N/A</v>
      </c>
    </row>
    <row r="3323">
      <c r="B3323" s="20" t="str">
        <f>VLOOKUP(A3323,PlayerDB!$F$2:$H3480,3,FALSE)</f>
        <v>#N/A</v>
      </c>
    </row>
    <row r="3324">
      <c r="B3324" s="20" t="str">
        <f>VLOOKUP(A3324,PlayerDB!$F$2:$H3480,3,FALSE)</f>
        <v>#N/A</v>
      </c>
    </row>
    <row r="3325">
      <c r="B3325" s="20" t="str">
        <f>VLOOKUP(A3325,PlayerDB!$F$2:$H3480,3,FALSE)</f>
        <v>#N/A</v>
      </c>
    </row>
    <row r="3326">
      <c r="B3326" s="20" t="str">
        <f>VLOOKUP(A3326,PlayerDB!$F$2:$H3480,3,FALSE)</f>
        <v>#N/A</v>
      </c>
    </row>
    <row r="3327">
      <c r="B3327" s="20" t="str">
        <f>VLOOKUP(A3327,PlayerDB!$F$2:$H3480,3,FALSE)</f>
        <v>#N/A</v>
      </c>
    </row>
    <row r="3328">
      <c r="B3328" s="20" t="str">
        <f>VLOOKUP(A3328,PlayerDB!$F$2:$H3480,3,FALSE)</f>
        <v>#N/A</v>
      </c>
    </row>
    <row r="3329">
      <c r="B3329" s="20" t="str">
        <f>VLOOKUP(A3329,PlayerDB!$F$2:$H3480,3,FALSE)</f>
        <v>#N/A</v>
      </c>
    </row>
    <row r="3330">
      <c r="B3330" s="20" t="str">
        <f>VLOOKUP(A3330,PlayerDB!$F$2:$H3480,3,FALSE)</f>
        <v>#N/A</v>
      </c>
    </row>
    <row r="3331">
      <c r="B3331" s="20" t="str">
        <f>VLOOKUP(A3331,PlayerDB!$F$2:$H3480,3,FALSE)</f>
        <v>#N/A</v>
      </c>
    </row>
    <row r="3332">
      <c r="B3332" s="20" t="str">
        <f>VLOOKUP(A3332,PlayerDB!$F$2:$H3480,3,FALSE)</f>
        <v>#N/A</v>
      </c>
    </row>
    <row r="3333">
      <c r="B3333" s="20" t="str">
        <f>VLOOKUP(A3333,PlayerDB!$F$2:$H3480,3,FALSE)</f>
        <v>#N/A</v>
      </c>
    </row>
    <row r="3334">
      <c r="B3334" s="20" t="str">
        <f>VLOOKUP(A3334,PlayerDB!$F$2:$H3480,3,FALSE)</f>
        <v>#N/A</v>
      </c>
    </row>
    <row r="3335">
      <c r="B3335" s="20" t="str">
        <f>VLOOKUP(A3335,PlayerDB!$F$2:$H3480,3,FALSE)</f>
        <v>#N/A</v>
      </c>
    </row>
    <row r="3336">
      <c r="B3336" s="20" t="str">
        <f>VLOOKUP(A3336,PlayerDB!$F$2:$H3480,3,FALSE)</f>
        <v>#N/A</v>
      </c>
    </row>
    <row r="3337">
      <c r="B3337" s="20" t="str">
        <f>VLOOKUP(A3337,PlayerDB!$F$2:$H3480,3,FALSE)</f>
        <v>#N/A</v>
      </c>
    </row>
    <row r="3338">
      <c r="B3338" s="20" t="str">
        <f>VLOOKUP(A3338,PlayerDB!$F$2:$H3480,3,FALSE)</f>
        <v>#N/A</v>
      </c>
    </row>
    <row r="3339">
      <c r="B3339" s="20" t="str">
        <f>VLOOKUP(A3339,PlayerDB!$F$2:$H3480,3,FALSE)</f>
        <v>#N/A</v>
      </c>
    </row>
    <row r="3340">
      <c r="B3340" s="20" t="str">
        <f>VLOOKUP(A3340,PlayerDB!$F$2:$H3480,3,FALSE)</f>
        <v>#N/A</v>
      </c>
    </row>
    <row r="3341">
      <c r="B3341" s="20" t="str">
        <f>VLOOKUP(A3341,PlayerDB!$F$2:$H3480,3,FALSE)</f>
        <v>#N/A</v>
      </c>
    </row>
    <row r="3342">
      <c r="B3342" s="20" t="str">
        <f>VLOOKUP(A3342,PlayerDB!$F$2:$H3480,3,FALSE)</f>
        <v>#N/A</v>
      </c>
    </row>
    <row r="3343">
      <c r="B3343" s="20" t="str">
        <f>VLOOKUP(A3343,PlayerDB!$F$2:$H3480,3,FALSE)</f>
        <v>#N/A</v>
      </c>
    </row>
    <row r="3344">
      <c r="B3344" s="20" t="str">
        <f>VLOOKUP(A3344,PlayerDB!$F$2:$H3480,3,FALSE)</f>
        <v>#N/A</v>
      </c>
    </row>
    <row r="3345">
      <c r="B3345" s="20" t="str">
        <f>VLOOKUP(A3345,PlayerDB!$F$2:$H3480,3,FALSE)</f>
        <v>#N/A</v>
      </c>
    </row>
    <row r="3346">
      <c r="B3346" s="20" t="str">
        <f>VLOOKUP(A3346,PlayerDB!$F$2:$H3480,3,FALSE)</f>
        <v>#N/A</v>
      </c>
    </row>
    <row r="3347">
      <c r="B3347" s="20" t="str">
        <f>VLOOKUP(A3347,PlayerDB!$F$2:$H3480,3,FALSE)</f>
        <v>#N/A</v>
      </c>
    </row>
    <row r="3348">
      <c r="B3348" s="20" t="str">
        <f>VLOOKUP(A3348,PlayerDB!$F$2:$H3480,3,FALSE)</f>
        <v>#N/A</v>
      </c>
    </row>
    <row r="3349">
      <c r="B3349" s="20" t="str">
        <f>VLOOKUP(A3349,PlayerDB!$F$2:$H3480,3,FALSE)</f>
        <v>#N/A</v>
      </c>
    </row>
    <row r="3350">
      <c r="B3350" s="20" t="str">
        <f>VLOOKUP(A3350,PlayerDB!$F$2:$H3480,3,FALSE)</f>
        <v>#N/A</v>
      </c>
    </row>
    <row r="3351">
      <c r="B3351" s="20" t="str">
        <f>VLOOKUP(A3351,PlayerDB!$F$2:$H3480,3,FALSE)</f>
        <v>#N/A</v>
      </c>
    </row>
    <row r="3352">
      <c r="B3352" s="20" t="str">
        <f>VLOOKUP(A3352,PlayerDB!$F$2:$H3480,3,FALSE)</f>
        <v>#N/A</v>
      </c>
    </row>
    <row r="3353">
      <c r="B3353" s="20" t="str">
        <f>VLOOKUP(A3353,PlayerDB!$F$2:$H3480,3,FALSE)</f>
        <v>#N/A</v>
      </c>
    </row>
    <row r="3354">
      <c r="B3354" s="20" t="str">
        <f>VLOOKUP(A3354,PlayerDB!$F$2:$H3480,3,FALSE)</f>
        <v>#N/A</v>
      </c>
    </row>
    <row r="3355">
      <c r="B3355" s="20" t="str">
        <f>VLOOKUP(A3355,PlayerDB!$F$2:$H3480,3,FALSE)</f>
        <v>#N/A</v>
      </c>
    </row>
    <row r="3356">
      <c r="B3356" s="20" t="str">
        <f>VLOOKUP(A3356,PlayerDB!$F$2:$H3480,3,FALSE)</f>
        <v>#N/A</v>
      </c>
    </row>
    <row r="3357">
      <c r="B3357" s="20" t="str">
        <f>VLOOKUP(A3357,PlayerDB!$F$2:$H3480,3,FALSE)</f>
        <v>#N/A</v>
      </c>
    </row>
    <row r="3358">
      <c r="B3358" s="20" t="str">
        <f>VLOOKUP(A3358,PlayerDB!$F$2:$H3480,3,FALSE)</f>
        <v>#N/A</v>
      </c>
    </row>
    <row r="3359">
      <c r="B3359" s="20" t="str">
        <f>VLOOKUP(A3359,PlayerDB!$F$2:$H3480,3,FALSE)</f>
        <v>#N/A</v>
      </c>
    </row>
    <row r="3360">
      <c r="B3360" s="20" t="str">
        <f>VLOOKUP(A3360,PlayerDB!$F$2:$H3480,3,FALSE)</f>
        <v>#N/A</v>
      </c>
    </row>
    <row r="3361">
      <c r="B3361" s="20" t="str">
        <f>VLOOKUP(A3361,PlayerDB!$F$2:$H3480,3,FALSE)</f>
        <v>#N/A</v>
      </c>
    </row>
    <row r="3362">
      <c r="B3362" s="20" t="str">
        <f>VLOOKUP(A3362,PlayerDB!$F$2:$H3480,3,FALSE)</f>
        <v>#N/A</v>
      </c>
    </row>
    <row r="3363">
      <c r="B3363" s="20" t="str">
        <f>VLOOKUP(A3363,PlayerDB!$F$2:$H3480,3,FALSE)</f>
        <v>#N/A</v>
      </c>
    </row>
    <row r="3364">
      <c r="B3364" s="20" t="str">
        <f>VLOOKUP(A3364,PlayerDB!$F$2:$H3480,3,FALSE)</f>
        <v>#N/A</v>
      </c>
    </row>
    <row r="3365">
      <c r="B3365" s="20" t="str">
        <f>VLOOKUP(A3365,PlayerDB!$F$2:$H3480,3,FALSE)</f>
        <v>#N/A</v>
      </c>
    </row>
    <row r="3366">
      <c r="B3366" s="20" t="str">
        <f>VLOOKUP(A3366,PlayerDB!$F$2:$H3480,3,FALSE)</f>
        <v>#N/A</v>
      </c>
    </row>
    <row r="3367">
      <c r="B3367" s="20" t="str">
        <f>VLOOKUP(A3367,PlayerDB!$F$2:$H3480,3,FALSE)</f>
        <v>#N/A</v>
      </c>
    </row>
    <row r="3368">
      <c r="B3368" s="20" t="str">
        <f>VLOOKUP(A3368,PlayerDB!$F$2:$H3480,3,FALSE)</f>
        <v>#N/A</v>
      </c>
    </row>
    <row r="3369">
      <c r="B3369" s="20" t="str">
        <f>VLOOKUP(A3369,PlayerDB!$F$2:$H3480,3,FALSE)</f>
        <v>#N/A</v>
      </c>
    </row>
    <row r="3370">
      <c r="B3370" s="20" t="str">
        <f>VLOOKUP(A3370,PlayerDB!$F$2:$H3480,3,FALSE)</f>
        <v>#N/A</v>
      </c>
    </row>
    <row r="3371">
      <c r="B3371" s="20" t="str">
        <f>VLOOKUP(A3371,PlayerDB!$F$2:$H3480,3,FALSE)</f>
        <v>#N/A</v>
      </c>
    </row>
    <row r="3372">
      <c r="B3372" s="20" t="str">
        <f>VLOOKUP(A3372,PlayerDB!$F$2:$H3480,3,FALSE)</f>
        <v>#N/A</v>
      </c>
    </row>
    <row r="3373">
      <c r="B3373" s="20" t="str">
        <f>VLOOKUP(A3373,PlayerDB!$F$2:$H3480,3,FALSE)</f>
        <v>#N/A</v>
      </c>
    </row>
    <row r="3374">
      <c r="B3374" s="20" t="str">
        <f>VLOOKUP(A3374,PlayerDB!$F$2:$H3480,3,FALSE)</f>
        <v>#N/A</v>
      </c>
    </row>
    <row r="3375">
      <c r="B3375" s="20" t="str">
        <f>VLOOKUP(A3375,PlayerDB!$F$2:$H3480,3,FALSE)</f>
        <v>#N/A</v>
      </c>
    </row>
    <row r="3376">
      <c r="B3376" s="20" t="str">
        <f>VLOOKUP(A3376,PlayerDB!$F$2:$H3480,3,FALSE)</f>
        <v>#N/A</v>
      </c>
    </row>
    <row r="3377">
      <c r="B3377" s="20" t="str">
        <f>VLOOKUP(A3377,PlayerDB!$F$2:$H3480,3,FALSE)</f>
        <v>#N/A</v>
      </c>
    </row>
    <row r="3378">
      <c r="B3378" s="20" t="str">
        <f>VLOOKUP(A3378,PlayerDB!$F$2:$H3480,3,FALSE)</f>
        <v>#N/A</v>
      </c>
    </row>
    <row r="3379">
      <c r="B3379" s="20" t="str">
        <f>VLOOKUP(A3379,PlayerDB!$F$2:$H3480,3,FALSE)</f>
        <v>#N/A</v>
      </c>
    </row>
    <row r="3380">
      <c r="B3380" s="20" t="str">
        <f>VLOOKUP(A3380,PlayerDB!$F$2:$H3480,3,FALSE)</f>
        <v>#N/A</v>
      </c>
    </row>
    <row r="3381">
      <c r="B3381" s="20" t="str">
        <f>VLOOKUP(A3381,PlayerDB!$F$2:$H3480,3,FALSE)</f>
        <v>#N/A</v>
      </c>
    </row>
    <row r="3382">
      <c r="B3382" s="20" t="str">
        <f>VLOOKUP(A3382,PlayerDB!$F$2:$H3480,3,FALSE)</f>
        <v>#N/A</v>
      </c>
    </row>
    <row r="3383">
      <c r="B3383" s="20" t="str">
        <f>VLOOKUP(A3383,PlayerDB!$F$2:$H3480,3,FALSE)</f>
        <v>#N/A</v>
      </c>
    </row>
    <row r="3384">
      <c r="B3384" s="20" t="str">
        <f>VLOOKUP(A3384,PlayerDB!$F$2:$H3480,3,FALSE)</f>
        <v>#N/A</v>
      </c>
    </row>
    <row r="3385">
      <c r="B3385" s="20" t="str">
        <f>VLOOKUP(A3385,PlayerDB!$F$2:$H3480,3,FALSE)</f>
        <v>#N/A</v>
      </c>
    </row>
    <row r="3386">
      <c r="B3386" s="20" t="str">
        <f>VLOOKUP(A3386,PlayerDB!$F$2:$H3480,3,FALSE)</f>
        <v>#N/A</v>
      </c>
    </row>
    <row r="3387">
      <c r="B3387" s="20" t="str">
        <f>VLOOKUP(A3387,PlayerDB!$F$2:$H3480,3,FALSE)</f>
        <v>#N/A</v>
      </c>
    </row>
    <row r="3388">
      <c r="B3388" s="20" t="str">
        <f>VLOOKUP(A3388,PlayerDB!$F$2:$H3480,3,FALSE)</f>
        <v>#N/A</v>
      </c>
    </row>
    <row r="3389">
      <c r="B3389" s="20" t="str">
        <f>VLOOKUP(A3389,PlayerDB!$F$2:$H3480,3,FALSE)</f>
        <v>#N/A</v>
      </c>
    </row>
    <row r="3390">
      <c r="B3390" s="20" t="str">
        <f>VLOOKUP(A3390,PlayerDB!$F$2:$H3480,3,FALSE)</f>
        <v>#N/A</v>
      </c>
    </row>
    <row r="3391">
      <c r="B3391" s="20" t="str">
        <f>VLOOKUP(A3391,PlayerDB!$F$2:$H3480,3,FALSE)</f>
        <v>#N/A</v>
      </c>
    </row>
    <row r="3392">
      <c r="B3392" s="20" t="str">
        <f>VLOOKUP(A3392,PlayerDB!$F$2:$H3480,3,FALSE)</f>
        <v>#N/A</v>
      </c>
    </row>
    <row r="3393">
      <c r="B3393" s="20" t="str">
        <f>VLOOKUP(A3393,PlayerDB!$F$2:$H3480,3,FALSE)</f>
        <v>#N/A</v>
      </c>
    </row>
    <row r="3394">
      <c r="B3394" s="20" t="str">
        <f>VLOOKUP(A3394,PlayerDB!$F$2:$H3480,3,FALSE)</f>
        <v>#N/A</v>
      </c>
    </row>
    <row r="3395">
      <c r="B3395" s="20" t="str">
        <f>VLOOKUP(A3395,PlayerDB!$F$2:$H3480,3,FALSE)</f>
        <v>#N/A</v>
      </c>
    </row>
    <row r="3396">
      <c r="B3396" s="20" t="str">
        <f>VLOOKUP(A3396,PlayerDB!$F$2:$H3480,3,FALSE)</f>
        <v>#N/A</v>
      </c>
    </row>
    <row r="3397">
      <c r="B3397" s="20" t="str">
        <f>VLOOKUP(A3397,PlayerDB!$F$2:$H3480,3,FALSE)</f>
        <v>#N/A</v>
      </c>
    </row>
    <row r="3398">
      <c r="B3398" s="20" t="str">
        <f>VLOOKUP(A3398,PlayerDB!$F$2:$H3480,3,FALSE)</f>
        <v>#N/A</v>
      </c>
    </row>
    <row r="3399">
      <c r="B3399" s="20" t="str">
        <f>VLOOKUP(A3399,PlayerDB!$F$2:$H3480,3,FALSE)</f>
        <v>#N/A</v>
      </c>
    </row>
    <row r="3400">
      <c r="B3400" s="20" t="str">
        <f>VLOOKUP(A3400,PlayerDB!$F$2:$H3480,3,FALSE)</f>
        <v>#N/A</v>
      </c>
    </row>
    <row r="3401">
      <c r="B3401" s="20" t="str">
        <f>VLOOKUP(A3401,PlayerDB!$F$2:$H3480,3,FALSE)</f>
        <v>#N/A</v>
      </c>
    </row>
    <row r="3402">
      <c r="B3402" s="20" t="str">
        <f>VLOOKUP(A3402,PlayerDB!$F$2:$H3480,3,FALSE)</f>
        <v>#N/A</v>
      </c>
    </row>
    <row r="3403">
      <c r="B3403" s="20" t="str">
        <f>VLOOKUP(A3403,PlayerDB!$F$2:$H3480,3,FALSE)</f>
        <v>#N/A</v>
      </c>
    </row>
    <row r="3404">
      <c r="B3404" s="20" t="str">
        <f>VLOOKUP(A3404,PlayerDB!$F$2:$H3480,3,FALSE)</f>
        <v>#N/A</v>
      </c>
    </row>
    <row r="3405">
      <c r="B3405" s="20" t="str">
        <f>VLOOKUP(A3405,PlayerDB!$F$2:$H3480,3,FALSE)</f>
        <v>#N/A</v>
      </c>
    </row>
    <row r="3406">
      <c r="B3406" s="20" t="str">
        <f>VLOOKUP(A3406,PlayerDB!$F$2:$H3480,3,FALSE)</f>
        <v>#N/A</v>
      </c>
    </row>
    <row r="3407">
      <c r="B3407" s="20" t="str">
        <f>VLOOKUP(A3407,PlayerDB!$F$2:$H3480,3,FALSE)</f>
        <v>#N/A</v>
      </c>
    </row>
    <row r="3408">
      <c r="B3408" s="20" t="str">
        <f>VLOOKUP(A3408,PlayerDB!$F$2:$H3480,3,FALSE)</f>
        <v>#N/A</v>
      </c>
    </row>
    <row r="3409">
      <c r="B3409" s="20" t="str">
        <f>VLOOKUP(A3409,PlayerDB!$F$2:$H3480,3,FALSE)</f>
        <v>#N/A</v>
      </c>
    </row>
    <row r="3410">
      <c r="B3410" s="20" t="str">
        <f>VLOOKUP(A3410,PlayerDB!$F$2:$H3480,3,FALSE)</f>
        <v>#N/A</v>
      </c>
    </row>
    <row r="3411">
      <c r="B3411" s="20" t="str">
        <f>VLOOKUP(A3411,PlayerDB!$F$2:$H3480,3,FALSE)</f>
        <v>#N/A</v>
      </c>
    </row>
    <row r="3412">
      <c r="B3412" s="20" t="str">
        <f>VLOOKUP(A3412,PlayerDB!$F$2:$H3480,3,FALSE)</f>
        <v>#N/A</v>
      </c>
    </row>
    <row r="3413">
      <c r="B3413" s="20" t="str">
        <f>VLOOKUP(A3413,PlayerDB!$F$2:$H3480,3,FALSE)</f>
        <v>#N/A</v>
      </c>
    </row>
    <row r="3414">
      <c r="B3414" s="20" t="str">
        <f>VLOOKUP(A3414,PlayerDB!$F$2:$H3480,3,FALSE)</f>
        <v>#N/A</v>
      </c>
    </row>
    <row r="3415">
      <c r="B3415" s="20" t="str">
        <f>VLOOKUP(A3415,PlayerDB!$F$2:$H3480,3,FALSE)</f>
        <v>#N/A</v>
      </c>
    </row>
    <row r="3416">
      <c r="B3416" s="20" t="str">
        <f>VLOOKUP(A3416,PlayerDB!$F$2:$H3480,3,FALSE)</f>
        <v>#N/A</v>
      </c>
    </row>
    <row r="3417">
      <c r="B3417" s="20" t="str">
        <f>VLOOKUP(A3417,PlayerDB!$F$2:$H3480,3,FALSE)</f>
        <v>#N/A</v>
      </c>
    </row>
    <row r="3418">
      <c r="B3418" s="20" t="str">
        <f>VLOOKUP(A3418,PlayerDB!$F$2:$H3480,3,FALSE)</f>
        <v>#N/A</v>
      </c>
    </row>
    <row r="3419">
      <c r="B3419" s="20" t="str">
        <f>VLOOKUP(A3419,PlayerDB!$F$2:$H3480,3,FALSE)</f>
        <v>#N/A</v>
      </c>
    </row>
    <row r="3420">
      <c r="B3420" s="20" t="str">
        <f>VLOOKUP(A3420,PlayerDB!$F$2:$H3480,3,FALSE)</f>
        <v>#N/A</v>
      </c>
    </row>
    <row r="3421">
      <c r="B3421" s="20" t="str">
        <f>VLOOKUP(A3421,PlayerDB!$F$2:$H3480,3,FALSE)</f>
        <v>#N/A</v>
      </c>
    </row>
    <row r="3422">
      <c r="B3422" s="20" t="str">
        <f>VLOOKUP(A3422,PlayerDB!$F$2:$H3480,3,FALSE)</f>
        <v>#N/A</v>
      </c>
    </row>
    <row r="3423">
      <c r="B3423" s="20" t="str">
        <f>VLOOKUP(A3423,PlayerDB!$F$2:$H3480,3,FALSE)</f>
        <v>#N/A</v>
      </c>
    </row>
    <row r="3424">
      <c r="B3424" s="20" t="str">
        <f>VLOOKUP(A3424,PlayerDB!$F$2:$H3480,3,FALSE)</f>
        <v>#N/A</v>
      </c>
    </row>
    <row r="3425">
      <c r="B3425" s="20" t="str">
        <f>VLOOKUP(A3425,PlayerDB!$F$2:$H3480,3,FALSE)</f>
        <v>#N/A</v>
      </c>
    </row>
    <row r="3426">
      <c r="B3426" s="20" t="str">
        <f>VLOOKUP(A3426,PlayerDB!$F$2:$H3480,3,FALSE)</f>
        <v>#N/A</v>
      </c>
    </row>
    <row r="3427">
      <c r="B3427" s="20" t="str">
        <f>VLOOKUP(A3427,PlayerDB!$F$2:$H3480,3,FALSE)</f>
        <v>#N/A</v>
      </c>
    </row>
    <row r="3428">
      <c r="B3428" s="20" t="str">
        <f>VLOOKUP(A3428,PlayerDB!$F$2:$H3480,3,FALSE)</f>
        <v>#N/A</v>
      </c>
    </row>
    <row r="3429">
      <c r="B3429" s="20" t="str">
        <f>VLOOKUP(A3429,PlayerDB!$F$2:$H3480,3,FALSE)</f>
        <v>#N/A</v>
      </c>
    </row>
    <row r="3430">
      <c r="B3430" s="20" t="str">
        <f>VLOOKUP(A3430,PlayerDB!$F$2:$H3480,3,FALSE)</f>
        <v>#N/A</v>
      </c>
    </row>
    <row r="3431">
      <c r="B3431" s="20" t="str">
        <f>VLOOKUP(A3431,PlayerDB!$F$2:$H3480,3,FALSE)</f>
        <v>#N/A</v>
      </c>
    </row>
    <row r="3432">
      <c r="B3432" s="20" t="str">
        <f>VLOOKUP(A3432,PlayerDB!$F$2:$H3480,3,FALSE)</f>
        <v>#N/A</v>
      </c>
    </row>
    <row r="3433">
      <c r="B3433" s="20" t="str">
        <f>VLOOKUP(A3433,PlayerDB!$F$2:$H3480,3,FALSE)</f>
        <v>#N/A</v>
      </c>
    </row>
    <row r="3434">
      <c r="B3434" s="20" t="str">
        <f>VLOOKUP(A3434,PlayerDB!$F$2:$H3480,3,FALSE)</f>
        <v>#N/A</v>
      </c>
    </row>
    <row r="3435">
      <c r="B3435" s="20" t="str">
        <f>VLOOKUP(A3435,PlayerDB!$F$2:$H3480,3,FALSE)</f>
        <v>#N/A</v>
      </c>
    </row>
    <row r="3436">
      <c r="B3436" s="20" t="str">
        <f>VLOOKUP(A3436,PlayerDB!$F$2:$H3480,3,FALSE)</f>
        <v>#N/A</v>
      </c>
    </row>
    <row r="3437">
      <c r="B3437" s="20" t="str">
        <f>VLOOKUP(A3437,PlayerDB!$F$2:$H3480,3,FALSE)</f>
        <v>#N/A</v>
      </c>
    </row>
    <row r="3438">
      <c r="B3438" s="20" t="str">
        <f>VLOOKUP(A3438,PlayerDB!$F$2:$H3480,3,FALSE)</f>
        <v>#N/A</v>
      </c>
    </row>
    <row r="3439">
      <c r="B3439" s="20" t="str">
        <f>VLOOKUP(A3439,PlayerDB!$F$2:$H3480,3,FALSE)</f>
        <v>#N/A</v>
      </c>
    </row>
    <row r="3440">
      <c r="B3440" s="20" t="str">
        <f>VLOOKUP(A3440,PlayerDB!$F$2:$H3480,3,FALSE)</f>
        <v>#N/A</v>
      </c>
    </row>
    <row r="3441">
      <c r="B3441" s="20" t="str">
        <f>VLOOKUP(A3441,PlayerDB!$F$2:$H3480,3,FALSE)</f>
        <v>#N/A</v>
      </c>
    </row>
    <row r="3442">
      <c r="B3442" s="20" t="str">
        <f>VLOOKUP(A3442,PlayerDB!$F$2:$H3480,3,FALSE)</f>
        <v>#N/A</v>
      </c>
    </row>
    <row r="3443">
      <c r="B3443" s="20" t="str">
        <f>VLOOKUP(A3443,PlayerDB!$F$2:$H3480,3,FALSE)</f>
        <v>#N/A</v>
      </c>
    </row>
    <row r="3444">
      <c r="B3444" s="20" t="str">
        <f>VLOOKUP(A3444,PlayerDB!$F$2:$H3480,3,FALSE)</f>
        <v>#N/A</v>
      </c>
    </row>
    <row r="3445">
      <c r="B3445" s="20" t="str">
        <f>VLOOKUP(A3445,PlayerDB!$F$2:$H3480,3,FALSE)</f>
        <v>#N/A</v>
      </c>
    </row>
    <row r="3446">
      <c r="B3446" s="20" t="str">
        <f>VLOOKUP(A3446,PlayerDB!$F$2:$H3480,3,FALSE)</f>
        <v>#N/A</v>
      </c>
    </row>
    <row r="3447">
      <c r="B3447" s="20" t="str">
        <f>VLOOKUP(A3447,PlayerDB!$F$2:$H3480,3,FALSE)</f>
        <v>#N/A</v>
      </c>
    </row>
    <row r="3448">
      <c r="B3448" s="20" t="str">
        <f>VLOOKUP(A3448,PlayerDB!$F$2:$H3480,3,FALSE)</f>
        <v>#N/A</v>
      </c>
    </row>
    <row r="3449">
      <c r="B3449" s="20" t="str">
        <f>VLOOKUP(A3449,PlayerDB!$F$2:$H3480,3,FALSE)</f>
        <v>#N/A</v>
      </c>
    </row>
    <row r="3450">
      <c r="B3450" s="20" t="str">
        <f>VLOOKUP(A3450,PlayerDB!$F$2:$H3480,3,FALSE)</f>
        <v>#N/A</v>
      </c>
    </row>
    <row r="3451">
      <c r="B3451" s="20" t="str">
        <f>VLOOKUP(A3451,PlayerDB!$F$2:$H3480,3,FALSE)</f>
        <v>#N/A</v>
      </c>
    </row>
    <row r="3452">
      <c r="B3452" s="20" t="str">
        <f>VLOOKUP(A3452,PlayerDB!$F$2:$H3480,3,FALSE)</f>
        <v>#N/A</v>
      </c>
    </row>
    <row r="3453">
      <c r="B3453" s="20" t="str">
        <f>VLOOKUP(A3453,PlayerDB!$F$2:$H3480,3,FALSE)</f>
        <v>#N/A</v>
      </c>
    </row>
    <row r="3454">
      <c r="B3454" s="20" t="str">
        <f>VLOOKUP(A3454,PlayerDB!$F$2:$H3480,3,FALSE)</f>
        <v>#N/A</v>
      </c>
    </row>
    <row r="3455">
      <c r="B3455" s="20" t="str">
        <f>VLOOKUP(A3455,PlayerDB!$F$2:$H3480,3,FALSE)</f>
        <v>#N/A</v>
      </c>
    </row>
    <row r="3456">
      <c r="B3456" s="20" t="str">
        <f>VLOOKUP(A3456,PlayerDB!$F$2:$H3480,3,FALSE)</f>
        <v>#N/A</v>
      </c>
    </row>
    <row r="3457">
      <c r="B3457" s="20" t="str">
        <f>VLOOKUP(A3457,PlayerDB!$F$2:$H3480,3,FALSE)</f>
        <v>#N/A</v>
      </c>
    </row>
    <row r="3458">
      <c r="B3458" s="20" t="str">
        <f>VLOOKUP(A3458,PlayerDB!$F$2:$H3480,3,FALSE)</f>
        <v>#N/A</v>
      </c>
    </row>
    <row r="3459">
      <c r="B3459" s="20" t="str">
        <f>VLOOKUP(A3459,PlayerDB!$F$2:$H3480,3,FALSE)</f>
        <v>#N/A</v>
      </c>
    </row>
    <row r="3460">
      <c r="B3460" s="20" t="str">
        <f>VLOOKUP(A3460,PlayerDB!$F$2:$H3480,3,FALSE)</f>
        <v>#N/A</v>
      </c>
    </row>
    <row r="3461">
      <c r="B3461" s="20" t="str">
        <f>VLOOKUP(A3461,PlayerDB!$F$2:$H3480,3,FALSE)</f>
        <v>#N/A</v>
      </c>
    </row>
    <row r="3462">
      <c r="B3462" s="20" t="str">
        <f>VLOOKUP(A3462,PlayerDB!$F$2:$H3480,3,FALSE)</f>
        <v>#N/A</v>
      </c>
    </row>
    <row r="3463">
      <c r="B3463" s="20" t="str">
        <f>VLOOKUP(A3463,PlayerDB!$F$2:$H3480,3,FALSE)</f>
        <v>#N/A</v>
      </c>
    </row>
    <row r="3464">
      <c r="B3464" s="20" t="str">
        <f>VLOOKUP(A3464,PlayerDB!$F$2:$H3480,3,FALSE)</f>
        <v>#N/A</v>
      </c>
    </row>
    <row r="3465">
      <c r="B3465" s="20" t="str">
        <f>VLOOKUP(A3465,PlayerDB!$F$2:$H3480,3,FALSE)</f>
        <v>#N/A</v>
      </c>
    </row>
    <row r="3466">
      <c r="B3466" s="20" t="str">
        <f>VLOOKUP(A3466,PlayerDB!$F$2:$H3480,3,FALSE)</f>
        <v>#N/A</v>
      </c>
    </row>
    <row r="3467">
      <c r="B3467" s="20" t="str">
        <f>VLOOKUP(A3467,PlayerDB!$F$2:$H3480,3,FALSE)</f>
        <v>#N/A</v>
      </c>
    </row>
    <row r="3468">
      <c r="B3468" s="20" t="str">
        <f>VLOOKUP(A3468,PlayerDB!$F$2:$H3480,3,FALSE)</f>
        <v>#N/A</v>
      </c>
    </row>
    <row r="3469">
      <c r="B3469" s="20" t="str">
        <f>VLOOKUP(A3469,PlayerDB!$F$2:$H3480,3,FALSE)</f>
        <v>#N/A</v>
      </c>
    </row>
    <row r="3470">
      <c r="B3470" s="20" t="str">
        <f>VLOOKUP(A3470,PlayerDB!$F$2:$H3480,3,FALSE)</f>
        <v>#N/A</v>
      </c>
    </row>
    <row r="3471">
      <c r="B3471" s="20" t="str">
        <f>VLOOKUP(A3471,PlayerDB!$F$2:$H3480,3,FALSE)</f>
        <v>#N/A</v>
      </c>
    </row>
    <row r="3472">
      <c r="B3472" s="20" t="str">
        <f>VLOOKUP(A3472,PlayerDB!$F$2:$H3480,3,FALSE)</f>
        <v>#N/A</v>
      </c>
    </row>
    <row r="3473">
      <c r="B3473" s="20" t="str">
        <f>VLOOKUP(A3473,PlayerDB!$F$2:$H3480,3,FALSE)</f>
        <v>#N/A</v>
      </c>
    </row>
    <row r="3474">
      <c r="B3474" s="20" t="str">
        <f>VLOOKUP(A3474,PlayerDB!$F$2:$H3480,3,FALSE)</f>
        <v>#N/A</v>
      </c>
    </row>
    <row r="3475">
      <c r="B3475" s="20" t="str">
        <f>VLOOKUP(A3475,PlayerDB!$F$2:$H3480,3,FALSE)</f>
        <v>#N/A</v>
      </c>
    </row>
    <row r="3476">
      <c r="B3476" s="20" t="str">
        <f>VLOOKUP(A3476,PlayerDB!$F$2:$H3480,3,FALSE)</f>
        <v>#N/A</v>
      </c>
    </row>
    <row r="3477">
      <c r="B3477" s="20" t="str">
        <f>VLOOKUP(A3477,PlayerDB!$F$2:$H3480,3,FALSE)</f>
        <v>#N/A</v>
      </c>
    </row>
    <row r="3478">
      <c r="B3478" s="20" t="str">
        <f>VLOOKUP(A3478,PlayerDB!$F$2:$H3480,3,FALSE)</f>
        <v>#N/A</v>
      </c>
    </row>
    <row r="3479">
      <c r="B3479" s="20" t="str">
        <f>VLOOKUP(A3479,PlayerDB!$F$2:$H3480,3,FALSE)</f>
        <v>#N/A</v>
      </c>
    </row>
    <row r="3480">
      <c r="B3480" s="20" t="str">
        <f>VLOOKUP(A3480,PlayerDB!$F$2:$H3480,3,FALSE)</f>
        <v>#N/A</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5"/>
    <col customWidth="1" min="3" max="3" width="3.5"/>
    <col customWidth="1" min="4" max="4" width="6.5"/>
    <col customWidth="1" min="5" max="5" width="3.5"/>
    <col customWidth="1" min="6" max="6" width="19.5"/>
    <col customWidth="1" min="7" max="7" width="4.25"/>
    <col customWidth="1" min="8" max="8" width="4.38"/>
    <col customWidth="1" min="9" max="9" width="4.5"/>
  </cols>
  <sheetData>
    <row r="1">
      <c r="A1" s="118" t="s">
        <v>30</v>
      </c>
      <c r="B1" s="118" t="s">
        <v>130</v>
      </c>
      <c r="C1" s="118" t="s">
        <v>131</v>
      </c>
      <c r="D1" s="118" t="s">
        <v>33</v>
      </c>
      <c r="E1" s="118" t="s">
        <v>132</v>
      </c>
      <c r="F1" s="118" t="s">
        <v>133</v>
      </c>
      <c r="G1" s="118" t="s">
        <v>81</v>
      </c>
      <c r="H1" s="118" t="s">
        <v>82</v>
      </c>
      <c r="I1" s="118" t="s">
        <v>83</v>
      </c>
    </row>
    <row r="2">
      <c r="A2" s="125">
        <f>IFERROR(__xludf.DUMMYFUNCTION("SORT(FILTER(PlayerDB!A:I , IF(Settings!F5 = TRUE, PlayerDB!H:H = ""QB"") + IF(Settings!F6 = TRUE, PlayerDB!H:H = ""RB"") + IF(Settings!F7 = TRUE, PlayerDB!H:H = ""WR"") + IF(Settings!F8 = TRUE, PlayerDB!H:H = ""TE"") + IF(Settings!F9 = TRUE, PlayerDB!H:H "&amp;"= ""K"") + IF(Settings!F10 = TRUE, PlayerDB!H:H = ""D/ST"") + IF(Settings!F11 = TRUE, PlayerDB!H:H = ""DL"") + IF(Settings!F12 = TRUE, PlayerDB!H:H = ""LB"") + IF(Settings!F13 = TRUE, PlayerDB!H:H = ""DB"")),HELP_HIDDEN!B1,true)"),1.0)</f>
        <v>1</v>
      </c>
      <c r="B2" s="125">
        <f>IFERROR(__xludf.DUMMYFUNCTION("""COMPUTED_VALUE"""),1.0)</f>
        <v>1</v>
      </c>
      <c r="C2" s="125">
        <f>IFERROR(__xludf.DUMMYFUNCTION("""COMPUTED_VALUE"""),1.0)</f>
        <v>1</v>
      </c>
      <c r="D2" s="125">
        <f>IFERROR(__xludf.DUMMYFUNCTION("""COMPUTED_VALUE"""),1.0)</f>
        <v>1</v>
      </c>
      <c r="E2" s="178">
        <f>IFERROR(__xludf.DUMMYFUNCTION("""COMPUTED_VALUE"""),1.0)</f>
        <v>1</v>
      </c>
      <c r="F2" s="127" t="str">
        <f>IFERROR(__xludf.DUMMYFUNCTION("""COMPUTED_VALUE"""),"Bijan Robinson – ATL")</f>
        <v>Bijan Robinson – ATL</v>
      </c>
      <c r="G2" s="127">
        <f>IFERROR(__xludf.DUMMYFUNCTION("""COMPUTED_VALUE"""),264.0)</f>
        <v>264</v>
      </c>
      <c r="H2" s="127" t="str">
        <f>IFERROR(__xludf.DUMMYFUNCTION("""COMPUTED_VALUE"""),"RB")</f>
        <v>RB</v>
      </c>
      <c r="I2" s="178">
        <f>IFERROR(__xludf.DUMMYFUNCTION("""COMPUTED_VALUE"""),5.0)</f>
        <v>5</v>
      </c>
    </row>
    <row r="3">
      <c r="A3" s="125">
        <f>IFERROR(__xludf.DUMMYFUNCTION("""COMPUTED_VALUE"""),1.0)</f>
        <v>1</v>
      </c>
      <c r="B3" s="125">
        <f>IFERROR(__xludf.DUMMYFUNCTION("""COMPUTED_VALUE"""),1.0)</f>
        <v>1</v>
      </c>
      <c r="C3" s="125">
        <f>IFERROR(__xludf.DUMMYFUNCTION("""COMPUTED_VALUE"""),1.0)</f>
        <v>1</v>
      </c>
      <c r="D3" s="125">
        <f>IFERROR(__xludf.DUMMYFUNCTION("""COMPUTED_VALUE"""),1.0)</f>
        <v>1</v>
      </c>
      <c r="E3" s="178">
        <f>IFERROR(__xludf.DUMMYFUNCTION("""COMPUTED_VALUE"""),1.0)</f>
        <v>1</v>
      </c>
      <c r="F3" s="127" t="str">
        <f>IFERROR(__xludf.DUMMYFUNCTION("""COMPUTED_VALUE"""),"Ja'Marr Chase – CIN")</f>
        <v>Ja'Marr Chase – CIN</v>
      </c>
      <c r="G3" s="127">
        <f>IFERROR(__xludf.DUMMYFUNCTION("""COMPUTED_VALUE"""),231.2)</f>
        <v>231.2</v>
      </c>
      <c r="H3" s="127" t="str">
        <f>IFERROR(__xludf.DUMMYFUNCTION("""COMPUTED_VALUE"""),"WR")</f>
        <v>WR</v>
      </c>
      <c r="I3" s="178">
        <f>IFERROR(__xludf.DUMMYFUNCTION("""COMPUTED_VALUE"""),10.0)</f>
        <v>10</v>
      </c>
    </row>
    <row r="4">
      <c r="A4" s="125">
        <f>IFERROR(__xludf.DUMMYFUNCTION("""COMPUTED_VALUE"""),1.0)</f>
        <v>1</v>
      </c>
      <c r="B4" s="125">
        <f>IFERROR(__xludf.DUMMYFUNCTION("""COMPUTED_VALUE"""),1.0)</f>
        <v>1</v>
      </c>
      <c r="C4" s="125">
        <f>IFERROR(__xludf.DUMMYFUNCTION("""COMPUTED_VALUE"""),1.0)</f>
        <v>1</v>
      </c>
      <c r="D4" s="125">
        <f>IFERROR(__xludf.DUMMYFUNCTION("""COMPUTED_VALUE"""),1.0)</f>
        <v>1</v>
      </c>
      <c r="E4" s="178">
        <f>IFERROR(__xludf.DUMMYFUNCTION("""COMPUTED_VALUE"""),1.0)</f>
        <v>1</v>
      </c>
      <c r="F4" s="127" t="str">
        <f>IFERROR(__xludf.DUMMYFUNCTION("""COMPUTED_VALUE"""),"Lamar Jackson – BAL")</f>
        <v>Lamar Jackson – BAL</v>
      </c>
      <c r="G4" s="127">
        <f>IFERROR(__xludf.DUMMYFUNCTION("""COMPUTED_VALUE"""),378.8)</f>
        <v>378.8</v>
      </c>
      <c r="H4" s="127" t="str">
        <f>IFERROR(__xludf.DUMMYFUNCTION("""COMPUTED_VALUE"""),"QB")</f>
        <v>QB</v>
      </c>
      <c r="I4" s="178">
        <f>IFERROR(__xludf.DUMMYFUNCTION("""COMPUTED_VALUE"""),7.0)</f>
        <v>7</v>
      </c>
    </row>
    <row r="5">
      <c r="A5" s="125">
        <f>IFERROR(__xludf.DUMMYFUNCTION("""COMPUTED_VALUE"""),1.0)</f>
        <v>1</v>
      </c>
      <c r="B5" s="125">
        <f>IFERROR(__xludf.DUMMYFUNCTION("""COMPUTED_VALUE"""),1.0)</f>
        <v>1</v>
      </c>
      <c r="C5" s="125">
        <f>IFERROR(__xludf.DUMMYFUNCTION("""COMPUTED_VALUE"""),1.0)</f>
        <v>1</v>
      </c>
      <c r="D5" s="125">
        <f>IFERROR(__xludf.DUMMYFUNCTION("""COMPUTED_VALUE"""),1.0)</f>
        <v>1</v>
      </c>
      <c r="E5" s="178">
        <f>IFERROR(__xludf.DUMMYFUNCTION("""COMPUTED_VALUE"""),1.0)</f>
        <v>1</v>
      </c>
      <c r="F5" s="127" t="str">
        <f>IFERROR(__xludf.DUMMYFUNCTION("""COMPUTED_VALUE"""),"Brock Bowers – LV")</f>
        <v>Brock Bowers – LV</v>
      </c>
      <c r="G5" s="127">
        <f>IFERROR(__xludf.DUMMYFUNCTION("""COMPUTED_VALUE"""),149.7)</f>
        <v>149.7</v>
      </c>
      <c r="H5" s="127" t="str">
        <f>IFERROR(__xludf.DUMMYFUNCTION("""COMPUTED_VALUE"""),"TE")</f>
        <v>TE</v>
      </c>
      <c r="I5" s="178">
        <f>IFERROR(__xludf.DUMMYFUNCTION("""COMPUTED_VALUE"""),8.0)</f>
        <v>8</v>
      </c>
    </row>
    <row r="6">
      <c r="A6" s="125">
        <f>IFERROR(__xludf.DUMMYFUNCTION("""COMPUTED_VALUE"""),1.0)</f>
        <v>1</v>
      </c>
      <c r="B6" s="125">
        <f>IFERROR(__xludf.DUMMYFUNCTION("""COMPUTED_VALUE"""),1.0)</f>
        <v>1</v>
      </c>
      <c r="C6" s="125">
        <f>IFERROR(__xludf.DUMMYFUNCTION("""COMPUTED_VALUE"""),1.0)</f>
        <v>1</v>
      </c>
      <c r="D6" s="125">
        <f>IFERROR(__xludf.DUMMYFUNCTION("""COMPUTED_VALUE"""),1.0)</f>
        <v>1</v>
      </c>
      <c r="E6" s="178">
        <f>IFERROR(__xludf.DUMMYFUNCTION("""COMPUTED_VALUE"""),1.0)</f>
        <v>1</v>
      </c>
      <c r="F6" s="127" t="str">
        <f>IFERROR(__xludf.DUMMYFUNCTION("""COMPUTED_VALUE"""),"Brandon Aubrey – DAL")</f>
        <v>Brandon Aubrey – DAL</v>
      </c>
      <c r="G6" s="127">
        <f>IFERROR(__xludf.DUMMYFUNCTION("""COMPUTED_VALUE"""),140.0)</f>
        <v>140</v>
      </c>
      <c r="H6" s="127" t="str">
        <f>IFERROR(__xludf.DUMMYFUNCTION("""COMPUTED_VALUE"""),"K")</f>
        <v>K</v>
      </c>
      <c r="I6" s="178">
        <f>IFERROR(__xludf.DUMMYFUNCTION("""COMPUTED_VALUE"""),10.0)</f>
        <v>10</v>
      </c>
    </row>
    <row r="7">
      <c r="A7" s="125">
        <f>IFERROR(__xludf.DUMMYFUNCTION("""COMPUTED_VALUE"""),2.0)</f>
        <v>2</v>
      </c>
      <c r="B7" s="125">
        <f>IFERROR(__xludf.DUMMYFUNCTION("""COMPUTED_VALUE"""),2.0)</f>
        <v>2</v>
      </c>
      <c r="C7" s="125">
        <f>IFERROR(__xludf.DUMMYFUNCTION("""COMPUTED_VALUE"""),2.0)</f>
        <v>2</v>
      </c>
      <c r="D7" s="125">
        <f>IFERROR(__xludf.DUMMYFUNCTION("""COMPUTED_VALUE"""),2.0)</f>
        <v>2</v>
      </c>
      <c r="E7" s="178">
        <f>IFERROR(__xludf.DUMMYFUNCTION("""COMPUTED_VALUE"""),2.0)</f>
        <v>2</v>
      </c>
      <c r="F7" s="127" t="str">
        <f>IFERROR(__xludf.DUMMYFUNCTION("""COMPUTED_VALUE"""),"Christian McCaffrey – SF")</f>
        <v>Christian McCaffrey – SF</v>
      </c>
      <c r="G7" s="127">
        <f>IFERROR(__xludf.DUMMYFUNCTION("""COMPUTED_VALUE"""),254.0)</f>
        <v>254</v>
      </c>
      <c r="H7" s="127" t="str">
        <f>IFERROR(__xludf.DUMMYFUNCTION("""COMPUTED_VALUE"""),"RB")</f>
        <v>RB</v>
      </c>
      <c r="I7" s="178">
        <f>IFERROR(__xludf.DUMMYFUNCTION("""COMPUTED_VALUE"""),14.0)</f>
        <v>14</v>
      </c>
    </row>
    <row r="8">
      <c r="A8" s="125">
        <f>IFERROR(__xludf.DUMMYFUNCTION("""COMPUTED_VALUE"""),2.0)</f>
        <v>2</v>
      </c>
      <c r="B8" s="125">
        <f>IFERROR(__xludf.DUMMYFUNCTION("""COMPUTED_VALUE"""),2.0)</f>
        <v>2</v>
      </c>
      <c r="C8" s="125">
        <f>IFERROR(__xludf.DUMMYFUNCTION("""COMPUTED_VALUE"""),2.0)</f>
        <v>2</v>
      </c>
      <c r="D8" s="125">
        <f>IFERROR(__xludf.DUMMYFUNCTION("""COMPUTED_VALUE"""),2.0)</f>
        <v>2</v>
      </c>
      <c r="E8" s="178">
        <f>IFERROR(__xludf.DUMMYFUNCTION("""COMPUTED_VALUE"""),2.0)</f>
        <v>2</v>
      </c>
      <c r="F8" s="127" t="str">
        <f>IFERROR(__xludf.DUMMYFUNCTION("""COMPUTED_VALUE"""),"Justin Jefferson – MIN")</f>
        <v>Justin Jefferson – MIN</v>
      </c>
      <c r="G8" s="127">
        <f>IFERROR(__xludf.DUMMYFUNCTION("""COMPUTED_VALUE"""),205.2)</f>
        <v>205.2</v>
      </c>
      <c r="H8" s="127" t="str">
        <f>IFERROR(__xludf.DUMMYFUNCTION("""COMPUTED_VALUE"""),"WR")</f>
        <v>WR</v>
      </c>
      <c r="I8" s="178">
        <f>IFERROR(__xludf.DUMMYFUNCTION("""COMPUTED_VALUE"""),6.0)</f>
        <v>6</v>
      </c>
    </row>
    <row r="9">
      <c r="A9" s="125">
        <f>IFERROR(__xludf.DUMMYFUNCTION("""COMPUTED_VALUE"""),2.0)</f>
        <v>2</v>
      </c>
      <c r="B9" s="125">
        <f>IFERROR(__xludf.DUMMYFUNCTION("""COMPUTED_VALUE"""),2.0)</f>
        <v>2</v>
      </c>
      <c r="C9" s="125">
        <f>IFERROR(__xludf.DUMMYFUNCTION("""COMPUTED_VALUE"""),2.0)</f>
        <v>2</v>
      </c>
      <c r="D9" s="125">
        <f>IFERROR(__xludf.DUMMYFUNCTION("""COMPUTED_VALUE"""),2.0)</f>
        <v>2</v>
      </c>
      <c r="E9" s="178">
        <f>IFERROR(__xludf.DUMMYFUNCTION("""COMPUTED_VALUE"""),2.0)</f>
        <v>2</v>
      </c>
      <c r="F9" s="127" t="str">
        <f>IFERROR(__xludf.DUMMYFUNCTION("""COMPUTED_VALUE"""),"Josh Allen – BUF")</f>
        <v>Josh Allen – BUF</v>
      </c>
      <c r="G9" s="127">
        <f>IFERROR(__xludf.DUMMYFUNCTION("""COMPUTED_VALUE"""),376.7)</f>
        <v>376.7</v>
      </c>
      <c r="H9" s="127" t="str">
        <f>IFERROR(__xludf.DUMMYFUNCTION("""COMPUTED_VALUE"""),"QB")</f>
        <v>QB</v>
      </c>
      <c r="I9" s="178">
        <f>IFERROR(__xludf.DUMMYFUNCTION("""COMPUTED_VALUE"""),7.0)</f>
        <v>7</v>
      </c>
    </row>
    <row r="10">
      <c r="A10" s="125">
        <f>IFERROR(__xludf.DUMMYFUNCTION("""COMPUTED_VALUE"""),2.0)</f>
        <v>2</v>
      </c>
      <c r="B10" s="125">
        <f>IFERROR(__xludf.DUMMYFUNCTION("""COMPUTED_VALUE"""),2.0)</f>
        <v>2</v>
      </c>
      <c r="C10" s="125">
        <f>IFERROR(__xludf.DUMMYFUNCTION("""COMPUTED_VALUE"""),2.0)</f>
        <v>2</v>
      </c>
      <c r="D10" s="125">
        <f>IFERROR(__xludf.DUMMYFUNCTION("""COMPUTED_VALUE"""),2.0)</f>
        <v>2</v>
      </c>
      <c r="E10" s="178">
        <f>IFERROR(__xludf.DUMMYFUNCTION("""COMPUTED_VALUE"""),2.0)</f>
        <v>2</v>
      </c>
      <c r="F10" s="127" t="str">
        <f>IFERROR(__xludf.DUMMYFUNCTION("""COMPUTED_VALUE"""),"George Kittle – SF")</f>
        <v>George Kittle – SF</v>
      </c>
      <c r="G10" s="127">
        <f>IFERROR(__xludf.DUMMYFUNCTION("""COMPUTED_VALUE"""),147.6)</f>
        <v>147.6</v>
      </c>
      <c r="H10" s="127" t="str">
        <f>IFERROR(__xludf.DUMMYFUNCTION("""COMPUTED_VALUE"""),"TE")</f>
        <v>TE</v>
      </c>
      <c r="I10" s="178">
        <f>IFERROR(__xludf.DUMMYFUNCTION("""COMPUTED_VALUE"""),14.0)</f>
        <v>14</v>
      </c>
    </row>
    <row r="11">
      <c r="A11" s="125">
        <f>IFERROR(__xludf.DUMMYFUNCTION("""COMPUTED_VALUE"""),2.0)</f>
        <v>2</v>
      </c>
      <c r="B11" s="125">
        <f>IFERROR(__xludf.DUMMYFUNCTION("""COMPUTED_VALUE"""),2.0)</f>
        <v>2</v>
      </c>
      <c r="C11" s="125">
        <f>IFERROR(__xludf.DUMMYFUNCTION("""COMPUTED_VALUE"""),2.0)</f>
        <v>2</v>
      </c>
      <c r="D11" s="125">
        <f>IFERROR(__xludf.DUMMYFUNCTION("""COMPUTED_VALUE"""),2.0)</f>
        <v>2</v>
      </c>
      <c r="E11" s="178">
        <f>IFERROR(__xludf.DUMMYFUNCTION("""COMPUTED_VALUE"""),2.0)</f>
        <v>2</v>
      </c>
      <c r="F11" s="127" t="str">
        <f>IFERROR(__xludf.DUMMYFUNCTION("""COMPUTED_VALUE"""),"Chase McLaughlin – TB")</f>
        <v>Chase McLaughlin – TB</v>
      </c>
      <c r="G11" s="127">
        <f>IFERROR(__xludf.DUMMYFUNCTION("""COMPUTED_VALUE"""),136.0)</f>
        <v>136</v>
      </c>
      <c r="H11" s="127" t="str">
        <f>IFERROR(__xludf.DUMMYFUNCTION("""COMPUTED_VALUE"""),"K")</f>
        <v>K</v>
      </c>
      <c r="I11" s="178">
        <f>IFERROR(__xludf.DUMMYFUNCTION("""COMPUTED_VALUE"""),9.0)</f>
        <v>9</v>
      </c>
    </row>
    <row r="12">
      <c r="A12" s="125">
        <f>IFERROR(__xludf.DUMMYFUNCTION("""COMPUTED_VALUE"""),3.0)</f>
        <v>3</v>
      </c>
      <c r="B12" s="125">
        <f>IFERROR(__xludf.DUMMYFUNCTION("""COMPUTED_VALUE"""),3.0)</f>
        <v>3</v>
      </c>
      <c r="C12" s="125">
        <f>IFERROR(__xludf.DUMMYFUNCTION("""COMPUTED_VALUE"""),3.0)</f>
        <v>3</v>
      </c>
      <c r="D12" s="125">
        <f>IFERROR(__xludf.DUMMYFUNCTION("""COMPUTED_VALUE"""),3.0)</f>
        <v>3</v>
      </c>
      <c r="E12" s="178">
        <f>IFERROR(__xludf.DUMMYFUNCTION("""COMPUTED_VALUE"""),3.0)</f>
        <v>3</v>
      </c>
      <c r="F12" s="127" t="str">
        <f>IFERROR(__xludf.DUMMYFUNCTION("""COMPUTED_VALUE"""),"Derrick Henry – BAL")</f>
        <v>Derrick Henry – BAL</v>
      </c>
      <c r="G12" s="127">
        <f>IFERROR(__xludf.DUMMYFUNCTION("""COMPUTED_VALUE"""),253.0)</f>
        <v>253</v>
      </c>
      <c r="H12" s="127" t="str">
        <f>IFERROR(__xludf.DUMMYFUNCTION("""COMPUTED_VALUE"""),"RB")</f>
        <v>RB</v>
      </c>
      <c r="I12" s="178">
        <f>IFERROR(__xludf.DUMMYFUNCTION("""COMPUTED_VALUE"""),7.0)</f>
        <v>7</v>
      </c>
    </row>
    <row r="13">
      <c r="A13" s="125">
        <f>IFERROR(__xludf.DUMMYFUNCTION("""COMPUTED_VALUE"""),3.0)</f>
        <v>3</v>
      </c>
      <c r="B13" s="125">
        <f>IFERROR(__xludf.DUMMYFUNCTION("""COMPUTED_VALUE"""),3.0)</f>
        <v>3</v>
      </c>
      <c r="C13" s="125">
        <f>IFERROR(__xludf.DUMMYFUNCTION("""COMPUTED_VALUE"""),3.0)</f>
        <v>3</v>
      </c>
      <c r="D13" s="125">
        <f>IFERROR(__xludf.DUMMYFUNCTION("""COMPUTED_VALUE"""),3.0)</f>
        <v>3</v>
      </c>
      <c r="E13" s="178">
        <f>IFERROR(__xludf.DUMMYFUNCTION("""COMPUTED_VALUE"""),3.0)</f>
        <v>3</v>
      </c>
      <c r="F13" s="127" t="str">
        <f>IFERROR(__xludf.DUMMYFUNCTION("""COMPUTED_VALUE"""),"CeeDee Lamb – DAL")</f>
        <v>CeeDee Lamb – DAL</v>
      </c>
      <c r="G13" s="127">
        <f>IFERROR(__xludf.DUMMYFUNCTION("""COMPUTED_VALUE"""),193.0)</f>
        <v>193</v>
      </c>
      <c r="H13" s="127" t="str">
        <f>IFERROR(__xludf.DUMMYFUNCTION("""COMPUTED_VALUE"""),"WR")</f>
        <v>WR</v>
      </c>
      <c r="I13" s="178">
        <f>IFERROR(__xludf.DUMMYFUNCTION("""COMPUTED_VALUE"""),10.0)</f>
        <v>10</v>
      </c>
    </row>
    <row r="14">
      <c r="A14" s="125">
        <f>IFERROR(__xludf.DUMMYFUNCTION("""COMPUTED_VALUE"""),3.0)</f>
        <v>3</v>
      </c>
      <c r="B14" s="125">
        <f>IFERROR(__xludf.DUMMYFUNCTION("""COMPUTED_VALUE"""),3.0)</f>
        <v>3</v>
      </c>
      <c r="C14" s="125">
        <f>IFERROR(__xludf.DUMMYFUNCTION("""COMPUTED_VALUE"""),3.0)</f>
        <v>3</v>
      </c>
      <c r="D14" s="125">
        <f>IFERROR(__xludf.DUMMYFUNCTION("""COMPUTED_VALUE"""),3.0)</f>
        <v>3</v>
      </c>
      <c r="E14" s="178">
        <f>IFERROR(__xludf.DUMMYFUNCTION("""COMPUTED_VALUE"""),3.0)</f>
        <v>3</v>
      </c>
      <c r="F14" s="127" t="str">
        <f>IFERROR(__xludf.DUMMYFUNCTION("""COMPUTED_VALUE"""),"Jalen Hurts – PHI")</f>
        <v>Jalen Hurts – PHI</v>
      </c>
      <c r="G14" s="127">
        <f>IFERROR(__xludf.DUMMYFUNCTION("""COMPUTED_VALUE"""),356.6)</f>
        <v>356.6</v>
      </c>
      <c r="H14" s="127" t="str">
        <f>IFERROR(__xludf.DUMMYFUNCTION("""COMPUTED_VALUE"""),"QB")</f>
        <v>QB</v>
      </c>
      <c r="I14" s="178">
        <f>IFERROR(__xludf.DUMMYFUNCTION("""COMPUTED_VALUE"""),9.0)</f>
        <v>9</v>
      </c>
    </row>
    <row r="15">
      <c r="A15" s="125">
        <f>IFERROR(__xludf.DUMMYFUNCTION("""COMPUTED_VALUE"""),3.0)</f>
        <v>3</v>
      </c>
      <c r="B15" s="125">
        <f>IFERROR(__xludf.DUMMYFUNCTION("""COMPUTED_VALUE"""),3.0)</f>
        <v>3</v>
      </c>
      <c r="C15" s="125">
        <f>IFERROR(__xludf.DUMMYFUNCTION("""COMPUTED_VALUE"""),3.0)</f>
        <v>3</v>
      </c>
      <c r="D15" s="125">
        <f>IFERROR(__xludf.DUMMYFUNCTION("""COMPUTED_VALUE"""),3.0)</f>
        <v>3</v>
      </c>
      <c r="E15" s="178">
        <f>IFERROR(__xludf.DUMMYFUNCTION("""COMPUTED_VALUE"""),3.0)</f>
        <v>3</v>
      </c>
      <c r="F15" s="127" t="str">
        <f>IFERROR(__xludf.DUMMYFUNCTION("""COMPUTED_VALUE"""),"Trey McBride – ARI")</f>
        <v>Trey McBride – ARI</v>
      </c>
      <c r="G15" s="127">
        <f>IFERROR(__xludf.DUMMYFUNCTION("""COMPUTED_VALUE"""),139.4)</f>
        <v>139.4</v>
      </c>
      <c r="H15" s="127" t="str">
        <f>IFERROR(__xludf.DUMMYFUNCTION("""COMPUTED_VALUE"""),"TE")</f>
        <v>TE</v>
      </c>
      <c r="I15" s="178">
        <f>IFERROR(__xludf.DUMMYFUNCTION("""COMPUTED_VALUE"""),8.0)</f>
        <v>8</v>
      </c>
    </row>
    <row r="16">
      <c r="A16" s="125">
        <f>IFERROR(__xludf.DUMMYFUNCTION("""COMPUTED_VALUE"""),3.0)</f>
        <v>3</v>
      </c>
      <c r="B16" s="125">
        <f>IFERROR(__xludf.DUMMYFUNCTION("""COMPUTED_VALUE"""),3.0)</f>
        <v>3</v>
      </c>
      <c r="C16" s="125">
        <f>IFERROR(__xludf.DUMMYFUNCTION("""COMPUTED_VALUE"""),3.0)</f>
        <v>3</v>
      </c>
      <c r="D16" s="125">
        <f>IFERROR(__xludf.DUMMYFUNCTION("""COMPUTED_VALUE"""),3.0)</f>
        <v>3</v>
      </c>
      <c r="E16" s="178">
        <f>IFERROR(__xludf.DUMMYFUNCTION("""COMPUTED_VALUE"""),3.0)</f>
        <v>3</v>
      </c>
      <c r="F16" s="127" t="str">
        <f>IFERROR(__xludf.DUMMYFUNCTION("""COMPUTED_VALUE"""),"Cameron Dicker – LAC")</f>
        <v>Cameron Dicker – LAC</v>
      </c>
      <c r="G16" s="127">
        <f>IFERROR(__xludf.DUMMYFUNCTION("""COMPUTED_VALUE"""),135.0)</f>
        <v>135</v>
      </c>
      <c r="H16" s="127" t="str">
        <f>IFERROR(__xludf.DUMMYFUNCTION("""COMPUTED_VALUE"""),"K")</f>
        <v>K</v>
      </c>
      <c r="I16" s="178">
        <f>IFERROR(__xludf.DUMMYFUNCTION("""COMPUTED_VALUE"""),12.0)</f>
        <v>12</v>
      </c>
    </row>
    <row r="17">
      <c r="A17" s="125">
        <f>IFERROR(__xludf.DUMMYFUNCTION("""COMPUTED_VALUE"""),4.0)</f>
        <v>4</v>
      </c>
      <c r="B17" s="125">
        <f>IFERROR(__xludf.DUMMYFUNCTION("""COMPUTED_VALUE"""),4.0)</f>
        <v>4</v>
      </c>
      <c r="C17" s="125">
        <f>IFERROR(__xludf.DUMMYFUNCTION("""COMPUTED_VALUE"""),4.0)</f>
        <v>4</v>
      </c>
      <c r="D17" s="125">
        <f>IFERROR(__xludf.DUMMYFUNCTION("""COMPUTED_VALUE"""),4.0)</f>
        <v>4</v>
      </c>
      <c r="E17" s="178">
        <f>IFERROR(__xludf.DUMMYFUNCTION("""COMPUTED_VALUE"""),4.0)</f>
        <v>4</v>
      </c>
      <c r="F17" s="127" t="str">
        <f>IFERROR(__xludf.DUMMYFUNCTION("""COMPUTED_VALUE"""),"Saquon Barkley – PHI")</f>
        <v>Saquon Barkley – PHI</v>
      </c>
      <c r="G17" s="127">
        <f>IFERROR(__xludf.DUMMYFUNCTION("""COMPUTED_VALUE"""),231.0)</f>
        <v>231</v>
      </c>
      <c r="H17" s="127" t="str">
        <f>IFERROR(__xludf.DUMMYFUNCTION("""COMPUTED_VALUE"""),"RB")</f>
        <v>RB</v>
      </c>
      <c r="I17" s="178">
        <f>IFERROR(__xludf.DUMMYFUNCTION("""COMPUTED_VALUE"""),9.0)</f>
        <v>9</v>
      </c>
    </row>
    <row r="18">
      <c r="A18" s="125">
        <f>IFERROR(__xludf.DUMMYFUNCTION("""COMPUTED_VALUE"""),4.0)</f>
        <v>4</v>
      </c>
      <c r="B18" s="125">
        <f>IFERROR(__xludf.DUMMYFUNCTION("""COMPUTED_VALUE"""),4.0)</f>
        <v>4</v>
      </c>
      <c r="C18" s="125">
        <f>IFERROR(__xludf.DUMMYFUNCTION("""COMPUTED_VALUE"""),4.0)</f>
        <v>4</v>
      </c>
      <c r="D18" s="125">
        <f>IFERROR(__xludf.DUMMYFUNCTION("""COMPUTED_VALUE"""),4.0)</f>
        <v>4</v>
      </c>
      <c r="E18" s="178">
        <f>IFERROR(__xludf.DUMMYFUNCTION("""COMPUTED_VALUE"""),4.0)</f>
        <v>4</v>
      </c>
      <c r="F18" s="127" t="str">
        <f>IFERROR(__xludf.DUMMYFUNCTION("""COMPUTED_VALUE"""),"Puka Nacua – LAR")</f>
        <v>Puka Nacua – LAR</v>
      </c>
      <c r="G18" s="127">
        <f>IFERROR(__xludf.DUMMYFUNCTION("""COMPUTED_VALUE"""),187.7)</f>
        <v>187.7</v>
      </c>
      <c r="H18" s="127" t="str">
        <f>IFERROR(__xludf.DUMMYFUNCTION("""COMPUTED_VALUE"""),"WR")</f>
        <v>WR</v>
      </c>
      <c r="I18" s="178">
        <f>IFERROR(__xludf.DUMMYFUNCTION("""COMPUTED_VALUE"""),8.0)</f>
        <v>8</v>
      </c>
    </row>
    <row r="19">
      <c r="A19" s="125">
        <f>IFERROR(__xludf.DUMMYFUNCTION("""COMPUTED_VALUE"""),4.0)</f>
        <v>4</v>
      </c>
      <c r="B19" s="125">
        <f>IFERROR(__xludf.DUMMYFUNCTION("""COMPUTED_VALUE"""),4.0)</f>
        <v>4</v>
      </c>
      <c r="C19" s="125">
        <f>IFERROR(__xludf.DUMMYFUNCTION("""COMPUTED_VALUE"""),4.0)</f>
        <v>4</v>
      </c>
      <c r="D19" s="125">
        <f>IFERROR(__xludf.DUMMYFUNCTION("""COMPUTED_VALUE"""),4.0)</f>
        <v>4</v>
      </c>
      <c r="E19" s="178">
        <f>IFERROR(__xludf.DUMMYFUNCTION("""COMPUTED_VALUE"""),4.0)</f>
        <v>4</v>
      </c>
      <c r="F19" s="127" t="str">
        <f>IFERROR(__xludf.DUMMYFUNCTION("""COMPUTED_VALUE"""),"Jayden Daniels – WAS")</f>
        <v>Jayden Daniels – WAS</v>
      </c>
      <c r="G19" s="127">
        <f>IFERROR(__xludf.DUMMYFUNCTION("""COMPUTED_VALUE"""),355.8)</f>
        <v>355.8</v>
      </c>
      <c r="H19" s="127" t="str">
        <f>IFERROR(__xludf.DUMMYFUNCTION("""COMPUTED_VALUE"""),"QB")</f>
        <v>QB</v>
      </c>
      <c r="I19" s="178">
        <f>IFERROR(__xludf.DUMMYFUNCTION("""COMPUTED_VALUE"""),12.0)</f>
        <v>12</v>
      </c>
    </row>
    <row r="20">
      <c r="A20" s="125">
        <f>IFERROR(__xludf.DUMMYFUNCTION("""COMPUTED_VALUE"""),4.0)</f>
        <v>4</v>
      </c>
      <c r="B20" s="125">
        <f>IFERROR(__xludf.DUMMYFUNCTION("""COMPUTED_VALUE"""),4.0)</f>
        <v>4</v>
      </c>
      <c r="C20" s="125">
        <f>IFERROR(__xludf.DUMMYFUNCTION("""COMPUTED_VALUE"""),4.0)</f>
        <v>4</v>
      </c>
      <c r="D20" s="125">
        <f>IFERROR(__xludf.DUMMYFUNCTION("""COMPUTED_VALUE"""),4.0)</f>
        <v>4</v>
      </c>
      <c r="E20" s="178">
        <f>IFERROR(__xludf.DUMMYFUNCTION("""COMPUTED_VALUE"""),4.0)</f>
        <v>4</v>
      </c>
      <c r="F20" s="127" t="str">
        <f>IFERROR(__xludf.DUMMYFUNCTION("""COMPUTED_VALUE"""),"Mark Andrews – BAL")</f>
        <v>Mark Andrews – BAL</v>
      </c>
      <c r="G20" s="127">
        <f>IFERROR(__xludf.DUMMYFUNCTION("""COMPUTED_VALUE"""),117.3)</f>
        <v>117.3</v>
      </c>
      <c r="H20" s="127" t="str">
        <f>IFERROR(__xludf.DUMMYFUNCTION("""COMPUTED_VALUE"""),"TE")</f>
        <v>TE</v>
      </c>
      <c r="I20" s="178">
        <f>IFERROR(__xludf.DUMMYFUNCTION("""COMPUTED_VALUE"""),7.0)</f>
        <v>7</v>
      </c>
    </row>
    <row r="21">
      <c r="A21" s="125">
        <f>IFERROR(__xludf.DUMMYFUNCTION("""COMPUTED_VALUE"""),4.0)</f>
        <v>4</v>
      </c>
      <c r="B21" s="125">
        <f>IFERROR(__xludf.DUMMYFUNCTION("""COMPUTED_VALUE"""),4.0)</f>
        <v>4</v>
      </c>
      <c r="C21" s="125">
        <f>IFERROR(__xludf.DUMMYFUNCTION("""COMPUTED_VALUE"""),4.0)</f>
        <v>4</v>
      </c>
      <c r="D21" s="125">
        <f>IFERROR(__xludf.DUMMYFUNCTION("""COMPUTED_VALUE"""),4.0)</f>
        <v>4</v>
      </c>
      <c r="E21" s="178">
        <f>IFERROR(__xludf.DUMMYFUNCTION("""COMPUTED_VALUE"""),4.0)</f>
        <v>4</v>
      </c>
      <c r="F21" s="127" t="str">
        <f>IFERROR(__xludf.DUMMYFUNCTION("""COMPUTED_VALUE"""),"Jake Elliott – PHI")</f>
        <v>Jake Elliott – PHI</v>
      </c>
      <c r="G21" s="127">
        <f>IFERROR(__xludf.DUMMYFUNCTION("""COMPUTED_VALUE"""),134.0)</f>
        <v>134</v>
      </c>
      <c r="H21" s="127" t="str">
        <f>IFERROR(__xludf.DUMMYFUNCTION("""COMPUTED_VALUE"""),"K")</f>
        <v>K</v>
      </c>
      <c r="I21" s="178">
        <f>IFERROR(__xludf.DUMMYFUNCTION("""COMPUTED_VALUE"""),9.0)</f>
        <v>9</v>
      </c>
    </row>
    <row r="22">
      <c r="A22" s="125">
        <f>IFERROR(__xludf.DUMMYFUNCTION("""COMPUTED_VALUE"""),5.0)</f>
        <v>5</v>
      </c>
      <c r="B22" s="178">
        <f>IFERROR(__xludf.DUMMYFUNCTION("""COMPUTED_VALUE"""),5.0)</f>
        <v>5</v>
      </c>
      <c r="C22" s="125">
        <f>IFERROR(__xludf.DUMMYFUNCTION("""COMPUTED_VALUE"""),5.0)</f>
        <v>5</v>
      </c>
      <c r="D22" s="125">
        <f>IFERROR(__xludf.DUMMYFUNCTION("""COMPUTED_VALUE"""),5.0)</f>
        <v>5</v>
      </c>
      <c r="E22" s="178">
        <f>IFERROR(__xludf.DUMMYFUNCTION("""COMPUTED_VALUE"""),5.0)</f>
        <v>5</v>
      </c>
      <c r="F22" s="127" t="str">
        <f>IFERROR(__xludf.DUMMYFUNCTION("""COMPUTED_VALUE"""),"Jahmyr Gibbs – DET")</f>
        <v>Jahmyr Gibbs – DET</v>
      </c>
      <c r="G22" s="127">
        <f>IFERROR(__xludf.DUMMYFUNCTION("""COMPUTED_VALUE"""),244.0)</f>
        <v>244</v>
      </c>
      <c r="H22" s="127" t="str">
        <f>IFERROR(__xludf.DUMMYFUNCTION("""COMPUTED_VALUE"""),"RB")</f>
        <v>RB</v>
      </c>
      <c r="I22" s="178">
        <f>IFERROR(__xludf.DUMMYFUNCTION("""COMPUTED_VALUE"""),8.0)</f>
        <v>8</v>
      </c>
    </row>
    <row r="23">
      <c r="A23" s="125">
        <f>IFERROR(__xludf.DUMMYFUNCTION("""COMPUTED_VALUE"""),5.0)</f>
        <v>5</v>
      </c>
      <c r="B23" s="125">
        <f>IFERROR(__xludf.DUMMYFUNCTION("""COMPUTED_VALUE"""),5.0)</f>
        <v>5</v>
      </c>
      <c r="C23" s="125">
        <f>IFERROR(__xludf.DUMMYFUNCTION("""COMPUTED_VALUE"""),5.0)</f>
        <v>5</v>
      </c>
      <c r="D23" s="125">
        <f>IFERROR(__xludf.DUMMYFUNCTION("""COMPUTED_VALUE"""),5.0)</f>
        <v>5</v>
      </c>
      <c r="E23" s="178">
        <f>IFERROR(__xludf.DUMMYFUNCTION("""COMPUTED_VALUE"""),5.0)</f>
        <v>5</v>
      </c>
      <c r="F23" s="127" t="str">
        <f>IFERROR(__xludf.DUMMYFUNCTION("""COMPUTED_VALUE"""),"Nico Collins – HOU")</f>
        <v>Nico Collins – HOU</v>
      </c>
      <c r="G23" s="127">
        <f>IFERROR(__xludf.DUMMYFUNCTION("""COMPUTED_VALUE"""),183.6)</f>
        <v>183.6</v>
      </c>
      <c r="H23" s="127" t="str">
        <f>IFERROR(__xludf.DUMMYFUNCTION("""COMPUTED_VALUE"""),"WR")</f>
        <v>WR</v>
      </c>
      <c r="I23" s="178">
        <f>IFERROR(__xludf.DUMMYFUNCTION("""COMPUTED_VALUE"""),6.0)</f>
        <v>6</v>
      </c>
    </row>
    <row r="24">
      <c r="A24" s="125">
        <f>IFERROR(__xludf.DUMMYFUNCTION("""COMPUTED_VALUE"""),5.0)</f>
        <v>5</v>
      </c>
      <c r="B24" s="125">
        <f>IFERROR(__xludf.DUMMYFUNCTION("""COMPUTED_VALUE"""),5.0)</f>
        <v>5</v>
      </c>
      <c r="C24" s="125">
        <f>IFERROR(__xludf.DUMMYFUNCTION("""COMPUTED_VALUE"""),5.0)</f>
        <v>5</v>
      </c>
      <c r="D24" s="125">
        <f>IFERROR(__xludf.DUMMYFUNCTION("""COMPUTED_VALUE"""),5.0)</f>
        <v>5</v>
      </c>
      <c r="E24" s="178">
        <f>IFERROR(__xludf.DUMMYFUNCTION("""COMPUTED_VALUE"""),5.0)</f>
        <v>5</v>
      </c>
      <c r="F24" s="127" t="str">
        <f>IFERROR(__xludf.DUMMYFUNCTION("""COMPUTED_VALUE"""),"Joe Burrow – CIN")</f>
        <v>Joe Burrow – CIN</v>
      </c>
      <c r="G24" s="127">
        <f>IFERROR(__xludf.DUMMYFUNCTION("""COMPUTED_VALUE"""),341.6)</f>
        <v>341.6</v>
      </c>
      <c r="H24" s="127" t="str">
        <f>IFERROR(__xludf.DUMMYFUNCTION("""COMPUTED_VALUE"""),"QB")</f>
        <v>QB</v>
      </c>
      <c r="I24" s="178">
        <f>IFERROR(__xludf.DUMMYFUNCTION("""COMPUTED_VALUE"""),10.0)</f>
        <v>10</v>
      </c>
    </row>
    <row r="25">
      <c r="A25" s="125">
        <f>IFERROR(__xludf.DUMMYFUNCTION("""COMPUTED_VALUE"""),5.0)</f>
        <v>5</v>
      </c>
      <c r="B25" s="125">
        <f>IFERROR(__xludf.DUMMYFUNCTION("""COMPUTED_VALUE"""),5.0)</f>
        <v>5</v>
      </c>
      <c r="C25" s="125">
        <f>IFERROR(__xludf.DUMMYFUNCTION("""COMPUTED_VALUE"""),5.0)</f>
        <v>5</v>
      </c>
      <c r="D25" s="125">
        <f>IFERROR(__xludf.DUMMYFUNCTION("""COMPUTED_VALUE"""),5.0)</f>
        <v>5</v>
      </c>
      <c r="E25" s="178">
        <f>IFERROR(__xludf.DUMMYFUNCTION("""COMPUTED_VALUE"""),5.0)</f>
        <v>5</v>
      </c>
      <c r="F25" s="127" t="str">
        <f>IFERROR(__xludf.DUMMYFUNCTION("""COMPUTED_VALUE"""),"Sam LaPorta – DET")</f>
        <v>Sam LaPorta – DET</v>
      </c>
      <c r="G25" s="127">
        <f>IFERROR(__xludf.DUMMYFUNCTION("""COMPUTED_VALUE"""),115.6)</f>
        <v>115.6</v>
      </c>
      <c r="H25" s="127" t="str">
        <f>IFERROR(__xludf.DUMMYFUNCTION("""COMPUTED_VALUE"""),"TE")</f>
        <v>TE</v>
      </c>
      <c r="I25" s="178">
        <f>IFERROR(__xludf.DUMMYFUNCTION("""COMPUTED_VALUE"""),8.0)</f>
        <v>8</v>
      </c>
    </row>
    <row r="26">
      <c r="A26" s="125">
        <f>IFERROR(__xludf.DUMMYFUNCTION("""COMPUTED_VALUE"""),5.0)</f>
        <v>5</v>
      </c>
      <c r="B26" s="125">
        <f>IFERROR(__xludf.DUMMYFUNCTION("""COMPUTED_VALUE"""),5.0)</f>
        <v>5</v>
      </c>
      <c r="C26" s="125">
        <f>IFERROR(__xludf.DUMMYFUNCTION("""COMPUTED_VALUE"""),5.0)</f>
        <v>5</v>
      </c>
      <c r="D26" s="125">
        <f>IFERROR(__xludf.DUMMYFUNCTION("""COMPUTED_VALUE"""),5.0)</f>
        <v>5</v>
      </c>
      <c r="E26" s="178">
        <f>IFERROR(__xludf.DUMMYFUNCTION("""COMPUTED_VALUE"""),5.0)</f>
        <v>5</v>
      </c>
      <c r="F26" s="127" t="str">
        <f>IFERROR(__xludf.DUMMYFUNCTION("""COMPUTED_VALUE"""),"Matt Gay – WAS")</f>
        <v>Matt Gay – WAS</v>
      </c>
      <c r="G26" s="127">
        <f>IFERROR(__xludf.DUMMYFUNCTION("""COMPUTED_VALUE"""),134.0)</f>
        <v>134</v>
      </c>
      <c r="H26" s="127" t="str">
        <f>IFERROR(__xludf.DUMMYFUNCTION("""COMPUTED_VALUE"""),"K")</f>
        <v>K</v>
      </c>
      <c r="I26" s="178">
        <f>IFERROR(__xludf.DUMMYFUNCTION("""COMPUTED_VALUE"""),12.0)</f>
        <v>12</v>
      </c>
    </row>
    <row r="27">
      <c r="A27" s="125">
        <f>IFERROR(__xludf.DUMMYFUNCTION("""COMPUTED_VALUE"""),6.0)</f>
        <v>6</v>
      </c>
      <c r="B27" s="125">
        <f>IFERROR(__xludf.DUMMYFUNCTION("""COMPUTED_VALUE"""),6.0)</f>
        <v>6</v>
      </c>
      <c r="C27" s="125">
        <f>IFERROR(__xludf.DUMMYFUNCTION("""COMPUTED_VALUE"""),6.0)</f>
        <v>6</v>
      </c>
      <c r="D27" s="125">
        <f>IFERROR(__xludf.DUMMYFUNCTION("""COMPUTED_VALUE"""),6.0)</f>
        <v>6</v>
      </c>
      <c r="E27" s="178">
        <f>IFERROR(__xludf.DUMMYFUNCTION("""COMPUTED_VALUE"""),6.0)</f>
        <v>6</v>
      </c>
      <c r="F27" s="127" t="str">
        <f>IFERROR(__xludf.DUMMYFUNCTION("""COMPUTED_VALUE"""),"Jonathan Taylor – IND")</f>
        <v>Jonathan Taylor – IND</v>
      </c>
      <c r="G27" s="127">
        <f>IFERROR(__xludf.DUMMYFUNCTION("""COMPUTED_VALUE"""),224.0)</f>
        <v>224</v>
      </c>
      <c r="H27" s="127" t="str">
        <f>IFERROR(__xludf.DUMMYFUNCTION("""COMPUTED_VALUE"""),"RB")</f>
        <v>RB</v>
      </c>
      <c r="I27" s="178">
        <f>IFERROR(__xludf.DUMMYFUNCTION("""COMPUTED_VALUE"""),11.0)</f>
        <v>11</v>
      </c>
    </row>
    <row r="28">
      <c r="A28" s="125">
        <f>IFERROR(__xludf.DUMMYFUNCTION("""COMPUTED_VALUE"""),6.0)</f>
        <v>6</v>
      </c>
      <c r="B28" s="125">
        <f>IFERROR(__xludf.DUMMYFUNCTION("""COMPUTED_VALUE"""),6.0)</f>
        <v>6</v>
      </c>
      <c r="C28" s="125">
        <f>IFERROR(__xludf.DUMMYFUNCTION("""COMPUTED_VALUE"""),6.0)</f>
        <v>6</v>
      </c>
      <c r="D28" s="125">
        <f>IFERROR(__xludf.DUMMYFUNCTION("""COMPUTED_VALUE"""),6.0)</f>
        <v>6</v>
      </c>
      <c r="E28" s="178">
        <f>IFERROR(__xludf.DUMMYFUNCTION("""COMPUTED_VALUE"""),6.0)</f>
        <v>6</v>
      </c>
      <c r="F28" s="127" t="str">
        <f>IFERROR(__xludf.DUMMYFUNCTION("""COMPUTED_VALUE"""),"Malik Nabers – NYG")</f>
        <v>Malik Nabers – NYG</v>
      </c>
      <c r="G28" s="127">
        <f>IFERROR(__xludf.DUMMYFUNCTION("""COMPUTED_VALUE"""),183.3)</f>
        <v>183.3</v>
      </c>
      <c r="H28" s="127" t="str">
        <f>IFERROR(__xludf.DUMMYFUNCTION("""COMPUTED_VALUE"""),"WR")</f>
        <v>WR</v>
      </c>
      <c r="I28" s="178">
        <f>IFERROR(__xludf.DUMMYFUNCTION("""COMPUTED_VALUE"""),14.0)</f>
        <v>14</v>
      </c>
    </row>
    <row r="29">
      <c r="A29" s="125">
        <f>IFERROR(__xludf.DUMMYFUNCTION("""COMPUTED_VALUE"""),6.0)</f>
        <v>6</v>
      </c>
      <c r="B29" s="125">
        <f>IFERROR(__xludf.DUMMYFUNCTION("""COMPUTED_VALUE"""),6.0)</f>
        <v>6</v>
      </c>
      <c r="C29" s="125">
        <f>IFERROR(__xludf.DUMMYFUNCTION("""COMPUTED_VALUE"""),6.0)</f>
        <v>6</v>
      </c>
      <c r="D29" s="125">
        <f>IFERROR(__xludf.DUMMYFUNCTION("""COMPUTED_VALUE"""),6.0)</f>
        <v>6</v>
      </c>
      <c r="E29" s="178">
        <f>IFERROR(__xludf.DUMMYFUNCTION("""COMPUTED_VALUE"""),6.0)</f>
        <v>6</v>
      </c>
      <c r="F29" s="127" t="str">
        <f>IFERROR(__xludf.DUMMYFUNCTION("""COMPUTED_VALUE"""),"Patrick Mahomes – KC")</f>
        <v>Patrick Mahomes – KC</v>
      </c>
      <c r="G29" s="127">
        <f>IFERROR(__xludf.DUMMYFUNCTION("""COMPUTED_VALUE"""),327.1)</f>
        <v>327.1</v>
      </c>
      <c r="H29" s="127" t="str">
        <f>IFERROR(__xludf.DUMMYFUNCTION("""COMPUTED_VALUE"""),"QB")</f>
        <v>QB</v>
      </c>
      <c r="I29" s="178">
        <f>IFERROR(__xludf.DUMMYFUNCTION("""COMPUTED_VALUE"""),10.0)</f>
        <v>10</v>
      </c>
    </row>
    <row r="30">
      <c r="A30" s="125">
        <f>IFERROR(__xludf.DUMMYFUNCTION("""COMPUTED_VALUE"""),6.0)</f>
        <v>6</v>
      </c>
      <c r="B30" s="125">
        <f>IFERROR(__xludf.DUMMYFUNCTION("""COMPUTED_VALUE"""),6.0)</f>
        <v>6</v>
      </c>
      <c r="C30" s="125">
        <f>IFERROR(__xludf.DUMMYFUNCTION("""COMPUTED_VALUE"""),6.0)</f>
        <v>6</v>
      </c>
      <c r="D30" s="125">
        <f>IFERROR(__xludf.DUMMYFUNCTION("""COMPUTED_VALUE"""),6.0)</f>
        <v>6</v>
      </c>
      <c r="E30" s="178">
        <f>IFERROR(__xludf.DUMMYFUNCTION("""COMPUTED_VALUE"""),6.0)</f>
        <v>6</v>
      </c>
      <c r="F30" s="127" t="str">
        <f>IFERROR(__xludf.DUMMYFUNCTION("""COMPUTED_VALUE"""),"T.J. Hockenson – MIN")</f>
        <v>T.J. Hockenson – MIN</v>
      </c>
      <c r="G30" s="127">
        <f>IFERROR(__xludf.DUMMYFUNCTION("""COMPUTED_VALUE"""),106.5)</f>
        <v>106.5</v>
      </c>
      <c r="H30" s="127" t="str">
        <f>IFERROR(__xludf.DUMMYFUNCTION("""COMPUTED_VALUE"""),"TE")</f>
        <v>TE</v>
      </c>
      <c r="I30" s="178">
        <f>IFERROR(__xludf.DUMMYFUNCTION("""COMPUTED_VALUE"""),6.0)</f>
        <v>6</v>
      </c>
    </row>
    <row r="31">
      <c r="A31" s="125">
        <f>IFERROR(__xludf.DUMMYFUNCTION("""COMPUTED_VALUE"""),6.0)</f>
        <v>6</v>
      </c>
      <c r="B31" s="125">
        <f>IFERROR(__xludf.DUMMYFUNCTION("""COMPUTED_VALUE"""),6.0)</f>
        <v>6</v>
      </c>
      <c r="C31" s="125">
        <f>IFERROR(__xludf.DUMMYFUNCTION("""COMPUTED_VALUE"""),6.0)</f>
        <v>6</v>
      </c>
      <c r="D31" s="125">
        <f>IFERROR(__xludf.DUMMYFUNCTION("""COMPUTED_VALUE"""),6.0)</f>
        <v>6</v>
      </c>
      <c r="E31" s="178">
        <f>IFERROR(__xludf.DUMMYFUNCTION("""COMPUTED_VALUE"""),6.0)</f>
        <v>6</v>
      </c>
      <c r="F31" s="127" t="str">
        <f>IFERROR(__xludf.DUMMYFUNCTION("""COMPUTED_VALUE"""),"Jake Bates – DET")</f>
        <v>Jake Bates – DET</v>
      </c>
      <c r="G31" s="127">
        <f>IFERROR(__xludf.DUMMYFUNCTION("""COMPUTED_VALUE"""),132.0)</f>
        <v>132</v>
      </c>
      <c r="H31" s="127" t="str">
        <f>IFERROR(__xludf.DUMMYFUNCTION("""COMPUTED_VALUE"""),"K")</f>
        <v>K</v>
      </c>
      <c r="I31" s="178">
        <f>IFERROR(__xludf.DUMMYFUNCTION("""COMPUTED_VALUE"""),8.0)</f>
        <v>8</v>
      </c>
    </row>
    <row r="32">
      <c r="A32" s="125">
        <f>IFERROR(__xludf.DUMMYFUNCTION("""COMPUTED_VALUE"""),7.0)</f>
        <v>7</v>
      </c>
      <c r="B32" s="125">
        <f>IFERROR(__xludf.DUMMYFUNCTION("""COMPUTED_VALUE"""),7.0)</f>
        <v>7</v>
      </c>
      <c r="C32" s="125">
        <f>IFERROR(__xludf.DUMMYFUNCTION("""COMPUTED_VALUE"""),7.0)</f>
        <v>7</v>
      </c>
      <c r="D32" s="125">
        <f>IFERROR(__xludf.DUMMYFUNCTION("""COMPUTED_VALUE"""),7.0)</f>
        <v>7</v>
      </c>
      <c r="E32" s="178">
        <f>IFERROR(__xludf.DUMMYFUNCTION("""COMPUTED_VALUE"""),7.0)</f>
        <v>7</v>
      </c>
      <c r="F32" s="127" t="str">
        <f>IFERROR(__xludf.DUMMYFUNCTION("""COMPUTED_VALUE"""),"Josh Jacobs – GB")</f>
        <v>Josh Jacobs – GB</v>
      </c>
      <c r="G32" s="127">
        <f>IFERROR(__xludf.DUMMYFUNCTION("""COMPUTED_VALUE"""),224.0)</f>
        <v>224</v>
      </c>
      <c r="H32" s="127" t="str">
        <f>IFERROR(__xludf.DUMMYFUNCTION("""COMPUTED_VALUE"""),"RB")</f>
        <v>RB</v>
      </c>
      <c r="I32" s="178">
        <f>IFERROR(__xludf.DUMMYFUNCTION("""COMPUTED_VALUE"""),5.0)</f>
        <v>5</v>
      </c>
    </row>
    <row r="33">
      <c r="A33" s="125">
        <f>IFERROR(__xludf.DUMMYFUNCTION("""COMPUTED_VALUE"""),7.0)</f>
        <v>7</v>
      </c>
      <c r="B33" s="125">
        <f>IFERROR(__xludf.DUMMYFUNCTION("""COMPUTED_VALUE"""),7.0)</f>
        <v>7</v>
      </c>
      <c r="C33" s="125">
        <f>IFERROR(__xludf.DUMMYFUNCTION("""COMPUTED_VALUE"""),7.0)</f>
        <v>7</v>
      </c>
      <c r="D33" s="125">
        <f>IFERROR(__xludf.DUMMYFUNCTION("""COMPUTED_VALUE"""),7.0)</f>
        <v>7</v>
      </c>
      <c r="E33" s="178">
        <f>IFERROR(__xludf.DUMMYFUNCTION("""COMPUTED_VALUE"""),7.0)</f>
        <v>7</v>
      </c>
      <c r="F33" s="127" t="str">
        <f>IFERROR(__xludf.DUMMYFUNCTION("""COMPUTED_VALUE"""),"Brian Thomas Jr. – JAX")</f>
        <v>Brian Thomas Jr. – JAX</v>
      </c>
      <c r="G33" s="127">
        <f>IFERROR(__xludf.DUMMYFUNCTION("""COMPUTED_VALUE"""),181.4)</f>
        <v>181.4</v>
      </c>
      <c r="H33" s="127" t="str">
        <f>IFERROR(__xludf.DUMMYFUNCTION("""COMPUTED_VALUE"""),"WR")</f>
        <v>WR</v>
      </c>
      <c r="I33" s="178">
        <f>IFERROR(__xludf.DUMMYFUNCTION("""COMPUTED_VALUE"""),8.0)</f>
        <v>8</v>
      </c>
    </row>
    <row r="34">
      <c r="A34" s="125">
        <f>IFERROR(__xludf.DUMMYFUNCTION("""COMPUTED_VALUE"""),7.0)</f>
        <v>7</v>
      </c>
      <c r="B34" s="125">
        <f>IFERROR(__xludf.DUMMYFUNCTION("""COMPUTED_VALUE"""),7.0)</f>
        <v>7</v>
      </c>
      <c r="C34" s="125">
        <f>IFERROR(__xludf.DUMMYFUNCTION("""COMPUTED_VALUE"""),7.0)</f>
        <v>7</v>
      </c>
      <c r="D34" s="125">
        <f>IFERROR(__xludf.DUMMYFUNCTION("""COMPUTED_VALUE"""),7.0)</f>
        <v>7</v>
      </c>
      <c r="E34" s="178">
        <f>IFERROR(__xludf.DUMMYFUNCTION("""COMPUTED_VALUE"""),7.0)</f>
        <v>7</v>
      </c>
      <c r="F34" s="127" t="str">
        <f>IFERROR(__xludf.DUMMYFUNCTION("""COMPUTED_VALUE"""),"Baker Mayfield – TB")</f>
        <v>Baker Mayfield – TB</v>
      </c>
      <c r="G34" s="127">
        <f>IFERROR(__xludf.DUMMYFUNCTION("""COMPUTED_VALUE"""),321.6)</f>
        <v>321.6</v>
      </c>
      <c r="H34" s="127" t="str">
        <f>IFERROR(__xludf.DUMMYFUNCTION("""COMPUTED_VALUE"""),"QB")</f>
        <v>QB</v>
      </c>
      <c r="I34" s="178">
        <f>IFERROR(__xludf.DUMMYFUNCTION("""COMPUTED_VALUE"""),9.0)</f>
        <v>9</v>
      </c>
    </row>
    <row r="35">
      <c r="A35" s="125">
        <f>IFERROR(__xludf.DUMMYFUNCTION("""COMPUTED_VALUE"""),7.0)</f>
        <v>7</v>
      </c>
      <c r="B35" s="125">
        <f>IFERROR(__xludf.DUMMYFUNCTION("""COMPUTED_VALUE"""),7.0)</f>
        <v>7</v>
      </c>
      <c r="C35" s="125">
        <f>IFERROR(__xludf.DUMMYFUNCTION("""COMPUTED_VALUE"""),7.0)</f>
        <v>7</v>
      </c>
      <c r="D35" s="125">
        <f>IFERROR(__xludf.DUMMYFUNCTION("""COMPUTED_VALUE"""),7.0)</f>
        <v>7</v>
      </c>
      <c r="E35" s="178">
        <f>IFERROR(__xludf.DUMMYFUNCTION("""COMPUTED_VALUE"""),7.0)</f>
        <v>7</v>
      </c>
      <c r="F35" s="127" t="str">
        <f>IFERROR(__xludf.DUMMYFUNCTION("""COMPUTED_VALUE"""),"Travis Kelce – KC")</f>
        <v>Travis Kelce – KC</v>
      </c>
      <c r="G35" s="127">
        <f>IFERROR(__xludf.DUMMYFUNCTION("""COMPUTED_VALUE"""),105.9)</f>
        <v>105.9</v>
      </c>
      <c r="H35" s="127" t="str">
        <f>IFERROR(__xludf.DUMMYFUNCTION("""COMPUTED_VALUE"""),"TE")</f>
        <v>TE</v>
      </c>
      <c r="I35" s="178">
        <f>IFERROR(__xludf.DUMMYFUNCTION("""COMPUTED_VALUE"""),10.0)</f>
        <v>10</v>
      </c>
    </row>
    <row r="36">
      <c r="A36" s="125">
        <f>IFERROR(__xludf.DUMMYFUNCTION("""COMPUTED_VALUE"""),7.0)</f>
        <v>7</v>
      </c>
      <c r="B36" s="125">
        <f>IFERROR(__xludf.DUMMYFUNCTION("""COMPUTED_VALUE"""),7.0)</f>
        <v>7</v>
      </c>
      <c r="C36" s="125">
        <f>IFERROR(__xludf.DUMMYFUNCTION("""COMPUTED_VALUE"""),7.0)</f>
        <v>7</v>
      </c>
      <c r="D36" s="125">
        <f>IFERROR(__xludf.DUMMYFUNCTION("""COMPUTED_VALUE"""),7.0)</f>
        <v>7</v>
      </c>
      <c r="E36" s="178">
        <f>IFERROR(__xludf.DUMMYFUNCTION("""COMPUTED_VALUE"""),7.0)</f>
        <v>7</v>
      </c>
      <c r="F36" s="127" t="str">
        <f>IFERROR(__xludf.DUMMYFUNCTION("""COMPUTED_VALUE"""),"Chris Boswell – PIT")</f>
        <v>Chris Boswell – PIT</v>
      </c>
      <c r="G36" s="127">
        <f>IFERROR(__xludf.DUMMYFUNCTION("""COMPUTED_VALUE"""),132.0)</f>
        <v>132</v>
      </c>
      <c r="H36" s="127" t="str">
        <f>IFERROR(__xludf.DUMMYFUNCTION("""COMPUTED_VALUE"""),"K")</f>
        <v>K</v>
      </c>
      <c r="I36" s="178">
        <f>IFERROR(__xludf.DUMMYFUNCTION("""COMPUTED_VALUE"""),5.0)</f>
        <v>5</v>
      </c>
    </row>
    <row r="37">
      <c r="A37" s="125">
        <f>IFERROR(__xludf.DUMMYFUNCTION("""COMPUTED_VALUE"""),8.0)</f>
        <v>8</v>
      </c>
      <c r="B37" s="125">
        <f>IFERROR(__xludf.DUMMYFUNCTION("""COMPUTED_VALUE"""),8.0)</f>
        <v>8</v>
      </c>
      <c r="C37" s="125">
        <f>IFERROR(__xludf.DUMMYFUNCTION("""COMPUTED_VALUE"""),8.0)</f>
        <v>8</v>
      </c>
      <c r="D37" s="125">
        <f>IFERROR(__xludf.DUMMYFUNCTION("""COMPUTED_VALUE"""),8.0)</f>
        <v>8</v>
      </c>
      <c r="E37" s="178">
        <f>IFERROR(__xludf.DUMMYFUNCTION("""COMPUTED_VALUE"""),8.0)</f>
        <v>8</v>
      </c>
      <c r="F37" s="127" t="str">
        <f>IFERROR(__xludf.DUMMYFUNCTION("""COMPUTED_VALUE"""),"Ashton Jeanty – LV")</f>
        <v>Ashton Jeanty – LV</v>
      </c>
      <c r="G37" s="127">
        <f>IFERROR(__xludf.DUMMYFUNCTION("""COMPUTED_VALUE"""),222.0)</f>
        <v>222</v>
      </c>
      <c r="H37" s="127" t="str">
        <f>IFERROR(__xludf.DUMMYFUNCTION("""COMPUTED_VALUE"""),"RB")</f>
        <v>RB</v>
      </c>
      <c r="I37" s="178">
        <f>IFERROR(__xludf.DUMMYFUNCTION("""COMPUTED_VALUE"""),8.0)</f>
        <v>8</v>
      </c>
    </row>
    <row r="38">
      <c r="A38" s="125">
        <f>IFERROR(__xludf.DUMMYFUNCTION("""COMPUTED_VALUE"""),8.0)</f>
        <v>8</v>
      </c>
      <c r="B38" s="178">
        <f>IFERROR(__xludf.DUMMYFUNCTION("""COMPUTED_VALUE"""),8.0)</f>
        <v>8</v>
      </c>
      <c r="C38" s="125">
        <f>IFERROR(__xludf.DUMMYFUNCTION("""COMPUTED_VALUE"""),8.0)</f>
        <v>8</v>
      </c>
      <c r="D38" s="125">
        <f>IFERROR(__xludf.DUMMYFUNCTION("""COMPUTED_VALUE"""),8.0)</f>
        <v>8</v>
      </c>
      <c r="E38" s="178">
        <f>IFERROR(__xludf.DUMMYFUNCTION("""COMPUTED_VALUE"""),8.0)</f>
        <v>8</v>
      </c>
      <c r="F38" s="127" t="str">
        <f>IFERROR(__xludf.DUMMYFUNCTION("""COMPUTED_VALUE"""),"Amon-Ra St. Brown – DET")</f>
        <v>Amon-Ra St. Brown – DET</v>
      </c>
      <c r="G38" s="127">
        <f>IFERROR(__xludf.DUMMYFUNCTION("""COMPUTED_VALUE"""),180.8)</f>
        <v>180.8</v>
      </c>
      <c r="H38" s="127" t="str">
        <f>IFERROR(__xludf.DUMMYFUNCTION("""COMPUTED_VALUE"""),"WR")</f>
        <v>WR</v>
      </c>
      <c r="I38" s="178">
        <f>IFERROR(__xludf.DUMMYFUNCTION("""COMPUTED_VALUE"""),8.0)</f>
        <v>8</v>
      </c>
    </row>
    <row r="39">
      <c r="A39" s="125">
        <f>IFERROR(__xludf.DUMMYFUNCTION("""COMPUTED_VALUE"""),8.0)</f>
        <v>8</v>
      </c>
      <c r="B39" s="125">
        <f>IFERROR(__xludf.DUMMYFUNCTION("""COMPUTED_VALUE"""),8.0)</f>
        <v>8</v>
      </c>
      <c r="C39" s="125">
        <f>IFERROR(__xludf.DUMMYFUNCTION("""COMPUTED_VALUE"""),8.0)</f>
        <v>8</v>
      </c>
      <c r="D39" s="125">
        <f>IFERROR(__xludf.DUMMYFUNCTION("""COMPUTED_VALUE"""),8.0)</f>
        <v>8</v>
      </c>
      <c r="E39" s="178">
        <f>IFERROR(__xludf.DUMMYFUNCTION("""COMPUTED_VALUE"""),8.0)</f>
        <v>8</v>
      </c>
      <c r="F39" s="127" t="str">
        <f>IFERROR(__xludf.DUMMYFUNCTION("""COMPUTED_VALUE"""),"Kyler Murray – ARI")</f>
        <v>Kyler Murray – ARI</v>
      </c>
      <c r="G39" s="127">
        <f>IFERROR(__xludf.DUMMYFUNCTION("""COMPUTED_VALUE"""),319.0)</f>
        <v>319</v>
      </c>
      <c r="H39" s="127" t="str">
        <f>IFERROR(__xludf.DUMMYFUNCTION("""COMPUTED_VALUE"""),"QB")</f>
        <v>QB</v>
      </c>
      <c r="I39" s="178">
        <f>IFERROR(__xludf.DUMMYFUNCTION("""COMPUTED_VALUE"""),8.0)</f>
        <v>8</v>
      </c>
    </row>
    <row r="40">
      <c r="A40" s="125">
        <f>IFERROR(__xludf.DUMMYFUNCTION("""COMPUTED_VALUE"""),8.0)</f>
        <v>8</v>
      </c>
      <c r="B40" s="125">
        <f>IFERROR(__xludf.DUMMYFUNCTION("""COMPUTED_VALUE"""),8.0)</f>
        <v>8</v>
      </c>
      <c r="C40" s="125">
        <f>IFERROR(__xludf.DUMMYFUNCTION("""COMPUTED_VALUE"""),8.0)</f>
        <v>8</v>
      </c>
      <c r="D40" s="125">
        <f>IFERROR(__xludf.DUMMYFUNCTION("""COMPUTED_VALUE"""),8.0)</f>
        <v>8</v>
      </c>
      <c r="E40" s="178">
        <f>IFERROR(__xludf.DUMMYFUNCTION("""COMPUTED_VALUE"""),8.0)</f>
        <v>8</v>
      </c>
      <c r="F40" s="127" t="str">
        <f>IFERROR(__xludf.DUMMYFUNCTION("""COMPUTED_VALUE"""),"David Njoku – CLE")</f>
        <v>David Njoku – CLE</v>
      </c>
      <c r="G40" s="127">
        <f>IFERROR(__xludf.DUMMYFUNCTION("""COMPUTED_VALUE"""),101.1)</f>
        <v>101.1</v>
      </c>
      <c r="H40" s="127" t="str">
        <f>IFERROR(__xludf.DUMMYFUNCTION("""COMPUTED_VALUE"""),"TE")</f>
        <v>TE</v>
      </c>
      <c r="I40" s="178">
        <f>IFERROR(__xludf.DUMMYFUNCTION("""COMPUTED_VALUE"""),9.0)</f>
        <v>9</v>
      </c>
    </row>
    <row r="41">
      <c r="A41" s="125">
        <f>IFERROR(__xludf.DUMMYFUNCTION("""COMPUTED_VALUE"""),8.0)</f>
        <v>8</v>
      </c>
      <c r="B41" s="125">
        <f>IFERROR(__xludf.DUMMYFUNCTION("""COMPUTED_VALUE"""),8.0)</f>
        <v>8</v>
      </c>
      <c r="C41" s="125">
        <f>IFERROR(__xludf.DUMMYFUNCTION("""COMPUTED_VALUE"""),8.0)</f>
        <v>8</v>
      </c>
      <c r="D41" s="125">
        <f>IFERROR(__xludf.DUMMYFUNCTION("""COMPUTED_VALUE"""),8.0)</f>
        <v>8</v>
      </c>
      <c r="E41" s="178">
        <f>IFERROR(__xludf.DUMMYFUNCTION("""COMPUTED_VALUE"""),8.0)</f>
        <v>8</v>
      </c>
      <c r="F41" s="127" t="str">
        <f>IFERROR(__xludf.DUMMYFUNCTION("""COMPUTED_VALUE"""),"Tyler Loop – BAL")</f>
        <v>Tyler Loop – BAL</v>
      </c>
      <c r="G41" s="127">
        <f>IFERROR(__xludf.DUMMYFUNCTION("""COMPUTED_VALUE"""),130.0)</f>
        <v>130</v>
      </c>
      <c r="H41" s="127" t="str">
        <f>IFERROR(__xludf.DUMMYFUNCTION("""COMPUTED_VALUE"""),"K")</f>
        <v>K</v>
      </c>
      <c r="I41" s="178">
        <f>IFERROR(__xludf.DUMMYFUNCTION("""COMPUTED_VALUE"""),7.0)</f>
        <v>7</v>
      </c>
    </row>
    <row r="42">
      <c r="A42" s="125">
        <f>IFERROR(__xludf.DUMMYFUNCTION("""COMPUTED_VALUE"""),9.0)</f>
        <v>9</v>
      </c>
      <c r="B42" s="125">
        <f>IFERROR(__xludf.DUMMYFUNCTION("""COMPUTED_VALUE"""),9.0)</f>
        <v>9</v>
      </c>
      <c r="C42" s="125">
        <f>IFERROR(__xludf.DUMMYFUNCTION("""COMPUTED_VALUE"""),9.0)</f>
        <v>9</v>
      </c>
      <c r="D42" s="125">
        <f>IFERROR(__xludf.DUMMYFUNCTION("""COMPUTED_VALUE"""),9.0)</f>
        <v>9</v>
      </c>
      <c r="E42" s="178">
        <f>IFERROR(__xludf.DUMMYFUNCTION("""COMPUTED_VALUE"""),9.0)</f>
        <v>9</v>
      </c>
      <c r="F42" s="127" t="str">
        <f>IFERROR(__xludf.DUMMYFUNCTION("""COMPUTED_VALUE"""),"Kyren Williams – LAR")</f>
        <v>Kyren Williams – LAR</v>
      </c>
      <c r="G42" s="127">
        <f>IFERROR(__xludf.DUMMYFUNCTION("""COMPUTED_VALUE"""),215.0)</f>
        <v>215</v>
      </c>
      <c r="H42" s="127" t="str">
        <f>IFERROR(__xludf.DUMMYFUNCTION("""COMPUTED_VALUE"""),"RB")</f>
        <v>RB</v>
      </c>
      <c r="I42" s="178">
        <f>IFERROR(__xludf.DUMMYFUNCTION("""COMPUTED_VALUE"""),8.0)</f>
        <v>8</v>
      </c>
    </row>
    <row r="43">
      <c r="A43" s="125">
        <f>IFERROR(__xludf.DUMMYFUNCTION("""COMPUTED_VALUE"""),9.0)</f>
        <v>9</v>
      </c>
      <c r="B43" s="125">
        <f>IFERROR(__xludf.DUMMYFUNCTION("""COMPUTED_VALUE"""),9.0)</f>
        <v>9</v>
      </c>
      <c r="C43" s="125">
        <f>IFERROR(__xludf.DUMMYFUNCTION("""COMPUTED_VALUE"""),9.0)</f>
        <v>9</v>
      </c>
      <c r="D43" s="125">
        <f>IFERROR(__xludf.DUMMYFUNCTION("""COMPUTED_VALUE"""),9.0)</f>
        <v>9</v>
      </c>
      <c r="E43" s="178">
        <f>IFERROR(__xludf.DUMMYFUNCTION("""COMPUTED_VALUE"""),9.0)</f>
        <v>9</v>
      </c>
      <c r="F43" s="127" t="str">
        <f>IFERROR(__xludf.DUMMYFUNCTION("""COMPUTED_VALUE"""),"A.J. Brown – PHI")</f>
        <v>A.J. Brown – PHI</v>
      </c>
      <c r="G43" s="127">
        <f>IFERROR(__xludf.DUMMYFUNCTION("""COMPUTED_VALUE"""),172.8)</f>
        <v>172.8</v>
      </c>
      <c r="H43" s="127" t="str">
        <f>IFERROR(__xludf.DUMMYFUNCTION("""COMPUTED_VALUE"""),"WR")</f>
        <v>WR</v>
      </c>
      <c r="I43" s="178">
        <f>IFERROR(__xludf.DUMMYFUNCTION("""COMPUTED_VALUE"""),9.0)</f>
        <v>9</v>
      </c>
    </row>
    <row r="44">
      <c r="A44" s="125">
        <f>IFERROR(__xludf.DUMMYFUNCTION("""COMPUTED_VALUE"""),9.0)</f>
        <v>9</v>
      </c>
      <c r="B44" s="125">
        <f>IFERROR(__xludf.DUMMYFUNCTION("""COMPUTED_VALUE"""),9.0)</f>
        <v>9</v>
      </c>
      <c r="C44" s="125">
        <f>IFERROR(__xludf.DUMMYFUNCTION("""COMPUTED_VALUE"""),9.0)</f>
        <v>9</v>
      </c>
      <c r="D44" s="125">
        <f>IFERROR(__xludf.DUMMYFUNCTION("""COMPUTED_VALUE"""),9.0)</f>
        <v>9</v>
      </c>
      <c r="E44" s="178">
        <f>IFERROR(__xludf.DUMMYFUNCTION("""COMPUTED_VALUE"""),9.0)</f>
        <v>9</v>
      </c>
      <c r="F44" s="127" t="str">
        <f>IFERROR(__xludf.DUMMYFUNCTION("""COMPUTED_VALUE"""),"Brock Purdy – SF")</f>
        <v>Brock Purdy – SF</v>
      </c>
      <c r="G44" s="127">
        <f>IFERROR(__xludf.DUMMYFUNCTION("""COMPUTED_VALUE"""),309.6)</f>
        <v>309.6</v>
      </c>
      <c r="H44" s="127" t="str">
        <f>IFERROR(__xludf.DUMMYFUNCTION("""COMPUTED_VALUE"""),"QB")</f>
        <v>QB</v>
      </c>
      <c r="I44" s="178">
        <f>IFERROR(__xludf.DUMMYFUNCTION("""COMPUTED_VALUE"""),14.0)</f>
        <v>14</v>
      </c>
    </row>
    <row r="45">
      <c r="A45" s="125">
        <f>IFERROR(__xludf.DUMMYFUNCTION("""COMPUTED_VALUE"""),9.0)</f>
        <v>9</v>
      </c>
      <c r="B45" s="125">
        <f>IFERROR(__xludf.DUMMYFUNCTION("""COMPUTED_VALUE"""),9.0)</f>
        <v>9</v>
      </c>
      <c r="C45" s="125">
        <f>IFERROR(__xludf.DUMMYFUNCTION("""COMPUTED_VALUE"""),9.0)</f>
        <v>9</v>
      </c>
      <c r="D45" s="125">
        <f>IFERROR(__xludf.DUMMYFUNCTION("""COMPUTED_VALUE"""),9.0)</f>
        <v>9</v>
      </c>
      <c r="E45" s="178">
        <f>IFERROR(__xludf.DUMMYFUNCTION("""COMPUTED_VALUE"""),9.0)</f>
        <v>9</v>
      </c>
      <c r="F45" s="127" t="str">
        <f>IFERROR(__xludf.DUMMYFUNCTION("""COMPUTED_VALUE"""),"Tucker Kraft – GB")</f>
        <v>Tucker Kraft – GB</v>
      </c>
      <c r="G45" s="127">
        <f>IFERROR(__xludf.DUMMYFUNCTION("""COMPUTED_VALUE"""),92.6)</f>
        <v>92.6</v>
      </c>
      <c r="H45" s="127" t="str">
        <f>IFERROR(__xludf.DUMMYFUNCTION("""COMPUTED_VALUE"""),"TE")</f>
        <v>TE</v>
      </c>
      <c r="I45" s="178">
        <f>IFERROR(__xludf.DUMMYFUNCTION("""COMPUTED_VALUE"""),5.0)</f>
        <v>5</v>
      </c>
    </row>
    <row r="46">
      <c r="A46" s="125">
        <f>IFERROR(__xludf.DUMMYFUNCTION("""COMPUTED_VALUE"""),9.0)</f>
        <v>9</v>
      </c>
      <c r="B46" s="125">
        <f>IFERROR(__xludf.DUMMYFUNCTION("""COMPUTED_VALUE"""),9.0)</f>
        <v>9</v>
      </c>
      <c r="C46" s="125">
        <f>IFERROR(__xludf.DUMMYFUNCTION("""COMPUTED_VALUE"""),9.0)</f>
        <v>9</v>
      </c>
      <c r="D46" s="125">
        <f>IFERROR(__xludf.DUMMYFUNCTION("""COMPUTED_VALUE"""),9.0)</f>
        <v>9</v>
      </c>
      <c r="E46" s="178">
        <f>IFERROR(__xludf.DUMMYFUNCTION("""COMPUTED_VALUE"""),9.0)</f>
        <v>9</v>
      </c>
      <c r="F46" s="127" t="str">
        <f>IFERROR(__xludf.DUMMYFUNCTION("""COMPUTED_VALUE"""),"Daniel Carlson – LV")</f>
        <v>Daniel Carlson – LV</v>
      </c>
      <c r="G46" s="127">
        <f>IFERROR(__xludf.DUMMYFUNCTION("""COMPUTED_VALUE"""),129.0)</f>
        <v>129</v>
      </c>
      <c r="H46" s="127" t="str">
        <f>IFERROR(__xludf.DUMMYFUNCTION("""COMPUTED_VALUE"""),"K")</f>
        <v>K</v>
      </c>
      <c r="I46" s="178">
        <f>IFERROR(__xludf.DUMMYFUNCTION("""COMPUTED_VALUE"""),8.0)</f>
        <v>8</v>
      </c>
    </row>
    <row r="47">
      <c r="A47" s="125">
        <f>IFERROR(__xludf.DUMMYFUNCTION("""COMPUTED_VALUE"""),10.0)</f>
        <v>10</v>
      </c>
      <c r="B47" s="125">
        <f>IFERROR(__xludf.DUMMYFUNCTION("""COMPUTED_VALUE"""),10.0)</f>
        <v>10</v>
      </c>
      <c r="C47" s="125">
        <f>IFERROR(__xludf.DUMMYFUNCTION("""COMPUTED_VALUE"""),10.0)</f>
        <v>10</v>
      </c>
      <c r="D47" s="125">
        <f>IFERROR(__xludf.DUMMYFUNCTION("""COMPUTED_VALUE"""),10.0)</f>
        <v>10</v>
      </c>
      <c r="E47" s="178">
        <f>IFERROR(__xludf.DUMMYFUNCTION("""COMPUTED_VALUE"""),10.0)</f>
        <v>10</v>
      </c>
      <c r="F47" s="127" t="str">
        <f>IFERROR(__xludf.DUMMYFUNCTION("""COMPUTED_VALUE"""),"De'Von Achane – MIA")</f>
        <v>De'Von Achane – MIA</v>
      </c>
      <c r="G47" s="127">
        <f>IFERROR(__xludf.DUMMYFUNCTION("""COMPUTED_VALUE"""),212.0)</f>
        <v>212</v>
      </c>
      <c r="H47" s="127" t="str">
        <f>IFERROR(__xludf.DUMMYFUNCTION("""COMPUTED_VALUE"""),"RB")</f>
        <v>RB</v>
      </c>
      <c r="I47" s="178">
        <f>IFERROR(__xludf.DUMMYFUNCTION("""COMPUTED_VALUE"""),12.0)</f>
        <v>12</v>
      </c>
    </row>
    <row r="48">
      <c r="A48" s="125">
        <f>IFERROR(__xludf.DUMMYFUNCTION("""COMPUTED_VALUE"""),10.0)</f>
        <v>10</v>
      </c>
      <c r="B48" s="125">
        <f>IFERROR(__xludf.DUMMYFUNCTION("""COMPUTED_VALUE"""),10.0)</f>
        <v>10</v>
      </c>
      <c r="C48" s="125">
        <f>IFERROR(__xludf.DUMMYFUNCTION("""COMPUTED_VALUE"""),10.0)</f>
        <v>10</v>
      </c>
      <c r="D48" s="125">
        <f>IFERROR(__xludf.DUMMYFUNCTION("""COMPUTED_VALUE"""),10.0)</f>
        <v>10</v>
      </c>
      <c r="E48" s="178">
        <f>IFERROR(__xludf.DUMMYFUNCTION("""COMPUTED_VALUE"""),10.0)</f>
        <v>10</v>
      </c>
      <c r="F48" s="127" t="str">
        <f>IFERROR(__xludf.DUMMYFUNCTION("""COMPUTED_VALUE"""),"Tyreek Hill – MIA")</f>
        <v>Tyreek Hill – MIA</v>
      </c>
      <c r="G48" s="127">
        <f>IFERROR(__xludf.DUMMYFUNCTION("""COMPUTED_VALUE"""),168.5)</f>
        <v>168.5</v>
      </c>
      <c r="H48" s="127" t="str">
        <f>IFERROR(__xludf.DUMMYFUNCTION("""COMPUTED_VALUE"""),"WR")</f>
        <v>WR</v>
      </c>
      <c r="I48" s="178">
        <f>IFERROR(__xludf.DUMMYFUNCTION("""COMPUTED_VALUE"""),12.0)</f>
        <v>12</v>
      </c>
    </row>
    <row r="49">
      <c r="A49" s="125">
        <f>IFERROR(__xludf.DUMMYFUNCTION("""COMPUTED_VALUE"""),10.0)</f>
        <v>10</v>
      </c>
      <c r="B49" s="125">
        <f>IFERROR(__xludf.DUMMYFUNCTION("""COMPUTED_VALUE"""),10.0)</f>
        <v>10</v>
      </c>
      <c r="C49" s="125">
        <f>IFERROR(__xludf.DUMMYFUNCTION("""COMPUTED_VALUE"""),10.0)</f>
        <v>10</v>
      </c>
      <c r="D49" s="125">
        <f>IFERROR(__xludf.DUMMYFUNCTION("""COMPUTED_VALUE"""),10.0)</f>
        <v>10</v>
      </c>
      <c r="E49" s="178">
        <f>IFERROR(__xludf.DUMMYFUNCTION("""COMPUTED_VALUE"""),10.0)</f>
        <v>10</v>
      </c>
      <c r="F49" s="127" t="str">
        <f>IFERROR(__xludf.DUMMYFUNCTION("""COMPUTED_VALUE"""),"Bo Nix – DEN")</f>
        <v>Bo Nix – DEN</v>
      </c>
      <c r="G49" s="127">
        <f>IFERROR(__xludf.DUMMYFUNCTION("""COMPUTED_VALUE"""),308.8)</f>
        <v>308.8</v>
      </c>
      <c r="H49" s="127" t="str">
        <f>IFERROR(__xludf.DUMMYFUNCTION("""COMPUTED_VALUE"""),"QB")</f>
        <v>QB</v>
      </c>
      <c r="I49" s="178">
        <f>IFERROR(__xludf.DUMMYFUNCTION("""COMPUTED_VALUE"""),12.0)</f>
        <v>12</v>
      </c>
    </row>
    <row r="50">
      <c r="A50" s="125">
        <f>IFERROR(__xludf.DUMMYFUNCTION("""COMPUTED_VALUE"""),10.0)</f>
        <v>10</v>
      </c>
      <c r="B50" s="125">
        <f>IFERROR(__xludf.DUMMYFUNCTION("""COMPUTED_VALUE"""),10.0)</f>
        <v>10</v>
      </c>
      <c r="C50" s="125">
        <f>IFERROR(__xludf.DUMMYFUNCTION("""COMPUTED_VALUE"""),10.0)</f>
        <v>10</v>
      </c>
      <c r="D50" s="125">
        <f>IFERROR(__xludf.DUMMYFUNCTION("""COMPUTED_VALUE"""),10.0)</f>
        <v>10</v>
      </c>
      <c r="E50" s="178">
        <f>IFERROR(__xludf.DUMMYFUNCTION("""COMPUTED_VALUE"""),10.0)</f>
        <v>10</v>
      </c>
      <c r="F50" s="127" t="str">
        <f>IFERROR(__xludf.DUMMYFUNCTION("""COMPUTED_VALUE"""),"Tyler Warren – IND")</f>
        <v>Tyler Warren – IND</v>
      </c>
      <c r="G50" s="127">
        <f>IFERROR(__xludf.DUMMYFUNCTION("""COMPUTED_VALUE"""),88.7)</f>
        <v>88.7</v>
      </c>
      <c r="H50" s="127" t="str">
        <f>IFERROR(__xludf.DUMMYFUNCTION("""COMPUTED_VALUE"""),"TE")</f>
        <v>TE</v>
      </c>
      <c r="I50" s="178">
        <f>IFERROR(__xludf.DUMMYFUNCTION("""COMPUTED_VALUE"""),11.0)</f>
        <v>11</v>
      </c>
    </row>
    <row r="51">
      <c r="A51" s="125">
        <f>IFERROR(__xludf.DUMMYFUNCTION("""COMPUTED_VALUE"""),10.0)</f>
        <v>10</v>
      </c>
      <c r="B51" s="125">
        <f>IFERROR(__xludf.DUMMYFUNCTION("""COMPUTED_VALUE"""),10.0)</f>
        <v>10</v>
      </c>
      <c r="C51" s="125">
        <f>IFERROR(__xludf.DUMMYFUNCTION("""COMPUTED_VALUE"""),10.0)</f>
        <v>10</v>
      </c>
      <c r="D51" s="125">
        <f>IFERROR(__xludf.DUMMYFUNCTION("""COMPUTED_VALUE"""),10.0)</f>
        <v>10</v>
      </c>
      <c r="E51" s="178">
        <f>IFERROR(__xludf.DUMMYFUNCTION("""COMPUTED_VALUE"""),10.0)</f>
        <v>10</v>
      </c>
      <c r="F51" s="127" t="str">
        <f>IFERROR(__xludf.DUMMYFUNCTION("""COMPUTED_VALUE"""),"Ka’imi Fairbairn – HOU")</f>
        <v>Ka’imi Fairbairn – HOU</v>
      </c>
      <c r="G51" s="127">
        <f>IFERROR(__xludf.DUMMYFUNCTION("""COMPUTED_VALUE"""),128.0)</f>
        <v>128</v>
      </c>
      <c r="H51" s="127" t="str">
        <f>IFERROR(__xludf.DUMMYFUNCTION("""COMPUTED_VALUE"""),"K")</f>
        <v>K</v>
      </c>
      <c r="I51" s="178">
        <f>IFERROR(__xludf.DUMMYFUNCTION("""COMPUTED_VALUE"""),6.0)</f>
        <v>6</v>
      </c>
    </row>
    <row r="52">
      <c r="A52" s="125">
        <f>IFERROR(__xludf.DUMMYFUNCTION("""COMPUTED_VALUE"""),11.0)</f>
        <v>11</v>
      </c>
      <c r="B52" s="125">
        <f>IFERROR(__xludf.DUMMYFUNCTION("""COMPUTED_VALUE"""),11.0)</f>
        <v>11</v>
      </c>
      <c r="C52" s="125">
        <f>IFERROR(__xludf.DUMMYFUNCTION("""COMPUTED_VALUE"""),11.0)</f>
        <v>11</v>
      </c>
      <c r="D52" s="125">
        <f>IFERROR(__xludf.DUMMYFUNCTION("""COMPUTED_VALUE"""),11.0)</f>
        <v>11</v>
      </c>
      <c r="E52" s="178">
        <f>IFERROR(__xludf.DUMMYFUNCTION("""COMPUTED_VALUE"""),11.0)</f>
        <v>11</v>
      </c>
      <c r="F52" s="127" t="str">
        <f>IFERROR(__xludf.DUMMYFUNCTION("""COMPUTED_VALUE"""),"Bucky Irving – TB")</f>
        <v>Bucky Irving – TB</v>
      </c>
      <c r="G52" s="127">
        <f>IFERROR(__xludf.DUMMYFUNCTION("""COMPUTED_VALUE"""),210.0)</f>
        <v>210</v>
      </c>
      <c r="H52" s="127" t="str">
        <f>IFERROR(__xludf.DUMMYFUNCTION("""COMPUTED_VALUE"""),"RB")</f>
        <v>RB</v>
      </c>
      <c r="I52" s="178">
        <f>IFERROR(__xludf.DUMMYFUNCTION("""COMPUTED_VALUE"""),9.0)</f>
        <v>9</v>
      </c>
    </row>
    <row r="53">
      <c r="A53" s="125">
        <f>IFERROR(__xludf.DUMMYFUNCTION("""COMPUTED_VALUE"""),11.0)</f>
        <v>11</v>
      </c>
      <c r="B53" s="125">
        <f>IFERROR(__xludf.DUMMYFUNCTION("""COMPUTED_VALUE"""),11.0)</f>
        <v>11</v>
      </c>
      <c r="C53" s="125">
        <f>IFERROR(__xludf.DUMMYFUNCTION("""COMPUTED_VALUE"""),11.0)</f>
        <v>11</v>
      </c>
      <c r="D53" s="125">
        <f>IFERROR(__xludf.DUMMYFUNCTION("""COMPUTED_VALUE"""),11.0)</f>
        <v>11</v>
      </c>
      <c r="E53" s="178">
        <f>IFERROR(__xludf.DUMMYFUNCTION("""COMPUTED_VALUE"""),11.0)</f>
        <v>11</v>
      </c>
      <c r="F53" s="127" t="str">
        <f>IFERROR(__xludf.DUMMYFUNCTION("""COMPUTED_VALUE"""),"Drake London – ATL")</f>
        <v>Drake London – ATL</v>
      </c>
      <c r="G53" s="127">
        <f>IFERROR(__xludf.DUMMYFUNCTION("""COMPUTED_VALUE"""),167.1)</f>
        <v>167.1</v>
      </c>
      <c r="H53" s="127" t="str">
        <f>IFERROR(__xludf.DUMMYFUNCTION("""COMPUTED_VALUE"""),"WR")</f>
        <v>WR</v>
      </c>
      <c r="I53" s="178">
        <f>IFERROR(__xludf.DUMMYFUNCTION("""COMPUTED_VALUE"""),5.0)</f>
        <v>5</v>
      </c>
    </row>
    <row r="54">
      <c r="A54" s="125">
        <f>IFERROR(__xludf.DUMMYFUNCTION("""COMPUTED_VALUE"""),11.0)</f>
        <v>11</v>
      </c>
      <c r="B54" s="125">
        <f>IFERROR(__xludf.DUMMYFUNCTION("""COMPUTED_VALUE"""),11.0)</f>
        <v>11</v>
      </c>
      <c r="C54" s="125">
        <f>IFERROR(__xludf.DUMMYFUNCTION("""COMPUTED_VALUE"""),11.0)</f>
        <v>11</v>
      </c>
      <c r="D54" s="125">
        <f>IFERROR(__xludf.DUMMYFUNCTION("""COMPUTED_VALUE"""),11.0)</f>
        <v>11</v>
      </c>
      <c r="E54" s="178">
        <f>IFERROR(__xludf.DUMMYFUNCTION("""COMPUTED_VALUE"""),11.0)</f>
        <v>11</v>
      </c>
      <c r="F54" s="127" t="str">
        <f>IFERROR(__xludf.DUMMYFUNCTION("""COMPUTED_VALUE"""),"Justin Fields – NYJ")</f>
        <v>Justin Fields – NYJ</v>
      </c>
      <c r="G54" s="127">
        <f>IFERROR(__xludf.DUMMYFUNCTION("""COMPUTED_VALUE"""),300.9)</f>
        <v>300.9</v>
      </c>
      <c r="H54" s="127" t="str">
        <f>IFERROR(__xludf.DUMMYFUNCTION("""COMPUTED_VALUE"""),"QB")</f>
        <v>QB</v>
      </c>
      <c r="I54" s="178">
        <f>IFERROR(__xludf.DUMMYFUNCTION("""COMPUTED_VALUE"""),9.0)</f>
        <v>9</v>
      </c>
    </row>
    <row r="55">
      <c r="A55" s="125">
        <f>IFERROR(__xludf.DUMMYFUNCTION("""COMPUTED_VALUE"""),11.0)</f>
        <v>11</v>
      </c>
      <c r="B55" s="125">
        <f>IFERROR(__xludf.DUMMYFUNCTION("""COMPUTED_VALUE"""),11.0)</f>
        <v>11</v>
      </c>
      <c r="C55" s="125">
        <f>IFERROR(__xludf.DUMMYFUNCTION("""COMPUTED_VALUE"""),11.0)</f>
        <v>11</v>
      </c>
      <c r="D55" s="125">
        <f>IFERROR(__xludf.DUMMYFUNCTION("""COMPUTED_VALUE"""),11.0)</f>
        <v>11</v>
      </c>
      <c r="E55" s="178">
        <f>IFERROR(__xludf.DUMMYFUNCTION("""COMPUTED_VALUE"""),11.0)</f>
        <v>11</v>
      </c>
      <c r="F55" s="127" t="str">
        <f>IFERROR(__xludf.DUMMYFUNCTION("""COMPUTED_VALUE"""),"Dallas Goedert – PHI")</f>
        <v>Dallas Goedert – PHI</v>
      </c>
      <c r="G55" s="127">
        <f>IFERROR(__xludf.DUMMYFUNCTION("""COMPUTED_VALUE"""),85.8)</f>
        <v>85.8</v>
      </c>
      <c r="H55" s="127" t="str">
        <f>IFERROR(__xludf.DUMMYFUNCTION("""COMPUTED_VALUE"""),"TE")</f>
        <v>TE</v>
      </c>
      <c r="I55" s="178">
        <f>IFERROR(__xludf.DUMMYFUNCTION("""COMPUTED_VALUE"""),9.0)</f>
        <v>9</v>
      </c>
    </row>
    <row r="56">
      <c r="A56" s="125">
        <f>IFERROR(__xludf.DUMMYFUNCTION("""COMPUTED_VALUE"""),11.0)</f>
        <v>11</v>
      </c>
      <c r="B56" s="125">
        <f>IFERROR(__xludf.DUMMYFUNCTION("""COMPUTED_VALUE"""),11.0)</f>
        <v>11</v>
      </c>
      <c r="C56" s="125">
        <f>IFERROR(__xludf.DUMMYFUNCTION("""COMPUTED_VALUE"""),11.0)</f>
        <v>11</v>
      </c>
      <c r="D56" s="125">
        <f>IFERROR(__xludf.DUMMYFUNCTION("""COMPUTED_VALUE"""),11.0)</f>
        <v>11</v>
      </c>
      <c r="E56" s="178">
        <f>IFERROR(__xludf.DUMMYFUNCTION("""COMPUTED_VALUE"""),11.0)</f>
        <v>11</v>
      </c>
      <c r="F56" s="127" t="str">
        <f>IFERROR(__xludf.DUMMYFUNCTION("""COMPUTED_VALUE"""),"Evan McPherson – CIN")</f>
        <v>Evan McPherson – CIN</v>
      </c>
      <c r="G56" s="127">
        <f>IFERROR(__xludf.DUMMYFUNCTION("""COMPUTED_VALUE"""),127.0)</f>
        <v>127</v>
      </c>
      <c r="H56" s="127" t="str">
        <f>IFERROR(__xludf.DUMMYFUNCTION("""COMPUTED_VALUE"""),"K")</f>
        <v>K</v>
      </c>
      <c r="I56" s="178">
        <f>IFERROR(__xludf.DUMMYFUNCTION("""COMPUTED_VALUE"""),10.0)</f>
        <v>10</v>
      </c>
    </row>
    <row r="57">
      <c r="A57" s="125">
        <f>IFERROR(__xludf.DUMMYFUNCTION("""COMPUTED_VALUE"""),12.0)</f>
        <v>12</v>
      </c>
      <c r="B57" s="125">
        <f>IFERROR(__xludf.DUMMYFUNCTION("""COMPUTED_VALUE"""),12.0)</f>
        <v>12</v>
      </c>
      <c r="C57" s="125">
        <f>IFERROR(__xludf.DUMMYFUNCTION("""COMPUTED_VALUE"""),12.0)</f>
        <v>12</v>
      </c>
      <c r="D57" s="125">
        <f>IFERROR(__xludf.DUMMYFUNCTION("""COMPUTED_VALUE"""),12.0)</f>
        <v>12</v>
      </c>
      <c r="E57" s="178">
        <f>IFERROR(__xludf.DUMMYFUNCTION("""COMPUTED_VALUE"""),12.0)</f>
        <v>12</v>
      </c>
      <c r="F57" s="127" t="str">
        <f>IFERROR(__xludf.DUMMYFUNCTION("""COMPUTED_VALUE"""),"James Cook – BUF")</f>
        <v>James Cook – BUF</v>
      </c>
      <c r="G57" s="127">
        <f>IFERROR(__xludf.DUMMYFUNCTION("""COMPUTED_VALUE"""),195.0)</f>
        <v>195</v>
      </c>
      <c r="H57" s="127" t="str">
        <f>IFERROR(__xludf.DUMMYFUNCTION("""COMPUTED_VALUE"""),"RB")</f>
        <v>RB</v>
      </c>
      <c r="I57" s="178">
        <f>IFERROR(__xludf.DUMMYFUNCTION("""COMPUTED_VALUE"""),7.0)</f>
        <v>7</v>
      </c>
    </row>
    <row r="58">
      <c r="A58" s="125">
        <f>IFERROR(__xludf.DUMMYFUNCTION("""COMPUTED_VALUE"""),12.0)</f>
        <v>12</v>
      </c>
      <c r="B58" s="125">
        <f>IFERROR(__xludf.DUMMYFUNCTION("""COMPUTED_VALUE"""),12.0)</f>
        <v>12</v>
      </c>
      <c r="C58" s="125">
        <f>IFERROR(__xludf.DUMMYFUNCTION("""COMPUTED_VALUE"""),12.0)</f>
        <v>12</v>
      </c>
      <c r="D58" s="125">
        <f>IFERROR(__xludf.DUMMYFUNCTION("""COMPUTED_VALUE"""),12.0)</f>
        <v>12</v>
      </c>
      <c r="E58" s="178">
        <f>IFERROR(__xludf.DUMMYFUNCTION("""COMPUTED_VALUE"""),12.0)</f>
        <v>12</v>
      </c>
      <c r="F58" s="127" t="str">
        <f>IFERROR(__xludf.DUMMYFUNCTION("""COMPUTED_VALUE"""),"Ladd McConkey – LAC")</f>
        <v>Ladd McConkey – LAC</v>
      </c>
      <c r="G58" s="127">
        <f>IFERROR(__xludf.DUMMYFUNCTION("""COMPUTED_VALUE"""),165.4)</f>
        <v>165.4</v>
      </c>
      <c r="H58" s="127" t="str">
        <f>IFERROR(__xludf.DUMMYFUNCTION("""COMPUTED_VALUE"""),"WR")</f>
        <v>WR</v>
      </c>
      <c r="I58" s="178">
        <f>IFERROR(__xludf.DUMMYFUNCTION("""COMPUTED_VALUE"""),12.0)</f>
        <v>12</v>
      </c>
    </row>
    <row r="59">
      <c r="A59" s="125">
        <f>IFERROR(__xludf.DUMMYFUNCTION("""COMPUTED_VALUE"""),12.0)</f>
        <v>12</v>
      </c>
      <c r="B59" s="125">
        <f>IFERROR(__xludf.DUMMYFUNCTION("""COMPUTED_VALUE"""),12.0)</f>
        <v>12</v>
      </c>
      <c r="C59" s="125">
        <f>IFERROR(__xludf.DUMMYFUNCTION("""COMPUTED_VALUE"""),12.0)</f>
        <v>12</v>
      </c>
      <c r="D59" s="125">
        <f>IFERROR(__xludf.DUMMYFUNCTION("""COMPUTED_VALUE"""),12.0)</f>
        <v>12</v>
      </c>
      <c r="E59" s="178">
        <f>IFERROR(__xludf.DUMMYFUNCTION("""COMPUTED_VALUE"""),12.0)</f>
        <v>12</v>
      </c>
      <c r="F59" s="127" t="str">
        <f>IFERROR(__xludf.DUMMYFUNCTION("""COMPUTED_VALUE"""),"Justin Herbert – LAC")</f>
        <v>Justin Herbert – LAC</v>
      </c>
      <c r="G59" s="127">
        <f>IFERROR(__xludf.DUMMYFUNCTION("""COMPUTED_VALUE"""),293.8)</f>
        <v>293.8</v>
      </c>
      <c r="H59" s="127" t="str">
        <f>IFERROR(__xludf.DUMMYFUNCTION("""COMPUTED_VALUE"""),"QB")</f>
        <v>QB</v>
      </c>
      <c r="I59" s="178">
        <f>IFERROR(__xludf.DUMMYFUNCTION("""COMPUTED_VALUE"""),12.0)</f>
        <v>12</v>
      </c>
    </row>
    <row r="60">
      <c r="A60" s="125">
        <f>IFERROR(__xludf.DUMMYFUNCTION("""COMPUTED_VALUE"""),12.0)</f>
        <v>12</v>
      </c>
      <c r="B60" s="125">
        <f>IFERROR(__xludf.DUMMYFUNCTION("""COMPUTED_VALUE"""),12.0)</f>
        <v>12</v>
      </c>
      <c r="C60" s="125">
        <f>IFERROR(__xludf.DUMMYFUNCTION("""COMPUTED_VALUE"""),12.0)</f>
        <v>12</v>
      </c>
      <c r="D60" s="125">
        <f>IFERROR(__xludf.DUMMYFUNCTION("""COMPUTED_VALUE"""),12.0)</f>
        <v>12</v>
      </c>
      <c r="E60" s="178">
        <f>IFERROR(__xludf.DUMMYFUNCTION("""COMPUTED_VALUE"""),12.0)</f>
        <v>12</v>
      </c>
      <c r="F60" s="127" t="str">
        <f>IFERROR(__xludf.DUMMYFUNCTION("""COMPUTED_VALUE"""),"Zach Ertz – WAS")</f>
        <v>Zach Ertz – WAS</v>
      </c>
      <c r="G60" s="127">
        <f>IFERROR(__xludf.DUMMYFUNCTION("""COMPUTED_VALUE"""),84.2)</f>
        <v>84.2</v>
      </c>
      <c r="H60" s="127" t="str">
        <f>IFERROR(__xludf.DUMMYFUNCTION("""COMPUTED_VALUE"""),"TE")</f>
        <v>TE</v>
      </c>
      <c r="I60" s="178">
        <f>IFERROR(__xludf.DUMMYFUNCTION("""COMPUTED_VALUE"""),12.0)</f>
        <v>12</v>
      </c>
    </row>
    <row r="61">
      <c r="A61" s="125">
        <f>IFERROR(__xludf.DUMMYFUNCTION("""COMPUTED_VALUE"""),12.0)</f>
        <v>12</v>
      </c>
      <c r="B61" s="125">
        <f>IFERROR(__xludf.DUMMYFUNCTION("""COMPUTED_VALUE"""),12.0)</f>
        <v>12</v>
      </c>
      <c r="C61" s="125">
        <f>IFERROR(__xludf.DUMMYFUNCTION("""COMPUTED_VALUE"""),12.0)</f>
        <v>12</v>
      </c>
      <c r="D61" s="125">
        <f>IFERROR(__xludf.DUMMYFUNCTION("""COMPUTED_VALUE"""),12.0)</f>
        <v>12</v>
      </c>
      <c r="E61" s="178">
        <f>IFERROR(__xludf.DUMMYFUNCTION("""COMPUTED_VALUE"""),12.0)</f>
        <v>12</v>
      </c>
      <c r="F61" s="127" t="str">
        <f>IFERROR(__xludf.DUMMYFUNCTION("""COMPUTED_VALUE"""),"Tyler Bass – BUF")</f>
        <v>Tyler Bass – BUF</v>
      </c>
      <c r="G61" s="127">
        <f>IFERROR(__xludf.DUMMYFUNCTION("""COMPUTED_VALUE"""),126.0)</f>
        <v>126</v>
      </c>
      <c r="H61" s="127" t="str">
        <f>IFERROR(__xludf.DUMMYFUNCTION("""COMPUTED_VALUE"""),"K")</f>
        <v>K</v>
      </c>
      <c r="I61" s="178">
        <f>IFERROR(__xludf.DUMMYFUNCTION("""COMPUTED_VALUE"""),7.0)</f>
        <v>7</v>
      </c>
    </row>
    <row r="62">
      <c r="A62" s="125">
        <f>IFERROR(__xludf.DUMMYFUNCTION("""COMPUTED_VALUE"""),13.0)</f>
        <v>13</v>
      </c>
      <c r="B62" s="125">
        <f>IFERROR(__xludf.DUMMYFUNCTION("""COMPUTED_VALUE"""),13.0)</f>
        <v>13</v>
      </c>
      <c r="C62" s="125">
        <f>IFERROR(__xludf.DUMMYFUNCTION("""COMPUTED_VALUE"""),13.0)</f>
        <v>13</v>
      </c>
      <c r="D62" s="125">
        <f>IFERROR(__xludf.DUMMYFUNCTION("""COMPUTED_VALUE"""),13.0)</f>
        <v>13</v>
      </c>
      <c r="E62" s="178">
        <f>IFERROR(__xludf.DUMMYFUNCTION("""COMPUTED_VALUE"""),13.0)</f>
        <v>13</v>
      </c>
      <c r="F62" s="127" t="str">
        <f>IFERROR(__xludf.DUMMYFUNCTION("""COMPUTED_VALUE"""),"Chase Brown – CIN")</f>
        <v>Chase Brown – CIN</v>
      </c>
      <c r="G62" s="127">
        <f>IFERROR(__xludf.DUMMYFUNCTION("""COMPUTED_VALUE"""),186.0)</f>
        <v>186</v>
      </c>
      <c r="H62" s="127" t="str">
        <f>IFERROR(__xludf.DUMMYFUNCTION("""COMPUTED_VALUE"""),"RB")</f>
        <v>RB</v>
      </c>
      <c r="I62" s="178">
        <f>IFERROR(__xludf.DUMMYFUNCTION("""COMPUTED_VALUE"""),10.0)</f>
        <v>10</v>
      </c>
    </row>
    <row r="63">
      <c r="A63" s="125">
        <f>IFERROR(__xludf.DUMMYFUNCTION("""COMPUTED_VALUE"""),13.0)</f>
        <v>13</v>
      </c>
      <c r="B63" s="125">
        <f>IFERROR(__xludf.DUMMYFUNCTION("""COMPUTED_VALUE"""),13.0)</f>
        <v>13</v>
      </c>
      <c r="C63" s="125">
        <f>IFERROR(__xludf.DUMMYFUNCTION("""COMPUTED_VALUE"""),13.0)</f>
        <v>13</v>
      </c>
      <c r="D63" s="125">
        <f>IFERROR(__xludf.DUMMYFUNCTION("""COMPUTED_VALUE"""),13.0)</f>
        <v>13</v>
      </c>
      <c r="E63" s="178">
        <f>IFERROR(__xludf.DUMMYFUNCTION("""COMPUTED_VALUE"""),13.0)</f>
        <v>13</v>
      </c>
      <c r="F63" s="127" t="str">
        <f>IFERROR(__xludf.DUMMYFUNCTION("""COMPUTED_VALUE"""),"Mike Evans – TB")</f>
        <v>Mike Evans – TB</v>
      </c>
      <c r="G63" s="127">
        <f>IFERROR(__xludf.DUMMYFUNCTION("""COMPUTED_VALUE"""),164.5)</f>
        <v>164.5</v>
      </c>
      <c r="H63" s="127" t="str">
        <f>IFERROR(__xludf.DUMMYFUNCTION("""COMPUTED_VALUE"""),"WR")</f>
        <v>WR</v>
      </c>
      <c r="I63" s="178">
        <f>IFERROR(__xludf.DUMMYFUNCTION("""COMPUTED_VALUE"""),9.0)</f>
        <v>9</v>
      </c>
    </row>
    <row r="64">
      <c r="A64" s="125">
        <f>IFERROR(__xludf.DUMMYFUNCTION("""COMPUTED_VALUE"""),13.0)</f>
        <v>13</v>
      </c>
      <c r="B64" s="125">
        <f>IFERROR(__xludf.DUMMYFUNCTION("""COMPUTED_VALUE"""),13.0)</f>
        <v>13</v>
      </c>
      <c r="C64" s="125">
        <f>IFERROR(__xludf.DUMMYFUNCTION("""COMPUTED_VALUE"""),13.0)</f>
        <v>13</v>
      </c>
      <c r="D64" s="125">
        <f>IFERROR(__xludf.DUMMYFUNCTION("""COMPUTED_VALUE"""),13.0)</f>
        <v>13</v>
      </c>
      <c r="E64" s="178">
        <f>IFERROR(__xludf.DUMMYFUNCTION("""COMPUTED_VALUE"""),13.0)</f>
        <v>13</v>
      </c>
      <c r="F64" s="127" t="str">
        <f>IFERROR(__xludf.DUMMYFUNCTION("""COMPUTED_VALUE"""),"Jared Goff – DET")</f>
        <v>Jared Goff – DET</v>
      </c>
      <c r="G64" s="127">
        <f>IFERROR(__xludf.DUMMYFUNCTION("""COMPUTED_VALUE"""),290.0)</f>
        <v>290</v>
      </c>
      <c r="H64" s="127" t="str">
        <f>IFERROR(__xludf.DUMMYFUNCTION("""COMPUTED_VALUE"""),"QB")</f>
        <v>QB</v>
      </c>
      <c r="I64" s="178">
        <f>IFERROR(__xludf.DUMMYFUNCTION("""COMPUTED_VALUE"""),8.0)</f>
        <v>8</v>
      </c>
    </row>
    <row r="65">
      <c r="A65" s="125">
        <f>IFERROR(__xludf.DUMMYFUNCTION("""COMPUTED_VALUE"""),13.0)</f>
        <v>13</v>
      </c>
      <c r="B65" s="125">
        <f>IFERROR(__xludf.DUMMYFUNCTION("""COMPUTED_VALUE"""),13.0)</f>
        <v>13</v>
      </c>
      <c r="C65" s="125">
        <f>IFERROR(__xludf.DUMMYFUNCTION("""COMPUTED_VALUE"""),13.0)</f>
        <v>13</v>
      </c>
      <c r="D65" s="125">
        <f>IFERROR(__xludf.DUMMYFUNCTION("""COMPUTED_VALUE"""),13.0)</f>
        <v>13</v>
      </c>
      <c r="E65" s="178">
        <f>IFERROR(__xludf.DUMMYFUNCTION("""COMPUTED_VALUE"""),13.0)</f>
        <v>13</v>
      </c>
      <c r="F65" s="127" t="str">
        <f>IFERROR(__xludf.DUMMYFUNCTION("""COMPUTED_VALUE"""),"Dalton Kincaid – BUF")</f>
        <v>Dalton Kincaid – BUF</v>
      </c>
      <c r="G65" s="127">
        <f>IFERROR(__xludf.DUMMYFUNCTION("""COMPUTED_VALUE"""),83.6)</f>
        <v>83.6</v>
      </c>
      <c r="H65" s="127" t="str">
        <f>IFERROR(__xludf.DUMMYFUNCTION("""COMPUTED_VALUE"""),"TE")</f>
        <v>TE</v>
      </c>
      <c r="I65" s="178">
        <f>IFERROR(__xludf.DUMMYFUNCTION("""COMPUTED_VALUE"""),7.0)</f>
        <v>7</v>
      </c>
    </row>
    <row r="66">
      <c r="A66" s="125">
        <f>IFERROR(__xludf.DUMMYFUNCTION("""COMPUTED_VALUE"""),13.0)</f>
        <v>13</v>
      </c>
      <c r="B66" s="125">
        <f>IFERROR(__xludf.DUMMYFUNCTION("""COMPUTED_VALUE"""),13.0)</f>
        <v>13</v>
      </c>
      <c r="C66" s="125">
        <f>IFERROR(__xludf.DUMMYFUNCTION("""COMPUTED_VALUE"""),13.0)</f>
        <v>13</v>
      </c>
      <c r="D66" s="125">
        <f>IFERROR(__xludf.DUMMYFUNCTION("""COMPUTED_VALUE"""),13.0)</f>
        <v>13</v>
      </c>
      <c r="E66" s="178">
        <f>IFERROR(__xludf.DUMMYFUNCTION("""COMPUTED_VALUE"""),13.0)</f>
        <v>13</v>
      </c>
      <c r="F66" s="127" t="str">
        <f>IFERROR(__xludf.DUMMYFUNCTION("""COMPUTED_VALUE"""),"Wil Lutz – DEN")</f>
        <v>Wil Lutz – DEN</v>
      </c>
      <c r="G66" s="127">
        <f>IFERROR(__xludf.DUMMYFUNCTION("""COMPUTED_VALUE"""),126.0)</f>
        <v>126</v>
      </c>
      <c r="H66" s="127" t="str">
        <f>IFERROR(__xludf.DUMMYFUNCTION("""COMPUTED_VALUE"""),"K")</f>
        <v>K</v>
      </c>
      <c r="I66" s="178">
        <f>IFERROR(__xludf.DUMMYFUNCTION("""COMPUTED_VALUE"""),12.0)</f>
        <v>12</v>
      </c>
    </row>
    <row r="67">
      <c r="A67" s="125">
        <f>IFERROR(__xludf.DUMMYFUNCTION("""COMPUTED_VALUE"""),14.0)</f>
        <v>14</v>
      </c>
      <c r="B67" s="125">
        <f>IFERROR(__xludf.DUMMYFUNCTION("""COMPUTED_VALUE"""),14.0)</f>
        <v>14</v>
      </c>
      <c r="C67" s="125">
        <f>IFERROR(__xludf.DUMMYFUNCTION("""COMPUTED_VALUE"""),14.0)</f>
        <v>14</v>
      </c>
      <c r="D67" s="125">
        <f>IFERROR(__xludf.DUMMYFUNCTION("""COMPUTED_VALUE"""),14.0)</f>
        <v>14</v>
      </c>
      <c r="E67" s="178">
        <f>IFERROR(__xludf.DUMMYFUNCTION("""COMPUTED_VALUE"""),14.0)</f>
        <v>14</v>
      </c>
      <c r="F67" s="127" t="str">
        <f>IFERROR(__xludf.DUMMYFUNCTION("""COMPUTED_VALUE"""),"Omarion Hampton – LAC")</f>
        <v>Omarion Hampton – LAC</v>
      </c>
      <c r="G67" s="127">
        <f>IFERROR(__xludf.DUMMYFUNCTION("""COMPUTED_VALUE"""),177.0)</f>
        <v>177</v>
      </c>
      <c r="H67" s="127" t="str">
        <f>IFERROR(__xludf.DUMMYFUNCTION("""COMPUTED_VALUE"""),"RB")</f>
        <v>RB</v>
      </c>
      <c r="I67" s="178">
        <f>IFERROR(__xludf.DUMMYFUNCTION("""COMPUTED_VALUE"""),12.0)</f>
        <v>12</v>
      </c>
    </row>
    <row r="68">
      <c r="A68" s="125">
        <f>IFERROR(__xludf.DUMMYFUNCTION("""COMPUTED_VALUE"""),14.0)</f>
        <v>14</v>
      </c>
      <c r="B68" s="125">
        <f>IFERROR(__xludf.DUMMYFUNCTION("""COMPUTED_VALUE"""),14.0)</f>
        <v>14</v>
      </c>
      <c r="C68" s="125">
        <f>IFERROR(__xludf.DUMMYFUNCTION("""COMPUTED_VALUE"""),14.0)</f>
        <v>14</v>
      </c>
      <c r="D68" s="125">
        <f>IFERROR(__xludf.DUMMYFUNCTION("""COMPUTED_VALUE"""),14.0)</f>
        <v>14</v>
      </c>
      <c r="E68" s="178">
        <f>IFERROR(__xludf.DUMMYFUNCTION("""COMPUTED_VALUE"""),14.0)</f>
        <v>14</v>
      </c>
      <c r="F68" s="127" t="str">
        <f>IFERROR(__xludf.DUMMYFUNCTION("""COMPUTED_VALUE"""),"Tee Higgins – CIN")</f>
        <v>Tee Higgins – CIN</v>
      </c>
      <c r="G68" s="127">
        <f>IFERROR(__xludf.DUMMYFUNCTION("""COMPUTED_VALUE"""),161.1)</f>
        <v>161.1</v>
      </c>
      <c r="H68" s="127" t="str">
        <f>IFERROR(__xludf.DUMMYFUNCTION("""COMPUTED_VALUE"""),"WR")</f>
        <v>WR</v>
      </c>
      <c r="I68" s="178">
        <f>IFERROR(__xludf.DUMMYFUNCTION("""COMPUTED_VALUE"""),10.0)</f>
        <v>10</v>
      </c>
    </row>
    <row r="69">
      <c r="A69" s="125">
        <f>IFERROR(__xludf.DUMMYFUNCTION("""COMPUTED_VALUE"""),14.0)</f>
        <v>14</v>
      </c>
      <c r="B69" s="125">
        <f>IFERROR(__xludf.DUMMYFUNCTION("""COMPUTED_VALUE"""),14.0)</f>
        <v>14</v>
      </c>
      <c r="C69" s="125">
        <f>IFERROR(__xludf.DUMMYFUNCTION("""COMPUTED_VALUE"""),14.0)</f>
        <v>14</v>
      </c>
      <c r="D69" s="125">
        <f>IFERROR(__xludf.DUMMYFUNCTION("""COMPUTED_VALUE"""),14.0)</f>
        <v>14</v>
      </c>
      <c r="E69" s="178">
        <f>IFERROR(__xludf.DUMMYFUNCTION("""COMPUTED_VALUE"""),14.0)</f>
        <v>14</v>
      </c>
      <c r="F69" s="127" t="str">
        <f>IFERROR(__xludf.DUMMYFUNCTION("""COMPUTED_VALUE"""),"Dak Prescott – DAL")</f>
        <v>Dak Prescott – DAL</v>
      </c>
      <c r="G69" s="127">
        <f>IFERROR(__xludf.DUMMYFUNCTION("""COMPUTED_VALUE"""),290.0)</f>
        <v>290</v>
      </c>
      <c r="H69" s="127" t="str">
        <f>IFERROR(__xludf.DUMMYFUNCTION("""COMPUTED_VALUE"""),"QB")</f>
        <v>QB</v>
      </c>
      <c r="I69" s="178">
        <f>IFERROR(__xludf.DUMMYFUNCTION("""COMPUTED_VALUE"""),10.0)</f>
        <v>10</v>
      </c>
    </row>
    <row r="70">
      <c r="A70" s="125">
        <f>IFERROR(__xludf.DUMMYFUNCTION("""COMPUTED_VALUE"""),14.0)</f>
        <v>14</v>
      </c>
      <c r="B70" s="125">
        <f>IFERROR(__xludf.DUMMYFUNCTION("""COMPUTED_VALUE"""),14.0)</f>
        <v>14</v>
      </c>
      <c r="C70" s="125">
        <f>IFERROR(__xludf.DUMMYFUNCTION("""COMPUTED_VALUE"""),14.0)</f>
        <v>14</v>
      </c>
      <c r="D70" s="125">
        <f>IFERROR(__xludf.DUMMYFUNCTION("""COMPUTED_VALUE"""),14.0)</f>
        <v>14</v>
      </c>
      <c r="E70" s="178">
        <f>IFERROR(__xludf.DUMMYFUNCTION("""COMPUTED_VALUE"""),14.0)</f>
        <v>14</v>
      </c>
      <c r="F70" s="127" t="str">
        <f>IFERROR(__xludf.DUMMYFUNCTION("""COMPUTED_VALUE"""),"Evan Engram – DEN")</f>
        <v>Evan Engram – DEN</v>
      </c>
      <c r="G70" s="127">
        <f>IFERROR(__xludf.DUMMYFUNCTION("""COMPUTED_VALUE"""),83.4)</f>
        <v>83.4</v>
      </c>
      <c r="H70" s="127" t="str">
        <f>IFERROR(__xludf.DUMMYFUNCTION("""COMPUTED_VALUE"""),"TE")</f>
        <v>TE</v>
      </c>
      <c r="I70" s="178">
        <f>IFERROR(__xludf.DUMMYFUNCTION("""COMPUTED_VALUE"""),12.0)</f>
        <v>12</v>
      </c>
    </row>
    <row r="71">
      <c r="A71" s="125">
        <f>IFERROR(__xludf.DUMMYFUNCTION("""COMPUTED_VALUE"""),14.0)</f>
        <v>14</v>
      </c>
      <c r="B71" s="125">
        <f>IFERROR(__xludf.DUMMYFUNCTION("""COMPUTED_VALUE"""),14.0)</f>
        <v>14</v>
      </c>
      <c r="C71" s="125">
        <f>IFERROR(__xludf.DUMMYFUNCTION("""COMPUTED_VALUE"""),14.0)</f>
        <v>14</v>
      </c>
      <c r="D71" s="125">
        <f>IFERROR(__xludf.DUMMYFUNCTION("""COMPUTED_VALUE"""),14.0)</f>
        <v>14</v>
      </c>
      <c r="E71" s="178">
        <f>IFERROR(__xludf.DUMMYFUNCTION("""COMPUTED_VALUE"""),14.0)</f>
        <v>14</v>
      </c>
      <c r="F71" s="127" t="str">
        <f>IFERROR(__xludf.DUMMYFUNCTION("""COMPUTED_VALUE"""),"Jason Sanders – MIA")</f>
        <v>Jason Sanders – MIA</v>
      </c>
      <c r="G71" s="127">
        <f>IFERROR(__xludf.DUMMYFUNCTION("""COMPUTED_VALUE"""),125.0)</f>
        <v>125</v>
      </c>
      <c r="H71" s="127" t="str">
        <f>IFERROR(__xludf.DUMMYFUNCTION("""COMPUTED_VALUE"""),"K")</f>
        <v>K</v>
      </c>
      <c r="I71" s="178">
        <f>IFERROR(__xludf.DUMMYFUNCTION("""COMPUTED_VALUE"""),12.0)</f>
        <v>12</v>
      </c>
    </row>
    <row r="72">
      <c r="A72" s="125">
        <f>IFERROR(__xludf.DUMMYFUNCTION("""COMPUTED_VALUE"""),15.0)</f>
        <v>15</v>
      </c>
      <c r="B72" s="125">
        <f>IFERROR(__xludf.DUMMYFUNCTION("""COMPUTED_VALUE"""),15.0)</f>
        <v>15</v>
      </c>
      <c r="C72" s="125">
        <f>IFERROR(__xludf.DUMMYFUNCTION("""COMPUTED_VALUE"""),15.0)</f>
        <v>15</v>
      </c>
      <c r="D72" s="125">
        <f>IFERROR(__xludf.DUMMYFUNCTION("""COMPUTED_VALUE"""),15.0)</f>
        <v>15</v>
      </c>
      <c r="E72" s="178">
        <f>IFERROR(__xludf.DUMMYFUNCTION("""COMPUTED_VALUE"""),15.0)</f>
        <v>15</v>
      </c>
      <c r="F72" s="127" t="str">
        <f>IFERROR(__xludf.DUMMYFUNCTION("""COMPUTED_VALUE"""),"Kenneth Walker III – SEA")</f>
        <v>Kenneth Walker III – SEA</v>
      </c>
      <c r="G72" s="127">
        <f>IFERROR(__xludf.DUMMYFUNCTION("""COMPUTED_VALUE"""),180.0)</f>
        <v>180</v>
      </c>
      <c r="H72" s="127" t="str">
        <f>IFERROR(__xludf.DUMMYFUNCTION("""COMPUTED_VALUE"""),"RB")</f>
        <v>RB</v>
      </c>
      <c r="I72" s="178">
        <f>IFERROR(__xludf.DUMMYFUNCTION("""COMPUTED_VALUE"""),8.0)</f>
        <v>8</v>
      </c>
    </row>
    <row r="73">
      <c r="A73" s="125">
        <f>IFERROR(__xludf.DUMMYFUNCTION("""COMPUTED_VALUE"""),15.0)</f>
        <v>15</v>
      </c>
      <c r="B73" s="125">
        <f>IFERROR(__xludf.DUMMYFUNCTION("""COMPUTED_VALUE"""),15.0)</f>
        <v>15</v>
      </c>
      <c r="C73" s="125">
        <f>IFERROR(__xludf.DUMMYFUNCTION("""COMPUTED_VALUE"""),15.0)</f>
        <v>15</v>
      </c>
      <c r="D73" s="125">
        <f>IFERROR(__xludf.DUMMYFUNCTION("""COMPUTED_VALUE"""),15.0)</f>
        <v>15</v>
      </c>
      <c r="E73" s="178">
        <f>IFERROR(__xludf.DUMMYFUNCTION("""COMPUTED_VALUE"""),15.0)</f>
        <v>15</v>
      </c>
      <c r="F73" s="127" t="str">
        <f>IFERROR(__xludf.DUMMYFUNCTION("""COMPUTED_VALUE"""),"Terry McLaurin – WAS")</f>
        <v>Terry McLaurin – WAS</v>
      </c>
      <c r="G73" s="127">
        <f>IFERROR(__xludf.DUMMYFUNCTION("""COMPUTED_VALUE"""),160.9)</f>
        <v>160.9</v>
      </c>
      <c r="H73" s="127" t="str">
        <f>IFERROR(__xludf.DUMMYFUNCTION("""COMPUTED_VALUE"""),"WR")</f>
        <v>WR</v>
      </c>
      <c r="I73" s="178">
        <f>IFERROR(__xludf.DUMMYFUNCTION("""COMPUTED_VALUE"""),12.0)</f>
        <v>12</v>
      </c>
    </row>
    <row r="74">
      <c r="A74" s="125">
        <f>IFERROR(__xludf.DUMMYFUNCTION("""COMPUTED_VALUE"""),15.0)</f>
        <v>15</v>
      </c>
      <c r="B74" s="125">
        <f>IFERROR(__xludf.DUMMYFUNCTION("""COMPUTED_VALUE"""),15.0)</f>
        <v>15</v>
      </c>
      <c r="C74" s="125">
        <f>IFERROR(__xludf.DUMMYFUNCTION("""COMPUTED_VALUE"""),15.0)</f>
        <v>15</v>
      </c>
      <c r="D74" s="125">
        <f>IFERROR(__xludf.DUMMYFUNCTION("""COMPUTED_VALUE"""),15.0)</f>
        <v>15</v>
      </c>
      <c r="E74" s="178">
        <f>IFERROR(__xludf.DUMMYFUNCTION("""COMPUTED_VALUE"""),15.0)</f>
        <v>15</v>
      </c>
      <c r="F74" s="127" t="str">
        <f>IFERROR(__xludf.DUMMYFUNCTION("""COMPUTED_VALUE"""),"J.J. McCarthy – MIN")</f>
        <v>J.J. McCarthy – MIN</v>
      </c>
      <c r="G74" s="127">
        <f>IFERROR(__xludf.DUMMYFUNCTION("""COMPUTED_VALUE"""),289.2)</f>
        <v>289.2</v>
      </c>
      <c r="H74" s="127" t="str">
        <f>IFERROR(__xludf.DUMMYFUNCTION("""COMPUTED_VALUE"""),"QB")</f>
        <v>QB</v>
      </c>
      <c r="I74" s="178">
        <f>IFERROR(__xludf.DUMMYFUNCTION("""COMPUTED_VALUE"""),6.0)</f>
        <v>6</v>
      </c>
    </row>
    <row r="75">
      <c r="A75" s="125">
        <f>IFERROR(__xludf.DUMMYFUNCTION("""COMPUTED_VALUE"""),15.0)</f>
        <v>15</v>
      </c>
      <c r="B75" s="125">
        <f>IFERROR(__xludf.DUMMYFUNCTION("""COMPUTED_VALUE"""),15.0)</f>
        <v>15</v>
      </c>
      <c r="C75" s="125">
        <f>IFERROR(__xludf.DUMMYFUNCTION("""COMPUTED_VALUE"""),15.0)</f>
        <v>15</v>
      </c>
      <c r="D75" s="125">
        <f>IFERROR(__xludf.DUMMYFUNCTION("""COMPUTED_VALUE"""),15.0)</f>
        <v>15</v>
      </c>
      <c r="E75" s="178">
        <f>IFERROR(__xludf.DUMMYFUNCTION("""COMPUTED_VALUE"""),15.0)</f>
        <v>15</v>
      </c>
      <c r="F75" s="127" t="str">
        <f>IFERROR(__xludf.DUMMYFUNCTION("""COMPUTED_VALUE"""),"Kyle Pitts – ATL")</f>
        <v>Kyle Pitts – ATL</v>
      </c>
      <c r="G75" s="127">
        <f>IFERROR(__xludf.DUMMYFUNCTION("""COMPUTED_VALUE"""),83.2)</f>
        <v>83.2</v>
      </c>
      <c r="H75" s="127" t="str">
        <f>IFERROR(__xludf.DUMMYFUNCTION("""COMPUTED_VALUE"""),"TE")</f>
        <v>TE</v>
      </c>
      <c r="I75" s="178">
        <f>IFERROR(__xludf.DUMMYFUNCTION("""COMPUTED_VALUE"""),5.0)</f>
        <v>5</v>
      </c>
    </row>
    <row r="76">
      <c r="A76" s="125">
        <f>IFERROR(__xludf.DUMMYFUNCTION("""COMPUTED_VALUE"""),15.0)</f>
        <v>15</v>
      </c>
      <c r="B76" s="125">
        <f>IFERROR(__xludf.DUMMYFUNCTION("""COMPUTED_VALUE"""),15.0)</f>
        <v>15</v>
      </c>
      <c r="C76" s="125">
        <f>IFERROR(__xludf.DUMMYFUNCTION("""COMPUTED_VALUE"""),15.0)</f>
        <v>15</v>
      </c>
      <c r="D76" s="125">
        <f>IFERROR(__xludf.DUMMYFUNCTION("""COMPUTED_VALUE"""),15.0)</f>
        <v>15</v>
      </c>
      <c r="E76" s="178">
        <f>IFERROR(__xludf.DUMMYFUNCTION("""COMPUTED_VALUE"""),15.0)</f>
        <v>15</v>
      </c>
      <c r="F76" s="127" t="str">
        <f>IFERROR(__xludf.DUMMYFUNCTION("""COMPUTED_VALUE"""),"Jake Moody – SF")</f>
        <v>Jake Moody – SF</v>
      </c>
      <c r="G76" s="127">
        <f>IFERROR(__xludf.DUMMYFUNCTION("""COMPUTED_VALUE"""),125.0)</f>
        <v>125</v>
      </c>
      <c r="H76" s="127" t="str">
        <f>IFERROR(__xludf.DUMMYFUNCTION("""COMPUTED_VALUE"""),"K")</f>
        <v>K</v>
      </c>
      <c r="I76" s="178">
        <f>IFERROR(__xludf.DUMMYFUNCTION("""COMPUTED_VALUE"""),14.0)</f>
        <v>14</v>
      </c>
    </row>
    <row r="77">
      <c r="A77" s="125">
        <f>IFERROR(__xludf.DUMMYFUNCTION("""COMPUTED_VALUE"""),16.0)</f>
        <v>16</v>
      </c>
      <c r="B77" s="125">
        <f>IFERROR(__xludf.DUMMYFUNCTION("""COMPUTED_VALUE"""),16.0)</f>
        <v>16</v>
      </c>
      <c r="C77" s="125">
        <f>IFERROR(__xludf.DUMMYFUNCTION("""COMPUTED_VALUE"""),16.0)</f>
        <v>16</v>
      </c>
      <c r="D77" s="125">
        <f>IFERROR(__xludf.DUMMYFUNCTION("""COMPUTED_VALUE"""),16.0)</f>
        <v>16</v>
      </c>
      <c r="E77" s="178">
        <f>IFERROR(__xludf.DUMMYFUNCTION("""COMPUTED_VALUE"""),16.0)</f>
        <v>16</v>
      </c>
      <c r="F77" s="127" t="str">
        <f>IFERROR(__xludf.DUMMYFUNCTION("""COMPUTED_VALUE"""),"Breece Hall – NYJ")</f>
        <v>Breece Hall – NYJ</v>
      </c>
      <c r="G77" s="127">
        <f>IFERROR(__xludf.DUMMYFUNCTION("""COMPUTED_VALUE"""),183.0)</f>
        <v>183</v>
      </c>
      <c r="H77" s="127" t="str">
        <f>IFERROR(__xludf.DUMMYFUNCTION("""COMPUTED_VALUE"""),"RB")</f>
        <v>RB</v>
      </c>
      <c r="I77" s="178">
        <f>IFERROR(__xludf.DUMMYFUNCTION("""COMPUTED_VALUE"""),9.0)</f>
        <v>9</v>
      </c>
    </row>
    <row r="78">
      <c r="A78" s="125">
        <f>IFERROR(__xludf.DUMMYFUNCTION("""COMPUTED_VALUE"""),16.0)</f>
        <v>16</v>
      </c>
      <c r="B78" s="125">
        <f>IFERROR(__xludf.DUMMYFUNCTION("""COMPUTED_VALUE"""),16.0)</f>
        <v>16</v>
      </c>
      <c r="C78" s="125">
        <f>IFERROR(__xludf.DUMMYFUNCTION("""COMPUTED_VALUE"""),16.0)</f>
        <v>16</v>
      </c>
      <c r="D78" s="125">
        <f>IFERROR(__xludf.DUMMYFUNCTION("""COMPUTED_VALUE"""),16.0)</f>
        <v>16</v>
      </c>
      <c r="E78" s="178">
        <f>IFERROR(__xludf.DUMMYFUNCTION("""COMPUTED_VALUE"""),16.0)</f>
        <v>16</v>
      </c>
      <c r="F78" s="127" t="str">
        <f>IFERROR(__xludf.DUMMYFUNCTION("""COMPUTED_VALUE"""),"Davante Adams – LAR")</f>
        <v>Davante Adams – LAR</v>
      </c>
      <c r="G78" s="127">
        <f>IFERROR(__xludf.DUMMYFUNCTION("""COMPUTED_VALUE"""),159.2)</f>
        <v>159.2</v>
      </c>
      <c r="H78" s="127" t="str">
        <f>IFERROR(__xludf.DUMMYFUNCTION("""COMPUTED_VALUE"""),"WR")</f>
        <v>WR</v>
      </c>
      <c r="I78" s="178">
        <f>IFERROR(__xludf.DUMMYFUNCTION("""COMPUTED_VALUE"""),8.0)</f>
        <v>8</v>
      </c>
    </row>
    <row r="79">
      <c r="A79" s="125">
        <f>IFERROR(__xludf.DUMMYFUNCTION("""COMPUTED_VALUE"""),16.0)</f>
        <v>16</v>
      </c>
      <c r="B79" s="125">
        <f>IFERROR(__xludf.DUMMYFUNCTION("""COMPUTED_VALUE"""),16.0)</f>
        <v>16</v>
      </c>
      <c r="C79" s="125">
        <f>IFERROR(__xludf.DUMMYFUNCTION("""COMPUTED_VALUE"""),16.0)</f>
        <v>16</v>
      </c>
      <c r="D79" s="125">
        <f>IFERROR(__xludf.DUMMYFUNCTION("""COMPUTED_VALUE"""),16.0)</f>
        <v>16</v>
      </c>
      <c r="E79" s="178">
        <f>IFERROR(__xludf.DUMMYFUNCTION("""COMPUTED_VALUE"""),16.0)</f>
        <v>16</v>
      </c>
      <c r="F79" s="127" t="str">
        <f>IFERROR(__xludf.DUMMYFUNCTION("""COMPUTED_VALUE"""),"Caleb Williams – CHI")</f>
        <v>Caleb Williams – CHI</v>
      </c>
      <c r="G79" s="127">
        <f>IFERROR(__xludf.DUMMYFUNCTION("""COMPUTED_VALUE"""),287.5)</f>
        <v>287.5</v>
      </c>
      <c r="H79" s="127" t="str">
        <f>IFERROR(__xludf.DUMMYFUNCTION("""COMPUTED_VALUE"""),"QB")</f>
        <v>QB</v>
      </c>
      <c r="I79" s="178">
        <f>IFERROR(__xludf.DUMMYFUNCTION("""COMPUTED_VALUE"""),5.0)</f>
        <v>5</v>
      </c>
    </row>
    <row r="80">
      <c r="A80" s="125">
        <f>IFERROR(__xludf.DUMMYFUNCTION("""COMPUTED_VALUE"""),16.0)</f>
        <v>16</v>
      </c>
      <c r="B80" s="125">
        <f>IFERROR(__xludf.DUMMYFUNCTION("""COMPUTED_VALUE"""),16.0)</f>
        <v>16</v>
      </c>
      <c r="C80" s="125">
        <f>IFERROR(__xludf.DUMMYFUNCTION("""COMPUTED_VALUE"""),16.0)</f>
        <v>16</v>
      </c>
      <c r="D80" s="125">
        <f>IFERROR(__xludf.DUMMYFUNCTION("""COMPUTED_VALUE"""),16.0)</f>
        <v>16</v>
      </c>
      <c r="E80" s="178">
        <f>IFERROR(__xludf.DUMMYFUNCTION("""COMPUTED_VALUE"""),16.0)</f>
        <v>16</v>
      </c>
      <c r="F80" s="127" t="str">
        <f>IFERROR(__xludf.DUMMYFUNCTION("""COMPUTED_VALUE"""),"Jake Ferguson – DAL")</f>
        <v>Jake Ferguson – DAL</v>
      </c>
      <c r="G80" s="127">
        <f>IFERROR(__xludf.DUMMYFUNCTION("""COMPUTED_VALUE"""),82.5)</f>
        <v>82.5</v>
      </c>
      <c r="H80" s="127" t="str">
        <f>IFERROR(__xludf.DUMMYFUNCTION("""COMPUTED_VALUE"""),"TE")</f>
        <v>TE</v>
      </c>
      <c r="I80" s="178">
        <f>IFERROR(__xludf.DUMMYFUNCTION("""COMPUTED_VALUE"""),10.0)</f>
        <v>10</v>
      </c>
    </row>
    <row r="81">
      <c r="A81" s="125">
        <f>IFERROR(__xludf.DUMMYFUNCTION("""COMPUTED_VALUE"""),16.0)</f>
        <v>16</v>
      </c>
      <c r="B81" s="125">
        <f>IFERROR(__xludf.DUMMYFUNCTION("""COMPUTED_VALUE"""),16.0)</f>
        <v>16</v>
      </c>
      <c r="C81" s="125">
        <f>IFERROR(__xludf.DUMMYFUNCTION("""COMPUTED_VALUE"""),16.0)</f>
        <v>16</v>
      </c>
      <c r="D81" s="125">
        <f>IFERROR(__xludf.DUMMYFUNCTION("""COMPUTED_VALUE"""),16.0)</f>
        <v>16</v>
      </c>
      <c r="E81" s="178">
        <f>IFERROR(__xludf.DUMMYFUNCTION("""COMPUTED_VALUE"""),16.0)</f>
        <v>16</v>
      </c>
      <c r="F81" s="127" t="str">
        <f>IFERROR(__xludf.DUMMYFUNCTION("""COMPUTED_VALUE"""),"Brandon McManus – GB")</f>
        <v>Brandon McManus – GB</v>
      </c>
      <c r="G81" s="127">
        <f>IFERROR(__xludf.DUMMYFUNCTION("""COMPUTED_VALUE"""),123.0)</f>
        <v>123</v>
      </c>
      <c r="H81" s="127" t="str">
        <f>IFERROR(__xludf.DUMMYFUNCTION("""COMPUTED_VALUE"""),"K")</f>
        <v>K</v>
      </c>
      <c r="I81" s="178">
        <f>IFERROR(__xludf.DUMMYFUNCTION("""COMPUTED_VALUE"""),5.0)</f>
        <v>5</v>
      </c>
    </row>
    <row r="82">
      <c r="A82" s="125">
        <f>IFERROR(__xludf.DUMMYFUNCTION("""COMPUTED_VALUE"""),17.0)</f>
        <v>17</v>
      </c>
      <c r="B82" s="125">
        <f>IFERROR(__xludf.DUMMYFUNCTION("""COMPUTED_VALUE"""),17.0)</f>
        <v>17</v>
      </c>
      <c r="C82" s="125">
        <f>IFERROR(__xludf.DUMMYFUNCTION("""COMPUTED_VALUE"""),17.0)</f>
        <v>17</v>
      </c>
      <c r="D82" s="125">
        <f>IFERROR(__xludf.DUMMYFUNCTION("""COMPUTED_VALUE"""),17.0)</f>
        <v>17</v>
      </c>
      <c r="E82" s="178">
        <f>IFERROR(__xludf.DUMMYFUNCTION("""COMPUTED_VALUE"""),17.0)</f>
        <v>17</v>
      </c>
      <c r="F82" s="127" t="str">
        <f>IFERROR(__xludf.DUMMYFUNCTION("""COMPUTED_VALUE"""),"Chuba Hubbard – CAR")</f>
        <v>Chuba Hubbard – CAR</v>
      </c>
      <c r="G82" s="127">
        <f>IFERROR(__xludf.DUMMYFUNCTION("""COMPUTED_VALUE"""),176.0)</f>
        <v>176</v>
      </c>
      <c r="H82" s="127" t="str">
        <f>IFERROR(__xludf.DUMMYFUNCTION("""COMPUTED_VALUE"""),"RB")</f>
        <v>RB</v>
      </c>
      <c r="I82" s="178">
        <f>IFERROR(__xludf.DUMMYFUNCTION("""COMPUTED_VALUE"""),14.0)</f>
        <v>14</v>
      </c>
    </row>
    <row r="83">
      <c r="A83" s="125">
        <f>IFERROR(__xludf.DUMMYFUNCTION("""COMPUTED_VALUE"""),17.0)</f>
        <v>17</v>
      </c>
      <c r="B83" s="125">
        <f>IFERROR(__xludf.DUMMYFUNCTION("""COMPUTED_VALUE"""),17.0)</f>
        <v>17</v>
      </c>
      <c r="C83" s="125">
        <f>IFERROR(__xludf.DUMMYFUNCTION("""COMPUTED_VALUE"""),17.0)</f>
        <v>17</v>
      </c>
      <c r="D83" s="125">
        <f>IFERROR(__xludf.DUMMYFUNCTION("""COMPUTED_VALUE"""),17.0)</f>
        <v>17</v>
      </c>
      <c r="E83" s="178">
        <f>IFERROR(__xludf.DUMMYFUNCTION("""COMPUTED_VALUE"""),17.0)</f>
        <v>17</v>
      </c>
      <c r="F83" s="127" t="str">
        <f>IFERROR(__xludf.DUMMYFUNCTION("""COMPUTED_VALUE"""),"Marvin Harrison Jr. – ARI")</f>
        <v>Marvin Harrison Jr. – ARI</v>
      </c>
      <c r="G83" s="127">
        <f>IFERROR(__xludf.DUMMYFUNCTION("""COMPUTED_VALUE"""),154.5)</f>
        <v>154.5</v>
      </c>
      <c r="H83" s="127" t="str">
        <f>IFERROR(__xludf.DUMMYFUNCTION("""COMPUTED_VALUE"""),"WR")</f>
        <v>WR</v>
      </c>
      <c r="I83" s="178">
        <f>IFERROR(__xludf.DUMMYFUNCTION("""COMPUTED_VALUE"""),8.0)</f>
        <v>8</v>
      </c>
    </row>
    <row r="84">
      <c r="A84" s="125">
        <f>IFERROR(__xludf.DUMMYFUNCTION("""COMPUTED_VALUE"""),17.0)</f>
        <v>17</v>
      </c>
      <c r="B84" s="125">
        <f>IFERROR(__xludf.DUMMYFUNCTION("""COMPUTED_VALUE"""),17.0)</f>
        <v>17</v>
      </c>
      <c r="C84" s="125">
        <f>IFERROR(__xludf.DUMMYFUNCTION("""COMPUTED_VALUE"""),17.0)</f>
        <v>17</v>
      </c>
      <c r="D84" s="125">
        <f>IFERROR(__xludf.DUMMYFUNCTION("""COMPUTED_VALUE"""),17.0)</f>
        <v>17</v>
      </c>
      <c r="E84" s="178">
        <f>IFERROR(__xludf.DUMMYFUNCTION("""COMPUTED_VALUE"""),17.0)</f>
        <v>17</v>
      </c>
      <c r="F84" s="127" t="str">
        <f>IFERROR(__xludf.DUMMYFUNCTION("""COMPUTED_VALUE"""),"C.J. Stroud – HOU")</f>
        <v>C.J. Stroud – HOU</v>
      </c>
      <c r="G84" s="127">
        <f>IFERROR(__xludf.DUMMYFUNCTION("""COMPUTED_VALUE"""),279.8)</f>
        <v>279.8</v>
      </c>
      <c r="H84" s="127" t="str">
        <f>IFERROR(__xludf.DUMMYFUNCTION("""COMPUTED_VALUE"""),"QB")</f>
        <v>QB</v>
      </c>
      <c r="I84" s="178">
        <f>IFERROR(__xludf.DUMMYFUNCTION("""COMPUTED_VALUE"""),6.0)</f>
        <v>6</v>
      </c>
    </row>
    <row r="85">
      <c r="A85" s="125">
        <f>IFERROR(__xludf.DUMMYFUNCTION("""COMPUTED_VALUE"""),17.0)</f>
        <v>17</v>
      </c>
      <c r="B85" s="125">
        <f>IFERROR(__xludf.DUMMYFUNCTION("""COMPUTED_VALUE"""),17.0)</f>
        <v>17</v>
      </c>
      <c r="C85" s="125">
        <f>IFERROR(__xludf.DUMMYFUNCTION("""COMPUTED_VALUE"""),17.0)</f>
        <v>17</v>
      </c>
      <c r="D85" s="125">
        <f>IFERROR(__xludf.DUMMYFUNCTION("""COMPUTED_VALUE"""),17.0)</f>
        <v>17</v>
      </c>
      <c r="E85" s="178">
        <f>IFERROR(__xludf.DUMMYFUNCTION("""COMPUTED_VALUE"""),17.0)</f>
        <v>17</v>
      </c>
      <c r="F85" s="127" t="str">
        <f>IFERROR(__xludf.DUMMYFUNCTION("""COMPUTED_VALUE"""),"Hunter Henry – NE")</f>
        <v>Hunter Henry – NE</v>
      </c>
      <c r="G85" s="127">
        <f>IFERROR(__xludf.DUMMYFUNCTION("""COMPUTED_VALUE"""),78.5)</f>
        <v>78.5</v>
      </c>
      <c r="H85" s="127" t="str">
        <f>IFERROR(__xludf.DUMMYFUNCTION("""COMPUTED_VALUE"""),"TE")</f>
        <v>TE</v>
      </c>
      <c r="I85" s="178">
        <f>IFERROR(__xludf.DUMMYFUNCTION("""COMPUTED_VALUE"""),14.0)</f>
        <v>14</v>
      </c>
    </row>
    <row r="86">
      <c r="A86" s="125">
        <f>IFERROR(__xludf.DUMMYFUNCTION("""COMPUTED_VALUE"""),17.0)</f>
        <v>17</v>
      </c>
      <c r="B86" s="125">
        <f>IFERROR(__xludf.DUMMYFUNCTION("""COMPUTED_VALUE"""),17.0)</f>
        <v>17</v>
      </c>
      <c r="C86" s="125">
        <f>IFERROR(__xludf.DUMMYFUNCTION("""COMPUTED_VALUE"""),17.0)</f>
        <v>17</v>
      </c>
      <c r="D86" s="125">
        <f>IFERROR(__xludf.DUMMYFUNCTION("""COMPUTED_VALUE"""),17.0)</f>
        <v>17</v>
      </c>
      <c r="E86" s="178">
        <f>IFERROR(__xludf.DUMMYFUNCTION("""COMPUTED_VALUE"""),17.0)</f>
        <v>17</v>
      </c>
      <c r="F86" s="127" t="str">
        <f>IFERROR(__xludf.DUMMYFUNCTION("""COMPUTED_VALUE"""),"Younghoe Koo – ATL")</f>
        <v>Younghoe Koo – ATL</v>
      </c>
      <c r="G86" s="127">
        <f>IFERROR(__xludf.DUMMYFUNCTION("""COMPUTED_VALUE"""),122.0)</f>
        <v>122</v>
      </c>
      <c r="H86" s="127" t="str">
        <f>IFERROR(__xludf.DUMMYFUNCTION("""COMPUTED_VALUE"""),"K")</f>
        <v>K</v>
      </c>
      <c r="I86" s="178">
        <f>IFERROR(__xludf.DUMMYFUNCTION("""COMPUTED_VALUE"""),5.0)</f>
        <v>5</v>
      </c>
    </row>
    <row r="87">
      <c r="A87" s="125">
        <f>IFERROR(__xludf.DUMMYFUNCTION("""COMPUTED_VALUE"""),18.0)</f>
        <v>18</v>
      </c>
      <c r="B87" s="125">
        <f>IFERROR(__xludf.DUMMYFUNCTION("""COMPUTED_VALUE"""),18.0)</f>
        <v>18</v>
      </c>
      <c r="C87" s="125">
        <f>IFERROR(__xludf.DUMMYFUNCTION("""COMPUTED_VALUE"""),18.0)</f>
        <v>18</v>
      </c>
      <c r="D87" s="125">
        <f>IFERROR(__xludf.DUMMYFUNCTION("""COMPUTED_VALUE"""),18.0)</f>
        <v>18</v>
      </c>
      <c r="E87" s="178">
        <f>IFERROR(__xludf.DUMMYFUNCTION("""COMPUTED_VALUE"""),18.0)</f>
        <v>18</v>
      </c>
      <c r="F87" s="127" t="str">
        <f>IFERROR(__xludf.DUMMYFUNCTION("""COMPUTED_VALUE"""),"James Conner – ARI")</f>
        <v>James Conner – ARI</v>
      </c>
      <c r="G87" s="127">
        <f>IFERROR(__xludf.DUMMYFUNCTION("""COMPUTED_VALUE"""),177.0)</f>
        <v>177</v>
      </c>
      <c r="H87" s="127" t="str">
        <f>IFERROR(__xludf.DUMMYFUNCTION("""COMPUTED_VALUE"""),"RB")</f>
        <v>RB</v>
      </c>
      <c r="I87" s="178">
        <f>IFERROR(__xludf.DUMMYFUNCTION("""COMPUTED_VALUE"""),8.0)</f>
        <v>8</v>
      </c>
    </row>
    <row r="88">
      <c r="A88" s="125">
        <f>IFERROR(__xludf.DUMMYFUNCTION("""COMPUTED_VALUE"""),18.0)</f>
        <v>18</v>
      </c>
      <c r="B88" s="125">
        <f>IFERROR(__xludf.DUMMYFUNCTION("""COMPUTED_VALUE"""),18.0)</f>
        <v>18</v>
      </c>
      <c r="C88" s="125">
        <f>IFERROR(__xludf.DUMMYFUNCTION("""COMPUTED_VALUE"""),18.0)</f>
        <v>18</v>
      </c>
      <c r="D88" s="125">
        <f>IFERROR(__xludf.DUMMYFUNCTION("""COMPUTED_VALUE"""),18.0)</f>
        <v>18</v>
      </c>
      <c r="E88" s="178">
        <f>IFERROR(__xludf.DUMMYFUNCTION("""COMPUTED_VALUE"""),18.0)</f>
        <v>18</v>
      </c>
      <c r="F88" s="127" t="str">
        <f>IFERROR(__xludf.DUMMYFUNCTION("""COMPUTED_VALUE"""),"DK Metcalf – PIT")</f>
        <v>DK Metcalf – PIT</v>
      </c>
      <c r="G88" s="127">
        <f>IFERROR(__xludf.DUMMYFUNCTION("""COMPUTED_VALUE"""),151.9)</f>
        <v>151.9</v>
      </c>
      <c r="H88" s="127" t="str">
        <f>IFERROR(__xludf.DUMMYFUNCTION("""COMPUTED_VALUE"""),"WR")</f>
        <v>WR</v>
      </c>
      <c r="I88" s="178">
        <f>IFERROR(__xludf.DUMMYFUNCTION("""COMPUTED_VALUE"""),5.0)</f>
        <v>5</v>
      </c>
    </row>
    <row r="89">
      <c r="A89" s="125">
        <f>IFERROR(__xludf.DUMMYFUNCTION("""COMPUTED_VALUE"""),18.0)</f>
        <v>18</v>
      </c>
      <c r="B89" s="125">
        <f>IFERROR(__xludf.DUMMYFUNCTION("""COMPUTED_VALUE"""),18.0)</f>
        <v>18</v>
      </c>
      <c r="C89" s="125">
        <f>IFERROR(__xludf.DUMMYFUNCTION("""COMPUTED_VALUE"""),18.0)</f>
        <v>18</v>
      </c>
      <c r="D89" s="125">
        <f>IFERROR(__xludf.DUMMYFUNCTION("""COMPUTED_VALUE"""),18.0)</f>
        <v>18</v>
      </c>
      <c r="E89" s="178">
        <f>IFERROR(__xludf.DUMMYFUNCTION("""COMPUTED_VALUE"""),18.0)</f>
        <v>18</v>
      </c>
      <c r="F89" s="127" t="str">
        <f>IFERROR(__xludf.DUMMYFUNCTION("""COMPUTED_VALUE"""),"Jordan Love – GB")</f>
        <v>Jordan Love – GB</v>
      </c>
      <c r="G89" s="127">
        <f>IFERROR(__xludf.DUMMYFUNCTION("""COMPUTED_VALUE"""),278.7)</f>
        <v>278.7</v>
      </c>
      <c r="H89" s="127" t="str">
        <f>IFERROR(__xludf.DUMMYFUNCTION("""COMPUTED_VALUE"""),"QB")</f>
        <v>QB</v>
      </c>
      <c r="I89" s="178">
        <f>IFERROR(__xludf.DUMMYFUNCTION("""COMPUTED_VALUE"""),5.0)</f>
        <v>5</v>
      </c>
    </row>
    <row r="90">
      <c r="A90" s="125">
        <f>IFERROR(__xludf.DUMMYFUNCTION("""COMPUTED_VALUE"""),18.0)</f>
        <v>18</v>
      </c>
      <c r="B90" s="125">
        <f>IFERROR(__xludf.DUMMYFUNCTION("""COMPUTED_VALUE"""),18.0)</f>
        <v>18</v>
      </c>
      <c r="C90" s="125">
        <f>IFERROR(__xludf.DUMMYFUNCTION("""COMPUTED_VALUE"""),18.0)</f>
        <v>18</v>
      </c>
      <c r="D90" s="125">
        <f>IFERROR(__xludf.DUMMYFUNCTION("""COMPUTED_VALUE"""),18.0)</f>
        <v>18</v>
      </c>
      <c r="E90" s="178">
        <f>IFERROR(__xludf.DUMMYFUNCTION("""COMPUTED_VALUE"""),18.0)</f>
        <v>18</v>
      </c>
      <c r="F90" s="127" t="str">
        <f>IFERROR(__xludf.DUMMYFUNCTION("""COMPUTED_VALUE"""),"Darren Waller – MIA")</f>
        <v>Darren Waller – MIA</v>
      </c>
      <c r="G90" s="127">
        <f>IFERROR(__xludf.DUMMYFUNCTION("""COMPUTED_VALUE"""),77.9)</f>
        <v>77.9</v>
      </c>
      <c r="H90" s="127" t="str">
        <f>IFERROR(__xludf.DUMMYFUNCTION("""COMPUTED_VALUE"""),"TE")</f>
        <v>TE</v>
      </c>
      <c r="I90" s="178">
        <f>IFERROR(__xludf.DUMMYFUNCTION("""COMPUTED_VALUE"""),12.0)</f>
        <v>12</v>
      </c>
    </row>
    <row r="91">
      <c r="A91" s="125">
        <f>IFERROR(__xludf.DUMMYFUNCTION("""COMPUTED_VALUE"""),18.0)</f>
        <v>18</v>
      </c>
      <c r="B91" s="125">
        <f>IFERROR(__xludf.DUMMYFUNCTION("""COMPUTED_VALUE"""),18.0)</f>
        <v>18</v>
      </c>
      <c r="C91" s="125">
        <f>IFERROR(__xludf.DUMMYFUNCTION("""COMPUTED_VALUE"""),18.0)</f>
        <v>18</v>
      </c>
      <c r="D91" s="125">
        <f>IFERROR(__xludf.DUMMYFUNCTION("""COMPUTED_VALUE"""),18.0)</f>
        <v>18</v>
      </c>
      <c r="E91" s="178">
        <f>IFERROR(__xludf.DUMMYFUNCTION("""COMPUTED_VALUE"""),18.0)</f>
        <v>18</v>
      </c>
      <c r="F91" s="127" t="str">
        <f>IFERROR(__xludf.DUMMYFUNCTION("""COMPUTED_VALUE"""),"Harrison Butker – KC")</f>
        <v>Harrison Butker – KC</v>
      </c>
      <c r="G91" s="127">
        <f>IFERROR(__xludf.DUMMYFUNCTION("""COMPUTED_VALUE"""),122.0)</f>
        <v>122</v>
      </c>
      <c r="H91" s="127" t="str">
        <f>IFERROR(__xludf.DUMMYFUNCTION("""COMPUTED_VALUE"""),"K")</f>
        <v>K</v>
      </c>
      <c r="I91" s="178">
        <f>IFERROR(__xludf.DUMMYFUNCTION("""COMPUTED_VALUE"""),10.0)</f>
        <v>10</v>
      </c>
    </row>
    <row r="92">
      <c r="A92" s="125">
        <f>IFERROR(__xludf.DUMMYFUNCTION("""COMPUTED_VALUE"""),19.0)</f>
        <v>19</v>
      </c>
      <c r="B92" s="178">
        <f>IFERROR(__xludf.DUMMYFUNCTION("""COMPUTED_VALUE"""),19.0)</f>
        <v>19</v>
      </c>
      <c r="C92" s="125">
        <f>IFERROR(__xludf.DUMMYFUNCTION("""COMPUTED_VALUE"""),19.0)</f>
        <v>19</v>
      </c>
      <c r="D92" s="125">
        <f>IFERROR(__xludf.DUMMYFUNCTION("""COMPUTED_VALUE"""),19.0)</f>
        <v>19</v>
      </c>
      <c r="E92" s="178">
        <f>IFERROR(__xludf.DUMMYFUNCTION("""COMPUTED_VALUE"""),19.0)</f>
        <v>19</v>
      </c>
      <c r="F92" s="127" t="str">
        <f>IFERROR(__xludf.DUMMYFUNCTION("""COMPUTED_VALUE"""),"Alvin Kamara – NO")</f>
        <v>Alvin Kamara – NO</v>
      </c>
      <c r="G92" s="127">
        <f>IFERROR(__xludf.DUMMYFUNCTION("""COMPUTED_VALUE"""),174.0)</f>
        <v>174</v>
      </c>
      <c r="H92" s="127" t="str">
        <f>IFERROR(__xludf.DUMMYFUNCTION("""COMPUTED_VALUE"""),"RB")</f>
        <v>RB</v>
      </c>
      <c r="I92" s="178">
        <f>IFERROR(__xludf.DUMMYFUNCTION("""COMPUTED_VALUE"""),11.0)</f>
        <v>11</v>
      </c>
    </row>
    <row r="93">
      <c r="A93" s="125">
        <f>IFERROR(__xludf.DUMMYFUNCTION("""COMPUTED_VALUE"""),19.0)</f>
        <v>19</v>
      </c>
      <c r="B93" s="125">
        <f>IFERROR(__xludf.DUMMYFUNCTION("""COMPUTED_VALUE"""),19.0)</f>
        <v>19</v>
      </c>
      <c r="C93" s="125">
        <f>IFERROR(__xludf.DUMMYFUNCTION("""COMPUTED_VALUE"""),19.0)</f>
        <v>19</v>
      </c>
      <c r="D93" s="125">
        <f>IFERROR(__xludf.DUMMYFUNCTION("""COMPUTED_VALUE"""),19.0)</f>
        <v>19</v>
      </c>
      <c r="E93" s="178">
        <f>IFERROR(__xludf.DUMMYFUNCTION("""COMPUTED_VALUE"""),19.0)</f>
        <v>19</v>
      </c>
      <c r="F93" s="127" t="str">
        <f>IFERROR(__xludf.DUMMYFUNCTION("""COMPUTED_VALUE"""),"Jaxon Smith-Njigba – SEA")</f>
        <v>Jaxon Smith-Njigba – SEA</v>
      </c>
      <c r="G93" s="127">
        <f>IFERROR(__xludf.DUMMYFUNCTION("""COMPUTED_VALUE"""),151.5)</f>
        <v>151.5</v>
      </c>
      <c r="H93" s="127" t="str">
        <f>IFERROR(__xludf.DUMMYFUNCTION("""COMPUTED_VALUE"""),"WR")</f>
        <v>WR</v>
      </c>
      <c r="I93" s="178">
        <f>IFERROR(__xludf.DUMMYFUNCTION("""COMPUTED_VALUE"""),8.0)</f>
        <v>8</v>
      </c>
    </row>
    <row r="94">
      <c r="A94" s="125">
        <f>IFERROR(__xludf.DUMMYFUNCTION("""COMPUTED_VALUE"""),19.0)</f>
        <v>19</v>
      </c>
      <c r="B94" s="125">
        <f>IFERROR(__xludf.DUMMYFUNCTION("""COMPUTED_VALUE"""),19.0)</f>
        <v>19</v>
      </c>
      <c r="C94" s="125">
        <f>IFERROR(__xludf.DUMMYFUNCTION("""COMPUTED_VALUE"""),19.0)</f>
        <v>19</v>
      </c>
      <c r="D94" s="125">
        <f>IFERROR(__xludf.DUMMYFUNCTION("""COMPUTED_VALUE"""),19.0)</f>
        <v>19</v>
      </c>
      <c r="E94" s="178">
        <f>IFERROR(__xludf.DUMMYFUNCTION("""COMPUTED_VALUE"""),19.0)</f>
        <v>19</v>
      </c>
      <c r="F94" s="127" t="str">
        <f>IFERROR(__xludf.DUMMYFUNCTION("""COMPUTED_VALUE"""),"Trevor Lawrence – JAX")</f>
        <v>Trevor Lawrence – JAX</v>
      </c>
      <c r="G94" s="127">
        <f>IFERROR(__xludf.DUMMYFUNCTION("""COMPUTED_VALUE"""),273.8)</f>
        <v>273.8</v>
      </c>
      <c r="H94" s="127" t="str">
        <f>IFERROR(__xludf.DUMMYFUNCTION("""COMPUTED_VALUE"""),"QB")</f>
        <v>QB</v>
      </c>
      <c r="I94" s="178">
        <f>IFERROR(__xludf.DUMMYFUNCTION("""COMPUTED_VALUE"""),8.0)</f>
        <v>8</v>
      </c>
    </row>
    <row r="95">
      <c r="A95" s="125">
        <f>IFERROR(__xludf.DUMMYFUNCTION("""COMPUTED_VALUE"""),19.0)</f>
        <v>19</v>
      </c>
      <c r="B95" s="125">
        <f>IFERROR(__xludf.DUMMYFUNCTION("""COMPUTED_VALUE"""),19.0)</f>
        <v>19</v>
      </c>
      <c r="C95" s="125">
        <f>IFERROR(__xludf.DUMMYFUNCTION("""COMPUTED_VALUE"""),19.0)</f>
        <v>19</v>
      </c>
      <c r="D95" s="125">
        <f>IFERROR(__xludf.DUMMYFUNCTION("""COMPUTED_VALUE"""),19.0)</f>
        <v>19</v>
      </c>
      <c r="E95" s="178">
        <f>IFERROR(__xludf.DUMMYFUNCTION("""COMPUTED_VALUE"""),19.0)</f>
        <v>19</v>
      </c>
      <c r="F95" s="127" t="str">
        <f>IFERROR(__xludf.DUMMYFUNCTION("""COMPUTED_VALUE"""),"Isaiah Likely – BAL")</f>
        <v>Isaiah Likely – BAL</v>
      </c>
      <c r="G95" s="127">
        <f>IFERROR(__xludf.DUMMYFUNCTION("""COMPUTED_VALUE"""),77.0)</f>
        <v>77</v>
      </c>
      <c r="H95" s="127" t="str">
        <f>IFERROR(__xludf.DUMMYFUNCTION("""COMPUTED_VALUE"""),"TE")</f>
        <v>TE</v>
      </c>
      <c r="I95" s="178">
        <f>IFERROR(__xludf.DUMMYFUNCTION("""COMPUTED_VALUE"""),7.0)</f>
        <v>7</v>
      </c>
    </row>
    <row r="96">
      <c r="A96" s="125">
        <f>IFERROR(__xludf.DUMMYFUNCTION("""COMPUTED_VALUE"""),19.0)</f>
        <v>19</v>
      </c>
      <c r="B96" s="125">
        <f>IFERROR(__xludf.DUMMYFUNCTION("""COMPUTED_VALUE"""),19.0)</f>
        <v>19</v>
      </c>
      <c r="C96" s="125">
        <f>IFERROR(__xludf.DUMMYFUNCTION("""COMPUTED_VALUE"""),19.0)</f>
        <v>19</v>
      </c>
      <c r="D96" s="125">
        <f>IFERROR(__xludf.DUMMYFUNCTION("""COMPUTED_VALUE"""),19.0)</f>
        <v>19</v>
      </c>
      <c r="E96" s="178">
        <f>IFERROR(__xludf.DUMMYFUNCTION("""COMPUTED_VALUE"""),19.0)</f>
        <v>19</v>
      </c>
      <c r="F96" s="127" t="str">
        <f>IFERROR(__xludf.DUMMYFUNCTION("""COMPUTED_VALUE"""),"Jason Myers – SEA")</f>
        <v>Jason Myers – SEA</v>
      </c>
      <c r="G96" s="127">
        <f>IFERROR(__xludf.DUMMYFUNCTION("""COMPUTED_VALUE"""),121.0)</f>
        <v>121</v>
      </c>
      <c r="H96" s="127" t="str">
        <f>IFERROR(__xludf.DUMMYFUNCTION("""COMPUTED_VALUE"""),"K")</f>
        <v>K</v>
      </c>
      <c r="I96" s="178">
        <f>IFERROR(__xludf.DUMMYFUNCTION("""COMPUTED_VALUE"""),8.0)</f>
        <v>8</v>
      </c>
    </row>
    <row r="97">
      <c r="A97" s="125">
        <f>IFERROR(__xludf.DUMMYFUNCTION("""COMPUTED_VALUE"""),20.0)</f>
        <v>20</v>
      </c>
      <c r="B97" s="125">
        <f>IFERROR(__xludf.DUMMYFUNCTION("""COMPUTED_VALUE"""),20.0)</f>
        <v>20</v>
      </c>
      <c r="C97" s="125">
        <f>IFERROR(__xludf.DUMMYFUNCTION("""COMPUTED_VALUE"""),20.0)</f>
        <v>20</v>
      </c>
      <c r="D97" s="125">
        <f>IFERROR(__xludf.DUMMYFUNCTION("""COMPUTED_VALUE"""),20.0)</f>
        <v>20</v>
      </c>
      <c r="E97" s="178">
        <f>IFERROR(__xludf.DUMMYFUNCTION("""COMPUTED_VALUE"""),20.0)</f>
        <v>20</v>
      </c>
      <c r="F97" s="127" t="str">
        <f>IFERROR(__xludf.DUMMYFUNCTION("""COMPUTED_VALUE"""),"David Montgomery – DET")</f>
        <v>David Montgomery – DET</v>
      </c>
      <c r="G97" s="127">
        <f>IFERROR(__xludf.DUMMYFUNCTION("""COMPUTED_VALUE"""),159.0)</f>
        <v>159</v>
      </c>
      <c r="H97" s="127" t="str">
        <f>IFERROR(__xludf.DUMMYFUNCTION("""COMPUTED_VALUE"""),"RB")</f>
        <v>RB</v>
      </c>
      <c r="I97" s="178">
        <f>IFERROR(__xludf.DUMMYFUNCTION("""COMPUTED_VALUE"""),8.0)</f>
        <v>8</v>
      </c>
    </row>
    <row r="98">
      <c r="A98" s="125">
        <f>IFERROR(__xludf.DUMMYFUNCTION("""COMPUTED_VALUE"""),20.0)</f>
        <v>20</v>
      </c>
      <c r="B98" s="125">
        <f>IFERROR(__xludf.DUMMYFUNCTION("""COMPUTED_VALUE"""),20.0)</f>
        <v>20</v>
      </c>
      <c r="C98" s="125">
        <f>IFERROR(__xludf.DUMMYFUNCTION("""COMPUTED_VALUE"""),20.0)</f>
        <v>20</v>
      </c>
      <c r="D98" s="125">
        <f>IFERROR(__xludf.DUMMYFUNCTION("""COMPUTED_VALUE"""),20.0)</f>
        <v>20</v>
      </c>
      <c r="E98" s="178">
        <f>IFERROR(__xludf.DUMMYFUNCTION("""COMPUTED_VALUE"""),20.0)</f>
        <v>20</v>
      </c>
      <c r="F98" s="127" t="str">
        <f>IFERROR(__xludf.DUMMYFUNCTION("""COMPUTED_VALUE"""),"Zay Flowers – BAL")</f>
        <v>Zay Flowers – BAL</v>
      </c>
      <c r="G98" s="127">
        <f>IFERROR(__xludf.DUMMYFUNCTION("""COMPUTED_VALUE"""),145.2)</f>
        <v>145.2</v>
      </c>
      <c r="H98" s="127" t="str">
        <f>IFERROR(__xludf.DUMMYFUNCTION("""COMPUTED_VALUE"""),"WR")</f>
        <v>WR</v>
      </c>
      <c r="I98" s="178">
        <f>IFERROR(__xludf.DUMMYFUNCTION("""COMPUTED_VALUE"""),7.0)</f>
        <v>7</v>
      </c>
    </row>
    <row r="99">
      <c r="A99" s="125">
        <f>IFERROR(__xludf.DUMMYFUNCTION("""COMPUTED_VALUE"""),20.0)</f>
        <v>20</v>
      </c>
      <c r="B99" s="125">
        <f>IFERROR(__xludf.DUMMYFUNCTION("""COMPUTED_VALUE"""),20.0)</f>
        <v>20</v>
      </c>
      <c r="C99" s="125">
        <f>IFERROR(__xludf.DUMMYFUNCTION("""COMPUTED_VALUE"""),20.0)</f>
        <v>20</v>
      </c>
      <c r="D99" s="125">
        <f>IFERROR(__xludf.DUMMYFUNCTION("""COMPUTED_VALUE"""),20.0)</f>
        <v>20</v>
      </c>
      <c r="E99" s="178">
        <f>IFERROR(__xludf.DUMMYFUNCTION("""COMPUTED_VALUE"""),20.0)</f>
        <v>20</v>
      </c>
      <c r="F99" s="127" t="str">
        <f>IFERROR(__xludf.DUMMYFUNCTION("""COMPUTED_VALUE"""),"Drake Maye – NE")</f>
        <v>Drake Maye – NE</v>
      </c>
      <c r="G99" s="127">
        <f>IFERROR(__xludf.DUMMYFUNCTION("""COMPUTED_VALUE"""),270.8)</f>
        <v>270.8</v>
      </c>
      <c r="H99" s="127" t="str">
        <f>IFERROR(__xludf.DUMMYFUNCTION("""COMPUTED_VALUE"""),"QB")</f>
        <v>QB</v>
      </c>
      <c r="I99" s="178">
        <f>IFERROR(__xludf.DUMMYFUNCTION("""COMPUTED_VALUE"""),14.0)</f>
        <v>14</v>
      </c>
    </row>
    <row r="100">
      <c r="A100" s="125">
        <f>IFERROR(__xludf.DUMMYFUNCTION("""COMPUTED_VALUE"""),20.0)</f>
        <v>20</v>
      </c>
      <c r="B100" s="125">
        <f>IFERROR(__xludf.DUMMYFUNCTION("""COMPUTED_VALUE"""),20.0)</f>
        <v>20</v>
      </c>
      <c r="C100" s="125">
        <f>IFERROR(__xludf.DUMMYFUNCTION("""COMPUTED_VALUE"""),20.0)</f>
        <v>20</v>
      </c>
      <c r="D100" s="125">
        <f>IFERROR(__xludf.DUMMYFUNCTION("""COMPUTED_VALUE"""),20.0)</f>
        <v>20</v>
      </c>
      <c r="E100" s="178">
        <f>IFERROR(__xludf.DUMMYFUNCTION("""COMPUTED_VALUE"""),20.0)</f>
        <v>20</v>
      </c>
      <c r="F100" s="127" t="str">
        <f>IFERROR(__xludf.DUMMYFUNCTION("""COMPUTED_VALUE"""),"Colston Loveland – CHI")</f>
        <v>Colston Loveland – CHI</v>
      </c>
      <c r="G100" s="127">
        <f>IFERROR(__xludf.DUMMYFUNCTION("""COMPUTED_VALUE"""),76.5)</f>
        <v>76.5</v>
      </c>
      <c r="H100" s="127" t="str">
        <f>IFERROR(__xludf.DUMMYFUNCTION("""COMPUTED_VALUE"""),"TE")</f>
        <v>TE</v>
      </c>
      <c r="I100" s="178">
        <f>IFERROR(__xludf.DUMMYFUNCTION("""COMPUTED_VALUE"""),5.0)</f>
        <v>5</v>
      </c>
    </row>
    <row r="101">
      <c r="A101" s="125">
        <f>IFERROR(__xludf.DUMMYFUNCTION("""COMPUTED_VALUE"""),20.0)</f>
        <v>20</v>
      </c>
      <c r="B101" s="125">
        <f>IFERROR(__xludf.DUMMYFUNCTION("""COMPUTED_VALUE"""),20.0)</f>
        <v>20</v>
      </c>
      <c r="C101" s="125">
        <f>IFERROR(__xludf.DUMMYFUNCTION("""COMPUTED_VALUE"""),20.0)</f>
        <v>20</v>
      </c>
      <c r="D101" s="125">
        <f>IFERROR(__xludf.DUMMYFUNCTION("""COMPUTED_VALUE"""),20.0)</f>
        <v>20</v>
      </c>
      <c r="E101" s="178">
        <f>IFERROR(__xludf.DUMMYFUNCTION("""COMPUTED_VALUE"""),20.0)</f>
        <v>20</v>
      </c>
      <c r="F101" s="127" t="str">
        <f>IFERROR(__xludf.DUMMYFUNCTION("""COMPUTED_VALUE"""),"Joshua Karty – LAR")</f>
        <v>Joshua Karty – LAR</v>
      </c>
      <c r="G101" s="127">
        <f>IFERROR(__xludf.DUMMYFUNCTION("""COMPUTED_VALUE"""),120.0)</f>
        <v>120</v>
      </c>
      <c r="H101" s="127" t="str">
        <f>IFERROR(__xludf.DUMMYFUNCTION("""COMPUTED_VALUE"""),"K")</f>
        <v>K</v>
      </c>
      <c r="I101" s="178">
        <f>IFERROR(__xludf.DUMMYFUNCTION("""COMPUTED_VALUE"""),8.0)</f>
        <v>8</v>
      </c>
    </row>
    <row r="102">
      <c r="A102" s="125">
        <f>IFERROR(__xludf.DUMMYFUNCTION("""COMPUTED_VALUE"""),21.0)</f>
        <v>21</v>
      </c>
      <c r="B102" s="125">
        <f>IFERROR(__xludf.DUMMYFUNCTION("""COMPUTED_VALUE"""),21.0)</f>
        <v>21</v>
      </c>
      <c r="C102" s="125">
        <f>IFERROR(__xludf.DUMMYFUNCTION("""COMPUTED_VALUE"""),21.0)</f>
        <v>21</v>
      </c>
      <c r="D102" s="125">
        <f>IFERROR(__xludf.DUMMYFUNCTION("""COMPUTED_VALUE"""),21.0)</f>
        <v>21</v>
      </c>
      <c r="E102" s="178">
        <f>IFERROR(__xludf.DUMMYFUNCTION("""COMPUTED_VALUE"""),21.0)</f>
        <v>21</v>
      </c>
      <c r="F102" s="127" t="str">
        <f>IFERROR(__xludf.DUMMYFUNCTION("""COMPUTED_VALUE"""),"Isiah Pacheco – KC")</f>
        <v>Isiah Pacheco – KC</v>
      </c>
      <c r="G102" s="127">
        <f>IFERROR(__xludf.DUMMYFUNCTION("""COMPUTED_VALUE"""),146.0)</f>
        <v>146</v>
      </c>
      <c r="H102" s="127" t="str">
        <f>IFERROR(__xludf.DUMMYFUNCTION("""COMPUTED_VALUE"""),"RB")</f>
        <v>RB</v>
      </c>
      <c r="I102" s="178">
        <f>IFERROR(__xludf.DUMMYFUNCTION("""COMPUTED_VALUE"""),10.0)</f>
        <v>10</v>
      </c>
    </row>
    <row r="103">
      <c r="A103" s="125">
        <f>IFERROR(__xludf.DUMMYFUNCTION("""COMPUTED_VALUE"""),21.0)</f>
        <v>21</v>
      </c>
      <c r="B103" s="125">
        <f>IFERROR(__xludf.DUMMYFUNCTION("""COMPUTED_VALUE"""),21.0)</f>
        <v>21</v>
      </c>
      <c r="C103" s="125">
        <f>IFERROR(__xludf.DUMMYFUNCTION("""COMPUTED_VALUE"""),21.0)</f>
        <v>21</v>
      </c>
      <c r="D103" s="125">
        <f>IFERROR(__xludf.DUMMYFUNCTION("""COMPUTED_VALUE"""),21.0)</f>
        <v>21</v>
      </c>
      <c r="E103" s="178">
        <f>IFERROR(__xludf.DUMMYFUNCTION("""COMPUTED_VALUE"""),21.0)</f>
        <v>21</v>
      </c>
      <c r="F103" s="127" t="str">
        <f>IFERROR(__xludf.DUMMYFUNCTION("""COMPUTED_VALUE"""),"Xavier Worthy – KC")</f>
        <v>Xavier Worthy – KC</v>
      </c>
      <c r="G103" s="127">
        <f>IFERROR(__xludf.DUMMYFUNCTION("""COMPUTED_VALUE"""),145.2)</f>
        <v>145.2</v>
      </c>
      <c r="H103" s="127" t="str">
        <f>IFERROR(__xludf.DUMMYFUNCTION("""COMPUTED_VALUE"""),"WR")</f>
        <v>WR</v>
      </c>
      <c r="I103" s="178">
        <f>IFERROR(__xludf.DUMMYFUNCTION("""COMPUTED_VALUE"""),10.0)</f>
        <v>10</v>
      </c>
    </row>
    <row r="104">
      <c r="A104" s="125">
        <f>IFERROR(__xludf.DUMMYFUNCTION("""COMPUTED_VALUE"""),21.0)</f>
        <v>21</v>
      </c>
      <c r="B104" s="125">
        <f>IFERROR(__xludf.DUMMYFUNCTION("""COMPUTED_VALUE"""),21.0)</f>
        <v>21</v>
      </c>
      <c r="C104" s="125">
        <f>IFERROR(__xludf.DUMMYFUNCTION("""COMPUTED_VALUE"""),21.0)</f>
        <v>21</v>
      </c>
      <c r="D104" s="125">
        <f>IFERROR(__xludf.DUMMYFUNCTION("""COMPUTED_VALUE"""),21.0)</f>
        <v>21</v>
      </c>
      <c r="E104" s="178">
        <f>IFERROR(__xludf.DUMMYFUNCTION("""COMPUTED_VALUE"""),21.0)</f>
        <v>21</v>
      </c>
      <c r="F104" s="127" t="str">
        <f>IFERROR(__xludf.DUMMYFUNCTION("""COMPUTED_VALUE"""),"Matthew Stafford – LAR")</f>
        <v>Matthew Stafford – LAR</v>
      </c>
      <c r="G104" s="127">
        <f>IFERROR(__xludf.DUMMYFUNCTION("""COMPUTED_VALUE"""),266.6)</f>
        <v>266.6</v>
      </c>
      <c r="H104" s="127" t="str">
        <f>IFERROR(__xludf.DUMMYFUNCTION("""COMPUTED_VALUE"""),"QB")</f>
        <v>QB</v>
      </c>
      <c r="I104" s="178">
        <f>IFERROR(__xludf.DUMMYFUNCTION("""COMPUTED_VALUE"""),8.0)</f>
        <v>8</v>
      </c>
    </row>
    <row r="105">
      <c r="A105" s="125">
        <f>IFERROR(__xludf.DUMMYFUNCTION("""COMPUTED_VALUE"""),21.0)</f>
        <v>21</v>
      </c>
      <c r="B105" s="125">
        <f>IFERROR(__xludf.DUMMYFUNCTION("""COMPUTED_VALUE"""),21.0)</f>
        <v>21</v>
      </c>
      <c r="C105" s="125">
        <f>IFERROR(__xludf.DUMMYFUNCTION("""COMPUTED_VALUE"""),21.0)</f>
        <v>21</v>
      </c>
      <c r="D105" s="125">
        <f>IFERROR(__xludf.DUMMYFUNCTION("""COMPUTED_VALUE"""),21.0)</f>
        <v>21</v>
      </c>
      <c r="E105" s="178">
        <f>IFERROR(__xludf.DUMMYFUNCTION("""COMPUTED_VALUE"""),21.0)</f>
        <v>21</v>
      </c>
      <c r="F105" s="127" t="str">
        <f>IFERROR(__xludf.DUMMYFUNCTION("""COMPUTED_VALUE"""),"Cade Otton – TB")</f>
        <v>Cade Otton – TB</v>
      </c>
      <c r="G105" s="127">
        <f>IFERROR(__xludf.DUMMYFUNCTION("""COMPUTED_VALUE"""),76.0)</f>
        <v>76</v>
      </c>
      <c r="H105" s="127" t="str">
        <f>IFERROR(__xludf.DUMMYFUNCTION("""COMPUTED_VALUE"""),"TE")</f>
        <v>TE</v>
      </c>
      <c r="I105" s="178">
        <f>IFERROR(__xludf.DUMMYFUNCTION("""COMPUTED_VALUE"""),9.0)</f>
        <v>9</v>
      </c>
    </row>
    <row r="106">
      <c r="A106" s="125">
        <f>IFERROR(__xludf.DUMMYFUNCTION("""COMPUTED_VALUE"""),21.0)</f>
        <v>21</v>
      </c>
      <c r="B106" s="125">
        <f>IFERROR(__xludf.DUMMYFUNCTION("""COMPUTED_VALUE"""),21.0)</f>
        <v>21</v>
      </c>
      <c r="C106" s="125">
        <f>IFERROR(__xludf.DUMMYFUNCTION("""COMPUTED_VALUE"""),21.0)</f>
        <v>21</v>
      </c>
      <c r="D106" s="125">
        <f>IFERROR(__xludf.DUMMYFUNCTION("""COMPUTED_VALUE"""),21.0)</f>
        <v>21</v>
      </c>
      <c r="E106" s="178">
        <f>IFERROR(__xludf.DUMMYFUNCTION("""COMPUTED_VALUE"""),21.0)</f>
        <v>21</v>
      </c>
      <c r="F106" s="127" t="str">
        <f>IFERROR(__xludf.DUMMYFUNCTION("""COMPUTED_VALUE"""),"Chad Ryland – ARI")</f>
        <v>Chad Ryland – ARI</v>
      </c>
      <c r="G106" s="127">
        <f>IFERROR(__xludf.DUMMYFUNCTION("""COMPUTED_VALUE"""),115.0)</f>
        <v>115</v>
      </c>
      <c r="H106" s="127" t="str">
        <f>IFERROR(__xludf.DUMMYFUNCTION("""COMPUTED_VALUE"""),"K")</f>
        <v>K</v>
      </c>
      <c r="I106" s="178">
        <f>IFERROR(__xludf.DUMMYFUNCTION("""COMPUTED_VALUE"""),8.0)</f>
        <v>8</v>
      </c>
    </row>
    <row r="107">
      <c r="A107" s="125">
        <f>IFERROR(__xludf.DUMMYFUNCTION("""COMPUTED_VALUE"""),22.0)</f>
        <v>22</v>
      </c>
      <c r="B107" s="125">
        <f>IFERROR(__xludf.DUMMYFUNCTION("""COMPUTED_VALUE"""),22.0)</f>
        <v>22</v>
      </c>
      <c r="C107" s="125">
        <f>IFERROR(__xludf.DUMMYFUNCTION("""COMPUTED_VALUE"""),22.0)</f>
        <v>22</v>
      </c>
      <c r="D107" s="125">
        <f>IFERROR(__xludf.DUMMYFUNCTION("""COMPUTED_VALUE"""),22.0)</f>
        <v>22</v>
      </c>
      <c r="E107" s="178">
        <f>IFERROR(__xludf.DUMMYFUNCTION("""COMPUTED_VALUE"""),22.0)</f>
        <v>22</v>
      </c>
      <c r="F107" s="127" t="str">
        <f>IFERROR(__xludf.DUMMYFUNCTION("""COMPUTED_VALUE"""),"Joe Mixon – HOU")</f>
        <v>Joe Mixon – HOU</v>
      </c>
      <c r="G107" s="127">
        <f>IFERROR(__xludf.DUMMYFUNCTION("""COMPUTED_VALUE"""),148.0)</f>
        <v>148</v>
      </c>
      <c r="H107" s="127" t="str">
        <f>IFERROR(__xludf.DUMMYFUNCTION("""COMPUTED_VALUE"""),"RB")</f>
        <v>RB</v>
      </c>
      <c r="I107" s="178">
        <f>IFERROR(__xludf.DUMMYFUNCTION("""COMPUTED_VALUE"""),6.0)</f>
        <v>6</v>
      </c>
    </row>
    <row r="108">
      <c r="A108" s="125">
        <f>IFERROR(__xludf.DUMMYFUNCTION("""COMPUTED_VALUE"""),22.0)</f>
        <v>22</v>
      </c>
      <c r="B108" s="125">
        <f>IFERROR(__xludf.DUMMYFUNCTION("""COMPUTED_VALUE"""),22.0)</f>
        <v>22</v>
      </c>
      <c r="C108" s="125">
        <f>IFERROR(__xludf.DUMMYFUNCTION("""COMPUTED_VALUE"""),22.0)</f>
        <v>22</v>
      </c>
      <c r="D108" s="125">
        <f>IFERROR(__xludf.DUMMYFUNCTION("""COMPUTED_VALUE"""),22.0)</f>
        <v>22</v>
      </c>
      <c r="E108" s="178">
        <f>IFERROR(__xludf.DUMMYFUNCTION("""COMPUTED_VALUE"""),22.0)</f>
        <v>22</v>
      </c>
      <c r="F108" s="127" t="str">
        <f>IFERROR(__xludf.DUMMYFUNCTION("""COMPUTED_VALUE"""),"Garrett Wilson – NYJ")</f>
        <v>Garrett Wilson – NYJ</v>
      </c>
      <c r="G108" s="127">
        <f>IFERROR(__xludf.DUMMYFUNCTION("""COMPUTED_VALUE"""),144.5)</f>
        <v>144.5</v>
      </c>
      <c r="H108" s="127" t="str">
        <f>IFERROR(__xludf.DUMMYFUNCTION("""COMPUTED_VALUE"""),"WR")</f>
        <v>WR</v>
      </c>
      <c r="I108" s="178">
        <f>IFERROR(__xludf.DUMMYFUNCTION("""COMPUTED_VALUE"""),9.0)</f>
        <v>9</v>
      </c>
    </row>
    <row r="109">
      <c r="A109" s="125">
        <f>IFERROR(__xludf.DUMMYFUNCTION("""COMPUTED_VALUE"""),22.0)</f>
        <v>22</v>
      </c>
      <c r="B109" s="125">
        <f>IFERROR(__xludf.DUMMYFUNCTION("""COMPUTED_VALUE"""),22.0)</f>
        <v>22</v>
      </c>
      <c r="C109" s="125">
        <f>IFERROR(__xludf.DUMMYFUNCTION("""COMPUTED_VALUE"""),22.0)</f>
        <v>22</v>
      </c>
      <c r="D109" s="125">
        <f>IFERROR(__xludf.DUMMYFUNCTION("""COMPUTED_VALUE"""),22.0)</f>
        <v>22</v>
      </c>
      <c r="E109" s="178">
        <f>IFERROR(__xludf.DUMMYFUNCTION("""COMPUTED_VALUE"""),22.0)</f>
        <v>22</v>
      </c>
      <c r="F109" s="127" t="str">
        <f>IFERROR(__xludf.DUMMYFUNCTION("""COMPUTED_VALUE"""),"Michael Penix Jr. – ATL")</f>
        <v>Michael Penix Jr. – ATL</v>
      </c>
      <c r="G109" s="127">
        <f>IFERROR(__xludf.DUMMYFUNCTION("""COMPUTED_VALUE"""),263.6)</f>
        <v>263.6</v>
      </c>
      <c r="H109" s="127" t="str">
        <f>IFERROR(__xludf.DUMMYFUNCTION("""COMPUTED_VALUE"""),"QB")</f>
        <v>QB</v>
      </c>
      <c r="I109" s="178">
        <f>IFERROR(__xludf.DUMMYFUNCTION("""COMPUTED_VALUE"""),5.0)</f>
        <v>5</v>
      </c>
    </row>
    <row r="110">
      <c r="A110" s="125">
        <f>IFERROR(__xludf.DUMMYFUNCTION("""COMPUTED_VALUE"""),22.0)</f>
        <v>22</v>
      </c>
      <c r="B110" s="125">
        <f>IFERROR(__xludf.DUMMYFUNCTION("""COMPUTED_VALUE"""),22.0)</f>
        <v>22</v>
      </c>
      <c r="C110" s="125">
        <f>IFERROR(__xludf.DUMMYFUNCTION("""COMPUTED_VALUE"""),22.0)</f>
        <v>22</v>
      </c>
      <c r="D110" s="125">
        <f>IFERROR(__xludf.DUMMYFUNCTION("""COMPUTED_VALUE"""),22.0)</f>
        <v>22</v>
      </c>
      <c r="E110" s="178">
        <f>IFERROR(__xludf.DUMMYFUNCTION("""COMPUTED_VALUE"""),22.0)</f>
        <v>22</v>
      </c>
      <c r="F110" s="127" t="str">
        <f>IFERROR(__xludf.DUMMYFUNCTION("""COMPUTED_VALUE"""),"Jonnu Smith – PIT")</f>
        <v>Jonnu Smith – PIT</v>
      </c>
      <c r="G110" s="127">
        <f>IFERROR(__xludf.DUMMYFUNCTION("""COMPUTED_VALUE"""),74.7)</f>
        <v>74.7</v>
      </c>
      <c r="H110" s="127" t="str">
        <f>IFERROR(__xludf.DUMMYFUNCTION("""COMPUTED_VALUE"""),"TE")</f>
        <v>TE</v>
      </c>
      <c r="I110" s="178">
        <f>IFERROR(__xludf.DUMMYFUNCTION("""COMPUTED_VALUE"""),5.0)</f>
        <v>5</v>
      </c>
    </row>
    <row r="111">
      <c r="A111" s="125">
        <f>IFERROR(__xludf.DUMMYFUNCTION("""COMPUTED_VALUE"""),22.0)</f>
        <v>22</v>
      </c>
      <c r="B111" s="125">
        <f>IFERROR(__xludf.DUMMYFUNCTION("""COMPUTED_VALUE"""),22.0)</f>
        <v>22</v>
      </c>
      <c r="C111" s="125">
        <f>IFERROR(__xludf.DUMMYFUNCTION("""COMPUTED_VALUE"""),22.0)</f>
        <v>22</v>
      </c>
      <c r="D111" s="125">
        <f>IFERROR(__xludf.DUMMYFUNCTION("""COMPUTED_VALUE"""),22.0)</f>
        <v>22</v>
      </c>
      <c r="E111" s="178">
        <f>IFERROR(__xludf.DUMMYFUNCTION("""COMPUTED_VALUE"""),22.0)</f>
        <v>22</v>
      </c>
      <c r="F111" s="127" t="str">
        <f>IFERROR(__xludf.DUMMYFUNCTION("""COMPUTED_VALUE"""),"Cairo Santos – CHI")</f>
        <v>Cairo Santos – CHI</v>
      </c>
      <c r="G111" s="127">
        <f>IFERROR(__xludf.DUMMYFUNCTION("""COMPUTED_VALUE"""),115.0)</f>
        <v>115</v>
      </c>
      <c r="H111" s="127" t="str">
        <f>IFERROR(__xludf.DUMMYFUNCTION("""COMPUTED_VALUE"""),"K")</f>
        <v>K</v>
      </c>
      <c r="I111" s="178">
        <f>IFERROR(__xludf.DUMMYFUNCTION("""COMPUTED_VALUE"""),5.0)</f>
        <v>5</v>
      </c>
    </row>
    <row r="112">
      <c r="A112" s="125">
        <f>IFERROR(__xludf.DUMMYFUNCTION("""COMPUTED_VALUE"""),23.0)</f>
        <v>23</v>
      </c>
      <c r="B112" s="125">
        <f>IFERROR(__xludf.DUMMYFUNCTION("""COMPUTED_VALUE"""),23.0)</f>
        <v>23</v>
      </c>
      <c r="C112" s="125">
        <f>IFERROR(__xludf.DUMMYFUNCTION("""COMPUTED_VALUE"""),23.0)</f>
        <v>23</v>
      </c>
      <c r="D112" s="125">
        <f>IFERROR(__xludf.DUMMYFUNCTION("""COMPUTED_VALUE"""),23.0)</f>
        <v>23</v>
      </c>
      <c r="E112" s="178">
        <f>IFERROR(__xludf.DUMMYFUNCTION("""COMPUTED_VALUE"""),23.0)</f>
        <v>23</v>
      </c>
      <c r="F112" s="127" t="str">
        <f>IFERROR(__xludf.DUMMYFUNCTION("""COMPUTED_VALUE"""),"Tony Pollard – TEN")</f>
        <v>Tony Pollard – TEN</v>
      </c>
      <c r="G112" s="127">
        <f>IFERROR(__xludf.DUMMYFUNCTION("""COMPUTED_VALUE"""),154.0)</f>
        <v>154</v>
      </c>
      <c r="H112" s="127" t="str">
        <f>IFERROR(__xludf.DUMMYFUNCTION("""COMPUTED_VALUE"""),"RB")</f>
        <v>RB</v>
      </c>
      <c r="I112" s="178">
        <f>IFERROR(__xludf.DUMMYFUNCTION("""COMPUTED_VALUE"""),10.0)</f>
        <v>10</v>
      </c>
    </row>
    <row r="113">
      <c r="A113" s="125">
        <f>IFERROR(__xludf.DUMMYFUNCTION("""COMPUTED_VALUE"""),23.0)</f>
        <v>23</v>
      </c>
      <c r="B113" s="125">
        <f>IFERROR(__xludf.DUMMYFUNCTION("""COMPUTED_VALUE"""),23.0)</f>
        <v>23</v>
      </c>
      <c r="C113" s="125">
        <f>IFERROR(__xludf.DUMMYFUNCTION("""COMPUTED_VALUE"""),23.0)</f>
        <v>23</v>
      </c>
      <c r="D113" s="125">
        <f>IFERROR(__xludf.DUMMYFUNCTION("""COMPUTED_VALUE"""),23.0)</f>
        <v>23</v>
      </c>
      <c r="E113" s="178">
        <f>IFERROR(__xludf.DUMMYFUNCTION("""COMPUTED_VALUE"""),23.0)</f>
        <v>23</v>
      </c>
      <c r="F113" s="127" t="str">
        <f>IFERROR(__xludf.DUMMYFUNCTION("""COMPUTED_VALUE"""),"Courtland Sutton – DEN")</f>
        <v>Courtland Sutton – DEN</v>
      </c>
      <c r="G113" s="127">
        <f>IFERROR(__xludf.DUMMYFUNCTION("""COMPUTED_VALUE"""),144.3)</f>
        <v>144.3</v>
      </c>
      <c r="H113" s="127" t="str">
        <f>IFERROR(__xludf.DUMMYFUNCTION("""COMPUTED_VALUE"""),"WR")</f>
        <v>WR</v>
      </c>
      <c r="I113" s="178">
        <f>IFERROR(__xludf.DUMMYFUNCTION("""COMPUTED_VALUE"""),12.0)</f>
        <v>12</v>
      </c>
    </row>
    <row r="114">
      <c r="A114" s="125">
        <f>IFERROR(__xludf.DUMMYFUNCTION("""COMPUTED_VALUE"""),23.0)</f>
        <v>23</v>
      </c>
      <c r="B114" s="125">
        <f>IFERROR(__xludf.DUMMYFUNCTION("""COMPUTED_VALUE"""),23.0)</f>
        <v>23</v>
      </c>
      <c r="C114" s="125">
        <f>IFERROR(__xludf.DUMMYFUNCTION("""COMPUTED_VALUE"""),23.0)</f>
        <v>23</v>
      </c>
      <c r="D114" s="125">
        <f>IFERROR(__xludf.DUMMYFUNCTION("""COMPUTED_VALUE"""),23.0)</f>
        <v>23</v>
      </c>
      <c r="E114" s="178">
        <f>IFERROR(__xludf.DUMMYFUNCTION("""COMPUTED_VALUE"""),23.0)</f>
        <v>23</v>
      </c>
      <c r="F114" s="127" t="str">
        <f>IFERROR(__xludf.DUMMYFUNCTION("""COMPUTED_VALUE"""),"Tua Tagovailoa – MIA")</f>
        <v>Tua Tagovailoa – MIA</v>
      </c>
      <c r="G114" s="127">
        <f>IFERROR(__xludf.DUMMYFUNCTION("""COMPUTED_VALUE"""),263.0)</f>
        <v>263</v>
      </c>
      <c r="H114" s="127" t="str">
        <f>IFERROR(__xludf.DUMMYFUNCTION("""COMPUTED_VALUE"""),"QB")</f>
        <v>QB</v>
      </c>
      <c r="I114" s="178">
        <f>IFERROR(__xludf.DUMMYFUNCTION("""COMPUTED_VALUE"""),12.0)</f>
        <v>12</v>
      </c>
    </row>
    <row r="115">
      <c r="A115" s="125">
        <f>IFERROR(__xludf.DUMMYFUNCTION("""COMPUTED_VALUE"""),23.0)</f>
        <v>23</v>
      </c>
      <c r="B115" s="125">
        <f>IFERROR(__xludf.DUMMYFUNCTION("""COMPUTED_VALUE"""),23.0)</f>
        <v>23</v>
      </c>
      <c r="C115" s="125">
        <f>IFERROR(__xludf.DUMMYFUNCTION("""COMPUTED_VALUE"""),23.0)</f>
        <v>23</v>
      </c>
      <c r="D115" s="125">
        <f>IFERROR(__xludf.DUMMYFUNCTION("""COMPUTED_VALUE"""),23.0)</f>
        <v>23</v>
      </c>
      <c r="E115" s="178">
        <f>IFERROR(__xludf.DUMMYFUNCTION("""COMPUTED_VALUE"""),23.0)</f>
        <v>23</v>
      </c>
      <c r="F115" s="127" t="str">
        <f>IFERROR(__xludf.DUMMYFUNCTION("""COMPUTED_VALUE"""),"Brenton Strange – JAX")</f>
        <v>Brenton Strange – JAX</v>
      </c>
      <c r="G115" s="127">
        <f>IFERROR(__xludf.DUMMYFUNCTION("""COMPUTED_VALUE"""),73.3)</f>
        <v>73.3</v>
      </c>
      <c r="H115" s="127" t="str">
        <f>IFERROR(__xludf.DUMMYFUNCTION("""COMPUTED_VALUE"""),"TE")</f>
        <v>TE</v>
      </c>
      <c r="I115" s="178">
        <f>IFERROR(__xludf.DUMMYFUNCTION("""COMPUTED_VALUE"""),8.0)</f>
        <v>8</v>
      </c>
    </row>
    <row r="116">
      <c r="A116" s="125">
        <f>IFERROR(__xludf.DUMMYFUNCTION("""COMPUTED_VALUE"""),23.0)</f>
        <v>23</v>
      </c>
      <c r="B116" s="125">
        <f>IFERROR(__xludf.DUMMYFUNCTION("""COMPUTED_VALUE"""),23.0)</f>
        <v>23</v>
      </c>
      <c r="C116" s="125">
        <f>IFERROR(__xludf.DUMMYFUNCTION("""COMPUTED_VALUE"""),23.0)</f>
        <v>23</v>
      </c>
      <c r="D116" s="125">
        <f>IFERROR(__xludf.DUMMYFUNCTION("""COMPUTED_VALUE"""),23.0)</f>
        <v>23</v>
      </c>
      <c r="E116" s="178">
        <f>IFERROR(__xludf.DUMMYFUNCTION("""COMPUTED_VALUE"""),23.0)</f>
        <v>23</v>
      </c>
      <c r="F116" s="127" t="str">
        <f>IFERROR(__xludf.DUMMYFUNCTION("""COMPUTED_VALUE"""),"Cam Little – JAC")</f>
        <v>Cam Little – JAC</v>
      </c>
      <c r="G116" s="127">
        <f>IFERROR(__xludf.DUMMYFUNCTION("""COMPUTED_VALUE"""),115.0)</f>
        <v>115</v>
      </c>
      <c r="H116" s="127" t="str">
        <f>IFERROR(__xludf.DUMMYFUNCTION("""COMPUTED_VALUE"""),"K")</f>
        <v>K</v>
      </c>
      <c r="I116" s="178">
        <f>IFERROR(__xludf.DUMMYFUNCTION("""COMPUTED_VALUE"""),8.0)</f>
        <v>8</v>
      </c>
    </row>
    <row r="117">
      <c r="A117" s="125">
        <f>IFERROR(__xludf.DUMMYFUNCTION("""COMPUTED_VALUE"""),24.0)</f>
        <v>24</v>
      </c>
      <c r="B117" s="125">
        <f>IFERROR(__xludf.DUMMYFUNCTION("""COMPUTED_VALUE"""),24.0)</f>
        <v>24</v>
      </c>
      <c r="C117" s="125">
        <f>IFERROR(__xludf.DUMMYFUNCTION("""COMPUTED_VALUE"""),24.0)</f>
        <v>24</v>
      </c>
      <c r="D117" s="125">
        <f>IFERROR(__xludf.DUMMYFUNCTION("""COMPUTED_VALUE"""),24.0)</f>
        <v>24</v>
      </c>
      <c r="E117" s="178">
        <f>IFERROR(__xludf.DUMMYFUNCTION("""COMPUTED_VALUE"""),24.0)</f>
        <v>24</v>
      </c>
      <c r="F117" s="127" t="str">
        <f>IFERROR(__xludf.DUMMYFUNCTION("""COMPUTED_VALUE"""),"Kaleb Johnson – PIT")</f>
        <v>Kaleb Johnson – PIT</v>
      </c>
      <c r="G117" s="127">
        <f>IFERROR(__xludf.DUMMYFUNCTION("""COMPUTED_VALUE"""),146.0)</f>
        <v>146</v>
      </c>
      <c r="H117" s="127" t="str">
        <f>IFERROR(__xludf.DUMMYFUNCTION("""COMPUTED_VALUE"""),"RB")</f>
        <v>RB</v>
      </c>
      <c r="I117" s="178">
        <f>IFERROR(__xludf.DUMMYFUNCTION("""COMPUTED_VALUE"""),5.0)</f>
        <v>5</v>
      </c>
    </row>
    <row r="118">
      <c r="A118" s="125">
        <f>IFERROR(__xludf.DUMMYFUNCTION("""COMPUTED_VALUE"""),24.0)</f>
        <v>24</v>
      </c>
      <c r="B118" s="125">
        <f>IFERROR(__xludf.DUMMYFUNCTION("""COMPUTED_VALUE"""),24.0)</f>
        <v>24</v>
      </c>
      <c r="C118" s="125">
        <f>IFERROR(__xludf.DUMMYFUNCTION("""COMPUTED_VALUE"""),24.0)</f>
        <v>24</v>
      </c>
      <c r="D118" s="125">
        <f>IFERROR(__xludf.DUMMYFUNCTION("""COMPUTED_VALUE"""),24.0)</f>
        <v>24</v>
      </c>
      <c r="E118" s="178">
        <f>IFERROR(__xludf.DUMMYFUNCTION("""COMPUTED_VALUE"""),24.0)</f>
        <v>24</v>
      </c>
      <c r="F118" s="127" t="str">
        <f>IFERROR(__xludf.DUMMYFUNCTION("""COMPUTED_VALUE"""),"DJ Moore – CHI")</f>
        <v>DJ Moore – CHI</v>
      </c>
      <c r="G118" s="127">
        <f>IFERROR(__xludf.DUMMYFUNCTION("""COMPUTED_VALUE"""),142.7)</f>
        <v>142.7</v>
      </c>
      <c r="H118" s="127" t="str">
        <f>IFERROR(__xludf.DUMMYFUNCTION("""COMPUTED_VALUE"""),"WR")</f>
        <v>WR</v>
      </c>
      <c r="I118" s="178">
        <f>IFERROR(__xludf.DUMMYFUNCTION("""COMPUTED_VALUE"""),5.0)</f>
        <v>5</v>
      </c>
    </row>
    <row r="119">
      <c r="A119" s="125">
        <f>IFERROR(__xludf.DUMMYFUNCTION("""COMPUTED_VALUE"""),24.0)</f>
        <v>24</v>
      </c>
      <c r="B119" s="125">
        <f>IFERROR(__xludf.DUMMYFUNCTION("""COMPUTED_VALUE"""),24.0)</f>
        <v>24</v>
      </c>
      <c r="C119" s="125">
        <f>IFERROR(__xludf.DUMMYFUNCTION("""COMPUTED_VALUE"""),24.0)</f>
        <v>24</v>
      </c>
      <c r="D119" s="125">
        <f>IFERROR(__xludf.DUMMYFUNCTION("""COMPUTED_VALUE"""),24.0)</f>
        <v>24</v>
      </c>
      <c r="E119" s="178">
        <f>IFERROR(__xludf.DUMMYFUNCTION("""COMPUTED_VALUE"""),24.0)</f>
        <v>24</v>
      </c>
      <c r="F119" s="127" t="str">
        <f>IFERROR(__xludf.DUMMYFUNCTION("""COMPUTED_VALUE"""),"Geno Smith – LV")</f>
        <v>Geno Smith – LV</v>
      </c>
      <c r="G119" s="127">
        <f>IFERROR(__xludf.DUMMYFUNCTION("""COMPUTED_VALUE"""),261.8)</f>
        <v>261.8</v>
      </c>
      <c r="H119" s="127" t="str">
        <f>IFERROR(__xludf.DUMMYFUNCTION("""COMPUTED_VALUE"""),"QB")</f>
        <v>QB</v>
      </c>
      <c r="I119" s="178">
        <f>IFERROR(__xludf.DUMMYFUNCTION("""COMPUTED_VALUE"""),8.0)</f>
        <v>8</v>
      </c>
    </row>
    <row r="120">
      <c r="A120" s="125">
        <f>IFERROR(__xludf.DUMMYFUNCTION("""COMPUTED_VALUE"""),24.0)</f>
        <v>24</v>
      </c>
      <c r="B120" s="125">
        <f>IFERROR(__xludf.DUMMYFUNCTION("""COMPUTED_VALUE"""),24.0)</f>
        <v>24</v>
      </c>
      <c r="C120" s="125">
        <f>IFERROR(__xludf.DUMMYFUNCTION("""COMPUTED_VALUE"""),24.0)</f>
        <v>24</v>
      </c>
      <c r="D120" s="125">
        <f>IFERROR(__xludf.DUMMYFUNCTION("""COMPUTED_VALUE"""),24.0)</f>
        <v>24</v>
      </c>
      <c r="E120" s="178">
        <f>IFERROR(__xludf.DUMMYFUNCTION("""COMPUTED_VALUE"""),24.0)</f>
        <v>24</v>
      </c>
      <c r="F120" s="127" t="str">
        <f>IFERROR(__xludf.DUMMYFUNCTION("""COMPUTED_VALUE"""),"Mike Gesicki – CIN")</f>
        <v>Mike Gesicki – CIN</v>
      </c>
      <c r="G120" s="127">
        <f>IFERROR(__xludf.DUMMYFUNCTION("""COMPUTED_VALUE"""),72.7)</f>
        <v>72.7</v>
      </c>
      <c r="H120" s="127" t="str">
        <f>IFERROR(__xludf.DUMMYFUNCTION("""COMPUTED_VALUE"""),"TE")</f>
        <v>TE</v>
      </c>
      <c r="I120" s="178">
        <f>IFERROR(__xludf.DUMMYFUNCTION("""COMPUTED_VALUE"""),10.0)</f>
        <v>10</v>
      </c>
    </row>
    <row r="121">
      <c r="A121" s="125">
        <f>IFERROR(__xludf.DUMMYFUNCTION("""COMPUTED_VALUE"""),24.0)</f>
        <v>24</v>
      </c>
      <c r="B121" s="125">
        <f>IFERROR(__xludf.DUMMYFUNCTION("""COMPUTED_VALUE"""),24.0)</f>
        <v>24</v>
      </c>
      <c r="C121" s="125">
        <f>IFERROR(__xludf.DUMMYFUNCTION("""COMPUTED_VALUE"""),24.0)</f>
        <v>24</v>
      </c>
      <c r="D121" s="125">
        <f>IFERROR(__xludf.DUMMYFUNCTION("""COMPUTED_VALUE"""),24.0)</f>
        <v>24</v>
      </c>
      <c r="E121" s="178">
        <f>IFERROR(__xludf.DUMMYFUNCTION("""COMPUTED_VALUE"""),24.0)</f>
        <v>24</v>
      </c>
      <c r="F121" s="127" t="str">
        <f>IFERROR(__xludf.DUMMYFUNCTION("""COMPUTED_VALUE"""),"Will Reichard – MIN")</f>
        <v>Will Reichard – MIN</v>
      </c>
      <c r="G121" s="127">
        <f>IFERROR(__xludf.DUMMYFUNCTION("""COMPUTED_VALUE"""),113.0)</f>
        <v>113</v>
      </c>
      <c r="H121" s="127" t="str">
        <f>IFERROR(__xludf.DUMMYFUNCTION("""COMPUTED_VALUE"""),"K")</f>
        <v>K</v>
      </c>
      <c r="I121" s="178">
        <f>IFERROR(__xludf.DUMMYFUNCTION("""COMPUTED_VALUE"""),6.0)</f>
        <v>6</v>
      </c>
    </row>
    <row r="122">
      <c r="A122" s="125">
        <f>IFERROR(__xludf.DUMMYFUNCTION("""COMPUTED_VALUE"""),25.0)</f>
        <v>25</v>
      </c>
      <c r="B122" s="125">
        <f>IFERROR(__xludf.DUMMYFUNCTION("""COMPUTED_VALUE"""),25.0)</f>
        <v>25</v>
      </c>
      <c r="C122" s="125">
        <f>IFERROR(__xludf.DUMMYFUNCTION("""COMPUTED_VALUE"""),25.0)</f>
        <v>25</v>
      </c>
      <c r="D122" s="125">
        <f>IFERROR(__xludf.DUMMYFUNCTION("""COMPUTED_VALUE"""),25.0)</f>
        <v>25</v>
      </c>
      <c r="E122" s="178">
        <f>IFERROR(__xludf.DUMMYFUNCTION("""COMPUTED_VALUE"""),25.0)</f>
        <v>25</v>
      </c>
      <c r="F122" s="127" t="str">
        <f>IFERROR(__xludf.DUMMYFUNCTION("""COMPUTED_VALUE"""),"Brian Robinson Jr. – WAS")</f>
        <v>Brian Robinson Jr. – WAS</v>
      </c>
      <c r="G122" s="127">
        <f>IFERROR(__xludf.DUMMYFUNCTION("""COMPUTED_VALUE"""),146.0)</f>
        <v>146</v>
      </c>
      <c r="H122" s="127" t="str">
        <f>IFERROR(__xludf.DUMMYFUNCTION("""COMPUTED_VALUE"""),"RB")</f>
        <v>RB</v>
      </c>
      <c r="I122" s="178">
        <f>IFERROR(__xludf.DUMMYFUNCTION("""COMPUTED_VALUE"""),12.0)</f>
        <v>12</v>
      </c>
    </row>
    <row r="123">
      <c r="A123" s="125">
        <f>IFERROR(__xludf.DUMMYFUNCTION("""COMPUTED_VALUE"""),25.0)</f>
        <v>25</v>
      </c>
      <c r="B123" s="125">
        <f>IFERROR(__xludf.DUMMYFUNCTION("""COMPUTED_VALUE"""),25.0)</f>
        <v>25</v>
      </c>
      <c r="C123" s="125">
        <f>IFERROR(__xludf.DUMMYFUNCTION("""COMPUTED_VALUE"""),25.0)</f>
        <v>25</v>
      </c>
      <c r="D123" s="125">
        <f>IFERROR(__xludf.DUMMYFUNCTION("""COMPUTED_VALUE"""),25.0)</f>
        <v>25</v>
      </c>
      <c r="E123" s="178">
        <f>IFERROR(__xludf.DUMMYFUNCTION("""COMPUTED_VALUE"""),25.0)</f>
        <v>25</v>
      </c>
      <c r="F123" s="127" t="str">
        <f>IFERROR(__xludf.DUMMYFUNCTION("""COMPUTED_VALUE"""),"Jameson Williams – DET")</f>
        <v>Jameson Williams – DET</v>
      </c>
      <c r="G123" s="127">
        <f>IFERROR(__xludf.DUMMYFUNCTION("""COMPUTED_VALUE"""),141.6)</f>
        <v>141.6</v>
      </c>
      <c r="H123" s="127" t="str">
        <f>IFERROR(__xludf.DUMMYFUNCTION("""COMPUTED_VALUE"""),"WR")</f>
        <v>WR</v>
      </c>
      <c r="I123" s="178">
        <f>IFERROR(__xludf.DUMMYFUNCTION("""COMPUTED_VALUE"""),8.0)</f>
        <v>8</v>
      </c>
    </row>
    <row r="124">
      <c r="A124" s="125">
        <f>IFERROR(__xludf.DUMMYFUNCTION("""COMPUTED_VALUE"""),25.0)</f>
        <v>25</v>
      </c>
      <c r="B124" s="125">
        <f>IFERROR(__xludf.DUMMYFUNCTION("""COMPUTED_VALUE"""),25.0)</f>
        <v>25</v>
      </c>
      <c r="C124" s="125">
        <f>IFERROR(__xludf.DUMMYFUNCTION("""COMPUTED_VALUE"""),25.0)</f>
        <v>25</v>
      </c>
      <c r="D124" s="125">
        <f>IFERROR(__xludf.DUMMYFUNCTION("""COMPUTED_VALUE"""),25.0)</f>
        <v>25</v>
      </c>
      <c r="E124" s="178">
        <f>IFERROR(__xludf.DUMMYFUNCTION("""COMPUTED_VALUE"""),25.0)</f>
        <v>25</v>
      </c>
      <c r="F124" s="127" t="str">
        <f>IFERROR(__xludf.DUMMYFUNCTION("""COMPUTED_VALUE"""),"Sam Darnold – SEA")</f>
        <v>Sam Darnold – SEA</v>
      </c>
      <c r="G124" s="127">
        <f>IFERROR(__xludf.DUMMYFUNCTION("""COMPUTED_VALUE"""),260.3)</f>
        <v>260.3</v>
      </c>
      <c r="H124" s="127" t="str">
        <f>IFERROR(__xludf.DUMMYFUNCTION("""COMPUTED_VALUE"""),"QB")</f>
        <v>QB</v>
      </c>
      <c r="I124" s="178">
        <f>IFERROR(__xludf.DUMMYFUNCTION("""COMPUTED_VALUE"""),8.0)</f>
        <v>8</v>
      </c>
    </row>
    <row r="125">
      <c r="A125" s="125">
        <f>IFERROR(__xludf.DUMMYFUNCTION("""COMPUTED_VALUE"""),25.0)</f>
        <v>25</v>
      </c>
      <c r="B125" s="125">
        <f>IFERROR(__xludf.DUMMYFUNCTION("""COMPUTED_VALUE"""),25.0)</f>
        <v>25</v>
      </c>
      <c r="C125" s="125">
        <f>IFERROR(__xludf.DUMMYFUNCTION("""COMPUTED_VALUE"""),25.0)</f>
        <v>25</v>
      </c>
      <c r="D125" s="125">
        <f>IFERROR(__xludf.DUMMYFUNCTION("""COMPUTED_VALUE"""),25.0)</f>
        <v>25</v>
      </c>
      <c r="E125" s="178">
        <f>IFERROR(__xludf.DUMMYFUNCTION("""COMPUTED_VALUE"""),25.0)</f>
        <v>25</v>
      </c>
      <c r="F125" s="127" t="str">
        <f>IFERROR(__xludf.DUMMYFUNCTION("""COMPUTED_VALUE"""),"Dalton Schultz – HOU")</f>
        <v>Dalton Schultz – HOU</v>
      </c>
      <c r="G125" s="127">
        <f>IFERROR(__xludf.DUMMYFUNCTION("""COMPUTED_VALUE"""),69.6)</f>
        <v>69.6</v>
      </c>
      <c r="H125" s="127" t="str">
        <f>IFERROR(__xludf.DUMMYFUNCTION("""COMPUTED_VALUE"""),"TE")</f>
        <v>TE</v>
      </c>
      <c r="I125" s="178">
        <f>IFERROR(__xludf.DUMMYFUNCTION("""COMPUTED_VALUE"""),6.0)</f>
        <v>6</v>
      </c>
    </row>
    <row r="126">
      <c r="A126" s="125">
        <f>IFERROR(__xludf.DUMMYFUNCTION("""COMPUTED_VALUE"""),25.0)</f>
        <v>25</v>
      </c>
      <c r="B126" s="125">
        <f>IFERROR(__xludf.DUMMYFUNCTION("""COMPUTED_VALUE"""),25.0)</f>
        <v>25</v>
      </c>
      <c r="C126" s="125">
        <f>IFERROR(__xludf.DUMMYFUNCTION("""COMPUTED_VALUE"""),25.0)</f>
        <v>25</v>
      </c>
      <c r="D126" s="125">
        <f>IFERROR(__xludf.DUMMYFUNCTION("""COMPUTED_VALUE"""),25.0)</f>
        <v>25</v>
      </c>
      <c r="E126" s="178">
        <f>IFERROR(__xludf.DUMMYFUNCTION("""COMPUTED_VALUE"""),25.0)</f>
        <v>25</v>
      </c>
      <c r="F126" s="127" t="str">
        <f>IFERROR(__xludf.DUMMYFUNCTION("""COMPUTED_VALUE"""),"Graham Gano – NYG")</f>
        <v>Graham Gano – NYG</v>
      </c>
      <c r="G126" s="127">
        <f>IFERROR(__xludf.DUMMYFUNCTION("""COMPUTED_VALUE"""),105.0)</f>
        <v>105</v>
      </c>
      <c r="H126" s="127" t="str">
        <f>IFERROR(__xludf.DUMMYFUNCTION("""COMPUTED_VALUE"""),"K")</f>
        <v>K</v>
      </c>
      <c r="I126" s="178">
        <f>IFERROR(__xludf.DUMMYFUNCTION("""COMPUTED_VALUE"""),14.0)</f>
        <v>14</v>
      </c>
    </row>
    <row r="127">
      <c r="A127" s="125">
        <f>IFERROR(__xludf.DUMMYFUNCTION("""COMPUTED_VALUE"""),26.0)</f>
        <v>26</v>
      </c>
      <c r="B127" s="125">
        <f>IFERROR(__xludf.DUMMYFUNCTION("""COMPUTED_VALUE"""),26.0)</f>
        <v>26</v>
      </c>
      <c r="C127" s="125">
        <f>IFERROR(__xludf.DUMMYFUNCTION("""COMPUTED_VALUE"""),26.0)</f>
        <v>26</v>
      </c>
      <c r="D127" s="125">
        <f>IFERROR(__xludf.DUMMYFUNCTION("""COMPUTED_VALUE"""),26.0)</f>
        <v>26</v>
      </c>
      <c r="E127" s="178">
        <f>IFERROR(__xludf.DUMMYFUNCTION("""COMPUTED_VALUE"""),26.0)</f>
        <v>26</v>
      </c>
      <c r="F127" s="127" t="str">
        <f>IFERROR(__xludf.DUMMYFUNCTION("""COMPUTED_VALUE"""),"RJ Harvey – DEN")</f>
        <v>RJ Harvey – DEN</v>
      </c>
      <c r="G127" s="127">
        <f>IFERROR(__xludf.DUMMYFUNCTION("""COMPUTED_VALUE"""),144.0)</f>
        <v>144</v>
      </c>
      <c r="H127" s="127" t="str">
        <f>IFERROR(__xludf.DUMMYFUNCTION("""COMPUTED_VALUE"""),"RB")</f>
        <v>RB</v>
      </c>
      <c r="I127" s="178">
        <f>IFERROR(__xludf.DUMMYFUNCTION("""COMPUTED_VALUE"""),12.0)</f>
        <v>12</v>
      </c>
    </row>
    <row r="128">
      <c r="A128" s="125">
        <f>IFERROR(__xludf.DUMMYFUNCTION("""COMPUTED_VALUE"""),26.0)</f>
        <v>26</v>
      </c>
      <c r="B128" s="125">
        <f>IFERROR(__xludf.DUMMYFUNCTION("""COMPUTED_VALUE"""),26.0)</f>
        <v>26</v>
      </c>
      <c r="C128" s="125">
        <f>IFERROR(__xludf.DUMMYFUNCTION("""COMPUTED_VALUE"""),26.0)</f>
        <v>26</v>
      </c>
      <c r="D128" s="125">
        <f>IFERROR(__xludf.DUMMYFUNCTION("""COMPUTED_VALUE"""),26.0)</f>
        <v>26</v>
      </c>
      <c r="E128" s="178">
        <f>IFERROR(__xludf.DUMMYFUNCTION("""COMPUTED_VALUE"""),26.0)</f>
        <v>26</v>
      </c>
      <c r="F128" s="127" t="str">
        <f>IFERROR(__xludf.DUMMYFUNCTION("""COMPUTED_VALUE"""),"Calvin Ridley – TEN")</f>
        <v>Calvin Ridley – TEN</v>
      </c>
      <c r="G128" s="127">
        <f>IFERROR(__xludf.DUMMYFUNCTION("""COMPUTED_VALUE"""),140.6)</f>
        <v>140.6</v>
      </c>
      <c r="H128" s="127" t="str">
        <f>IFERROR(__xludf.DUMMYFUNCTION("""COMPUTED_VALUE"""),"WR")</f>
        <v>WR</v>
      </c>
      <c r="I128" s="178">
        <f>IFERROR(__xludf.DUMMYFUNCTION("""COMPUTED_VALUE"""),10.0)</f>
        <v>10</v>
      </c>
    </row>
    <row r="129">
      <c r="A129" s="125">
        <f>IFERROR(__xludf.DUMMYFUNCTION("""COMPUTED_VALUE"""),26.0)</f>
        <v>26</v>
      </c>
      <c r="B129" s="125">
        <f>IFERROR(__xludf.DUMMYFUNCTION("""COMPUTED_VALUE"""),26.0)</f>
        <v>26</v>
      </c>
      <c r="C129" s="125">
        <f>IFERROR(__xludf.DUMMYFUNCTION("""COMPUTED_VALUE"""),26.0)</f>
        <v>26</v>
      </c>
      <c r="D129" s="125">
        <f>IFERROR(__xludf.DUMMYFUNCTION("""COMPUTED_VALUE"""),26.0)</f>
        <v>26</v>
      </c>
      <c r="E129" s="178">
        <f>IFERROR(__xludf.DUMMYFUNCTION("""COMPUTED_VALUE"""),26.0)</f>
        <v>26</v>
      </c>
      <c r="F129" s="127" t="str">
        <f>IFERROR(__xludf.DUMMYFUNCTION("""COMPUTED_VALUE"""),"Bryce Young – CAR")</f>
        <v>Bryce Young – CAR</v>
      </c>
      <c r="G129" s="127">
        <f>IFERROR(__xludf.DUMMYFUNCTION("""COMPUTED_VALUE"""),257.1)</f>
        <v>257.1</v>
      </c>
      <c r="H129" s="127" t="str">
        <f>IFERROR(__xludf.DUMMYFUNCTION("""COMPUTED_VALUE"""),"QB")</f>
        <v>QB</v>
      </c>
      <c r="I129" s="178">
        <f>IFERROR(__xludf.DUMMYFUNCTION("""COMPUTED_VALUE"""),14.0)</f>
        <v>14</v>
      </c>
    </row>
    <row r="130">
      <c r="A130" s="125">
        <f>IFERROR(__xludf.DUMMYFUNCTION("""COMPUTED_VALUE"""),26.0)</f>
        <v>26</v>
      </c>
      <c r="B130" s="125">
        <f>IFERROR(__xludf.DUMMYFUNCTION("""COMPUTED_VALUE"""),26.0)</f>
        <v>26</v>
      </c>
      <c r="C130" s="125">
        <f>IFERROR(__xludf.DUMMYFUNCTION("""COMPUTED_VALUE"""),26.0)</f>
        <v>26</v>
      </c>
      <c r="D130" s="125">
        <f>IFERROR(__xludf.DUMMYFUNCTION("""COMPUTED_VALUE"""),26.0)</f>
        <v>26</v>
      </c>
      <c r="E130" s="178">
        <f>IFERROR(__xludf.DUMMYFUNCTION("""COMPUTED_VALUE"""),26.0)</f>
        <v>26</v>
      </c>
      <c r="F130" s="127" t="str">
        <f>IFERROR(__xludf.DUMMYFUNCTION("""COMPUTED_VALUE"""),"Juwan Johnson – NO")</f>
        <v>Juwan Johnson – NO</v>
      </c>
      <c r="G130" s="127">
        <f>IFERROR(__xludf.DUMMYFUNCTION("""COMPUTED_VALUE"""),69.5)</f>
        <v>69.5</v>
      </c>
      <c r="H130" s="127" t="str">
        <f>IFERROR(__xludf.DUMMYFUNCTION("""COMPUTED_VALUE"""),"TE")</f>
        <v>TE</v>
      </c>
      <c r="I130" s="178">
        <f>IFERROR(__xludf.DUMMYFUNCTION("""COMPUTED_VALUE"""),11.0)</f>
        <v>11</v>
      </c>
    </row>
    <row r="131">
      <c r="A131" s="125">
        <f>IFERROR(__xludf.DUMMYFUNCTION("""COMPUTED_VALUE"""),26.0)</f>
        <v>26</v>
      </c>
      <c r="B131" s="125">
        <f>IFERROR(__xludf.DUMMYFUNCTION("""COMPUTED_VALUE"""),26.0)</f>
        <v>26</v>
      </c>
      <c r="C131" s="125">
        <f>IFERROR(__xludf.DUMMYFUNCTION("""COMPUTED_VALUE"""),26.0)</f>
        <v>26</v>
      </c>
      <c r="D131" s="125">
        <f>IFERROR(__xludf.DUMMYFUNCTION("""COMPUTED_VALUE"""),26.0)</f>
        <v>26</v>
      </c>
      <c r="E131" s="178">
        <f>IFERROR(__xludf.DUMMYFUNCTION("""COMPUTED_VALUE"""),26.0)</f>
        <v>26</v>
      </c>
      <c r="F131" s="127" t="str">
        <f>IFERROR(__xludf.DUMMYFUNCTION("""COMPUTED_VALUE"""),"Caden Davis – NYJ")</f>
        <v>Caden Davis – NYJ</v>
      </c>
      <c r="G131" s="127">
        <f>IFERROR(__xludf.DUMMYFUNCTION("""COMPUTED_VALUE"""),105.0)</f>
        <v>105</v>
      </c>
      <c r="H131" s="127" t="str">
        <f>IFERROR(__xludf.DUMMYFUNCTION("""COMPUTED_VALUE"""),"K")</f>
        <v>K</v>
      </c>
      <c r="I131" s="178">
        <f>IFERROR(__xludf.DUMMYFUNCTION("""COMPUTED_VALUE"""),9.0)</f>
        <v>9</v>
      </c>
    </row>
    <row r="132">
      <c r="A132" s="125">
        <f>IFERROR(__xludf.DUMMYFUNCTION("""COMPUTED_VALUE"""),27.0)</f>
        <v>27</v>
      </c>
      <c r="B132" s="125">
        <f>IFERROR(__xludf.DUMMYFUNCTION("""COMPUTED_VALUE"""),27.0)</f>
        <v>27</v>
      </c>
      <c r="C132" s="125">
        <f>IFERROR(__xludf.DUMMYFUNCTION("""COMPUTED_VALUE"""),27.0)</f>
        <v>27</v>
      </c>
      <c r="D132" s="125">
        <f>IFERROR(__xludf.DUMMYFUNCTION("""COMPUTED_VALUE"""),27.0)</f>
        <v>27</v>
      </c>
      <c r="E132" s="178">
        <f>IFERROR(__xludf.DUMMYFUNCTION("""COMPUTED_VALUE"""),27.0)</f>
        <v>27</v>
      </c>
      <c r="F132" s="127" t="str">
        <f>IFERROR(__xludf.DUMMYFUNCTION("""COMPUTED_VALUE"""),"Tyrone Tracy Jr. – NYG")</f>
        <v>Tyrone Tracy Jr. – NYG</v>
      </c>
      <c r="G132" s="127">
        <f>IFERROR(__xludf.DUMMYFUNCTION("""COMPUTED_VALUE"""),143.0)</f>
        <v>143</v>
      </c>
      <c r="H132" s="127" t="str">
        <f>IFERROR(__xludf.DUMMYFUNCTION("""COMPUTED_VALUE"""),"RB")</f>
        <v>RB</v>
      </c>
      <c r="I132" s="178">
        <f>IFERROR(__xludf.DUMMYFUNCTION("""COMPUTED_VALUE"""),14.0)</f>
        <v>14</v>
      </c>
    </row>
    <row r="133">
      <c r="A133" s="125">
        <f>IFERROR(__xludf.DUMMYFUNCTION("""COMPUTED_VALUE"""),27.0)</f>
        <v>27</v>
      </c>
      <c r="B133" s="125">
        <f>IFERROR(__xludf.DUMMYFUNCTION("""COMPUTED_VALUE"""),27.0)</f>
        <v>27</v>
      </c>
      <c r="C133" s="125">
        <f>IFERROR(__xludf.DUMMYFUNCTION("""COMPUTED_VALUE"""),27.0)</f>
        <v>27</v>
      </c>
      <c r="D133" s="125">
        <f>IFERROR(__xludf.DUMMYFUNCTION("""COMPUTED_VALUE"""),27.0)</f>
        <v>27</v>
      </c>
      <c r="E133" s="178">
        <f>IFERROR(__xludf.DUMMYFUNCTION("""COMPUTED_VALUE"""),27.0)</f>
        <v>27</v>
      </c>
      <c r="F133" s="127" t="str">
        <f>IFERROR(__xludf.DUMMYFUNCTION("""COMPUTED_VALUE"""),"DeVonta Smith – PHI")</f>
        <v>DeVonta Smith – PHI</v>
      </c>
      <c r="G133" s="127">
        <f>IFERROR(__xludf.DUMMYFUNCTION("""COMPUTED_VALUE"""),137.7)</f>
        <v>137.7</v>
      </c>
      <c r="H133" s="127" t="str">
        <f>IFERROR(__xludf.DUMMYFUNCTION("""COMPUTED_VALUE"""),"WR")</f>
        <v>WR</v>
      </c>
      <c r="I133" s="178">
        <f>IFERROR(__xludf.DUMMYFUNCTION("""COMPUTED_VALUE"""),9.0)</f>
        <v>9</v>
      </c>
    </row>
    <row r="134">
      <c r="A134" s="125">
        <f>IFERROR(__xludf.DUMMYFUNCTION("""COMPUTED_VALUE"""),27.0)</f>
        <v>27</v>
      </c>
      <c r="B134" s="125">
        <f>IFERROR(__xludf.DUMMYFUNCTION("""COMPUTED_VALUE"""),27.0)</f>
        <v>27</v>
      </c>
      <c r="C134" s="125">
        <f>IFERROR(__xludf.DUMMYFUNCTION("""COMPUTED_VALUE"""),27.0)</f>
        <v>27</v>
      </c>
      <c r="D134" s="125">
        <f>IFERROR(__xludf.DUMMYFUNCTION("""COMPUTED_VALUE"""),27.0)</f>
        <v>27</v>
      </c>
      <c r="E134" s="178">
        <f>IFERROR(__xludf.DUMMYFUNCTION("""COMPUTED_VALUE"""),27.0)</f>
        <v>27</v>
      </c>
      <c r="F134" s="127" t="str">
        <f>IFERROR(__xludf.DUMMYFUNCTION("""COMPUTED_VALUE"""),"Cam Ward – TEN")</f>
        <v>Cam Ward – TEN</v>
      </c>
      <c r="G134" s="127">
        <f>IFERROR(__xludf.DUMMYFUNCTION("""COMPUTED_VALUE"""),255.0)</f>
        <v>255</v>
      </c>
      <c r="H134" s="127" t="str">
        <f>IFERROR(__xludf.DUMMYFUNCTION("""COMPUTED_VALUE"""),"QB")</f>
        <v>QB</v>
      </c>
      <c r="I134" s="178">
        <f>IFERROR(__xludf.DUMMYFUNCTION("""COMPUTED_VALUE"""),10.0)</f>
        <v>10</v>
      </c>
    </row>
    <row r="135">
      <c r="A135" s="125">
        <f>IFERROR(__xludf.DUMMYFUNCTION("""COMPUTED_VALUE"""),27.0)</f>
        <v>27</v>
      </c>
      <c r="B135" s="125">
        <f>IFERROR(__xludf.DUMMYFUNCTION("""COMPUTED_VALUE"""),27.0)</f>
        <v>27</v>
      </c>
      <c r="C135" s="125">
        <f>IFERROR(__xludf.DUMMYFUNCTION("""COMPUTED_VALUE"""),27.0)</f>
        <v>27</v>
      </c>
      <c r="D135" s="125">
        <f>IFERROR(__xludf.DUMMYFUNCTION("""COMPUTED_VALUE"""),27.0)</f>
        <v>27</v>
      </c>
      <c r="E135" s="178">
        <f>IFERROR(__xludf.DUMMYFUNCTION("""COMPUTED_VALUE"""),27.0)</f>
        <v>27</v>
      </c>
      <c r="F135" s="127" t="str">
        <f>IFERROR(__xludf.DUMMYFUNCTION("""COMPUTED_VALUE"""),"Pat Freiermuth – PIT")</f>
        <v>Pat Freiermuth – PIT</v>
      </c>
      <c r="G135" s="127">
        <f>IFERROR(__xludf.DUMMYFUNCTION("""COMPUTED_VALUE"""),66.0)</f>
        <v>66</v>
      </c>
      <c r="H135" s="127" t="str">
        <f>IFERROR(__xludf.DUMMYFUNCTION("""COMPUTED_VALUE"""),"TE")</f>
        <v>TE</v>
      </c>
      <c r="I135" s="178">
        <f>IFERROR(__xludf.DUMMYFUNCTION("""COMPUTED_VALUE"""),5.0)</f>
        <v>5</v>
      </c>
    </row>
    <row r="136">
      <c r="A136" s="125">
        <f>IFERROR(__xludf.DUMMYFUNCTION("""COMPUTED_VALUE"""),27.0)</f>
        <v>27</v>
      </c>
      <c r="B136" s="125">
        <f>IFERROR(__xludf.DUMMYFUNCTION("""COMPUTED_VALUE"""),27.0)</f>
        <v>27</v>
      </c>
      <c r="C136" s="125">
        <f>IFERROR(__xludf.DUMMYFUNCTION("""COMPUTED_VALUE"""),27.0)</f>
        <v>27</v>
      </c>
      <c r="D136" s="125">
        <f>IFERROR(__xludf.DUMMYFUNCTION("""COMPUTED_VALUE"""),27.0)</f>
        <v>27</v>
      </c>
      <c r="E136" s="178">
        <f>IFERROR(__xludf.DUMMYFUNCTION("""COMPUTED_VALUE"""),27.0)</f>
        <v>27</v>
      </c>
      <c r="F136" s="127" t="str">
        <f>IFERROR(__xludf.DUMMYFUNCTION("""COMPUTED_VALUE"""),"Blake Grupe – NO")</f>
        <v>Blake Grupe – NO</v>
      </c>
      <c r="G136" s="127">
        <f>IFERROR(__xludf.DUMMYFUNCTION("""COMPUTED_VALUE"""),104.0)</f>
        <v>104</v>
      </c>
      <c r="H136" s="127" t="str">
        <f>IFERROR(__xludf.DUMMYFUNCTION("""COMPUTED_VALUE"""),"K")</f>
        <v>K</v>
      </c>
      <c r="I136" s="178">
        <f>IFERROR(__xludf.DUMMYFUNCTION("""COMPUTED_VALUE"""),11.0)</f>
        <v>11</v>
      </c>
    </row>
    <row r="137">
      <c r="A137" s="125">
        <f>IFERROR(__xludf.DUMMYFUNCTION("""COMPUTED_VALUE"""),28.0)</f>
        <v>28</v>
      </c>
      <c r="B137" s="125">
        <f>IFERROR(__xludf.DUMMYFUNCTION("""COMPUTED_VALUE"""),28.0)</f>
        <v>28</v>
      </c>
      <c r="C137" s="125">
        <f>IFERROR(__xludf.DUMMYFUNCTION("""COMPUTED_VALUE"""),28.0)</f>
        <v>28</v>
      </c>
      <c r="D137" s="125">
        <f>IFERROR(__xludf.DUMMYFUNCTION("""COMPUTED_VALUE"""),28.0)</f>
        <v>28</v>
      </c>
      <c r="E137" s="178">
        <f>IFERROR(__xludf.DUMMYFUNCTION("""COMPUTED_VALUE"""),28.0)</f>
        <v>28</v>
      </c>
      <c r="F137" s="127" t="str">
        <f>IFERROR(__xludf.DUMMYFUNCTION("""COMPUTED_VALUE"""),"Jaylen Warren – PIT")</f>
        <v>Jaylen Warren – PIT</v>
      </c>
      <c r="G137" s="127">
        <f>IFERROR(__xludf.DUMMYFUNCTION("""COMPUTED_VALUE"""),142.0)</f>
        <v>142</v>
      </c>
      <c r="H137" s="127" t="str">
        <f>IFERROR(__xludf.DUMMYFUNCTION("""COMPUTED_VALUE"""),"RB")</f>
        <v>RB</v>
      </c>
      <c r="I137" s="178">
        <f>IFERROR(__xludf.DUMMYFUNCTION("""COMPUTED_VALUE"""),5.0)</f>
        <v>5</v>
      </c>
    </row>
    <row r="138">
      <c r="A138" s="125">
        <f>IFERROR(__xludf.DUMMYFUNCTION("""COMPUTED_VALUE"""),28.0)</f>
        <v>28</v>
      </c>
      <c r="B138" s="125">
        <f>IFERROR(__xludf.DUMMYFUNCTION("""COMPUTED_VALUE"""),28.0)</f>
        <v>28</v>
      </c>
      <c r="C138" s="125">
        <f>IFERROR(__xludf.DUMMYFUNCTION("""COMPUTED_VALUE"""),28.0)</f>
        <v>28</v>
      </c>
      <c r="D138" s="125">
        <f>IFERROR(__xludf.DUMMYFUNCTION("""COMPUTED_VALUE"""),28.0)</f>
        <v>28</v>
      </c>
      <c r="E138" s="178">
        <f>IFERROR(__xludf.DUMMYFUNCTION("""COMPUTED_VALUE"""),28.0)</f>
        <v>28</v>
      </c>
      <c r="F138" s="127" t="str">
        <f>IFERROR(__xludf.DUMMYFUNCTION("""COMPUTED_VALUE"""),"George Pickens – DAL")</f>
        <v>George Pickens – DAL</v>
      </c>
      <c r="G138" s="127">
        <f>IFERROR(__xludf.DUMMYFUNCTION("""COMPUTED_VALUE"""),137.1)</f>
        <v>137.1</v>
      </c>
      <c r="H138" s="127" t="str">
        <f>IFERROR(__xludf.DUMMYFUNCTION("""COMPUTED_VALUE"""),"WR")</f>
        <v>WR</v>
      </c>
      <c r="I138" s="178">
        <f>IFERROR(__xludf.DUMMYFUNCTION("""COMPUTED_VALUE"""),10.0)</f>
        <v>10</v>
      </c>
    </row>
    <row r="139">
      <c r="A139" s="125">
        <f>IFERROR(__xludf.DUMMYFUNCTION("""COMPUTED_VALUE"""),28.0)</f>
        <v>28</v>
      </c>
      <c r="B139" s="125">
        <f>IFERROR(__xludf.DUMMYFUNCTION("""COMPUTED_VALUE"""),28.0)</f>
        <v>28</v>
      </c>
      <c r="C139" s="125">
        <f>IFERROR(__xludf.DUMMYFUNCTION("""COMPUTED_VALUE"""),28.0)</f>
        <v>28</v>
      </c>
      <c r="D139" s="125">
        <f>IFERROR(__xludf.DUMMYFUNCTION("""COMPUTED_VALUE"""),28.0)</f>
        <v>28</v>
      </c>
      <c r="E139" s="178">
        <f>IFERROR(__xludf.DUMMYFUNCTION("""COMPUTED_VALUE"""),28.0)</f>
        <v>28</v>
      </c>
      <c r="F139" s="127" t="str">
        <f>IFERROR(__xludf.DUMMYFUNCTION("""COMPUTED_VALUE"""),"Aaron Rodgers – PIT")</f>
        <v>Aaron Rodgers – PIT</v>
      </c>
      <c r="G139" s="127">
        <f>IFERROR(__xludf.DUMMYFUNCTION("""COMPUTED_VALUE"""),237.1)</f>
        <v>237.1</v>
      </c>
      <c r="H139" s="127" t="str">
        <f>IFERROR(__xludf.DUMMYFUNCTION("""COMPUTED_VALUE"""),"QB")</f>
        <v>QB</v>
      </c>
      <c r="I139" s="178">
        <f>IFERROR(__xludf.DUMMYFUNCTION("""COMPUTED_VALUE"""),5.0)</f>
        <v>5</v>
      </c>
    </row>
    <row r="140">
      <c r="A140" s="125">
        <f>IFERROR(__xludf.DUMMYFUNCTION("""COMPUTED_VALUE"""),28.0)</f>
        <v>28</v>
      </c>
      <c r="B140" s="125">
        <f>IFERROR(__xludf.DUMMYFUNCTION("""COMPUTED_VALUE"""),28.0)</f>
        <v>28</v>
      </c>
      <c r="C140" s="125">
        <f>IFERROR(__xludf.DUMMYFUNCTION("""COMPUTED_VALUE"""),28.0)</f>
        <v>28</v>
      </c>
      <c r="D140" s="125">
        <f>IFERROR(__xludf.DUMMYFUNCTION("""COMPUTED_VALUE"""),28.0)</f>
        <v>28</v>
      </c>
      <c r="E140" s="178">
        <f>IFERROR(__xludf.DUMMYFUNCTION("""COMPUTED_VALUE"""),28.0)</f>
        <v>28</v>
      </c>
      <c r="F140" s="127" t="str">
        <f>IFERROR(__xludf.DUMMYFUNCTION("""COMPUTED_VALUE"""),"Chigoziem Okonkwo – TEN")</f>
        <v>Chigoziem Okonkwo – TEN</v>
      </c>
      <c r="G140" s="127">
        <f>IFERROR(__xludf.DUMMYFUNCTION("""COMPUTED_VALUE"""),65.9)</f>
        <v>65.9</v>
      </c>
      <c r="H140" s="127" t="str">
        <f>IFERROR(__xludf.DUMMYFUNCTION("""COMPUTED_VALUE"""),"TE")</f>
        <v>TE</v>
      </c>
      <c r="I140" s="178">
        <f>IFERROR(__xludf.DUMMYFUNCTION("""COMPUTED_VALUE"""),10.0)</f>
        <v>10</v>
      </c>
    </row>
    <row r="141">
      <c r="A141" s="125">
        <f>IFERROR(__xludf.DUMMYFUNCTION("""COMPUTED_VALUE"""),28.0)</f>
        <v>28</v>
      </c>
      <c r="B141" s="125">
        <f>IFERROR(__xludf.DUMMYFUNCTION("""COMPUTED_VALUE"""),28.0)</f>
        <v>28</v>
      </c>
      <c r="C141" s="125">
        <f>IFERROR(__xludf.DUMMYFUNCTION("""COMPUTED_VALUE"""),28.0)</f>
        <v>28</v>
      </c>
      <c r="D141" s="125">
        <f>IFERROR(__xludf.DUMMYFUNCTION("""COMPUTED_VALUE"""),28.0)</f>
        <v>28</v>
      </c>
      <c r="E141" s="178">
        <f>IFERROR(__xludf.DUMMYFUNCTION("""COMPUTED_VALUE"""),28.0)</f>
        <v>28</v>
      </c>
      <c r="F141" s="127" t="str">
        <f>IFERROR(__xludf.DUMMYFUNCTION("""COMPUTED_VALUE"""),"Joey Slye – TEN")</f>
        <v>Joey Slye – TEN</v>
      </c>
      <c r="G141" s="127">
        <f>IFERROR(__xludf.DUMMYFUNCTION("""COMPUTED_VALUE"""),104.0)</f>
        <v>104</v>
      </c>
      <c r="H141" s="127" t="str">
        <f>IFERROR(__xludf.DUMMYFUNCTION("""COMPUTED_VALUE"""),"K")</f>
        <v>K</v>
      </c>
      <c r="I141" s="178">
        <f>IFERROR(__xludf.DUMMYFUNCTION("""COMPUTED_VALUE"""),10.0)</f>
        <v>10</v>
      </c>
    </row>
    <row r="142">
      <c r="A142" s="125">
        <f>IFERROR(__xludf.DUMMYFUNCTION("""COMPUTED_VALUE"""),29.0)</f>
        <v>29</v>
      </c>
      <c r="B142" s="125">
        <f>IFERROR(__xludf.DUMMYFUNCTION("""COMPUTED_VALUE"""),29.0)</f>
        <v>29</v>
      </c>
      <c r="C142" s="125">
        <f>IFERROR(__xludf.DUMMYFUNCTION("""COMPUTED_VALUE"""),29.0)</f>
        <v>29</v>
      </c>
      <c r="D142" s="125">
        <f>IFERROR(__xludf.DUMMYFUNCTION("""COMPUTED_VALUE"""),29.0)</f>
        <v>29</v>
      </c>
      <c r="E142" s="178">
        <f>IFERROR(__xludf.DUMMYFUNCTION("""COMPUTED_VALUE"""),29.0)</f>
        <v>29</v>
      </c>
      <c r="F142" s="127" t="str">
        <f>IFERROR(__xludf.DUMMYFUNCTION("""COMPUTED_VALUE"""),"J.K. Dobbins – DEN")</f>
        <v>J.K. Dobbins – DEN</v>
      </c>
      <c r="G142" s="127">
        <f>IFERROR(__xludf.DUMMYFUNCTION("""COMPUTED_VALUE"""),141.0)</f>
        <v>141</v>
      </c>
      <c r="H142" s="127" t="str">
        <f>IFERROR(__xludf.DUMMYFUNCTION("""COMPUTED_VALUE"""),"RB")</f>
        <v>RB</v>
      </c>
      <c r="I142" s="178">
        <f>IFERROR(__xludf.DUMMYFUNCTION("""COMPUTED_VALUE"""),12.0)</f>
        <v>12</v>
      </c>
    </row>
    <row r="143">
      <c r="A143" s="125">
        <f>IFERROR(__xludf.DUMMYFUNCTION("""COMPUTED_VALUE"""),29.0)</f>
        <v>29</v>
      </c>
      <c r="B143" s="125">
        <f>IFERROR(__xludf.DUMMYFUNCTION("""COMPUTED_VALUE"""),29.0)</f>
        <v>29</v>
      </c>
      <c r="C143" s="125">
        <f>IFERROR(__xludf.DUMMYFUNCTION("""COMPUTED_VALUE"""),29.0)</f>
        <v>29</v>
      </c>
      <c r="D143" s="125">
        <f>IFERROR(__xludf.DUMMYFUNCTION("""COMPUTED_VALUE"""),29.0)</f>
        <v>29</v>
      </c>
      <c r="E143" s="178">
        <f>IFERROR(__xludf.DUMMYFUNCTION("""COMPUTED_VALUE"""),29.0)</f>
        <v>29</v>
      </c>
      <c r="F143" s="127" t="str">
        <f>IFERROR(__xludf.DUMMYFUNCTION("""COMPUTED_VALUE"""),"Jerry Jeudy – CLE")</f>
        <v>Jerry Jeudy – CLE</v>
      </c>
      <c r="G143" s="127">
        <f>IFERROR(__xludf.DUMMYFUNCTION("""COMPUTED_VALUE"""),132.7)</f>
        <v>132.7</v>
      </c>
      <c r="H143" s="127" t="str">
        <f>IFERROR(__xludf.DUMMYFUNCTION("""COMPUTED_VALUE"""),"WR")</f>
        <v>WR</v>
      </c>
      <c r="I143" s="178">
        <f>IFERROR(__xludf.DUMMYFUNCTION("""COMPUTED_VALUE"""),9.0)</f>
        <v>9</v>
      </c>
    </row>
    <row r="144">
      <c r="A144" s="125">
        <f>IFERROR(__xludf.DUMMYFUNCTION("""COMPUTED_VALUE"""),29.0)</f>
        <v>29</v>
      </c>
      <c r="B144" s="125">
        <f>IFERROR(__xludf.DUMMYFUNCTION("""COMPUTED_VALUE"""),29.0)</f>
        <v>29</v>
      </c>
      <c r="C144" s="125">
        <f>IFERROR(__xludf.DUMMYFUNCTION("""COMPUTED_VALUE"""),29.0)</f>
        <v>29</v>
      </c>
      <c r="D144" s="125">
        <f>IFERROR(__xludf.DUMMYFUNCTION("""COMPUTED_VALUE"""),29.0)</f>
        <v>29</v>
      </c>
      <c r="E144" s="178">
        <f>IFERROR(__xludf.DUMMYFUNCTION("""COMPUTED_VALUE"""),29.0)</f>
        <v>29</v>
      </c>
      <c r="F144" s="127" t="str">
        <f>IFERROR(__xludf.DUMMYFUNCTION("""COMPUTED_VALUE"""),"Anthony Richardson – IND")</f>
        <v>Anthony Richardson – IND</v>
      </c>
      <c r="G144" s="127">
        <f>IFERROR(__xludf.DUMMYFUNCTION("""COMPUTED_VALUE"""),208.1)</f>
        <v>208.1</v>
      </c>
      <c r="H144" s="127" t="str">
        <f>IFERROR(__xludf.DUMMYFUNCTION("""COMPUTED_VALUE"""),"QB")</f>
        <v>QB</v>
      </c>
      <c r="I144" s="178">
        <f>IFERROR(__xludf.DUMMYFUNCTION("""COMPUTED_VALUE"""),11.0)</f>
        <v>11</v>
      </c>
    </row>
    <row r="145">
      <c r="A145" s="125">
        <f>IFERROR(__xludf.DUMMYFUNCTION("""COMPUTED_VALUE"""),29.0)</f>
        <v>29</v>
      </c>
      <c r="B145" s="125">
        <f>IFERROR(__xludf.DUMMYFUNCTION("""COMPUTED_VALUE"""),29.0)</f>
        <v>29</v>
      </c>
      <c r="C145" s="125">
        <f>IFERROR(__xludf.DUMMYFUNCTION("""COMPUTED_VALUE"""),29.0)</f>
        <v>29</v>
      </c>
      <c r="D145" s="125">
        <f>IFERROR(__xludf.DUMMYFUNCTION("""COMPUTED_VALUE"""),29.0)</f>
        <v>29</v>
      </c>
      <c r="E145" s="178">
        <f>IFERROR(__xludf.DUMMYFUNCTION("""COMPUTED_VALUE"""),29.0)</f>
        <v>29</v>
      </c>
      <c r="F145" s="127" t="str">
        <f>IFERROR(__xludf.DUMMYFUNCTION("""COMPUTED_VALUE"""),"Tyler Higbee – LAR")</f>
        <v>Tyler Higbee – LAR</v>
      </c>
      <c r="G145" s="127">
        <f>IFERROR(__xludf.DUMMYFUNCTION("""COMPUTED_VALUE"""),64.4)</f>
        <v>64.4</v>
      </c>
      <c r="H145" s="127" t="str">
        <f>IFERROR(__xludf.DUMMYFUNCTION("""COMPUTED_VALUE"""),"TE")</f>
        <v>TE</v>
      </c>
      <c r="I145" s="178">
        <f>IFERROR(__xludf.DUMMYFUNCTION("""COMPUTED_VALUE"""),8.0)</f>
        <v>8</v>
      </c>
    </row>
    <row r="146">
      <c r="A146" s="125">
        <f>IFERROR(__xludf.DUMMYFUNCTION("""COMPUTED_VALUE"""),29.0)</f>
        <v>29</v>
      </c>
      <c r="B146" s="125">
        <f>IFERROR(__xludf.DUMMYFUNCTION("""COMPUTED_VALUE"""),29.0)</f>
        <v>29</v>
      </c>
      <c r="C146" s="125">
        <f>IFERROR(__xludf.DUMMYFUNCTION("""COMPUTED_VALUE"""),29.0)</f>
        <v>29</v>
      </c>
      <c r="D146" s="125">
        <f>IFERROR(__xludf.DUMMYFUNCTION("""COMPUTED_VALUE"""),29.0)</f>
        <v>29</v>
      </c>
      <c r="E146" s="178">
        <f>IFERROR(__xludf.DUMMYFUNCTION("""COMPUTED_VALUE"""),29.0)</f>
        <v>29</v>
      </c>
      <c r="F146" s="127" t="str">
        <f>IFERROR(__xludf.DUMMYFUNCTION("""COMPUTED_VALUE"""),"Matthew Wright – CAR")</f>
        <v>Matthew Wright – CAR</v>
      </c>
      <c r="G146" s="127">
        <f>IFERROR(__xludf.DUMMYFUNCTION("""COMPUTED_VALUE"""),103.0)</f>
        <v>103</v>
      </c>
      <c r="H146" s="127" t="str">
        <f>IFERROR(__xludf.DUMMYFUNCTION("""COMPUTED_VALUE"""),"K")</f>
        <v>K</v>
      </c>
      <c r="I146" s="178">
        <f>IFERROR(__xludf.DUMMYFUNCTION("""COMPUTED_VALUE"""),14.0)</f>
        <v>14</v>
      </c>
    </row>
    <row r="147">
      <c r="A147" s="125">
        <f>IFERROR(__xludf.DUMMYFUNCTION("""COMPUTED_VALUE"""),30.0)</f>
        <v>30</v>
      </c>
      <c r="B147" s="125">
        <f>IFERROR(__xludf.DUMMYFUNCTION("""COMPUTED_VALUE"""),30.0)</f>
        <v>30</v>
      </c>
      <c r="C147" s="125">
        <f>IFERROR(__xludf.DUMMYFUNCTION("""COMPUTED_VALUE"""),30.0)</f>
        <v>30</v>
      </c>
      <c r="D147" s="125">
        <f>IFERROR(__xludf.DUMMYFUNCTION("""COMPUTED_VALUE"""),30.0)</f>
        <v>30</v>
      </c>
      <c r="E147" s="178">
        <f>IFERROR(__xludf.DUMMYFUNCTION("""COMPUTED_VALUE"""),30.0)</f>
        <v>30</v>
      </c>
      <c r="F147" s="127" t="str">
        <f>IFERROR(__xludf.DUMMYFUNCTION("""COMPUTED_VALUE"""),"Rhamondre Stevenson – NE")</f>
        <v>Rhamondre Stevenson – NE</v>
      </c>
      <c r="G147" s="127">
        <f>IFERROR(__xludf.DUMMYFUNCTION("""COMPUTED_VALUE"""),140.0)</f>
        <v>140</v>
      </c>
      <c r="H147" s="127" t="str">
        <f>IFERROR(__xludf.DUMMYFUNCTION("""COMPUTED_VALUE"""),"RB")</f>
        <v>RB</v>
      </c>
      <c r="I147" s="178">
        <f>IFERROR(__xludf.DUMMYFUNCTION("""COMPUTED_VALUE"""),14.0)</f>
        <v>14</v>
      </c>
    </row>
    <row r="148">
      <c r="A148" s="125">
        <f>IFERROR(__xludf.DUMMYFUNCTION("""COMPUTED_VALUE"""),30.0)</f>
        <v>30</v>
      </c>
      <c r="B148" s="125">
        <f>IFERROR(__xludf.DUMMYFUNCTION("""COMPUTED_VALUE"""),30.0)</f>
        <v>30</v>
      </c>
      <c r="C148" s="125">
        <f>IFERROR(__xludf.DUMMYFUNCTION("""COMPUTED_VALUE"""),30.0)</f>
        <v>30</v>
      </c>
      <c r="D148" s="125">
        <f>IFERROR(__xludf.DUMMYFUNCTION("""COMPUTED_VALUE"""),30.0)</f>
        <v>30</v>
      </c>
      <c r="E148" s="178">
        <f>IFERROR(__xludf.DUMMYFUNCTION("""COMPUTED_VALUE"""),30.0)</f>
        <v>30</v>
      </c>
      <c r="F148" s="127" t="str">
        <f>IFERROR(__xludf.DUMMYFUNCTION("""COMPUTED_VALUE"""),"Deebo Samuel Sr. – WAS")</f>
        <v>Deebo Samuel Sr. – WAS</v>
      </c>
      <c r="G148" s="127">
        <f>IFERROR(__xludf.DUMMYFUNCTION("""COMPUTED_VALUE"""),130.8)</f>
        <v>130.8</v>
      </c>
      <c r="H148" s="127" t="str">
        <f>IFERROR(__xludf.DUMMYFUNCTION("""COMPUTED_VALUE"""),"WR")</f>
        <v>WR</v>
      </c>
      <c r="I148" s="178">
        <f>IFERROR(__xludf.DUMMYFUNCTION("""COMPUTED_VALUE"""),12.0)</f>
        <v>12</v>
      </c>
    </row>
    <row r="149">
      <c r="A149" s="125">
        <f>IFERROR(__xludf.DUMMYFUNCTION("""COMPUTED_VALUE"""),30.0)</f>
        <v>30</v>
      </c>
      <c r="B149" s="125">
        <f>IFERROR(__xludf.DUMMYFUNCTION("""COMPUTED_VALUE"""),30.0)</f>
        <v>30</v>
      </c>
      <c r="C149" s="125">
        <f>IFERROR(__xludf.DUMMYFUNCTION("""COMPUTED_VALUE"""),30.0)</f>
        <v>30</v>
      </c>
      <c r="D149" s="125">
        <f>IFERROR(__xludf.DUMMYFUNCTION("""COMPUTED_VALUE"""),30.0)</f>
        <v>30</v>
      </c>
      <c r="E149" s="178">
        <f>IFERROR(__xludf.DUMMYFUNCTION("""COMPUTED_VALUE"""),30.0)</f>
        <v>30</v>
      </c>
      <c r="F149" s="127" t="str">
        <f>IFERROR(__xludf.DUMMYFUNCTION("""COMPUTED_VALUE"""),"Russell Wilson – NYG")</f>
        <v>Russell Wilson – NYG</v>
      </c>
      <c r="G149" s="127">
        <f>IFERROR(__xludf.DUMMYFUNCTION("""COMPUTED_VALUE"""),196.6)</f>
        <v>196.6</v>
      </c>
      <c r="H149" s="127" t="str">
        <f>IFERROR(__xludf.DUMMYFUNCTION("""COMPUTED_VALUE"""),"QB")</f>
        <v>QB</v>
      </c>
      <c r="I149" s="178">
        <f>IFERROR(__xludf.DUMMYFUNCTION("""COMPUTED_VALUE"""),14.0)</f>
        <v>14</v>
      </c>
    </row>
    <row r="150">
      <c r="A150" s="125">
        <f>IFERROR(__xludf.DUMMYFUNCTION("""COMPUTED_VALUE"""),30.0)</f>
        <v>30</v>
      </c>
      <c r="B150" s="125">
        <f>IFERROR(__xludf.DUMMYFUNCTION("""COMPUTED_VALUE"""),30.0)</f>
        <v>30</v>
      </c>
      <c r="C150" s="125">
        <f>IFERROR(__xludf.DUMMYFUNCTION("""COMPUTED_VALUE"""),30.0)</f>
        <v>30</v>
      </c>
      <c r="D150" s="125">
        <f>IFERROR(__xludf.DUMMYFUNCTION("""COMPUTED_VALUE"""),30.0)</f>
        <v>30</v>
      </c>
      <c r="E150" s="178">
        <f>IFERROR(__xludf.DUMMYFUNCTION("""COMPUTED_VALUE"""),30.0)</f>
        <v>30</v>
      </c>
      <c r="F150" s="127" t="str">
        <f>IFERROR(__xludf.DUMMYFUNCTION("""COMPUTED_VALUE"""),"Robbie Ouzts – SEA")</f>
        <v>Robbie Ouzts – SEA</v>
      </c>
      <c r="G150" s="127">
        <f>IFERROR(__xludf.DUMMYFUNCTION("""COMPUTED_VALUE"""),63.9)</f>
        <v>63.9</v>
      </c>
      <c r="H150" s="127" t="str">
        <f>IFERROR(__xludf.DUMMYFUNCTION("""COMPUTED_VALUE"""),"TE")</f>
        <v>TE</v>
      </c>
      <c r="I150" s="178">
        <f>IFERROR(__xludf.DUMMYFUNCTION("""COMPUTED_VALUE"""),8.0)</f>
        <v>8</v>
      </c>
    </row>
    <row r="151">
      <c r="A151" s="125">
        <f>IFERROR(__xludf.DUMMYFUNCTION("""COMPUTED_VALUE"""),30.0)</f>
        <v>30</v>
      </c>
      <c r="B151" s="125">
        <f>IFERROR(__xludf.DUMMYFUNCTION("""COMPUTED_VALUE"""),30.0)</f>
        <v>30</v>
      </c>
      <c r="C151" s="125">
        <f>IFERROR(__xludf.DUMMYFUNCTION("""COMPUTED_VALUE"""),30.0)</f>
        <v>30</v>
      </c>
      <c r="D151" s="125">
        <f>IFERROR(__xludf.DUMMYFUNCTION("""COMPUTED_VALUE"""),30.0)</f>
        <v>30</v>
      </c>
      <c r="E151" s="178">
        <f>IFERROR(__xludf.DUMMYFUNCTION("""COMPUTED_VALUE"""),30.0)</f>
        <v>30</v>
      </c>
      <c r="F151" s="127" t="str">
        <f>IFERROR(__xludf.DUMMYFUNCTION("""COMPUTED_VALUE"""),"Andres Borregales – NE")</f>
        <v>Andres Borregales – NE</v>
      </c>
      <c r="G151" s="127">
        <f>IFERROR(__xludf.DUMMYFUNCTION("""COMPUTED_VALUE"""),103.0)</f>
        <v>103</v>
      </c>
      <c r="H151" s="127" t="str">
        <f>IFERROR(__xludf.DUMMYFUNCTION("""COMPUTED_VALUE"""),"K")</f>
        <v>K</v>
      </c>
      <c r="I151" s="178">
        <f>IFERROR(__xludf.DUMMYFUNCTION("""COMPUTED_VALUE"""),14.0)</f>
        <v>14</v>
      </c>
    </row>
    <row r="152">
      <c r="A152" s="125">
        <f>IFERROR(__xludf.DUMMYFUNCTION("""COMPUTED_VALUE"""),31.0)</f>
        <v>31</v>
      </c>
      <c r="B152" s="125">
        <f>IFERROR(__xludf.DUMMYFUNCTION("""COMPUTED_VALUE"""),31.0)</f>
        <v>31</v>
      </c>
      <c r="C152" s="125">
        <f>IFERROR(__xludf.DUMMYFUNCTION("""COMPUTED_VALUE"""),31.0)</f>
        <v>31</v>
      </c>
      <c r="D152" s="125">
        <f>IFERROR(__xludf.DUMMYFUNCTION("""COMPUTED_VALUE"""),31.0)</f>
        <v>31</v>
      </c>
      <c r="E152" s="178">
        <f>IFERROR(__xludf.DUMMYFUNCTION("""COMPUTED_VALUE"""),31.0)</f>
        <v>31</v>
      </c>
      <c r="F152" s="127" t="str">
        <f>IFERROR(__xludf.DUMMYFUNCTION("""COMPUTED_VALUE"""),"Cam Skattebo – NYG")</f>
        <v>Cam Skattebo – NYG</v>
      </c>
      <c r="G152" s="127">
        <f>IFERROR(__xludf.DUMMYFUNCTION("""COMPUTED_VALUE"""),139.0)</f>
        <v>139</v>
      </c>
      <c r="H152" s="127" t="str">
        <f>IFERROR(__xludf.DUMMYFUNCTION("""COMPUTED_VALUE"""),"RB")</f>
        <v>RB</v>
      </c>
      <c r="I152" s="178">
        <f>IFERROR(__xludf.DUMMYFUNCTION("""COMPUTED_VALUE"""),14.0)</f>
        <v>14</v>
      </c>
    </row>
    <row r="153">
      <c r="A153" s="125">
        <f>IFERROR(__xludf.DUMMYFUNCTION("""COMPUTED_VALUE"""),31.0)</f>
        <v>31</v>
      </c>
      <c r="B153" s="125">
        <f>IFERROR(__xludf.DUMMYFUNCTION("""COMPUTED_VALUE"""),31.0)</f>
        <v>31</v>
      </c>
      <c r="C153" s="125">
        <f>IFERROR(__xludf.DUMMYFUNCTION("""COMPUTED_VALUE"""),31.0)</f>
        <v>31</v>
      </c>
      <c r="D153" s="125">
        <f>IFERROR(__xludf.DUMMYFUNCTION("""COMPUTED_VALUE"""),31.0)</f>
        <v>31</v>
      </c>
      <c r="E153" s="178">
        <f>IFERROR(__xludf.DUMMYFUNCTION("""COMPUTED_VALUE"""),31.0)</f>
        <v>31</v>
      </c>
      <c r="F153" s="127" t="str">
        <f>IFERROR(__xludf.DUMMYFUNCTION("""COMPUTED_VALUE"""),"Tetairoa McMillan – CAR")</f>
        <v>Tetairoa McMillan – CAR</v>
      </c>
      <c r="G153" s="127">
        <f>IFERROR(__xludf.DUMMYFUNCTION("""COMPUTED_VALUE"""),118.3)</f>
        <v>118.3</v>
      </c>
      <c r="H153" s="127" t="str">
        <f>IFERROR(__xludf.DUMMYFUNCTION("""COMPUTED_VALUE"""),"WR")</f>
        <v>WR</v>
      </c>
      <c r="I153" s="178">
        <f>IFERROR(__xludf.DUMMYFUNCTION("""COMPUTED_VALUE"""),14.0)</f>
        <v>14</v>
      </c>
    </row>
    <row r="154">
      <c r="A154" s="125">
        <f>IFERROR(__xludf.DUMMYFUNCTION("""COMPUTED_VALUE"""),31.0)</f>
        <v>31</v>
      </c>
      <c r="B154" s="125">
        <f>IFERROR(__xludf.DUMMYFUNCTION("""COMPUTED_VALUE"""),31.0)</f>
        <v>31</v>
      </c>
      <c r="C154" s="125">
        <f>IFERROR(__xludf.DUMMYFUNCTION("""COMPUTED_VALUE"""),31.0)</f>
        <v>31</v>
      </c>
      <c r="D154" s="125">
        <f>IFERROR(__xludf.DUMMYFUNCTION("""COMPUTED_VALUE"""),31.0)</f>
        <v>31</v>
      </c>
      <c r="E154" s="178">
        <f>IFERROR(__xludf.DUMMYFUNCTION("""COMPUTED_VALUE"""),31.0)</f>
        <v>31</v>
      </c>
      <c r="F154" s="127" t="str">
        <f>IFERROR(__xludf.DUMMYFUNCTION("""COMPUTED_VALUE"""),"Tyler Shough – NO")</f>
        <v>Tyler Shough – NO</v>
      </c>
      <c r="G154" s="127">
        <f>IFERROR(__xludf.DUMMYFUNCTION("""COMPUTED_VALUE"""),188.0)</f>
        <v>188</v>
      </c>
      <c r="H154" s="127" t="str">
        <f>IFERROR(__xludf.DUMMYFUNCTION("""COMPUTED_VALUE"""),"QB")</f>
        <v>QB</v>
      </c>
      <c r="I154" s="178">
        <f>IFERROR(__xludf.DUMMYFUNCTION("""COMPUTED_VALUE"""),11.0)</f>
        <v>11</v>
      </c>
    </row>
    <row r="155">
      <c r="A155" s="125">
        <f>IFERROR(__xludf.DUMMYFUNCTION("""COMPUTED_VALUE"""),31.0)</f>
        <v>31</v>
      </c>
      <c r="B155" s="125">
        <f>IFERROR(__xludf.DUMMYFUNCTION("""COMPUTED_VALUE"""),31.0)</f>
        <v>31</v>
      </c>
      <c r="C155" s="125">
        <f>IFERROR(__xludf.DUMMYFUNCTION("""COMPUTED_VALUE"""),31.0)</f>
        <v>31</v>
      </c>
      <c r="D155" s="125">
        <f>IFERROR(__xludf.DUMMYFUNCTION("""COMPUTED_VALUE"""),31.0)</f>
        <v>31</v>
      </c>
      <c r="E155" s="178">
        <f>IFERROR(__xludf.DUMMYFUNCTION("""COMPUTED_VALUE"""),31.0)</f>
        <v>31</v>
      </c>
      <c r="F155" s="127" t="str">
        <f>IFERROR(__xludf.DUMMYFUNCTION("""COMPUTED_VALUE"""),"Theo Johnson – NYG")</f>
        <v>Theo Johnson – NYG</v>
      </c>
      <c r="G155" s="127">
        <f>IFERROR(__xludf.DUMMYFUNCTION("""COMPUTED_VALUE"""),63.0)</f>
        <v>63</v>
      </c>
      <c r="H155" s="127" t="str">
        <f>IFERROR(__xludf.DUMMYFUNCTION("""COMPUTED_VALUE"""),"TE")</f>
        <v>TE</v>
      </c>
      <c r="I155" s="178">
        <f>IFERROR(__xludf.DUMMYFUNCTION("""COMPUTED_VALUE"""),14.0)</f>
        <v>14</v>
      </c>
    </row>
    <row r="156">
      <c r="A156" s="125">
        <f>IFERROR(__xludf.DUMMYFUNCTION("""COMPUTED_VALUE"""),31.0)</f>
        <v>31</v>
      </c>
      <c r="B156" s="125">
        <f>IFERROR(__xludf.DUMMYFUNCTION("""COMPUTED_VALUE"""),31.0)</f>
        <v>31</v>
      </c>
      <c r="C156" s="125">
        <f>IFERROR(__xludf.DUMMYFUNCTION("""COMPUTED_VALUE"""),31.0)</f>
        <v>31</v>
      </c>
      <c r="D156" s="125">
        <f>IFERROR(__xludf.DUMMYFUNCTION("""COMPUTED_VALUE"""),31.0)</f>
        <v>31</v>
      </c>
      <c r="E156" s="178">
        <f>IFERROR(__xludf.DUMMYFUNCTION("""COMPUTED_VALUE"""),31.0)</f>
        <v>31</v>
      </c>
      <c r="F156" s="127" t="str">
        <f>IFERROR(__xludf.DUMMYFUNCTION("""COMPUTED_VALUE"""),"Spencer Shrader – IND")</f>
        <v>Spencer Shrader – IND</v>
      </c>
      <c r="G156" s="127">
        <f>IFERROR(__xludf.DUMMYFUNCTION("""COMPUTED_VALUE"""),102.0)</f>
        <v>102</v>
      </c>
      <c r="H156" s="127" t="str">
        <f>IFERROR(__xludf.DUMMYFUNCTION("""COMPUTED_VALUE"""),"K")</f>
        <v>K</v>
      </c>
      <c r="I156" s="178">
        <f>IFERROR(__xludf.DUMMYFUNCTION("""COMPUTED_VALUE"""),11.0)</f>
        <v>11</v>
      </c>
    </row>
    <row r="157">
      <c r="A157" s="125">
        <f>IFERROR(__xludf.DUMMYFUNCTION("""COMPUTED_VALUE"""),32.0)</f>
        <v>32</v>
      </c>
      <c r="B157" s="125">
        <f>IFERROR(__xludf.DUMMYFUNCTION("""COMPUTED_VALUE"""),32.0)</f>
        <v>32</v>
      </c>
      <c r="C157" s="125">
        <f>IFERROR(__xludf.DUMMYFUNCTION("""COMPUTED_VALUE"""),32.0)</f>
        <v>32</v>
      </c>
      <c r="D157" s="125">
        <f>IFERROR(__xludf.DUMMYFUNCTION("""COMPUTED_VALUE"""),32.0)</f>
        <v>32</v>
      </c>
      <c r="E157" s="178">
        <f>IFERROR(__xludf.DUMMYFUNCTION("""COMPUTED_VALUE"""),32.0)</f>
        <v>32</v>
      </c>
      <c r="F157" s="127" t="str">
        <f>IFERROR(__xludf.DUMMYFUNCTION("""COMPUTED_VALUE"""),"Tank Bigsby – JAX")</f>
        <v>Tank Bigsby – JAX</v>
      </c>
      <c r="G157" s="127">
        <f>IFERROR(__xludf.DUMMYFUNCTION("""COMPUTED_VALUE"""),138.0)</f>
        <v>138</v>
      </c>
      <c r="H157" s="127" t="str">
        <f>IFERROR(__xludf.DUMMYFUNCTION("""COMPUTED_VALUE"""),"RB")</f>
        <v>RB</v>
      </c>
      <c r="I157" s="178">
        <f>IFERROR(__xludf.DUMMYFUNCTION("""COMPUTED_VALUE"""),8.0)</f>
        <v>8</v>
      </c>
    </row>
    <row r="158">
      <c r="A158" s="125">
        <f>IFERROR(__xludf.DUMMYFUNCTION("""COMPUTED_VALUE"""),32.0)</f>
        <v>32</v>
      </c>
      <c r="B158" s="125">
        <f>IFERROR(__xludf.DUMMYFUNCTION("""COMPUTED_VALUE"""),32.0)</f>
        <v>32</v>
      </c>
      <c r="C158" s="125">
        <f>IFERROR(__xludf.DUMMYFUNCTION("""COMPUTED_VALUE"""),32.0)</f>
        <v>32</v>
      </c>
      <c r="D158" s="125">
        <f>IFERROR(__xludf.DUMMYFUNCTION("""COMPUTED_VALUE"""),32.0)</f>
        <v>32</v>
      </c>
      <c r="E158" s="178">
        <f>IFERROR(__xludf.DUMMYFUNCTION("""COMPUTED_VALUE"""),32.0)</f>
        <v>32</v>
      </c>
      <c r="F158" s="127" t="str">
        <f>IFERROR(__xludf.DUMMYFUNCTION("""COMPUTED_VALUE"""),"Jaylen Waddle – MIA")</f>
        <v>Jaylen Waddle – MIA</v>
      </c>
      <c r="G158" s="127">
        <f>IFERROR(__xludf.DUMMYFUNCTION("""COMPUTED_VALUE"""),126.6)</f>
        <v>126.6</v>
      </c>
      <c r="H158" s="127" t="str">
        <f>IFERROR(__xludf.DUMMYFUNCTION("""COMPUTED_VALUE"""),"WR")</f>
        <v>WR</v>
      </c>
      <c r="I158" s="178">
        <f>IFERROR(__xludf.DUMMYFUNCTION("""COMPUTED_VALUE"""),12.0)</f>
        <v>12</v>
      </c>
    </row>
    <row r="159">
      <c r="A159" s="125">
        <f>IFERROR(__xludf.DUMMYFUNCTION("""COMPUTED_VALUE"""),32.0)</f>
        <v>32</v>
      </c>
      <c r="B159" s="125">
        <f>IFERROR(__xludf.DUMMYFUNCTION("""COMPUTED_VALUE"""),32.0)</f>
        <v>32</v>
      </c>
      <c r="C159" s="125">
        <f>IFERROR(__xludf.DUMMYFUNCTION("""COMPUTED_VALUE"""),32.0)</f>
        <v>32</v>
      </c>
      <c r="D159" s="125">
        <f>IFERROR(__xludf.DUMMYFUNCTION("""COMPUTED_VALUE"""),32.0)</f>
        <v>32</v>
      </c>
      <c r="E159" s="178">
        <f>IFERROR(__xludf.DUMMYFUNCTION("""COMPUTED_VALUE"""),32.0)</f>
        <v>32</v>
      </c>
      <c r="F159" s="127" t="str">
        <f>IFERROR(__xludf.DUMMYFUNCTION("""COMPUTED_VALUE"""),"Daniel Jones – IND")</f>
        <v>Daniel Jones – IND</v>
      </c>
      <c r="G159" s="127">
        <f>IFERROR(__xludf.DUMMYFUNCTION("""COMPUTED_VALUE"""),109.7)</f>
        <v>109.7</v>
      </c>
      <c r="H159" s="127" t="str">
        <f>IFERROR(__xludf.DUMMYFUNCTION("""COMPUTED_VALUE"""),"QB")</f>
        <v>QB</v>
      </c>
      <c r="I159" s="178">
        <f>IFERROR(__xludf.DUMMYFUNCTION("""COMPUTED_VALUE"""),11.0)</f>
        <v>11</v>
      </c>
    </row>
    <row r="160">
      <c r="A160" s="125">
        <f>IFERROR(__xludf.DUMMYFUNCTION("""COMPUTED_VALUE"""),32.0)</f>
        <v>32</v>
      </c>
      <c r="B160" s="125">
        <f>IFERROR(__xludf.DUMMYFUNCTION("""COMPUTED_VALUE"""),32.0)</f>
        <v>32</v>
      </c>
      <c r="C160" s="125">
        <f>IFERROR(__xludf.DUMMYFUNCTION("""COMPUTED_VALUE"""),32.0)</f>
        <v>32</v>
      </c>
      <c r="D160" s="125">
        <f>IFERROR(__xludf.DUMMYFUNCTION("""COMPUTED_VALUE"""),32.0)</f>
        <v>32</v>
      </c>
      <c r="E160" s="178">
        <f>IFERROR(__xludf.DUMMYFUNCTION("""COMPUTED_VALUE"""),32.0)</f>
        <v>32</v>
      </c>
      <c r="F160" s="127" t="str">
        <f>IFERROR(__xludf.DUMMYFUNCTION("""COMPUTED_VALUE"""),"Elijah Arroyo – SEA")</f>
        <v>Elijah Arroyo – SEA</v>
      </c>
      <c r="G160" s="127">
        <f>IFERROR(__xludf.DUMMYFUNCTION("""COMPUTED_VALUE"""),59.6)</f>
        <v>59.6</v>
      </c>
      <c r="H160" s="127" t="str">
        <f>IFERROR(__xludf.DUMMYFUNCTION("""COMPUTED_VALUE"""),"TE")</f>
        <v>TE</v>
      </c>
      <c r="I160" s="178">
        <f>IFERROR(__xludf.DUMMYFUNCTION("""COMPUTED_VALUE"""),8.0)</f>
        <v>8</v>
      </c>
    </row>
    <row r="161">
      <c r="A161" s="125">
        <f>IFERROR(__xludf.DUMMYFUNCTION("""COMPUTED_VALUE"""),32.0)</f>
        <v>32</v>
      </c>
      <c r="B161" s="125">
        <f>IFERROR(__xludf.DUMMYFUNCTION("""COMPUTED_VALUE"""),32.0)</f>
        <v>32</v>
      </c>
      <c r="C161" s="125">
        <f>IFERROR(__xludf.DUMMYFUNCTION("""COMPUTED_VALUE"""),32.0)</f>
        <v>32</v>
      </c>
      <c r="D161" s="125">
        <f>IFERROR(__xludf.DUMMYFUNCTION("""COMPUTED_VALUE"""),32.0)</f>
        <v>32</v>
      </c>
      <c r="E161" s="178">
        <f>IFERROR(__xludf.DUMMYFUNCTION("""COMPUTED_VALUE"""),32.0)</f>
        <v>32</v>
      </c>
      <c r="F161" s="127" t="str">
        <f>IFERROR(__xludf.DUMMYFUNCTION("""COMPUTED_VALUE"""),"Dustin Hopkins – CLE")</f>
        <v>Dustin Hopkins – CLE</v>
      </c>
      <c r="G161" s="127">
        <f>IFERROR(__xludf.DUMMYFUNCTION("""COMPUTED_VALUE"""),95.0)</f>
        <v>95</v>
      </c>
      <c r="H161" s="127" t="str">
        <f>IFERROR(__xludf.DUMMYFUNCTION("""COMPUTED_VALUE"""),"K")</f>
        <v>K</v>
      </c>
      <c r="I161" s="178">
        <f>IFERROR(__xludf.DUMMYFUNCTION("""COMPUTED_VALUE"""),9.0)</f>
        <v>9</v>
      </c>
    </row>
    <row r="162">
      <c r="A162" s="125">
        <f>IFERROR(__xludf.DUMMYFUNCTION("""COMPUTED_VALUE"""),32.0)</f>
        <v>32</v>
      </c>
      <c r="B162" s="125">
        <f>IFERROR(__xludf.DUMMYFUNCTION("""COMPUTED_VALUE"""),32.0)</f>
        <v>32</v>
      </c>
      <c r="C162" s="125">
        <f>IFERROR(__xludf.DUMMYFUNCTION("""COMPUTED_VALUE"""),32.0)</f>
        <v>32</v>
      </c>
      <c r="D162" s="125">
        <f>IFERROR(__xludf.DUMMYFUNCTION("""COMPUTED_VALUE"""),32.0)</f>
        <v>32</v>
      </c>
      <c r="E162" s="178">
        <f>IFERROR(__xludf.DUMMYFUNCTION("""COMPUTED_VALUE"""),32.0)</f>
        <v>32</v>
      </c>
      <c r="F162" s="127" t="str">
        <f>IFERROR(__xludf.DUMMYFUNCTION("""COMPUTED_VALUE"""),"Denver Broncos – DEN")</f>
        <v>Denver Broncos – DEN</v>
      </c>
      <c r="G162" s="127">
        <f>IFERROR(__xludf.DUMMYFUNCTION("""COMPUTED_VALUE"""),142.0)</f>
        <v>142</v>
      </c>
      <c r="H162" s="127" t="str">
        <f>IFERROR(__xludf.DUMMYFUNCTION("""COMPUTED_VALUE"""),"D/ST")</f>
        <v>D/ST</v>
      </c>
      <c r="I162" s="178">
        <f>IFERROR(__xludf.DUMMYFUNCTION("""COMPUTED_VALUE"""),12.0)</f>
        <v>12</v>
      </c>
    </row>
    <row r="163">
      <c r="A163" s="125">
        <f>IFERROR(__xludf.DUMMYFUNCTION("""COMPUTED_VALUE"""),33.0)</f>
        <v>33</v>
      </c>
      <c r="B163" s="125">
        <f>IFERROR(__xludf.DUMMYFUNCTION("""COMPUTED_VALUE"""),33.0)</f>
        <v>33</v>
      </c>
      <c r="C163" s="125">
        <f>IFERROR(__xludf.DUMMYFUNCTION("""COMPUTED_VALUE"""),33.0)</f>
        <v>33</v>
      </c>
      <c r="D163" s="125">
        <f>IFERROR(__xludf.DUMMYFUNCTION("""COMPUTED_VALUE"""),33.0)</f>
        <v>33</v>
      </c>
      <c r="E163" s="178">
        <f>IFERROR(__xludf.DUMMYFUNCTION("""COMPUTED_VALUE"""),33.0)</f>
        <v>33</v>
      </c>
      <c r="F163" s="127" t="str">
        <f>IFERROR(__xludf.DUMMYFUNCTION("""COMPUTED_VALUE"""),"Javonte Williams – DAL")</f>
        <v>Javonte Williams – DAL</v>
      </c>
      <c r="G163" s="127">
        <f>IFERROR(__xludf.DUMMYFUNCTION("""COMPUTED_VALUE"""),137.0)</f>
        <v>137</v>
      </c>
      <c r="H163" s="127" t="str">
        <f>IFERROR(__xludf.DUMMYFUNCTION("""COMPUTED_VALUE"""),"RB")</f>
        <v>RB</v>
      </c>
      <c r="I163" s="178">
        <f>IFERROR(__xludf.DUMMYFUNCTION("""COMPUTED_VALUE"""),10.0)</f>
        <v>10</v>
      </c>
    </row>
    <row r="164">
      <c r="A164" s="125">
        <f>IFERROR(__xludf.DUMMYFUNCTION("""COMPUTED_VALUE"""),33.0)</f>
        <v>33</v>
      </c>
      <c r="B164" s="125">
        <f>IFERROR(__xludf.DUMMYFUNCTION("""COMPUTED_VALUE"""),33.0)</f>
        <v>33</v>
      </c>
      <c r="C164" s="125">
        <f>IFERROR(__xludf.DUMMYFUNCTION("""COMPUTED_VALUE"""),33.0)</f>
        <v>33</v>
      </c>
      <c r="D164" s="125">
        <f>IFERROR(__xludf.DUMMYFUNCTION("""COMPUTED_VALUE"""),33.0)</f>
        <v>33</v>
      </c>
      <c r="E164" s="178">
        <f>IFERROR(__xludf.DUMMYFUNCTION("""COMPUTED_VALUE"""),33.0)</f>
        <v>33</v>
      </c>
      <c r="F164" s="127" t="str">
        <f>IFERROR(__xludf.DUMMYFUNCTION("""COMPUTED_VALUE"""),"Jauan Jennings – SF")</f>
        <v>Jauan Jennings – SF</v>
      </c>
      <c r="G164" s="127">
        <f>IFERROR(__xludf.DUMMYFUNCTION("""COMPUTED_VALUE"""),128.1)</f>
        <v>128.1</v>
      </c>
      <c r="H164" s="127" t="str">
        <f>IFERROR(__xludf.DUMMYFUNCTION("""COMPUTED_VALUE"""),"WR")</f>
        <v>WR</v>
      </c>
      <c r="I164" s="178">
        <f>IFERROR(__xludf.DUMMYFUNCTION("""COMPUTED_VALUE"""),14.0)</f>
        <v>14</v>
      </c>
    </row>
    <row r="165">
      <c r="A165" s="125">
        <f>IFERROR(__xludf.DUMMYFUNCTION("""COMPUTED_VALUE"""),33.0)</f>
        <v>33</v>
      </c>
      <c r="B165" s="125">
        <f>IFERROR(__xludf.DUMMYFUNCTION("""COMPUTED_VALUE"""),33.0)</f>
        <v>33</v>
      </c>
      <c r="C165" s="125">
        <f>IFERROR(__xludf.DUMMYFUNCTION("""COMPUTED_VALUE"""),33.0)</f>
        <v>33</v>
      </c>
      <c r="D165" s="125">
        <f>IFERROR(__xludf.DUMMYFUNCTION("""COMPUTED_VALUE"""),33.0)</f>
        <v>33</v>
      </c>
      <c r="E165" s="178">
        <f>IFERROR(__xludf.DUMMYFUNCTION("""COMPUTED_VALUE"""),33.0)</f>
        <v>33</v>
      </c>
      <c r="F165" s="127" t="str">
        <f>IFERROR(__xludf.DUMMYFUNCTION("""COMPUTED_VALUE"""),"Kenny Pickett – CLE")</f>
        <v>Kenny Pickett – CLE</v>
      </c>
      <c r="G165" s="127">
        <f>IFERROR(__xludf.DUMMYFUNCTION("""COMPUTED_VALUE"""),68.8)</f>
        <v>68.8</v>
      </c>
      <c r="H165" s="127" t="str">
        <f>IFERROR(__xludf.DUMMYFUNCTION("""COMPUTED_VALUE"""),"QB")</f>
        <v>QB</v>
      </c>
      <c r="I165" s="178">
        <f>IFERROR(__xludf.DUMMYFUNCTION("""COMPUTED_VALUE"""),9.0)</f>
        <v>9</v>
      </c>
    </row>
    <row r="166">
      <c r="A166" s="125">
        <f>IFERROR(__xludf.DUMMYFUNCTION("""COMPUTED_VALUE"""),33.0)</f>
        <v>33</v>
      </c>
      <c r="B166" s="125">
        <f>IFERROR(__xludf.DUMMYFUNCTION("""COMPUTED_VALUE"""),33.0)</f>
        <v>33</v>
      </c>
      <c r="C166" s="125">
        <f>IFERROR(__xludf.DUMMYFUNCTION("""COMPUTED_VALUE"""),33.0)</f>
        <v>33</v>
      </c>
      <c r="D166" s="125">
        <f>IFERROR(__xludf.DUMMYFUNCTION("""COMPUTED_VALUE"""),33.0)</f>
        <v>33</v>
      </c>
      <c r="E166" s="178">
        <f>IFERROR(__xludf.DUMMYFUNCTION("""COMPUTED_VALUE"""),33.0)</f>
        <v>33</v>
      </c>
      <c r="F166" s="127" t="str">
        <f>IFERROR(__xludf.DUMMYFUNCTION("""COMPUTED_VALUE"""),"Philadelphia Eagles – PHI")</f>
        <v>Philadelphia Eagles – PHI</v>
      </c>
      <c r="G166" s="127">
        <f>IFERROR(__xludf.DUMMYFUNCTION("""COMPUTED_VALUE"""),139.0)</f>
        <v>139</v>
      </c>
      <c r="H166" s="127" t="str">
        <f>IFERROR(__xludf.DUMMYFUNCTION("""COMPUTED_VALUE"""),"D/ST")</f>
        <v>D/ST</v>
      </c>
      <c r="I166" s="178">
        <f>IFERROR(__xludf.DUMMYFUNCTION("""COMPUTED_VALUE"""),9.0)</f>
        <v>9</v>
      </c>
    </row>
    <row r="167">
      <c r="A167" s="125">
        <f>IFERROR(__xludf.DUMMYFUNCTION("""COMPUTED_VALUE"""),34.0)</f>
        <v>34</v>
      </c>
      <c r="B167" s="125">
        <f>IFERROR(__xludf.DUMMYFUNCTION("""COMPUTED_VALUE"""),34.0)</f>
        <v>34</v>
      </c>
      <c r="C167" s="125">
        <f>IFERROR(__xludf.DUMMYFUNCTION("""COMPUTED_VALUE"""),34.0)</f>
        <v>34</v>
      </c>
      <c r="D167" s="125">
        <f>IFERROR(__xludf.DUMMYFUNCTION("""COMPUTED_VALUE"""),34.0)</f>
        <v>34</v>
      </c>
      <c r="E167" s="178">
        <f>IFERROR(__xludf.DUMMYFUNCTION("""COMPUTED_VALUE"""),34.0)</f>
        <v>34</v>
      </c>
      <c r="F167" s="127" t="str">
        <f>IFERROR(__xludf.DUMMYFUNCTION("""COMPUTED_VALUE"""),"Zach Charbonnet – SEA")</f>
        <v>Zach Charbonnet – SEA</v>
      </c>
      <c r="G167" s="127">
        <f>IFERROR(__xludf.DUMMYFUNCTION("""COMPUTED_VALUE"""),136.0)</f>
        <v>136</v>
      </c>
      <c r="H167" s="127" t="str">
        <f>IFERROR(__xludf.DUMMYFUNCTION("""COMPUTED_VALUE"""),"RB")</f>
        <v>RB</v>
      </c>
      <c r="I167" s="178">
        <f>IFERROR(__xludf.DUMMYFUNCTION("""COMPUTED_VALUE"""),8.0)</f>
        <v>8</v>
      </c>
    </row>
    <row r="168">
      <c r="A168" s="125">
        <f>IFERROR(__xludf.DUMMYFUNCTION("""COMPUTED_VALUE"""),34.0)</f>
        <v>34</v>
      </c>
      <c r="B168" s="125">
        <f>IFERROR(__xludf.DUMMYFUNCTION("""COMPUTED_VALUE"""),34.0)</f>
        <v>34</v>
      </c>
      <c r="C168" s="125">
        <f>IFERROR(__xludf.DUMMYFUNCTION("""COMPUTED_VALUE"""),34.0)</f>
        <v>34</v>
      </c>
      <c r="D168" s="125">
        <f>IFERROR(__xludf.DUMMYFUNCTION("""COMPUTED_VALUE"""),34.0)</f>
        <v>34</v>
      </c>
      <c r="E168" s="178">
        <f>IFERROR(__xludf.DUMMYFUNCTION("""COMPUTED_VALUE"""),34.0)</f>
        <v>34</v>
      </c>
      <c r="F168" s="127" t="str">
        <f>IFERROR(__xludf.DUMMYFUNCTION("""COMPUTED_VALUE"""),"Travis Hunter – JAX")</f>
        <v>Travis Hunter – JAX</v>
      </c>
      <c r="G168" s="127">
        <f>IFERROR(__xludf.DUMMYFUNCTION("""COMPUTED_VALUE"""),120.7)</f>
        <v>120.7</v>
      </c>
      <c r="H168" s="127" t="str">
        <f>IFERROR(__xludf.DUMMYFUNCTION("""COMPUTED_VALUE"""),"WR")</f>
        <v>WR</v>
      </c>
      <c r="I168" s="178">
        <f>IFERROR(__xludf.DUMMYFUNCTION("""COMPUTED_VALUE"""),8.0)</f>
        <v>8</v>
      </c>
    </row>
    <row r="169">
      <c r="A169" s="125">
        <f>IFERROR(__xludf.DUMMYFUNCTION("""COMPUTED_VALUE"""),34.0)</f>
        <v>34</v>
      </c>
      <c r="B169" s="125">
        <f>IFERROR(__xludf.DUMMYFUNCTION("""COMPUTED_VALUE"""),34.0)</f>
        <v>34</v>
      </c>
      <c r="C169" s="125">
        <f>IFERROR(__xludf.DUMMYFUNCTION("""COMPUTED_VALUE"""),34.0)</f>
        <v>34</v>
      </c>
      <c r="D169" s="125">
        <f>IFERROR(__xludf.DUMMYFUNCTION("""COMPUTED_VALUE"""),34.0)</f>
        <v>34</v>
      </c>
      <c r="E169" s="178">
        <f>IFERROR(__xludf.DUMMYFUNCTION("""COMPUTED_VALUE"""),34.0)</f>
        <v>34</v>
      </c>
      <c r="F169" s="127" t="str">
        <f>IFERROR(__xludf.DUMMYFUNCTION("""COMPUTED_VALUE"""),"Dillon Gabriel – CLE")</f>
        <v>Dillon Gabriel – CLE</v>
      </c>
      <c r="G169" s="127">
        <f>IFERROR(__xludf.DUMMYFUNCTION("""COMPUTED_VALUE"""),47.6)</f>
        <v>47.6</v>
      </c>
      <c r="H169" s="127" t="str">
        <f>IFERROR(__xludf.DUMMYFUNCTION("""COMPUTED_VALUE"""),"QB")</f>
        <v>QB</v>
      </c>
      <c r="I169" s="178">
        <f>IFERROR(__xludf.DUMMYFUNCTION("""COMPUTED_VALUE"""),9.0)</f>
        <v>9</v>
      </c>
    </row>
    <row r="170">
      <c r="A170" s="125">
        <f>IFERROR(__xludf.DUMMYFUNCTION("""COMPUTED_VALUE"""),34.0)</f>
        <v>34</v>
      </c>
      <c r="B170" s="125">
        <f>IFERROR(__xludf.DUMMYFUNCTION("""COMPUTED_VALUE"""),34.0)</f>
        <v>34</v>
      </c>
      <c r="C170" s="125">
        <f>IFERROR(__xludf.DUMMYFUNCTION("""COMPUTED_VALUE"""),34.0)</f>
        <v>34</v>
      </c>
      <c r="D170" s="125">
        <f>IFERROR(__xludf.DUMMYFUNCTION("""COMPUTED_VALUE"""),34.0)</f>
        <v>34</v>
      </c>
      <c r="E170" s="178">
        <f>IFERROR(__xludf.DUMMYFUNCTION("""COMPUTED_VALUE"""),34.0)</f>
        <v>34</v>
      </c>
      <c r="F170" s="127" t="str">
        <f>IFERROR(__xludf.DUMMYFUNCTION("""COMPUTED_VALUE"""),"Pittsburgh Steelers – PIT")</f>
        <v>Pittsburgh Steelers – PIT</v>
      </c>
      <c r="G170" s="127">
        <f>IFERROR(__xludf.DUMMYFUNCTION("""COMPUTED_VALUE"""),137.0)</f>
        <v>137</v>
      </c>
      <c r="H170" s="127" t="str">
        <f>IFERROR(__xludf.DUMMYFUNCTION("""COMPUTED_VALUE"""),"D/ST")</f>
        <v>D/ST</v>
      </c>
      <c r="I170" s="178">
        <f>IFERROR(__xludf.DUMMYFUNCTION("""COMPUTED_VALUE"""),5.0)</f>
        <v>5</v>
      </c>
    </row>
    <row r="171">
      <c r="A171" s="125">
        <f>IFERROR(__xludf.DUMMYFUNCTION("""COMPUTED_VALUE"""),35.0)</f>
        <v>35</v>
      </c>
      <c r="B171" s="125">
        <f>IFERROR(__xludf.DUMMYFUNCTION("""COMPUTED_VALUE"""),35.0)</f>
        <v>35</v>
      </c>
      <c r="C171" s="125">
        <f>IFERROR(__xludf.DUMMYFUNCTION("""COMPUTED_VALUE"""),35.0)</f>
        <v>35</v>
      </c>
      <c r="D171" s="125">
        <f>IFERROR(__xludf.DUMMYFUNCTION("""COMPUTED_VALUE"""),35.0)</f>
        <v>35</v>
      </c>
      <c r="E171" s="178">
        <f>IFERROR(__xludf.DUMMYFUNCTION("""COMPUTED_VALUE"""),35.0)</f>
        <v>35</v>
      </c>
      <c r="F171" s="127" t="str">
        <f>IFERROR(__xludf.DUMMYFUNCTION("""COMPUTED_VALUE"""),"Travis Etienne – JAX")</f>
        <v>Travis Etienne – JAX</v>
      </c>
      <c r="G171" s="127">
        <f>IFERROR(__xludf.DUMMYFUNCTION("""COMPUTED_VALUE"""),135.0)</f>
        <v>135</v>
      </c>
      <c r="H171" s="127" t="str">
        <f>IFERROR(__xludf.DUMMYFUNCTION("""COMPUTED_VALUE"""),"RB")</f>
        <v>RB</v>
      </c>
      <c r="I171" s="178">
        <f>IFERROR(__xludf.DUMMYFUNCTION("""COMPUTED_VALUE"""),8.0)</f>
        <v>8</v>
      </c>
    </row>
    <row r="172">
      <c r="A172" s="125">
        <f>IFERROR(__xludf.DUMMYFUNCTION("""COMPUTED_VALUE"""),35.0)</f>
        <v>35</v>
      </c>
      <c r="B172" s="125">
        <f>IFERROR(__xludf.DUMMYFUNCTION("""COMPUTED_VALUE"""),35.0)</f>
        <v>35</v>
      </c>
      <c r="C172" s="125">
        <f>IFERROR(__xludf.DUMMYFUNCTION("""COMPUTED_VALUE"""),35.0)</f>
        <v>35</v>
      </c>
      <c r="D172" s="125">
        <f>IFERROR(__xludf.DUMMYFUNCTION("""COMPUTED_VALUE"""),35.0)</f>
        <v>35</v>
      </c>
      <c r="E172" s="178">
        <f>IFERROR(__xludf.DUMMYFUNCTION("""COMPUTED_VALUE"""),35.0)</f>
        <v>35</v>
      </c>
      <c r="F172" s="127" t="str">
        <f>IFERROR(__xludf.DUMMYFUNCTION("""COMPUTED_VALUE"""),"Jayden Reed – GB")</f>
        <v>Jayden Reed – GB</v>
      </c>
      <c r="G172" s="127">
        <f>IFERROR(__xludf.DUMMYFUNCTION("""COMPUTED_VALUE"""),126.2)</f>
        <v>126.2</v>
      </c>
      <c r="H172" s="127" t="str">
        <f>IFERROR(__xludf.DUMMYFUNCTION("""COMPUTED_VALUE"""),"WR")</f>
        <v>WR</v>
      </c>
      <c r="I172" s="178">
        <f>IFERROR(__xludf.DUMMYFUNCTION("""COMPUTED_VALUE"""),5.0)</f>
        <v>5</v>
      </c>
    </row>
    <row r="173">
      <c r="A173" s="125">
        <f>IFERROR(__xludf.DUMMYFUNCTION("""COMPUTED_VALUE"""),35.0)</f>
        <v>35</v>
      </c>
      <c r="B173" s="125">
        <f>IFERROR(__xludf.DUMMYFUNCTION("""COMPUTED_VALUE"""),35.0)</f>
        <v>35</v>
      </c>
      <c r="C173" s="125">
        <f>IFERROR(__xludf.DUMMYFUNCTION("""COMPUTED_VALUE"""),35.0)</f>
        <v>35</v>
      </c>
      <c r="D173" s="125">
        <f>IFERROR(__xludf.DUMMYFUNCTION("""COMPUTED_VALUE"""),35.0)</f>
        <v>35</v>
      </c>
      <c r="E173" s="178">
        <f>IFERROR(__xludf.DUMMYFUNCTION("""COMPUTED_VALUE"""),35.0)</f>
        <v>35</v>
      </c>
      <c r="F173" s="127" t="str">
        <f>IFERROR(__xludf.DUMMYFUNCTION("""COMPUTED_VALUE"""),"Shedeur Sanders – CLE")</f>
        <v>Shedeur Sanders – CLE</v>
      </c>
      <c r="G173" s="127">
        <f>IFERROR(__xludf.DUMMYFUNCTION("""COMPUTED_VALUE"""),35.6)</f>
        <v>35.6</v>
      </c>
      <c r="H173" s="127" t="str">
        <f>IFERROR(__xludf.DUMMYFUNCTION("""COMPUTED_VALUE"""),"QB")</f>
        <v>QB</v>
      </c>
      <c r="I173" s="178">
        <f>IFERROR(__xludf.DUMMYFUNCTION("""COMPUTED_VALUE"""),9.0)</f>
        <v>9</v>
      </c>
    </row>
    <row r="174">
      <c r="A174" s="125">
        <f>IFERROR(__xludf.DUMMYFUNCTION("""COMPUTED_VALUE"""),35.0)</f>
        <v>35</v>
      </c>
      <c r="B174" s="125">
        <f>IFERROR(__xludf.DUMMYFUNCTION("""COMPUTED_VALUE"""),35.0)</f>
        <v>35</v>
      </c>
      <c r="C174" s="125">
        <f>IFERROR(__xludf.DUMMYFUNCTION("""COMPUTED_VALUE"""),35.0)</f>
        <v>35</v>
      </c>
      <c r="D174" s="125">
        <f>IFERROR(__xludf.DUMMYFUNCTION("""COMPUTED_VALUE"""),35.0)</f>
        <v>35</v>
      </c>
      <c r="E174" s="178">
        <f>IFERROR(__xludf.DUMMYFUNCTION("""COMPUTED_VALUE"""),35.0)</f>
        <v>35</v>
      </c>
      <c r="F174" s="127" t="str">
        <f>IFERROR(__xludf.DUMMYFUNCTION("""COMPUTED_VALUE"""),"Baltimore Ravens – BAL")</f>
        <v>Baltimore Ravens – BAL</v>
      </c>
      <c r="G174" s="127">
        <f>IFERROR(__xludf.DUMMYFUNCTION("""COMPUTED_VALUE"""),135.0)</f>
        <v>135</v>
      </c>
      <c r="H174" s="127" t="str">
        <f>IFERROR(__xludf.DUMMYFUNCTION("""COMPUTED_VALUE"""),"D/ST")</f>
        <v>D/ST</v>
      </c>
      <c r="I174" s="178">
        <f>IFERROR(__xludf.DUMMYFUNCTION("""COMPUTED_VALUE"""),7.0)</f>
        <v>7</v>
      </c>
    </row>
    <row r="175">
      <c r="A175" s="125">
        <f>IFERROR(__xludf.DUMMYFUNCTION("""COMPUTED_VALUE"""),36.0)</f>
        <v>36</v>
      </c>
      <c r="B175" s="125">
        <f>IFERROR(__xludf.DUMMYFUNCTION("""COMPUTED_VALUE"""),36.0)</f>
        <v>36</v>
      </c>
      <c r="C175" s="125">
        <f>IFERROR(__xludf.DUMMYFUNCTION("""COMPUTED_VALUE"""),36.0)</f>
        <v>36</v>
      </c>
      <c r="D175" s="125">
        <f>IFERROR(__xludf.DUMMYFUNCTION("""COMPUTED_VALUE"""),36.0)</f>
        <v>36</v>
      </c>
      <c r="E175" s="178">
        <f>IFERROR(__xludf.DUMMYFUNCTION("""COMPUTED_VALUE"""),36.0)</f>
        <v>36</v>
      </c>
      <c r="F175" s="127" t="str">
        <f>IFERROR(__xludf.DUMMYFUNCTION("""COMPUTED_VALUE"""),"Quinshon Judkins – CLE")</f>
        <v>Quinshon Judkins – CLE</v>
      </c>
      <c r="G175" s="127">
        <f>IFERROR(__xludf.DUMMYFUNCTION("""COMPUTED_VALUE"""),134.0)</f>
        <v>134</v>
      </c>
      <c r="H175" s="127" t="str">
        <f>IFERROR(__xludf.DUMMYFUNCTION("""COMPUTED_VALUE"""),"RB")</f>
        <v>RB</v>
      </c>
      <c r="I175" s="178">
        <f>IFERROR(__xludf.DUMMYFUNCTION("""COMPUTED_VALUE"""),9.0)</f>
        <v>9</v>
      </c>
    </row>
    <row r="176">
      <c r="A176" s="125">
        <f>IFERROR(__xludf.DUMMYFUNCTION("""COMPUTED_VALUE"""),36.0)</f>
        <v>36</v>
      </c>
      <c r="B176" s="125">
        <f>IFERROR(__xludf.DUMMYFUNCTION("""COMPUTED_VALUE"""),36.0)</f>
        <v>36</v>
      </c>
      <c r="C176" s="125">
        <f>IFERROR(__xludf.DUMMYFUNCTION("""COMPUTED_VALUE"""),36.0)</f>
        <v>36</v>
      </c>
      <c r="D176" s="125">
        <f>IFERROR(__xludf.DUMMYFUNCTION("""COMPUTED_VALUE"""),36.0)</f>
        <v>36</v>
      </c>
      <c r="E176" s="178">
        <f>IFERROR(__xludf.DUMMYFUNCTION("""COMPUTED_VALUE"""),36.0)</f>
        <v>36</v>
      </c>
      <c r="F176" s="127" t="str">
        <f>IFERROR(__xludf.DUMMYFUNCTION("""COMPUTED_VALUE"""),"Jakobi Meyers – LV")</f>
        <v>Jakobi Meyers – LV</v>
      </c>
      <c r="G176" s="127">
        <f>IFERROR(__xludf.DUMMYFUNCTION("""COMPUTED_VALUE"""),128.5)</f>
        <v>128.5</v>
      </c>
      <c r="H176" s="127" t="str">
        <f>IFERROR(__xludf.DUMMYFUNCTION("""COMPUTED_VALUE"""),"WR")</f>
        <v>WR</v>
      </c>
      <c r="I176" s="178">
        <f>IFERROR(__xludf.DUMMYFUNCTION("""COMPUTED_VALUE"""),8.0)</f>
        <v>8</v>
      </c>
    </row>
    <row r="177">
      <c r="A177" s="125">
        <f>IFERROR(__xludf.DUMMYFUNCTION("""COMPUTED_VALUE"""),36.0)</f>
        <v>36</v>
      </c>
      <c r="B177" s="125">
        <f>IFERROR(__xludf.DUMMYFUNCTION("""COMPUTED_VALUE"""),36.0)</f>
        <v>36</v>
      </c>
      <c r="C177" s="125">
        <f>IFERROR(__xludf.DUMMYFUNCTION("""COMPUTED_VALUE"""),36.0)</f>
        <v>36</v>
      </c>
      <c r="D177" s="125">
        <f>IFERROR(__xludf.DUMMYFUNCTION("""COMPUTED_VALUE"""),36.0)</f>
        <v>36</v>
      </c>
      <c r="E177" s="178">
        <f>IFERROR(__xludf.DUMMYFUNCTION("""COMPUTED_VALUE"""),36.0)</f>
        <v>36</v>
      </c>
      <c r="F177" s="127" t="str">
        <f>IFERROR(__xludf.DUMMYFUNCTION("""COMPUTED_VALUE"""),"Minnesota Vikings – MIN")</f>
        <v>Minnesota Vikings – MIN</v>
      </c>
      <c r="G177" s="127">
        <f>IFERROR(__xludf.DUMMYFUNCTION("""COMPUTED_VALUE"""),132.0)</f>
        <v>132</v>
      </c>
      <c r="H177" s="127" t="str">
        <f>IFERROR(__xludf.DUMMYFUNCTION("""COMPUTED_VALUE"""),"D/ST")</f>
        <v>D/ST</v>
      </c>
      <c r="I177" s="178">
        <f>IFERROR(__xludf.DUMMYFUNCTION("""COMPUTED_VALUE"""),6.0)</f>
        <v>6</v>
      </c>
    </row>
    <row r="178">
      <c r="A178" s="125">
        <f>IFERROR(__xludf.DUMMYFUNCTION("""COMPUTED_VALUE"""),37.0)</f>
        <v>37</v>
      </c>
      <c r="B178" s="125">
        <f>IFERROR(__xludf.DUMMYFUNCTION("""COMPUTED_VALUE"""),37.0)</f>
        <v>37</v>
      </c>
      <c r="C178" s="125">
        <f>IFERROR(__xludf.DUMMYFUNCTION("""COMPUTED_VALUE"""),37.0)</f>
        <v>37</v>
      </c>
      <c r="D178" s="125">
        <f>IFERROR(__xludf.DUMMYFUNCTION("""COMPUTED_VALUE"""),37.0)</f>
        <v>37</v>
      </c>
      <c r="E178" s="178">
        <f>IFERROR(__xludf.DUMMYFUNCTION("""COMPUTED_VALUE"""),37.0)</f>
        <v>37</v>
      </c>
      <c r="F178" s="127" t="str">
        <f>IFERROR(__xludf.DUMMYFUNCTION("""COMPUTED_VALUE"""),"Tyjae Spears – TEN")</f>
        <v>Tyjae Spears – TEN</v>
      </c>
      <c r="G178" s="127">
        <f>IFERROR(__xludf.DUMMYFUNCTION("""COMPUTED_VALUE"""),133.0)</f>
        <v>133</v>
      </c>
      <c r="H178" s="127" t="str">
        <f>IFERROR(__xludf.DUMMYFUNCTION("""COMPUTED_VALUE"""),"RB")</f>
        <v>RB</v>
      </c>
      <c r="I178" s="178">
        <f>IFERROR(__xludf.DUMMYFUNCTION("""COMPUTED_VALUE"""),10.0)</f>
        <v>10</v>
      </c>
    </row>
    <row r="179">
      <c r="A179" s="125">
        <f>IFERROR(__xludf.DUMMYFUNCTION("""COMPUTED_VALUE"""),37.0)</f>
        <v>37</v>
      </c>
      <c r="B179" s="125">
        <f>IFERROR(__xludf.DUMMYFUNCTION("""COMPUTED_VALUE"""),37.0)</f>
        <v>37</v>
      </c>
      <c r="C179" s="125">
        <f>IFERROR(__xludf.DUMMYFUNCTION("""COMPUTED_VALUE"""),37.0)</f>
        <v>37</v>
      </c>
      <c r="D179" s="125">
        <f>IFERROR(__xludf.DUMMYFUNCTION("""COMPUTED_VALUE"""),37.0)</f>
        <v>37</v>
      </c>
      <c r="E179" s="178">
        <f>IFERROR(__xludf.DUMMYFUNCTION("""COMPUTED_VALUE"""),37.0)</f>
        <v>37</v>
      </c>
      <c r="F179" s="127" t="str">
        <f>IFERROR(__xludf.DUMMYFUNCTION("""COMPUTED_VALUE"""),"Matthew Golden – GB")</f>
        <v>Matthew Golden – GB</v>
      </c>
      <c r="G179" s="127">
        <f>IFERROR(__xludf.DUMMYFUNCTION("""COMPUTED_VALUE"""),122.3)</f>
        <v>122.3</v>
      </c>
      <c r="H179" s="127" t="str">
        <f>IFERROR(__xludf.DUMMYFUNCTION("""COMPUTED_VALUE"""),"WR")</f>
        <v>WR</v>
      </c>
      <c r="I179" s="178">
        <f>IFERROR(__xludf.DUMMYFUNCTION("""COMPUTED_VALUE"""),5.0)</f>
        <v>5</v>
      </c>
    </row>
    <row r="180">
      <c r="A180" s="125">
        <f>IFERROR(__xludf.DUMMYFUNCTION("""COMPUTED_VALUE"""),37.0)</f>
        <v>37</v>
      </c>
      <c r="B180" s="125">
        <f>IFERROR(__xludf.DUMMYFUNCTION("""COMPUTED_VALUE"""),37.0)</f>
        <v>37</v>
      </c>
      <c r="C180" s="125">
        <f>IFERROR(__xludf.DUMMYFUNCTION("""COMPUTED_VALUE"""),37.0)</f>
        <v>37</v>
      </c>
      <c r="D180" s="125">
        <f>IFERROR(__xludf.DUMMYFUNCTION("""COMPUTED_VALUE"""),37.0)</f>
        <v>37</v>
      </c>
      <c r="E180" s="178">
        <f>IFERROR(__xludf.DUMMYFUNCTION("""COMPUTED_VALUE"""),37.0)</f>
        <v>37</v>
      </c>
      <c r="F180" s="127" t="str">
        <f>IFERROR(__xludf.DUMMYFUNCTION("""COMPUTED_VALUE"""),"Kansas City Chiefs – KC")</f>
        <v>Kansas City Chiefs – KC</v>
      </c>
      <c r="G180" s="127">
        <f>IFERROR(__xludf.DUMMYFUNCTION("""COMPUTED_VALUE"""),130.0)</f>
        <v>130</v>
      </c>
      <c r="H180" s="127" t="str">
        <f>IFERROR(__xludf.DUMMYFUNCTION("""COMPUTED_VALUE"""),"D/ST")</f>
        <v>D/ST</v>
      </c>
      <c r="I180" s="178">
        <f>IFERROR(__xludf.DUMMYFUNCTION("""COMPUTED_VALUE"""),10.0)</f>
        <v>10</v>
      </c>
    </row>
    <row r="181">
      <c r="A181" s="125">
        <f>IFERROR(__xludf.DUMMYFUNCTION("""COMPUTED_VALUE"""),38.0)</f>
        <v>38</v>
      </c>
      <c r="B181" s="125">
        <f>IFERROR(__xludf.DUMMYFUNCTION("""COMPUTED_VALUE"""),38.0)</f>
        <v>38</v>
      </c>
      <c r="C181" s="125">
        <f>IFERROR(__xludf.DUMMYFUNCTION("""COMPUTED_VALUE"""),38.0)</f>
        <v>38</v>
      </c>
      <c r="D181" s="125">
        <f>IFERROR(__xludf.DUMMYFUNCTION("""COMPUTED_VALUE"""),38.0)</f>
        <v>38</v>
      </c>
      <c r="E181" s="178">
        <f>IFERROR(__xludf.DUMMYFUNCTION("""COMPUTED_VALUE"""),38.0)</f>
        <v>38</v>
      </c>
      <c r="F181" s="127" t="str">
        <f>IFERROR(__xludf.DUMMYFUNCTION("""COMPUTED_VALUE"""),"Najee Harris – LAC")</f>
        <v>Najee Harris – LAC</v>
      </c>
      <c r="G181" s="127">
        <f>IFERROR(__xludf.DUMMYFUNCTION("""COMPUTED_VALUE"""),132.0)</f>
        <v>132</v>
      </c>
      <c r="H181" s="127" t="str">
        <f>IFERROR(__xludf.DUMMYFUNCTION("""COMPUTED_VALUE"""),"RB")</f>
        <v>RB</v>
      </c>
      <c r="I181" s="178">
        <f>IFERROR(__xludf.DUMMYFUNCTION("""COMPUTED_VALUE"""),12.0)</f>
        <v>12</v>
      </c>
    </row>
    <row r="182">
      <c r="A182" s="125">
        <f>IFERROR(__xludf.DUMMYFUNCTION("""COMPUTED_VALUE"""),38.0)</f>
        <v>38</v>
      </c>
      <c r="B182" s="125">
        <f>IFERROR(__xludf.DUMMYFUNCTION("""COMPUTED_VALUE"""),38.0)</f>
        <v>38</v>
      </c>
      <c r="C182" s="125">
        <f>IFERROR(__xludf.DUMMYFUNCTION("""COMPUTED_VALUE"""),38.0)</f>
        <v>38</v>
      </c>
      <c r="D182" s="125">
        <f>IFERROR(__xludf.DUMMYFUNCTION("""COMPUTED_VALUE"""),38.0)</f>
        <v>38</v>
      </c>
      <c r="E182" s="178">
        <f>IFERROR(__xludf.DUMMYFUNCTION("""COMPUTED_VALUE"""),38.0)</f>
        <v>38</v>
      </c>
      <c r="F182" s="127" t="str">
        <f>IFERROR(__xludf.DUMMYFUNCTION("""COMPUTED_VALUE"""),"Rome Odunze – CHI")</f>
        <v>Rome Odunze – CHI</v>
      </c>
      <c r="G182" s="127">
        <f>IFERROR(__xludf.DUMMYFUNCTION("""COMPUTED_VALUE"""),119.2)</f>
        <v>119.2</v>
      </c>
      <c r="H182" s="127" t="str">
        <f>IFERROR(__xludf.DUMMYFUNCTION("""COMPUTED_VALUE"""),"WR")</f>
        <v>WR</v>
      </c>
      <c r="I182" s="178">
        <f>IFERROR(__xludf.DUMMYFUNCTION("""COMPUTED_VALUE"""),5.0)</f>
        <v>5</v>
      </c>
    </row>
    <row r="183">
      <c r="A183" s="125">
        <f>IFERROR(__xludf.DUMMYFUNCTION("""COMPUTED_VALUE"""),38.0)</f>
        <v>38</v>
      </c>
      <c r="B183" s="125">
        <f>IFERROR(__xludf.DUMMYFUNCTION("""COMPUTED_VALUE"""),38.0)</f>
        <v>38</v>
      </c>
      <c r="C183" s="125">
        <f>IFERROR(__xludf.DUMMYFUNCTION("""COMPUTED_VALUE"""),38.0)</f>
        <v>38</v>
      </c>
      <c r="D183" s="125">
        <f>IFERROR(__xludf.DUMMYFUNCTION("""COMPUTED_VALUE"""),38.0)</f>
        <v>38</v>
      </c>
      <c r="E183" s="178">
        <f>IFERROR(__xludf.DUMMYFUNCTION("""COMPUTED_VALUE"""),38.0)</f>
        <v>38</v>
      </c>
      <c r="F183" s="127" t="str">
        <f>IFERROR(__xludf.DUMMYFUNCTION("""COMPUTED_VALUE"""),"Detroit Lions – DET")</f>
        <v>Detroit Lions – DET</v>
      </c>
      <c r="G183" s="127">
        <f>IFERROR(__xludf.DUMMYFUNCTION("""COMPUTED_VALUE"""),129.0)</f>
        <v>129</v>
      </c>
      <c r="H183" s="127" t="str">
        <f>IFERROR(__xludf.DUMMYFUNCTION("""COMPUTED_VALUE"""),"D/ST")</f>
        <v>D/ST</v>
      </c>
      <c r="I183" s="178">
        <f>IFERROR(__xludf.DUMMYFUNCTION("""COMPUTED_VALUE"""),8.0)</f>
        <v>8</v>
      </c>
    </row>
    <row r="184">
      <c r="A184" s="125">
        <f>IFERROR(__xludf.DUMMYFUNCTION("""COMPUTED_VALUE"""),39.0)</f>
        <v>39</v>
      </c>
      <c r="B184" s="125">
        <f>IFERROR(__xludf.DUMMYFUNCTION("""COMPUTED_VALUE"""),39.0)</f>
        <v>39</v>
      </c>
      <c r="C184" s="125">
        <f>IFERROR(__xludf.DUMMYFUNCTION("""COMPUTED_VALUE"""),39.0)</f>
        <v>39</v>
      </c>
      <c r="D184" s="125">
        <f>IFERROR(__xludf.DUMMYFUNCTION("""COMPUTED_VALUE"""),39.0)</f>
        <v>39</v>
      </c>
      <c r="E184" s="178">
        <f>IFERROR(__xludf.DUMMYFUNCTION("""COMPUTED_VALUE"""),39.0)</f>
        <v>39</v>
      </c>
      <c r="F184" s="127" t="str">
        <f>IFERROR(__xludf.DUMMYFUNCTION("""COMPUTED_VALUE"""),"Austin Ekeler – WAS")</f>
        <v>Austin Ekeler – WAS</v>
      </c>
      <c r="G184" s="127">
        <f>IFERROR(__xludf.DUMMYFUNCTION("""COMPUTED_VALUE"""),131.0)</f>
        <v>131</v>
      </c>
      <c r="H184" s="127" t="str">
        <f>IFERROR(__xludf.DUMMYFUNCTION("""COMPUTED_VALUE"""),"RB")</f>
        <v>RB</v>
      </c>
      <c r="I184" s="178">
        <f>IFERROR(__xludf.DUMMYFUNCTION("""COMPUTED_VALUE"""),12.0)</f>
        <v>12</v>
      </c>
    </row>
    <row r="185">
      <c r="A185" s="125">
        <f>IFERROR(__xludf.DUMMYFUNCTION("""COMPUTED_VALUE"""),39.0)</f>
        <v>39</v>
      </c>
      <c r="B185" s="125">
        <f>IFERROR(__xludf.DUMMYFUNCTION("""COMPUTED_VALUE"""),39.0)</f>
        <v>39</v>
      </c>
      <c r="C185" s="125">
        <f>IFERROR(__xludf.DUMMYFUNCTION("""COMPUTED_VALUE"""),39.0)</f>
        <v>39</v>
      </c>
      <c r="D185" s="125">
        <f>IFERROR(__xludf.DUMMYFUNCTION("""COMPUTED_VALUE"""),39.0)</f>
        <v>39</v>
      </c>
      <c r="E185" s="178">
        <f>IFERROR(__xludf.DUMMYFUNCTION("""COMPUTED_VALUE"""),39.0)</f>
        <v>39</v>
      </c>
      <c r="F185" s="127" t="str">
        <f>IFERROR(__xludf.DUMMYFUNCTION("""COMPUTED_VALUE"""),"Chris Olave – NO")</f>
        <v>Chris Olave – NO</v>
      </c>
      <c r="G185" s="127">
        <f>IFERROR(__xludf.DUMMYFUNCTION("""COMPUTED_VALUE"""),117.6)</f>
        <v>117.6</v>
      </c>
      <c r="H185" s="127" t="str">
        <f>IFERROR(__xludf.DUMMYFUNCTION("""COMPUTED_VALUE"""),"WR")</f>
        <v>WR</v>
      </c>
      <c r="I185" s="178">
        <f>IFERROR(__xludf.DUMMYFUNCTION("""COMPUTED_VALUE"""),11.0)</f>
        <v>11</v>
      </c>
    </row>
    <row r="186">
      <c r="A186" s="125">
        <f>IFERROR(__xludf.DUMMYFUNCTION("""COMPUTED_VALUE"""),39.0)</f>
        <v>39</v>
      </c>
      <c r="B186" s="125">
        <f>IFERROR(__xludf.DUMMYFUNCTION("""COMPUTED_VALUE"""),39.0)</f>
        <v>39</v>
      </c>
      <c r="C186" s="125">
        <f>IFERROR(__xludf.DUMMYFUNCTION("""COMPUTED_VALUE"""),39.0)</f>
        <v>39</v>
      </c>
      <c r="D186" s="125">
        <f>IFERROR(__xludf.DUMMYFUNCTION("""COMPUTED_VALUE"""),39.0)</f>
        <v>39</v>
      </c>
      <c r="E186" s="178">
        <f>IFERROR(__xludf.DUMMYFUNCTION("""COMPUTED_VALUE"""),39.0)</f>
        <v>39</v>
      </c>
      <c r="F186" s="127" t="str">
        <f>IFERROR(__xludf.DUMMYFUNCTION("""COMPUTED_VALUE"""),"New York Jets – NYJ")</f>
        <v>New York Jets – NYJ</v>
      </c>
      <c r="G186" s="127">
        <f>IFERROR(__xludf.DUMMYFUNCTION("""COMPUTED_VALUE"""),128.0)</f>
        <v>128</v>
      </c>
      <c r="H186" s="127" t="str">
        <f>IFERROR(__xludf.DUMMYFUNCTION("""COMPUTED_VALUE"""),"D/ST")</f>
        <v>D/ST</v>
      </c>
      <c r="I186" s="178">
        <f>IFERROR(__xludf.DUMMYFUNCTION("""COMPUTED_VALUE"""),9.0)</f>
        <v>9</v>
      </c>
    </row>
    <row r="187">
      <c r="A187" s="125">
        <f>IFERROR(__xludf.DUMMYFUNCTION("""COMPUTED_VALUE"""),40.0)</f>
        <v>40</v>
      </c>
      <c r="B187" s="125">
        <f>IFERROR(__xludf.DUMMYFUNCTION("""COMPUTED_VALUE"""),40.0)</f>
        <v>40</v>
      </c>
      <c r="C187" s="125">
        <f>IFERROR(__xludf.DUMMYFUNCTION("""COMPUTED_VALUE"""),40.0)</f>
        <v>40</v>
      </c>
      <c r="D187" s="125">
        <f>IFERROR(__xludf.DUMMYFUNCTION("""COMPUTED_VALUE"""),40.0)</f>
        <v>40</v>
      </c>
      <c r="E187" s="178">
        <f>IFERROR(__xludf.DUMMYFUNCTION("""COMPUTED_VALUE"""),40.0)</f>
        <v>40</v>
      </c>
      <c r="F187" s="127" t="str">
        <f>IFERROR(__xludf.DUMMYFUNCTION("""COMPUTED_VALUE"""),"Trey Benson – ARI")</f>
        <v>Trey Benson – ARI</v>
      </c>
      <c r="G187" s="127">
        <f>IFERROR(__xludf.DUMMYFUNCTION("""COMPUTED_VALUE"""),130.0)</f>
        <v>130</v>
      </c>
      <c r="H187" s="127" t="str">
        <f>IFERROR(__xludf.DUMMYFUNCTION("""COMPUTED_VALUE"""),"RB")</f>
        <v>RB</v>
      </c>
      <c r="I187" s="178">
        <f>IFERROR(__xludf.DUMMYFUNCTION("""COMPUTED_VALUE"""),8.0)</f>
        <v>8</v>
      </c>
    </row>
    <row r="188">
      <c r="A188" s="125">
        <f>IFERROR(__xludf.DUMMYFUNCTION("""COMPUTED_VALUE"""),40.0)</f>
        <v>40</v>
      </c>
      <c r="B188" s="125">
        <f>IFERROR(__xludf.DUMMYFUNCTION("""COMPUTED_VALUE"""),40.0)</f>
        <v>40</v>
      </c>
      <c r="C188" s="125">
        <f>IFERROR(__xludf.DUMMYFUNCTION("""COMPUTED_VALUE"""),40.0)</f>
        <v>40</v>
      </c>
      <c r="D188" s="125">
        <f>IFERROR(__xludf.DUMMYFUNCTION("""COMPUTED_VALUE"""),40.0)</f>
        <v>40</v>
      </c>
      <c r="E188" s="178">
        <f>IFERROR(__xludf.DUMMYFUNCTION("""COMPUTED_VALUE"""),40.0)</f>
        <v>40</v>
      </c>
      <c r="F188" s="127" t="str">
        <f>IFERROR(__xludf.DUMMYFUNCTION("""COMPUTED_VALUE"""),"Rashee Rice – KC")</f>
        <v>Rashee Rice – KC</v>
      </c>
      <c r="G188" s="127">
        <f>IFERROR(__xludf.DUMMYFUNCTION("""COMPUTED_VALUE"""),118.6)</f>
        <v>118.6</v>
      </c>
      <c r="H188" s="127" t="str">
        <f>IFERROR(__xludf.DUMMYFUNCTION("""COMPUTED_VALUE"""),"WR")</f>
        <v>WR</v>
      </c>
      <c r="I188" s="178">
        <f>IFERROR(__xludf.DUMMYFUNCTION("""COMPUTED_VALUE"""),10.0)</f>
        <v>10</v>
      </c>
    </row>
    <row r="189">
      <c r="A189" s="125">
        <f>IFERROR(__xludf.DUMMYFUNCTION("""COMPUTED_VALUE"""),40.0)</f>
        <v>40</v>
      </c>
      <c r="B189" s="125">
        <f>IFERROR(__xludf.DUMMYFUNCTION("""COMPUTED_VALUE"""),40.0)</f>
        <v>40</v>
      </c>
      <c r="C189" s="125">
        <f>IFERROR(__xludf.DUMMYFUNCTION("""COMPUTED_VALUE"""),40.0)</f>
        <v>40</v>
      </c>
      <c r="D189" s="125">
        <f>IFERROR(__xludf.DUMMYFUNCTION("""COMPUTED_VALUE"""),40.0)</f>
        <v>40</v>
      </c>
      <c r="E189" s="178">
        <f>IFERROR(__xludf.DUMMYFUNCTION("""COMPUTED_VALUE"""),40.0)</f>
        <v>40</v>
      </c>
      <c r="F189" s="127" t="str">
        <f>IFERROR(__xludf.DUMMYFUNCTION("""COMPUTED_VALUE"""),"Houston Texans – HOU")</f>
        <v>Houston Texans – HOU</v>
      </c>
      <c r="G189" s="127">
        <f>IFERROR(__xludf.DUMMYFUNCTION("""COMPUTED_VALUE"""),127.0)</f>
        <v>127</v>
      </c>
      <c r="H189" s="127" t="str">
        <f>IFERROR(__xludf.DUMMYFUNCTION("""COMPUTED_VALUE"""),"D/ST")</f>
        <v>D/ST</v>
      </c>
      <c r="I189" s="178">
        <f>IFERROR(__xludf.DUMMYFUNCTION("""COMPUTED_VALUE"""),6.0)</f>
        <v>6</v>
      </c>
    </row>
    <row r="190">
      <c r="A190" s="125">
        <f>IFERROR(__xludf.DUMMYFUNCTION("""COMPUTED_VALUE"""),41.0)</f>
        <v>41</v>
      </c>
      <c r="B190" s="125">
        <f>IFERROR(__xludf.DUMMYFUNCTION("""COMPUTED_VALUE"""),41.0)</f>
        <v>41</v>
      </c>
      <c r="C190" s="125">
        <f>IFERROR(__xludf.DUMMYFUNCTION("""COMPUTED_VALUE"""),41.0)</f>
        <v>41</v>
      </c>
      <c r="D190" s="125">
        <f>IFERROR(__xludf.DUMMYFUNCTION("""COMPUTED_VALUE"""),41.0)</f>
        <v>41</v>
      </c>
      <c r="E190" s="178">
        <f>IFERROR(__xludf.DUMMYFUNCTION("""COMPUTED_VALUE"""),41.0)</f>
        <v>41</v>
      </c>
      <c r="F190" s="127" t="str">
        <f>IFERROR(__xludf.DUMMYFUNCTION("""COMPUTED_VALUE"""),"Rachaad White – TB")</f>
        <v>Rachaad White – TB</v>
      </c>
      <c r="G190" s="127">
        <f>IFERROR(__xludf.DUMMYFUNCTION("""COMPUTED_VALUE"""),129.0)</f>
        <v>129</v>
      </c>
      <c r="H190" s="127" t="str">
        <f>IFERROR(__xludf.DUMMYFUNCTION("""COMPUTED_VALUE"""),"RB")</f>
        <v>RB</v>
      </c>
      <c r="I190" s="178">
        <f>IFERROR(__xludf.DUMMYFUNCTION("""COMPUTED_VALUE"""),9.0)</f>
        <v>9</v>
      </c>
    </row>
    <row r="191">
      <c r="A191" s="125">
        <f>IFERROR(__xludf.DUMMYFUNCTION("""COMPUTED_VALUE"""),41.0)</f>
        <v>41</v>
      </c>
      <c r="B191" s="125">
        <f>IFERROR(__xludf.DUMMYFUNCTION("""COMPUTED_VALUE"""),41.0)</f>
        <v>41</v>
      </c>
      <c r="C191" s="125">
        <f>IFERROR(__xludf.DUMMYFUNCTION("""COMPUTED_VALUE"""),41.0)</f>
        <v>41</v>
      </c>
      <c r="D191" s="125">
        <f>IFERROR(__xludf.DUMMYFUNCTION("""COMPUTED_VALUE"""),41.0)</f>
        <v>41</v>
      </c>
      <c r="E191" s="178">
        <f>IFERROR(__xludf.DUMMYFUNCTION("""COMPUTED_VALUE"""),41.0)</f>
        <v>41</v>
      </c>
      <c r="F191" s="127" t="str">
        <f>IFERROR(__xludf.DUMMYFUNCTION("""COMPUTED_VALUE"""),"Chris Godwin – TB")</f>
        <v>Chris Godwin – TB</v>
      </c>
      <c r="G191" s="127">
        <f>IFERROR(__xludf.DUMMYFUNCTION("""COMPUTED_VALUE"""),122.4)</f>
        <v>122.4</v>
      </c>
      <c r="H191" s="127" t="str">
        <f>IFERROR(__xludf.DUMMYFUNCTION("""COMPUTED_VALUE"""),"WR")</f>
        <v>WR</v>
      </c>
      <c r="I191" s="178">
        <f>IFERROR(__xludf.DUMMYFUNCTION("""COMPUTED_VALUE"""),9.0)</f>
        <v>9</v>
      </c>
    </row>
    <row r="192">
      <c r="A192" s="125">
        <f>IFERROR(__xludf.DUMMYFUNCTION("""COMPUTED_VALUE"""),41.0)</f>
        <v>41</v>
      </c>
      <c r="B192" s="125">
        <f>IFERROR(__xludf.DUMMYFUNCTION("""COMPUTED_VALUE"""),41.0)</f>
        <v>41</v>
      </c>
      <c r="C192" s="125">
        <f>IFERROR(__xludf.DUMMYFUNCTION("""COMPUTED_VALUE"""),41.0)</f>
        <v>41</v>
      </c>
      <c r="D192" s="125">
        <f>IFERROR(__xludf.DUMMYFUNCTION("""COMPUTED_VALUE"""),41.0)</f>
        <v>41</v>
      </c>
      <c r="E192" s="178">
        <f>IFERROR(__xludf.DUMMYFUNCTION("""COMPUTED_VALUE"""),41.0)</f>
        <v>41</v>
      </c>
      <c r="F192" s="127" t="str">
        <f>IFERROR(__xludf.DUMMYFUNCTION("""COMPUTED_VALUE"""),"Los Angeles Chargers – LAC")</f>
        <v>Los Angeles Chargers – LAC</v>
      </c>
      <c r="G192" s="127">
        <f>IFERROR(__xludf.DUMMYFUNCTION("""COMPUTED_VALUE"""),126.0)</f>
        <v>126</v>
      </c>
      <c r="H192" s="127" t="str">
        <f>IFERROR(__xludf.DUMMYFUNCTION("""COMPUTED_VALUE"""),"D/ST")</f>
        <v>D/ST</v>
      </c>
      <c r="I192" s="178">
        <f>IFERROR(__xludf.DUMMYFUNCTION("""COMPUTED_VALUE"""),12.0)</f>
        <v>12</v>
      </c>
    </row>
    <row r="193">
      <c r="A193" s="125">
        <f>IFERROR(__xludf.DUMMYFUNCTION("""COMPUTED_VALUE"""),42.0)</f>
        <v>42</v>
      </c>
      <c r="B193" s="125">
        <f>IFERROR(__xludf.DUMMYFUNCTION("""COMPUTED_VALUE"""),42.0)</f>
        <v>42</v>
      </c>
      <c r="C193" s="125">
        <f>IFERROR(__xludf.DUMMYFUNCTION("""COMPUTED_VALUE"""),42.0)</f>
        <v>42</v>
      </c>
      <c r="D193" s="125">
        <f>IFERROR(__xludf.DUMMYFUNCTION("""COMPUTED_VALUE"""),42.0)</f>
        <v>42</v>
      </c>
      <c r="E193" s="178">
        <f>IFERROR(__xludf.DUMMYFUNCTION("""COMPUTED_VALUE"""),42.0)</f>
        <v>42</v>
      </c>
      <c r="F193" s="127" t="str">
        <f>IFERROR(__xludf.DUMMYFUNCTION("""COMPUTED_VALUE"""),"Ray Davis – BUF")</f>
        <v>Ray Davis – BUF</v>
      </c>
      <c r="G193" s="127">
        <f>IFERROR(__xludf.DUMMYFUNCTION("""COMPUTED_VALUE"""),128.0)</f>
        <v>128</v>
      </c>
      <c r="H193" s="127" t="str">
        <f>IFERROR(__xludf.DUMMYFUNCTION("""COMPUTED_VALUE"""),"RB")</f>
        <v>RB</v>
      </c>
      <c r="I193" s="178">
        <f>IFERROR(__xludf.DUMMYFUNCTION("""COMPUTED_VALUE"""),7.0)</f>
        <v>7</v>
      </c>
    </row>
    <row r="194">
      <c r="A194" s="125">
        <f>IFERROR(__xludf.DUMMYFUNCTION("""COMPUTED_VALUE"""),42.0)</f>
        <v>42</v>
      </c>
      <c r="B194" s="125">
        <f>IFERROR(__xludf.DUMMYFUNCTION("""COMPUTED_VALUE"""),42.0)</f>
        <v>42</v>
      </c>
      <c r="C194" s="125">
        <f>IFERROR(__xludf.DUMMYFUNCTION("""COMPUTED_VALUE"""),42.0)</f>
        <v>42</v>
      </c>
      <c r="D194" s="125">
        <f>IFERROR(__xludf.DUMMYFUNCTION("""COMPUTED_VALUE"""),42.0)</f>
        <v>42</v>
      </c>
      <c r="E194" s="178">
        <f>IFERROR(__xludf.DUMMYFUNCTION("""COMPUTED_VALUE"""),42.0)</f>
        <v>42</v>
      </c>
      <c r="F194" s="127" t="str">
        <f>IFERROR(__xludf.DUMMYFUNCTION("""COMPUTED_VALUE"""),"Keon Coleman – BUF")</f>
        <v>Keon Coleman – BUF</v>
      </c>
      <c r="G194" s="127">
        <f>IFERROR(__xludf.DUMMYFUNCTION("""COMPUTED_VALUE"""),118.3)</f>
        <v>118.3</v>
      </c>
      <c r="H194" s="127" t="str">
        <f>IFERROR(__xludf.DUMMYFUNCTION("""COMPUTED_VALUE"""),"WR")</f>
        <v>WR</v>
      </c>
      <c r="I194" s="178">
        <f>IFERROR(__xludf.DUMMYFUNCTION("""COMPUTED_VALUE"""),7.0)</f>
        <v>7</v>
      </c>
    </row>
    <row r="195">
      <c r="A195" s="125">
        <f>IFERROR(__xludf.DUMMYFUNCTION("""COMPUTED_VALUE"""),42.0)</f>
        <v>42</v>
      </c>
      <c r="B195" s="125">
        <f>IFERROR(__xludf.DUMMYFUNCTION("""COMPUTED_VALUE"""),42.0)</f>
        <v>42</v>
      </c>
      <c r="C195" s="125">
        <f>IFERROR(__xludf.DUMMYFUNCTION("""COMPUTED_VALUE"""),42.0)</f>
        <v>42</v>
      </c>
      <c r="D195" s="125">
        <f>IFERROR(__xludf.DUMMYFUNCTION("""COMPUTED_VALUE"""),42.0)</f>
        <v>42</v>
      </c>
      <c r="E195" s="178">
        <f>IFERROR(__xludf.DUMMYFUNCTION("""COMPUTED_VALUE"""),42.0)</f>
        <v>42</v>
      </c>
      <c r="F195" s="127" t="str">
        <f>IFERROR(__xludf.DUMMYFUNCTION("""COMPUTED_VALUE"""),"Buffalo Bills – BUF")</f>
        <v>Buffalo Bills – BUF</v>
      </c>
      <c r="G195" s="127">
        <f>IFERROR(__xludf.DUMMYFUNCTION("""COMPUTED_VALUE"""),125.0)</f>
        <v>125</v>
      </c>
      <c r="H195" s="127" t="str">
        <f>IFERROR(__xludf.DUMMYFUNCTION("""COMPUTED_VALUE"""),"D/ST")</f>
        <v>D/ST</v>
      </c>
      <c r="I195" s="178">
        <f>IFERROR(__xludf.DUMMYFUNCTION("""COMPUTED_VALUE"""),7.0)</f>
        <v>7</v>
      </c>
    </row>
    <row r="196">
      <c r="A196" s="125">
        <f>IFERROR(__xludf.DUMMYFUNCTION("""COMPUTED_VALUE"""),43.0)</f>
        <v>43</v>
      </c>
      <c r="B196" s="125">
        <f>IFERROR(__xludf.DUMMYFUNCTION("""COMPUTED_VALUE"""),43.0)</f>
        <v>43</v>
      </c>
      <c r="C196" s="125">
        <f>IFERROR(__xludf.DUMMYFUNCTION("""COMPUTED_VALUE"""),43.0)</f>
        <v>43</v>
      </c>
      <c r="D196" s="125">
        <f>IFERROR(__xludf.DUMMYFUNCTION("""COMPUTED_VALUE"""),43.0)</f>
        <v>43</v>
      </c>
      <c r="E196" s="178">
        <f>IFERROR(__xludf.DUMMYFUNCTION("""COMPUTED_VALUE"""),43.0)</f>
        <v>43</v>
      </c>
      <c r="F196" s="127" t="str">
        <f>IFERROR(__xludf.DUMMYFUNCTION("""COMPUTED_VALUE"""),"Tyler Allgeier – ATL")</f>
        <v>Tyler Allgeier – ATL</v>
      </c>
      <c r="G196" s="127">
        <f>IFERROR(__xludf.DUMMYFUNCTION("""COMPUTED_VALUE"""),127.0)</f>
        <v>127</v>
      </c>
      <c r="H196" s="127" t="str">
        <f>IFERROR(__xludf.DUMMYFUNCTION("""COMPUTED_VALUE"""),"RB")</f>
        <v>RB</v>
      </c>
      <c r="I196" s="178">
        <f>IFERROR(__xludf.DUMMYFUNCTION("""COMPUTED_VALUE"""),5.0)</f>
        <v>5</v>
      </c>
    </row>
    <row r="197">
      <c r="A197" s="125">
        <f>IFERROR(__xludf.DUMMYFUNCTION("""COMPUTED_VALUE"""),43.0)</f>
        <v>43</v>
      </c>
      <c r="B197" s="125">
        <f>IFERROR(__xludf.DUMMYFUNCTION("""COMPUTED_VALUE"""),43.0)</f>
        <v>43</v>
      </c>
      <c r="C197" s="125">
        <f>IFERROR(__xludf.DUMMYFUNCTION("""COMPUTED_VALUE"""),43.0)</f>
        <v>43</v>
      </c>
      <c r="D197" s="125">
        <f>IFERROR(__xludf.DUMMYFUNCTION("""COMPUTED_VALUE"""),43.0)</f>
        <v>43</v>
      </c>
      <c r="E197" s="178">
        <f>IFERROR(__xludf.DUMMYFUNCTION("""COMPUTED_VALUE"""),43.0)</f>
        <v>43</v>
      </c>
      <c r="F197" s="127" t="str">
        <f>IFERROR(__xludf.DUMMYFUNCTION("""COMPUTED_VALUE"""),"Rashid Shaheed – NO")</f>
        <v>Rashid Shaheed – NO</v>
      </c>
      <c r="G197" s="127">
        <f>IFERROR(__xludf.DUMMYFUNCTION("""COMPUTED_VALUE"""),113.8)</f>
        <v>113.8</v>
      </c>
      <c r="H197" s="127" t="str">
        <f>IFERROR(__xludf.DUMMYFUNCTION("""COMPUTED_VALUE"""),"WR")</f>
        <v>WR</v>
      </c>
      <c r="I197" s="178">
        <f>IFERROR(__xludf.DUMMYFUNCTION("""COMPUTED_VALUE"""),11.0)</f>
        <v>11</v>
      </c>
    </row>
    <row r="198">
      <c r="A198" s="125">
        <f>IFERROR(__xludf.DUMMYFUNCTION("""COMPUTED_VALUE"""),43.0)</f>
        <v>43</v>
      </c>
      <c r="B198" s="125">
        <f>IFERROR(__xludf.DUMMYFUNCTION("""COMPUTED_VALUE"""),43.0)</f>
        <v>43</v>
      </c>
      <c r="C198" s="125">
        <f>IFERROR(__xludf.DUMMYFUNCTION("""COMPUTED_VALUE"""),43.0)</f>
        <v>43</v>
      </c>
      <c r="D198" s="125">
        <f>IFERROR(__xludf.DUMMYFUNCTION("""COMPUTED_VALUE"""),43.0)</f>
        <v>43</v>
      </c>
      <c r="E198" s="178">
        <f>IFERROR(__xludf.DUMMYFUNCTION("""COMPUTED_VALUE"""),43.0)</f>
        <v>43</v>
      </c>
      <c r="F198" s="127" t="str">
        <f>IFERROR(__xludf.DUMMYFUNCTION("""COMPUTED_VALUE"""),"Seattle Seahawks – SEA")</f>
        <v>Seattle Seahawks – SEA</v>
      </c>
      <c r="G198" s="127">
        <f>IFERROR(__xludf.DUMMYFUNCTION("""COMPUTED_VALUE"""),124.0)</f>
        <v>124</v>
      </c>
      <c r="H198" s="127" t="str">
        <f>IFERROR(__xludf.DUMMYFUNCTION("""COMPUTED_VALUE"""),"D/ST")</f>
        <v>D/ST</v>
      </c>
      <c r="I198" s="178">
        <f>IFERROR(__xludf.DUMMYFUNCTION("""COMPUTED_VALUE"""),8.0)</f>
        <v>8</v>
      </c>
    </row>
    <row r="199">
      <c r="A199" s="125">
        <f>IFERROR(__xludf.DUMMYFUNCTION("""COMPUTED_VALUE"""),44.0)</f>
        <v>44</v>
      </c>
      <c r="B199" s="125">
        <f>IFERROR(__xludf.DUMMYFUNCTION("""COMPUTED_VALUE"""),44.0)</f>
        <v>44</v>
      </c>
      <c r="C199" s="125">
        <f>IFERROR(__xludf.DUMMYFUNCTION("""COMPUTED_VALUE"""),44.0)</f>
        <v>44</v>
      </c>
      <c r="D199" s="125">
        <f>IFERROR(__xludf.DUMMYFUNCTION("""COMPUTED_VALUE"""),44.0)</f>
        <v>44</v>
      </c>
      <c r="E199" s="178">
        <f>IFERROR(__xludf.DUMMYFUNCTION("""COMPUTED_VALUE"""),44.0)</f>
        <v>44</v>
      </c>
      <c r="F199" s="127" t="str">
        <f>IFERROR(__xludf.DUMMYFUNCTION("""COMPUTED_VALUE"""),"Jerome Ford – CLE")</f>
        <v>Jerome Ford – CLE</v>
      </c>
      <c r="G199" s="127">
        <f>IFERROR(__xludf.DUMMYFUNCTION("""COMPUTED_VALUE"""),126.0)</f>
        <v>126</v>
      </c>
      <c r="H199" s="127" t="str">
        <f>IFERROR(__xludf.DUMMYFUNCTION("""COMPUTED_VALUE"""),"RB")</f>
        <v>RB</v>
      </c>
      <c r="I199" s="178">
        <f>IFERROR(__xludf.DUMMYFUNCTION("""COMPUTED_VALUE"""),9.0)</f>
        <v>9</v>
      </c>
    </row>
    <row r="200">
      <c r="A200" s="125">
        <f>IFERROR(__xludf.DUMMYFUNCTION("""COMPUTED_VALUE"""),44.0)</f>
        <v>44</v>
      </c>
      <c r="B200" s="125">
        <f>IFERROR(__xludf.DUMMYFUNCTION("""COMPUTED_VALUE"""),44.0)</f>
        <v>44</v>
      </c>
      <c r="C200" s="125">
        <f>IFERROR(__xludf.DUMMYFUNCTION("""COMPUTED_VALUE"""),44.0)</f>
        <v>44</v>
      </c>
      <c r="D200" s="125">
        <f>IFERROR(__xludf.DUMMYFUNCTION("""COMPUTED_VALUE"""),44.0)</f>
        <v>44</v>
      </c>
      <c r="E200" s="178">
        <f>IFERROR(__xludf.DUMMYFUNCTION("""COMPUTED_VALUE"""),44.0)</f>
        <v>44</v>
      </c>
      <c r="F200" s="127" t="str">
        <f>IFERROR(__xludf.DUMMYFUNCTION("""COMPUTED_VALUE"""),"Darnell Mooney – ATL")</f>
        <v>Darnell Mooney – ATL</v>
      </c>
      <c r="G200" s="127">
        <f>IFERROR(__xludf.DUMMYFUNCTION("""COMPUTED_VALUE"""),112.5)</f>
        <v>112.5</v>
      </c>
      <c r="H200" s="127" t="str">
        <f>IFERROR(__xludf.DUMMYFUNCTION("""COMPUTED_VALUE"""),"WR")</f>
        <v>WR</v>
      </c>
      <c r="I200" s="178">
        <f>IFERROR(__xludf.DUMMYFUNCTION("""COMPUTED_VALUE"""),5.0)</f>
        <v>5</v>
      </c>
    </row>
    <row r="201">
      <c r="A201" s="125">
        <f>IFERROR(__xludf.DUMMYFUNCTION("""COMPUTED_VALUE"""),44.0)</f>
        <v>44</v>
      </c>
      <c r="B201" s="125">
        <f>IFERROR(__xludf.DUMMYFUNCTION("""COMPUTED_VALUE"""),44.0)</f>
        <v>44</v>
      </c>
      <c r="C201" s="125">
        <f>IFERROR(__xludf.DUMMYFUNCTION("""COMPUTED_VALUE"""),44.0)</f>
        <v>44</v>
      </c>
      <c r="D201" s="125">
        <f>IFERROR(__xludf.DUMMYFUNCTION("""COMPUTED_VALUE"""),44.0)</f>
        <v>44</v>
      </c>
      <c r="E201" s="178">
        <f>IFERROR(__xludf.DUMMYFUNCTION("""COMPUTED_VALUE"""),44.0)</f>
        <v>44</v>
      </c>
      <c r="F201" s="127" t="str">
        <f>IFERROR(__xludf.DUMMYFUNCTION("""COMPUTED_VALUE"""),"Los Angeles Rams – LAR")</f>
        <v>Los Angeles Rams – LAR</v>
      </c>
      <c r="G201" s="127">
        <f>IFERROR(__xludf.DUMMYFUNCTION("""COMPUTED_VALUE"""),122.0)</f>
        <v>122</v>
      </c>
      <c r="H201" s="127" t="str">
        <f>IFERROR(__xludf.DUMMYFUNCTION("""COMPUTED_VALUE"""),"D/ST")</f>
        <v>D/ST</v>
      </c>
      <c r="I201" s="178">
        <f>IFERROR(__xludf.DUMMYFUNCTION("""COMPUTED_VALUE"""),8.0)</f>
        <v>8</v>
      </c>
    </row>
    <row r="202">
      <c r="A202" s="125">
        <f>IFERROR(__xludf.DUMMYFUNCTION("""COMPUTED_VALUE"""),45.0)</f>
        <v>45</v>
      </c>
      <c r="B202" s="125">
        <f>IFERROR(__xludf.DUMMYFUNCTION("""COMPUTED_VALUE"""),45.0)</f>
        <v>45</v>
      </c>
      <c r="C202" s="125">
        <f>IFERROR(__xludf.DUMMYFUNCTION("""COMPUTED_VALUE"""),45.0)</f>
        <v>45</v>
      </c>
      <c r="D202" s="125">
        <f>IFERROR(__xludf.DUMMYFUNCTION("""COMPUTED_VALUE"""),45.0)</f>
        <v>45</v>
      </c>
      <c r="E202" s="178">
        <f>IFERROR(__xludf.DUMMYFUNCTION("""COMPUTED_VALUE"""),45.0)</f>
        <v>45</v>
      </c>
      <c r="F202" s="127" t="str">
        <f>IFERROR(__xludf.DUMMYFUNCTION("""COMPUTED_VALUE"""),"Isaac Guerendo – SF")</f>
        <v>Isaac Guerendo – SF</v>
      </c>
      <c r="G202" s="127">
        <f>IFERROR(__xludf.DUMMYFUNCTION("""COMPUTED_VALUE"""),125.0)</f>
        <v>125</v>
      </c>
      <c r="H202" s="127" t="str">
        <f>IFERROR(__xludf.DUMMYFUNCTION("""COMPUTED_VALUE"""),"RB")</f>
        <v>RB</v>
      </c>
      <c r="I202" s="178">
        <f>IFERROR(__xludf.DUMMYFUNCTION("""COMPUTED_VALUE"""),14.0)</f>
        <v>14</v>
      </c>
    </row>
    <row r="203">
      <c r="A203" s="125">
        <f>IFERROR(__xludf.DUMMYFUNCTION("""COMPUTED_VALUE"""),45.0)</f>
        <v>45</v>
      </c>
      <c r="B203" s="125">
        <f>IFERROR(__xludf.DUMMYFUNCTION("""COMPUTED_VALUE"""),45.0)</f>
        <v>45</v>
      </c>
      <c r="C203" s="125">
        <f>IFERROR(__xludf.DUMMYFUNCTION("""COMPUTED_VALUE"""),45.0)</f>
        <v>45</v>
      </c>
      <c r="D203" s="125">
        <f>IFERROR(__xludf.DUMMYFUNCTION("""COMPUTED_VALUE"""),45.0)</f>
        <v>45</v>
      </c>
      <c r="E203" s="178">
        <f>IFERROR(__xludf.DUMMYFUNCTION("""COMPUTED_VALUE"""),45.0)</f>
        <v>45</v>
      </c>
      <c r="F203" s="127" t="str">
        <f>IFERROR(__xludf.DUMMYFUNCTION("""COMPUTED_VALUE"""),"Stefon Diggs – NE")</f>
        <v>Stefon Diggs – NE</v>
      </c>
      <c r="G203" s="127">
        <f>IFERROR(__xludf.DUMMYFUNCTION("""COMPUTED_VALUE"""),116.8)</f>
        <v>116.8</v>
      </c>
      <c r="H203" s="127" t="str">
        <f>IFERROR(__xludf.DUMMYFUNCTION("""COMPUTED_VALUE"""),"WR")</f>
        <v>WR</v>
      </c>
      <c r="I203" s="178">
        <f>IFERROR(__xludf.DUMMYFUNCTION("""COMPUTED_VALUE"""),14.0)</f>
        <v>14</v>
      </c>
    </row>
    <row r="204">
      <c r="A204" s="125">
        <f>IFERROR(__xludf.DUMMYFUNCTION("""COMPUTED_VALUE"""),45.0)</f>
        <v>45</v>
      </c>
      <c r="B204" s="125">
        <f>IFERROR(__xludf.DUMMYFUNCTION("""COMPUTED_VALUE"""),45.0)</f>
        <v>45</v>
      </c>
      <c r="C204" s="125">
        <f>IFERROR(__xludf.DUMMYFUNCTION("""COMPUTED_VALUE"""),45.0)</f>
        <v>45</v>
      </c>
      <c r="D204" s="125">
        <f>IFERROR(__xludf.DUMMYFUNCTION("""COMPUTED_VALUE"""),45.0)</f>
        <v>45</v>
      </c>
      <c r="E204" s="178">
        <f>IFERROR(__xludf.DUMMYFUNCTION("""COMPUTED_VALUE"""),45.0)</f>
        <v>45</v>
      </c>
      <c r="F204" s="127" t="str">
        <f>IFERROR(__xludf.DUMMYFUNCTION("""COMPUTED_VALUE"""),"Green Bay Packers – GB")</f>
        <v>Green Bay Packers – GB</v>
      </c>
      <c r="G204" s="127">
        <f>IFERROR(__xludf.DUMMYFUNCTION("""COMPUTED_VALUE"""),121.0)</f>
        <v>121</v>
      </c>
      <c r="H204" s="127" t="str">
        <f>IFERROR(__xludf.DUMMYFUNCTION("""COMPUTED_VALUE"""),"D/ST")</f>
        <v>D/ST</v>
      </c>
      <c r="I204" s="178">
        <f>IFERROR(__xludf.DUMMYFUNCTION("""COMPUTED_VALUE"""),5.0)</f>
        <v>5</v>
      </c>
    </row>
    <row r="205">
      <c r="A205" s="125">
        <f>IFERROR(__xludf.DUMMYFUNCTION("""COMPUTED_VALUE"""),46.0)</f>
        <v>46</v>
      </c>
      <c r="B205" s="125">
        <f>IFERROR(__xludf.DUMMYFUNCTION("""COMPUTED_VALUE"""),46.0)</f>
        <v>46</v>
      </c>
      <c r="C205" s="125">
        <f>IFERROR(__xludf.DUMMYFUNCTION("""COMPUTED_VALUE"""),46.0)</f>
        <v>46</v>
      </c>
      <c r="D205" s="125">
        <f>IFERROR(__xludf.DUMMYFUNCTION("""COMPUTED_VALUE"""),46.0)</f>
        <v>46</v>
      </c>
      <c r="E205" s="178">
        <f>IFERROR(__xludf.DUMMYFUNCTION("""COMPUTED_VALUE"""),46.0)</f>
        <v>46</v>
      </c>
      <c r="F205" s="127" t="str">
        <f>IFERROR(__xludf.DUMMYFUNCTION("""COMPUTED_VALUE"""),"Nick Chubb – HOU")</f>
        <v>Nick Chubb – HOU</v>
      </c>
      <c r="G205" s="127">
        <f>IFERROR(__xludf.DUMMYFUNCTION("""COMPUTED_VALUE"""),124.0)</f>
        <v>124</v>
      </c>
      <c r="H205" s="127" t="str">
        <f>IFERROR(__xludf.DUMMYFUNCTION("""COMPUTED_VALUE"""),"RB")</f>
        <v>RB</v>
      </c>
      <c r="I205" s="178">
        <f>IFERROR(__xludf.DUMMYFUNCTION("""COMPUTED_VALUE"""),6.0)</f>
        <v>6</v>
      </c>
    </row>
    <row r="206">
      <c r="A206" s="125">
        <f>IFERROR(__xludf.DUMMYFUNCTION("""COMPUTED_VALUE"""),46.0)</f>
        <v>46</v>
      </c>
      <c r="B206" s="125">
        <f>IFERROR(__xludf.DUMMYFUNCTION("""COMPUTED_VALUE"""),46.0)</f>
        <v>46</v>
      </c>
      <c r="C206" s="125">
        <f>IFERROR(__xludf.DUMMYFUNCTION("""COMPUTED_VALUE"""),46.0)</f>
        <v>46</v>
      </c>
      <c r="D206" s="125">
        <f>IFERROR(__xludf.DUMMYFUNCTION("""COMPUTED_VALUE"""),46.0)</f>
        <v>46</v>
      </c>
      <c r="E206" s="178">
        <f>IFERROR(__xludf.DUMMYFUNCTION("""COMPUTED_VALUE"""),46.0)</f>
        <v>46</v>
      </c>
      <c r="F206" s="127" t="str">
        <f>IFERROR(__xludf.DUMMYFUNCTION("""COMPUTED_VALUE"""),"Jordan Addison – MIN")</f>
        <v>Jordan Addison – MIN</v>
      </c>
      <c r="G206" s="127">
        <f>IFERROR(__xludf.DUMMYFUNCTION("""COMPUTED_VALUE"""),112.4)</f>
        <v>112.4</v>
      </c>
      <c r="H206" s="127" t="str">
        <f>IFERROR(__xludf.DUMMYFUNCTION("""COMPUTED_VALUE"""),"WR")</f>
        <v>WR</v>
      </c>
      <c r="I206" s="178">
        <f>IFERROR(__xludf.DUMMYFUNCTION("""COMPUTED_VALUE"""),6.0)</f>
        <v>6</v>
      </c>
    </row>
    <row r="207">
      <c r="A207" s="125">
        <f>IFERROR(__xludf.DUMMYFUNCTION("""COMPUTED_VALUE"""),46.0)</f>
        <v>46</v>
      </c>
      <c r="B207" s="125">
        <f>IFERROR(__xludf.DUMMYFUNCTION("""COMPUTED_VALUE"""),46.0)</f>
        <v>46</v>
      </c>
      <c r="C207" s="125">
        <f>IFERROR(__xludf.DUMMYFUNCTION("""COMPUTED_VALUE"""),46.0)</f>
        <v>46</v>
      </c>
      <c r="D207" s="125">
        <f>IFERROR(__xludf.DUMMYFUNCTION("""COMPUTED_VALUE"""),46.0)</f>
        <v>46</v>
      </c>
      <c r="E207" s="178">
        <f>IFERROR(__xludf.DUMMYFUNCTION("""COMPUTED_VALUE"""),46.0)</f>
        <v>46</v>
      </c>
      <c r="F207" s="127" t="str">
        <f>IFERROR(__xludf.DUMMYFUNCTION("""COMPUTED_VALUE"""),"Dallas Cowboys – DAL")</f>
        <v>Dallas Cowboys – DAL</v>
      </c>
      <c r="G207" s="127">
        <f>IFERROR(__xludf.DUMMYFUNCTION("""COMPUTED_VALUE"""),120.0)</f>
        <v>120</v>
      </c>
      <c r="H207" s="127" t="str">
        <f>IFERROR(__xludf.DUMMYFUNCTION("""COMPUTED_VALUE"""),"D/ST")</f>
        <v>D/ST</v>
      </c>
      <c r="I207" s="178">
        <f>IFERROR(__xludf.DUMMYFUNCTION("""COMPUTED_VALUE"""),10.0)</f>
        <v>10</v>
      </c>
    </row>
    <row r="208">
      <c r="A208" s="125">
        <f>IFERROR(__xludf.DUMMYFUNCTION("""COMPUTED_VALUE"""),47.0)</f>
        <v>47</v>
      </c>
      <c r="B208" s="125">
        <f>IFERROR(__xludf.DUMMYFUNCTION("""COMPUTED_VALUE"""),47.0)</f>
        <v>47</v>
      </c>
      <c r="C208" s="125">
        <f>IFERROR(__xludf.DUMMYFUNCTION("""COMPUTED_VALUE"""),47.0)</f>
        <v>47</v>
      </c>
      <c r="D208" s="125">
        <f>IFERROR(__xludf.DUMMYFUNCTION("""COMPUTED_VALUE"""),47.0)</f>
        <v>47</v>
      </c>
      <c r="E208" s="178">
        <f>IFERROR(__xludf.DUMMYFUNCTION("""COMPUTED_VALUE"""),47.0)</f>
        <v>47</v>
      </c>
      <c r="F208" s="127" t="str">
        <f>IFERROR(__xludf.DUMMYFUNCTION("""COMPUTED_VALUE"""),"Jaydon Blue – DAL")</f>
        <v>Jaydon Blue – DAL</v>
      </c>
      <c r="G208" s="127">
        <f>IFERROR(__xludf.DUMMYFUNCTION("""COMPUTED_VALUE"""),123.0)</f>
        <v>123</v>
      </c>
      <c r="H208" s="127" t="str">
        <f>IFERROR(__xludf.DUMMYFUNCTION("""COMPUTED_VALUE"""),"RB")</f>
        <v>RB</v>
      </c>
      <c r="I208" s="178">
        <f>IFERROR(__xludf.DUMMYFUNCTION("""COMPUTED_VALUE"""),10.0)</f>
        <v>10</v>
      </c>
    </row>
    <row r="209">
      <c r="A209" s="125">
        <f>IFERROR(__xludf.DUMMYFUNCTION("""COMPUTED_VALUE"""),47.0)</f>
        <v>47</v>
      </c>
      <c r="B209" s="125">
        <f>IFERROR(__xludf.DUMMYFUNCTION("""COMPUTED_VALUE"""),47.0)</f>
        <v>47</v>
      </c>
      <c r="C209" s="125">
        <f>IFERROR(__xludf.DUMMYFUNCTION("""COMPUTED_VALUE"""),47.0)</f>
        <v>47</v>
      </c>
      <c r="D209" s="125">
        <f>IFERROR(__xludf.DUMMYFUNCTION("""COMPUTED_VALUE"""),47.0)</f>
        <v>47</v>
      </c>
      <c r="E209" s="178">
        <f>IFERROR(__xludf.DUMMYFUNCTION("""COMPUTED_VALUE"""),47.0)</f>
        <v>47</v>
      </c>
      <c r="F209" s="127" t="str">
        <f>IFERROR(__xludf.DUMMYFUNCTION("""COMPUTED_VALUE"""),"Ricky Pearsall – SF")</f>
        <v>Ricky Pearsall – SF</v>
      </c>
      <c r="G209" s="127">
        <f>IFERROR(__xludf.DUMMYFUNCTION("""COMPUTED_VALUE"""),114.6)</f>
        <v>114.6</v>
      </c>
      <c r="H209" s="127" t="str">
        <f>IFERROR(__xludf.DUMMYFUNCTION("""COMPUTED_VALUE"""),"WR")</f>
        <v>WR</v>
      </c>
      <c r="I209" s="178">
        <f>IFERROR(__xludf.DUMMYFUNCTION("""COMPUTED_VALUE"""),14.0)</f>
        <v>14</v>
      </c>
    </row>
    <row r="210">
      <c r="A210" s="125">
        <f>IFERROR(__xludf.DUMMYFUNCTION("""COMPUTED_VALUE"""),47.0)</f>
        <v>47</v>
      </c>
      <c r="B210" s="125">
        <f>IFERROR(__xludf.DUMMYFUNCTION("""COMPUTED_VALUE"""),47.0)</f>
        <v>47</v>
      </c>
      <c r="C210" s="125">
        <f>IFERROR(__xludf.DUMMYFUNCTION("""COMPUTED_VALUE"""),47.0)</f>
        <v>47</v>
      </c>
      <c r="D210" s="125">
        <f>IFERROR(__xludf.DUMMYFUNCTION("""COMPUTED_VALUE"""),47.0)</f>
        <v>47</v>
      </c>
      <c r="E210" s="178">
        <f>IFERROR(__xludf.DUMMYFUNCTION("""COMPUTED_VALUE"""),47.0)</f>
        <v>47</v>
      </c>
      <c r="F210" s="127" t="str">
        <f>IFERROR(__xludf.DUMMYFUNCTION("""COMPUTED_VALUE"""),"New York Giants – NYG")</f>
        <v>New York Giants – NYG</v>
      </c>
      <c r="G210" s="127">
        <f>IFERROR(__xludf.DUMMYFUNCTION("""COMPUTED_VALUE"""),118.0)</f>
        <v>118</v>
      </c>
      <c r="H210" s="127" t="str">
        <f>IFERROR(__xludf.DUMMYFUNCTION("""COMPUTED_VALUE"""),"D/ST")</f>
        <v>D/ST</v>
      </c>
      <c r="I210" s="178">
        <f>IFERROR(__xludf.DUMMYFUNCTION("""COMPUTED_VALUE"""),14.0)</f>
        <v>14</v>
      </c>
    </row>
    <row r="211">
      <c r="A211" s="125">
        <f>IFERROR(__xludf.DUMMYFUNCTION("""COMPUTED_VALUE"""),48.0)</f>
        <v>48</v>
      </c>
      <c r="B211" s="125">
        <f>IFERROR(__xludf.DUMMYFUNCTION("""COMPUTED_VALUE"""),48.0)</f>
        <v>48</v>
      </c>
      <c r="C211" s="125">
        <f>IFERROR(__xludf.DUMMYFUNCTION("""COMPUTED_VALUE"""),48.0)</f>
        <v>48</v>
      </c>
      <c r="D211" s="125">
        <f>IFERROR(__xludf.DUMMYFUNCTION("""COMPUTED_VALUE"""),48.0)</f>
        <v>48</v>
      </c>
      <c r="E211" s="178">
        <f>IFERROR(__xludf.DUMMYFUNCTION("""COMPUTED_VALUE"""),48.0)</f>
        <v>48</v>
      </c>
      <c r="F211" s="127" t="str">
        <f>IFERROR(__xludf.DUMMYFUNCTION("""COMPUTED_VALUE"""),"Dylan Sampson – CLE")</f>
        <v>Dylan Sampson – CLE</v>
      </c>
      <c r="G211" s="127">
        <f>IFERROR(__xludf.DUMMYFUNCTION("""COMPUTED_VALUE"""),122.0)</f>
        <v>122</v>
      </c>
      <c r="H211" s="127" t="str">
        <f>IFERROR(__xludf.DUMMYFUNCTION("""COMPUTED_VALUE"""),"RB")</f>
        <v>RB</v>
      </c>
      <c r="I211" s="178">
        <f>IFERROR(__xludf.DUMMYFUNCTION("""COMPUTED_VALUE"""),9.0)</f>
        <v>9</v>
      </c>
    </row>
    <row r="212">
      <c r="A212" s="125">
        <f>IFERROR(__xludf.DUMMYFUNCTION("""COMPUTED_VALUE"""),48.0)</f>
        <v>48</v>
      </c>
      <c r="B212" s="125">
        <f>IFERROR(__xludf.DUMMYFUNCTION("""COMPUTED_VALUE"""),48.0)</f>
        <v>48</v>
      </c>
      <c r="C212" s="125">
        <f>IFERROR(__xludf.DUMMYFUNCTION("""COMPUTED_VALUE"""),48.0)</f>
        <v>48</v>
      </c>
      <c r="D212" s="125">
        <f>IFERROR(__xludf.DUMMYFUNCTION("""COMPUTED_VALUE"""),48.0)</f>
        <v>48</v>
      </c>
      <c r="E212" s="178">
        <f>IFERROR(__xludf.DUMMYFUNCTION("""COMPUTED_VALUE"""),48.0)</f>
        <v>48</v>
      </c>
      <c r="F212" s="127" t="str">
        <f>IFERROR(__xludf.DUMMYFUNCTION("""COMPUTED_VALUE"""),"Khalil Shakir – BUF")</f>
        <v>Khalil Shakir – BUF</v>
      </c>
      <c r="G212" s="127">
        <f>IFERROR(__xludf.DUMMYFUNCTION("""COMPUTED_VALUE"""),109.9)</f>
        <v>109.9</v>
      </c>
      <c r="H212" s="127" t="str">
        <f>IFERROR(__xludf.DUMMYFUNCTION("""COMPUTED_VALUE"""),"WR")</f>
        <v>WR</v>
      </c>
      <c r="I212" s="178">
        <f>IFERROR(__xludf.DUMMYFUNCTION("""COMPUTED_VALUE"""),7.0)</f>
        <v>7</v>
      </c>
    </row>
    <row r="213">
      <c r="A213" s="125">
        <f>IFERROR(__xludf.DUMMYFUNCTION("""COMPUTED_VALUE"""),48.0)</f>
        <v>48</v>
      </c>
      <c r="B213" s="125">
        <f>IFERROR(__xludf.DUMMYFUNCTION("""COMPUTED_VALUE"""),48.0)</f>
        <v>48</v>
      </c>
      <c r="C213" s="125">
        <f>IFERROR(__xludf.DUMMYFUNCTION("""COMPUTED_VALUE"""),48.0)</f>
        <v>48</v>
      </c>
      <c r="D213" s="125">
        <f>IFERROR(__xludf.DUMMYFUNCTION("""COMPUTED_VALUE"""),48.0)</f>
        <v>48</v>
      </c>
      <c r="E213" s="178">
        <f>IFERROR(__xludf.DUMMYFUNCTION("""COMPUTED_VALUE"""),48.0)</f>
        <v>48</v>
      </c>
      <c r="F213" s="127" t="str">
        <f>IFERROR(__xludf.DUMMYFUNCTION("""COMPUTED_VALUE"""),"Cleveland Browns – CLE")</f>
        <v>Cleveland Browns – CLE</v>
      </c>
      <c r="G213" s="127">
        <f>IFERROR(__xludf.DUMMYFUNCTION("""COMPUTED_VALUE"""),117.0)</f>
        <v>117</v>
      </c>
      <c r="H213" s="127" t="str">
        <f>IFERROR(__xludf.DUMMYFUNCTION("""COMPUTED_VALUE"""),"D/ST")</f>
        <v>D/ST</v>
      </c>
      <c r="I213" s="178">
        <f>IFERROR(__xludf.DUMMYFUNCTION("""COMPUTED_VALUE"""),9.0)</f>
        <v>9</v>
      </c>
    </row>
    <row r="214">
      <c r="A214" s="125">
        <f>IFERROR(__xludf.DUMMYFUNCTION("""COMPUTED_VALUE"""),49.0)</f>
        <v>49</v>
      </c>
      <c r="B214" s="125">
        <f>IFERROR(__xludf.DUMMYFUNCTION("""COMPUTED_VALUE"""),49.0)</f>
        <v>49</v>
      </c>
      <c r="C214" s="125">
        <f>IFERROR(__xludf.DUMMYFUNCTION("""COMPUTED_VALUE"""),49.0)</f>
        <v>49</v>
      </c>
      <c r="D214" s="125">
        <f>IFERROR(__xludf.DUMMYFUNCTION("""COMPUTED_VALUE"""),49.0)</f>
        <v>49</v>
      </c>
      <c r="E214" s="178">
        <f>IFERROR(__xludf.DUMMYFUNCTION("""COMPUTED_VALUE"""),49.0)</f>
        <v>49</v>
      </c>
      <c r="F214" s="127" t="str">
        <f>IFERROR(__xludf.DUMMYFUNCTION("""COMPUTED_VALUE"""),"Roschon Johnson – CHI")</f>
        <v>Roschon Johnson – CHI</v>
      </c>
      <c r="G214" s="127">
        <f>IFERROR(__xludf.DUMMYFUNCTION("""COMPUTED_VALUE"""),121.0)</f>
        <v>121</v>
      </c>
      <c r="H214" s="127" t="str">
        <f>IFERROR(__xludf.DUMMYFUNCTION("""COMPUTED_VALUE"""),"RB")</f>
        <v>RB</v>
      </c>
      <c r="I214" s="178">
        <f>IFERROR(__xludf.DUMMYFUNCTION("""COMPUTED_VALUE"""),5.0)</f>
        <v>5</v>
      </c>
    </row>
    <row r="215">
      <c r="A215" s="125">
        <f>IFERROR(__xludf.DUMMYFUNCTION("""COMPUTED_VALUE"""),49.0)</f>
        <v>49</v>
      </c>
      <c r="B215" s="125">
        <f>IFERROR(__xludf.DUMMYFUNCTION("""COMPUTED_VALUE"""),49.0)</f>
        <v>49</v>
      </c>
      <c r="C215" s="125">
        <f>IFERROR(__xludf.DUMMYFUNCTION("""COMPUTED_VALUE"""),49.0)</f>
        <v>49</v>
      </c>
      <c r="D215" s="125">
        <f>IFERROR(__xludf.DUMMYFUNCTION("""COMPUTED_VALUE"""),49.0)</f>
        <v>49</v>
      </c>
      <c r="E215" s="178">
        <f>IFERROR(__xludf.DUMMYFUNCTION("""COMPUTED_VALUE"""),49.0)</f>
        <v>49</v>
      </c>
      <c r="F215" s="127" t="str">
        <f>IFERROR(__xludf.DUMMYFUNCTION("""COMPUTED_VALUE"""),"Cooper Kupp – SEA")</f>
        <v>Cooper Kupp – SEA</v>
      </c>
      <c r="G215" s="127">
        <f>IFERROR(__xludf.DUMMYFUNCTION("""COMPUTED_VALUE"""),113.3)</f>
        <v>113.3</v>
      </c>
      <c r="H215" s="127" t="str">
        <f>IFERROR(__xludf.DUMMYFUNCTION("""COMPUTED_VALUE"""),"WR")</f>
        <v>WR</v>
      </c>
      <c r="I215" s="178">
        <f>IFERROR(__xludf.DUMMYFUNCTION("""COMPUTED_VALUE"""),8.0)</f>
        <v>8</v>
      </c>
    </row>
    <row r="216">
      <c r="A216" s="125">
        <f>IFERROR(__xludf.DUMMYFUNCTION("""COMPUTED_VALUE"""),49.0)</f>
        <v>49</v>
      </c>
      <c r="B216" s="125">
        <f>IFERROR(__xludf.DUMMYFUNCTION("""COMPUTED_VALUE"""),49.0)</f>
        <v>49</v>
      </c>
      <c r="C216" s="125">
        <f>IFERROR(__xludf.DUMMYFUNCTION("""COMPUTED_VALUE"""),49.0)</f>
        <v>49</v>
      </c>
      <c r="D216" s="125">
        <f>IFERROR(__xludf.DUMMYFUNCTION("""COMPUTED_VALUE"""),49.0)</f>
        <v>49</v>
      </c>
      <c r="E216" s="178">
        <f>IFERROR(__xludf.DUMMYFUNCTION("""COMPUTED_VALUE"""),49.0)</f>
        <v>49</v>
      </c>
      <c r="F216" s="127" t="str">
        <f>IFERROR(__xludf.DUMMYFUNCTION("""COMPUTED_VALUE"""),"San Francisco 49ers – SF")</f>
        <v>San Francisco 49ers – SF</v>
      </c>
      <c r="G216" s="127">
        <f>IFERROR(__xludf.DUMMYFUNCTION("""COMPUTED_VALUE"""),116.0)</f>
        <v>116</v>
      </c>
      <c r="H216" s="127" t="str">
        <f>IFERROR(__xludf.DUMMYFUNCTION("""COMPUTED_VALUE"""),"D/ST")</f>
        <v>D/ST</v>
      </c>
      <c r="I216" s="178">
        <f>IFERROR(__xludf.DUMMYFUNCTION("""COMPUTED_VALUE"""),14.0)</f>
        <v>14</v>
      </c>
    </row>
    <row r="217">
      <c r="A217" s="125">
        <f>IFERROR(__xludf.DUMMYFUNCTION("""COMPUTED_VALUE"""),50.0)</f>
        <v>50</v>
      </c>
      <c r="B217" s="125">
        <f>IFERROR(__xludf.DUMMYFUNCTION("""COMPUTED_VALUE"""),50.0)</f>
        <v>50</v>
      </c>
      <c r="C217" s="125">
        <f>IFERROR(__xludf.DUMMYFUNCTION("""COMPUTED_VALUE"""),50.0)</f>
        <v>50</v>
      </c>
      <c r="D217" s="125">
        <f>IFERROR(__xludf.DUMMYFUNCTION("""COMPUTED_VALUE"""),50.0)</f>
        <v>50</v>
      </c>
      <c r="E217" s="178">
        <f>IFERROR(__xludf.DUMMYFUNCTION("""COMPUTED_VALUE"""),50.0)</f>
        <v>50</v>
      </c>
      <c r="F217" s="127" t="str">
        <f>IFERROR(__xludf.DUMMYFUNCTION("""COMPUTED_VALUE"""),"Jaylen Wright – MIA")</f>
        <v>Jaylen Wright – MIA</v>
      </c>
      <c r="G217" s="127">
        <f>IFERROR(__xludf.DUMMYFUNCTION("""COMPUTED_VALUE"""),120.0)</f>
        <v>120</v>
      </c>
      <c r="H217" s="127" t="str">
        <f>IFERROR(__xludf.DUMMYFUNCTION("""COMPUTED_VALUE"""),"RB")</f>
        <v>RB</v>
      </c>
      <c r="I217" s="178">
        <f>IFERROR(__xludf.DUMMYFUNCTION("""COMPUTED_VALUE"""),12.0)</f>
        <v>12</v>
      </c>
    </row>
    <row r="218">
      <c r="A218" s="125">
        <f>IFERROR(__xludf.DUMMYFUNCTION("""COMPUTED_VALUE"""),50.0)</f>
        <v>50</v>
      </c>
      <c r="B218" s="125">
        <f>IFERROR(__xludf.DUMMYFUNCTION("""COMPUTED_VALUE"""),50.0)</f>
        <v>50</v>
      </c>
      <c r="C218" s="125">
        <f>IFERROR(__xludf.DUMMYFUNCTION("""COMPUTED_VALUE"""),50.0)</f>
        <v>50</v>
      </c>
      <c r="D218" s="125">
        <f>IFERROR(__xludf.DUMMYFUNCTION("""COMPUTED_VALUE"""),50.0)</f>
        <v>50</v>
      </c>
      <c r="E218" s="178">
        <f>IFERROR(__xludf.DUMMYFUNCTION("""COMPUTED_VALUE"""),50.0)</f>
        <v>50</v>
      </c>
      <c r="F218" s="127" t="str">
        <f>IFERROR(__xludf.DUMMYFUNCTION("""COMPUTED_VALUE"""),"Michael Pittman Jr. – IND")</f>
        <v>Michael Pittman Jr. – IND</v>
      </c>
      <c r="G218" s="127">
        <f>IFERROR(__xludf.DUMMYFUNCTION("""COMPUTED_VALUE"""),107.4)</f>
        <v>107.4</v>
      </c>
      <c r="H218" s="127" t="str">
        <f>IFERROR(__xludf.DUMMYFUNCTION("""COMPUTED_VALUE"""),"WR")</f>
        <v>WR</v>
      </c>
      <c r="I218" s="178">
        <f>IFERROR(__xludf.DUMMYFUNCTION("""COMPUTED_VALUE"""),11.0)</f>
        <v>11</v>
      </c>
    </row>
    <row r="219">
      <c r="A219" s="125">
        <f>IFERROR(__xludf.DUMMYFUNCTION("""COMPUTED_VALUE"""),50.0)</f>
        <v>50</v>
      </c>
      <c r="B219" s="125">
        <f>IFERROR(__xludf.DUMMYFUNCTION("""COMPUTED_VALUE"""),50.0)</f>
        <v>50</v>
      </c>
      <c r="C219" s="125">
        <f>IFERROR(__xludf.DUMMYFUNCTION("""COMPUTED_VALUE"""),50.0)</f>
        <v>50</v>
      </c>
      <c r="D219" s="125">
        <f>IFERROR(__xludf.DUMMYFUNCTION("""COMPUTED_VALUE"""),50.0)</f>
        <v>50</v>
      </c>
      <c r="E219" s="178">
        <f>IFERROR(__xludf.DUMMYFUNCTION("""COMPUTED_VALUE"""),50.0)</f>
        <v>50</v>
      </c>
      <c r="F219" s="127" t="str">
        <f>IFERROR(__xludf.DUMMYFUNCTION("""COMPUTED_VALUE"""),"Tampa Bay Buccaneers – TB")</f>
        <v>Tampa Bay Buccaneers – TB</v>
      </c>
      <c r="G219" s="127">
        <f>IFERROR(__xludf.DUMMYFUNCTION("""COMPUTED_VALUE"""),115.0)</f>
        <v>115</v>
      </c>
      <c r="H219" s="127" t="str">
        <f>IFERROR(__xludf.DUMMYFUNCTION("""COMPUTED_VALUE"""),"D/ST")</f>
        <v>D/ST</v>
      </c>
      <c r="I219" s="178">
        <f>IFERROR(__xludf.DUMMYFUNCTION("""COMPUTED_VALUE"""),9.0)</f>
        <v>9</v>
      </c>
    </row>
    <row r="220">
      <c r="A220" s="125">
        <f>IFERROR(__xludf.DUMMYFUNCTION("""COMPUTED_VALUE"""),51.0)</f>
        <v>51</v>
      </c>
      <c r="B220" s="125">
        <f>IFERROR(__xludf.DUMMYFUNCTION("""COMPUTED_VALUE"""),51.0)</f>
        <v>51</v>
      </c>
      <c r="C220" s="125">
        <f>IFERROR(__xludf.DUMMYFUNCTION("""COMPUTED_VALUE"""),51.0)</f>
        <v>51</v>
      </c>
      <c r="D220" s="125">
        <f>IFERROR(__xludf.DUMMYFUNCTION("""COMPUTED_VALUE"""),51.0)</f>
        <v>51</v>
      </c>
      <c r="E220" s="178">
        <f>IFERROR(__xludf.DUMMYFUNCTION("""COMPUTED_VALUE"""),51.0)</f>
        <v>51</v>
      </c>
      <c r="F220" s="127" t="str">
        <f>IFERROR(__xludf.DUMMYFUNCTION("""COMPUTED_VALUE"""),"Jaydon Blue – DAL")</f>
        <v>Jaydon Blue – DAL</v>
      </c>
      <c r="G220" s="127">
        <f>IFERROR(__xludf.DUMMYFUNCTION("""COMPUTED_VALUE"""),123.0)</f>
        <v>123</v>
      </c>
      <c r="H220" s="127" t="str">
        <f>IFERROR(__xludf.DUMMYFUNCTION("""COMPUTED_VALUE"""),"RB")</f>
        <v>RB</v>
      </c>
      <c r="I220" s="178">
        <f>IFERROR(__xludf.DUMMYFUNCTION("""COMPUTED_VALUE"""),10.0)</f>
        <v>10</v>
      </c>
    </row>
    <row r="221">
      <c r="A221" s="125">
        <f>IFERROR(__xludf.DUMMYFUNCTION("""COMPUTED_VALUE"""),51.0)</f>
        <v>51</v>
      </c>
      <c r="B221" s="125">
        <f>IFERROR(__xludf.DUMMYFUNCTION("""COMPUTED_VALUE"""),51.0)</f>
        <v>51</v>
      </c>
      <c r="C221" s="125">
        <f>IFERROR(__xludf.DUMMYFUNCTION("""COMPUTED_VALUE"""),51.0)</f>
        <v>51</v>
      </c>
      <c r="D221" s="125">
        <f>IFERROR(__xludf.DUMMYFUNCTION("""COMPUTED_VALUE"""),51.0)</f>
        <v>51</v>
      </c>
      <c r="E221" s="178">
        <f>IFERROR(__xludf.DUMMYFUNCTION("""COMPUTED_VALUE"""),51.0)</f>
        <v>51</v>
      </c>
      <c r="F221" s="127" t="str">
        <f>IFERROR(__xludf.DUMMYFUNCTION("""COMPUTED_VALUE"""),"Josh Downs – IND")</f>
        <v>Josh Downs – IND</v>
      </c>
      <c r="G221" s="127">
        <f>IFERROR(__xludf.DUMMYFUNCTION("""COMPUTED_VALUE"""),99.0)</f>
        <v>99</v>
      </c>
      <c r="H221" s="127" t="str">
        <f>IFERROR(__xludf.DUMMYFUNCTION("""COMPUTED_VALUE"""),"WR")</f>
        <v>WR</v>
      </c>
      <c r="I221" s="178">
        <f>IFERROR(__xludf.DUMMYFUNCTION("""COMPUTED_VALUE"""),11.0)</f>
        <v>11</v>
      </c>
    </row>
    <row r="222">
      <c r="A222" s="125">
        <f>IFERROR(__xludf.DUMMYFUNCTION("""COMPUTED_VALUE"""),51.0)</f>
        <v>51</v>
      </c>
      <c r="B222" s="125">
        <f>IFERROR(__xludf.DUMMYFUNCTION("""COMPUTED_VALUE"""),51.0)</f>
        <v>51</v>
      </c>
      <c r="C222" s="125">
        <f>IFERROR(__xludf.DUMMYFUNCTION("""COMPUTED_VALUE"""),51.0)</f>
        <v>51</v>
      </c>
      <c r="D222" s="125">
        <f>IFERROR(__xludf.DUMMYFUNCTION("""COMPUTED_VALUE"""),51.0)</f>
        <v>51</v>
      </c>
      <c r="E222" s="178">
        <f>IFERROR(__xludf.DUMMYFUNCTION("""COMPUTED_VALUE"""),51.0)</f>
        <v>51</v>
      </c>
      <c r="F222" s="127" t="str">
        <f>IFERROR(__xludf.DUMMYFUNCTION("""COMPUTED_VALUE"""),"Miami Dolphins – MIA")</f>
        <v>Miami Dolphins – MIA</v>
      </c>
      <c r="G222" s="127">
        <f>IFERROR(__xludf.DUMMYFUNCTION("""COMPUTED_VALUE"""),114.0)</f>
        <v>114</v>
      </c>
      <c r="H222" s="127" t="str">
        <f>IFERROR(__xludf.DUMMYFUNCTION("""COMPUTED_VALUE"""),"D/ST")</f>
        <v>D/ST</v>
      </c>
      <c r="I222" s="178">
        <f>IFERROR(__xludf.DUMMYFUNCTION("""COMPUTED_VALUE"""),12.0)</f>
        <v>12</v>
      </c>
    </row>
    <row r="223">
      <c r="A223" s="125">
        <f>IFERROR(__xludf.DUMMYFUNCTION("""COMPUTED_VALUE"""),52.0)</f>
        <v>52</v>
      </c>
      <c r="B223" s="125">
        <f>IFERROR(__xludf.DUMMYFUNCTION("""COMPUTED_VALUE"""),52.0)</f>
        <v>52</v>
      </c>
      <c r="C223" s="125">
        <f>IFERROR(__xludf.DUMMYFUNCTION("""COMPUTED_VALUE"""),52.0)</f>
        <v>52</v>
      </c>
      <c r="D223" s="125">
        <f>IFERROR(__xludf.DUMMYFUNCTION("""COMPUTED_VALUE"""),52.0)</f>
        <v>52</v>
      </c>
      <c r="E223" s="178">
        <f>IFERROR(__xludf.DUMMYFUNCTION("""COMPUTED_VALUE"""),52.0)</f>
        <v>52</v>
      </c>
      <c r="F223" s="127" t="str">
        <f>IFERROR(__xludf.DUMMYFUNCTION("""COMPUTED_VALUE"""),"Dylan Sampson – CLE")</f>
        <v>Dylan Sampson – CLE</v>
      </c>
      <c r="G223" s="127">
        <f>IFERROR(__xludf.DUMMYFUNCTION("""COMPUTED_VALUE"""),122.0)</f>
        <v>122</v>
      </c>
      <c r="H223" s="127" t="str">
        <f>IFERROR(__xludf.DUMMYFUNCTION("""COMPUTED_VALUE"""),"RB")</f>
        <v>RB</v>
      </c>
      <c r="I223" s="178">
        <f>IFERROR(__xludf.DUMMYFUNCTION("""COMPUTED_VALUE"""),9.0)</f>
        <v>9</v>
      </c>
    </row>
    <row r="224">
      <c r="A224" s="125">
        <f>IFERROR(__xludf.DUMMYFUNCTION("""COMPUTED_VALUE"""),52.0)</f>
        <v>52</v>
      </c>
      <c r="B224" s="125">
        <f>IFERROR(__xludf.DUMMYFUNCTION("""COMPUTED_VALUE"""),52.0)</f>
        <v>52</v>
      </c>
      <c r="C224" s="125">
        <f>IFERROR(__xludf.DUMMYFUNCTION("""COMPUTED_VALUE"""),52.0)</f>
        <v>52</v>
      </c>
      <c r="D224" s="125">
        <f>IFERROR(__xludf.DUMMYFUNCTION("""COMPUTED_VALUE"""),52.0)</f>
        <v>52</v>
      </c>
      <c r="E224" s="178">
        <f>IFERROR(__xludf.DUMMYFUNCTION("""COMPUTED_VALUE"""),52.0)</f>
        <v>52</v>
      </c>
      <c r="F224" s="127" t="str">
        <f>IFERROR(__xludf.DUMMYFUNCTION("""COMPUTED_VALUE"""),"Marvin Mims Jr. – DEN")</f>
        <v>Marvin Mims Jr. – DEN</v>
      </c>
      <c r="G224" s="127">
        <f>IFERROR(__xludf.DUMMYFUNCTION("""COMPUTED_VALUE"""),106.5)</f>
        <v>106.5</v>
      </c>
      <c r="H224" s="127" t="str">
        <f>IFERROR(__xludf.DUMMYFUNCTION("""COMPUTED_VALUE"""),"WR")</f>
        <v>WR</v>
      </c>
      <c r="I224" s="178">
        <f>IFERROR(__xludf.DUMMYFUNCTION("""COMPUTED_VALUE"""),12.0)</f>
        <v>12</v>
      </c>
    </row>
    <row r="225">
      <c r="A225" s="125">
        <f>IFERROR(__xludf.DUMMYFUNCTION("""COMPUTED_VALUE"""),52.0)</f>
        <v>52</v>
      </c>
      <c r="B225" s="125">
        <f>IFERROR(__xludf.DUMMYFUNCTION("""COMPUTED_VALUE"""),52.0)</f>
        <v>52</v>
      </c>
      <c r="C225" s="125">
        <f>IFERROR(__xludf.DUMMYFUNCTION("""COMPUTED_VALUE"""),52.0)</f>
        <v>52</v>
      </c>
      <c r="D225" s="125">
        <f>IFERROR(__xludf.DUMMYFUNCTION("""COMPUTED_VALUE"""),52.0)</f>
        <v>52</v>
      </c>
      <c r="E225" s="178">
        <f>IFERROR(__xludf.DUMMYFUNCTION("""COMPUTED_VALUE"""),52.0)</f>
        <v>52</v>
      </c>
      <c r="F225" s="127" t="str">
        <f>IFERROR(__xludf.DUMMYFUNCTION("""COMPUTED_VALUE"""),"Arizona Cardinals – ARI")</f>
        <v>Arizona Cardinals – ARI</v>
      </c>
      <c r="G225" s="127">
        <f>IFERROR(__xludf.DUMMYFUNCTION("""COMPUTED_VALUE"""),113.0)</f>
        <v>113</v>
      </c>
      <c r="H225" s="127" t="str">
        <f>IFERROR(__xludf.DUMMYFUNCTION("""COMPUTED_VALUE"""),"D/ST")</f>
        <v>D/ST</v>
      </c>
      <c r="I225" s="178">
        <f>IFERROR(__xludf.DUMMYFUNCTION("""COMPUTED_VALUE"""),8.0)</f>
        <v>8</v>
      </c>
    </row>
    <row r="226">
      <c r="A226" s="125">
        <f>IFERROR(__xludf.DUMMYFUNCTION("""COMPUTED_VALUE"""),53.0)</f>
        <v>53</v>
      </c>
      <c r="B226" s="125">
        <f>IFERROR(__xludf.DUMMYFUNCTION("""COMPUTED_VALUE"""),53.0)</f>
        <v>53</v>
      </c>
      <c r="C226" s="125">
        <f>IFERROR(__xludf.DUMMYFUNCTION("""COMPUTED_VALUE"""),53.0)</f>
        <v>53</v>
      </c>
      <c r="D226" s="125">
        <f>IFERROR(__xludf.DUMMYFUNCTION("""COMPUTED_VALUE"""),53.0)</f>
        <v>53</v>
      </c>
      <c r="E226" s="178">
        <f>IFERROR(__xludf.DUMMYFUNCTION("""COMPUTED_VALUE"""),53.0)</f>
        <v>53</v>
      </c>
      <c r="F226" s="127" t="str">
        <f>IFERROR(__xludf.DUMMYFUNCTION("""COMPUTED_VALUE"""),"Roschon Johnson – CHI")</f>
        <v>Roschon Johnson – CHI</v>
      </c>
      <c r="G226" s="127">
        <f>IFERROR(__xludf.DUMMYFUNCTION("""COMPUTED_VALUE"""),121.0)</f>
        <v>121</v>
      </c>
      <c r="H226" s="127" t="str">
        <f>IFERROR(__xludf.DUMMYFUNCTION("""COMPUTED_VALUE"""),"RB")</f>
        <v>RB</v>
      </c>
      <c r="I226" s="178">
        <f>IFERROR(__xludf.DUMMYFUNCTION("""COMPUTED_VALUE"""),5.0)</f>
        <v>5</v>
      </c>
    </row>
    <row r="227">
      <c r="A227" s="125">
        <f>IFERROR(__xludf.DUMMYFUNCTION("""COMPUTED_VALUE"""),53.0)</f>
        <v>53</v>
      </c>
      <c r="B227" s="125">
        <f>IFERROR(__xludf.DUMMYFUNCTION("""COMPUTED_VALUE"""),53.0)</f>
        <v>53</v>
      </c>
      <c r="C227" s="125">
        <f>IFERROR(__xludf.DUMMYFUNCTION("""COMPUTED_VALUE"""),53.0)</f>
        <v>53</v>
      </c>
      <c r="D227" s="125">
        <f>IFERROR(__xludf.DUMMYFUNCTION("""COMPUTED_VALUE"""),53.0)</f>
        <v>53</v>
      </c>
      <c r="E227" s="178">
        <f>IFERROR(__xludf.DUMMYFUNCTION("""COMPUTED_VALUE"""),53.0)</f>
        <v>53</v>
      </c>
      <c r="F227" s="127" t="str">
        <f>IFERROR(__xludf.DUMMYFUNCTION("""COMPUTED_VALUE"""),"Rashod Bateman – BAL")</f>
        <v>Rashod Bateman – BAL</v>
      </c>
      <c r="G227" s="127">
        <f>IFERROR(__xludf.DUMMYFUNCTION("""COMPUTED_VALUE"""),102.3)</f>
        <v>102.3</v>
      </c>
      <c r="H227" s="127" t="str">
        <f>IFERROR(__xludf.DUMMYFUNCTION("""COMPUTED_VALUE"""),"WR")</f>
        <v>WR</v>
      </c>
      <c r="I227" s="178">
        <f>IFERROR(__xludf.DUMMYFUNCTION("""COMPUTED_VALUE"""),7.0)</f>
        <v>7</v>
      </c>
    </row>
    <row r="228">
      <c r="A228" s="125">
        <f>IFERROR(__xludf.DUMMYFUNCTION("""COMPUTED_VALUE"""),53.0)</f>
        <v>53</v>
      </c>
      <c r="B228" s="125">
        <f>IFERROR(__xludf.DUMMYFUNCTION("""COMPUTED_VALUE"""),53.0)</f>
        <v>53</v>
      </c>
      <c r="C228" s="125">
        <f>IFERROR(__xludf.DUMMYFUNCTION("""COMPUTED_VALUE"""),53.0)</f>
        <v>53</v>
      </c>
      <c r="D228" s="125">
        <f>IFERROR(__xludf.DUMMYFUNCTION("""COMPUTED_VALUE"""),53.0)</f>
        <v>53</v>
      </c>
      <c r="E228" s="178">
        <f>IFERROR(__xludf.DUMMYFUNCTION("""COMPUTED_VALUE"""),53.0)</f>
        <v>53</v>
      </c>
      <c r="F228" s="127" t="str">
        <f>IFERROR(__xludf.DUMMYFUNCTION("""COMPUTED_VALUE"""),"Chicago Bears – CHI")</f>
        <v>Chicago Bears – CHI</v>
      </c>
      <c r="G228" s="127">
        <f>IFERROR(__xludf.DUMMYFUNCTION("""COMPUTED_VALUE"""),112.0)</f>
        <v>112</v>
      </c>
      <c r="H228" s="127" t="str">
        <f>IFERROR(__xludf.DUMMYFUNCTION("""COMPUTED_VALUE"""),"D/ST")</f>
        <v>D/ST</v>
      </c>
      <c r="I228" s="178">
        <f>IFERROR(__xludf.DUMMYFUNCTION("""COMPUTED_VALUE"""),5.0)</f>
        <v>5</v>
      </c>
    </row>
    <row r="229">
      <c r="A229" s="125">
        <f>IFERROR(__xludf.DUMMYFUNCTION("""COMPUTED_VALUE"""),54.0)</f>
        <v>54</v>
      </c>
      <c r="B229" s="125">
        <f>IFERROR(__xludf.DUMMYFUNCTION("""COMPUTED_VALUE"""),54.0)</f>
        <v>54</v>
      </c>
      <c r="C229" s="125">
        <f>IFERROR(__xludf.DUMMYFUNCTION("""COMPUTED_VALUE"""),54.0)</f>
        <v>54</v>
      </c>
      <c r="D229" s="125">
        <f>IFERROR(__xludf.DUMMYFUNCTION("""COMPUTED_VALUE"""),54.0)</f>
        <v>54</v>
      </c>
      <c r="E229" s="178">
        <f>IFERROR(__xludf.DUMMYFUNCTION("""COMPUTED_VALUE"""),54.0)</f>
        <v>54</v>
      </c>
      <c r="F229" s="127" t="str">
        <f>IFERROR(__xludf.DUMMYFUNCTION("""COMPUTED_VALUE"""),"Jaylen Wright – MIA")</f>
        <v>Jaylen Wright – MIA</v>
      </c>
      <c r="G229" s="127">
        <f>IFERROR(__xludf.DUMMYFUNCTION("""COMPUTED_VALUE"""),120.0)</f>
        <v>120</v>
      </c>
      <c r="H229" s="127" t="str">
        <f>IFERROR(__xludf.DUMMYFUNCTION("""COMPUTED_VALUE"""),"RB")</f>
        <v>RB</v>
      </c>
      <c r="I229" s="178">
        <f>IFERROR(__xludf.DUMMYFUNCTION("""COMPUTED_VALUE"""),12.0)</f>
        <v>12</v>
      </c>
    </row>
    <row r="230">
      <c r="A230" s="125">
        <f>IFERROR(__xludf.DUMMYFUNCTION("""COMPUTED_VALUE"""),54.0)</f>
        <v>54</v>
      </c>
      <c r="B230" s="125">
        <f>IFERROR(__xludf.DUMMYFUNCTION("""COMPUTED_VALUE"""),54.0)</f>
        <v>54</v>
      </c>
      <c r="C230" s="125">
        <f>IFERROR(__xludf.DUMMYFUNCTION("""COMPUTED_VALUE"""),54.0)</f>
        <v>54</v>
      </c>
      <c r="D230" s="125">
        <f>IFERROR(__xludf.DUMMYFUNCTION("""COMPUTED_VALUE"""),54.0)</f>
        <v>54</v>
      </c>
      <c r="E230" s="178">
        <f>IFERROR(__xludf.DUMMYFUNCTION("""COMPUTED_VALUE"""),54.0)</f>
        <v>54</v>
      </c>
      <c r="F230" s="127" t="str">
        <f>IFERROR(__xludf.DUMMYFUNCTION("""COMPUTED_VALUE"""),"Brandon Aiyuk – SF")</f>
        <v>Brandon Aiyuk – SF</v>
      </c>
      <c r="G230" s="127">
        <f>IFERROR(__xludf.DUMMYFUNCTION("""COMPUTED_VALUE"""),101.3)</f>
        <v>101.3</v>
      </c>
      <c r="H230" s="127" t="str">
        <f>IFERROR(__xludf.DUMMYFUNCTION("""COMPUTED_VALUE"""),"WR")</f>
        <v>WR</v>
      </c>
      <c r="I230" s="178">
        <f>IFERROR(__xludf.DUMMYFUNCTION("""COMPUTED_VALUE"""),14.0)</f>
        <v>14</v>
      </c>
    </row>
    <row r="231">
      <c r="A231" s="125">
        <f>IFERROR(__xludf.DUMMYFUNCTION("""COMPUTED_VALUE"""),54.0)</f>
        <v>54</v>
      </c>
      <c r="B231" s="125">
        <f>IFERROR(__xludf.DUMMYFUNCTION("""COMPUTED_VALUE"""),54.0)</f>
        <v>54</v>
      </c>
      <c r="C231" s="125">
        <f>IFERROR(__xludf.DUMMYFUNCTION("""COMPUTED_VALUE"""),54.0)</f>
        <v>54</v>
      </c>
      <c r="D231" s="125">
        <f>IFERROR(__xludf.DUMMYFUNCTION("""COMPUTED_VALUE"""),54.0)</f>
        <v>54</v>
      </c>
      <c r="E231" s="178">
        <f>IFERROR(__xludf.DUMMYFUNCTION("""COMPUTED_VALUE"""),54.0)</f>
        <v>54</v>
      </c>
      <c r="F231" s="127" t="str">
        <f>IFERROR(__xludf.DUMMYFUNCTION("""COMPUTED_VALUE"""),"New England Patriots – NE")</f>
        <v>New England Patriots – NE</v>
      </c>
      <c r="G231" s="127">
        <f>IFERROR(__xludf.DUMMYFUNCTION("""COMPUTED_VALUE"""),111.0)</f>
        <v>111</v>
      </c>
      <c r="H231" s="127" t="str">
        <f>IFERROR(__xludf.DUMMYFUNCTION("""COMPUTED_VALUE"""),"D/ST")</f>
        <v>D/ST</v>
      </c>
      <c r="I231" s="178">
        <f>IFERROR(__xludf.DUMMYFUNCTION("""COMPUTED_VALUE"""),14.0)</f>
        <v>14</v>
      </c>
    </row>
    <row r="232">
      <c r="A232" s="125">
        <f>IFERROR(__xludf.DUMMYFUNCTION("""COMPUTED_VALUE"""),55.0)</f>
        <v>55</v>
      </c>
      <c r="B232" s="125">
        <f>IFERROR(__xludf.DUMMYFUNCTION("""COMPUTED_VALUE"""),55.0)</f>
        <v>55</v>
      </c>
      <c r="C232" s="125">
        <f>IFERROR(__xludf.DUMMYFUNCTION("""COMPUTED_VALUE"""),55.0)</f>
        <v>55</v>
      </c>
      <c r="D232" s="125">
        <f>IFERROR(__xludf.DUMMYFUNCTION("""COMPUTED_VALUE"""),55.0)</f>
        <v>55</v>
      </c>
      <c r="E232" s="178">
        <f>IFERROR(__xludf.DUMMYFUNCTION("""COMPUTED_VALUE"""),55.0)</f>
        <v>55</v>
      </c>
      <c r="F232" s="127" t="str">
        <f>IFERROR(__xludf.DUMMYFUNCTION("""COMPUTED_VALUE"""),"Braelon Allen – NYJ")</f>
        <v>Braelon Allen – NYJ</v>
      </c>
      <c r="G232" s="127">
        <f>IFERROR(__xludf.DUMMYFUNCTION("""COMPUTED_VALUE"""),119.0)</f>
        <v>119</v>
      </c>
      <c r="H232" s="127" t="str">
        <f>IFERROR(__xludf.DUMMYFUNCTION("""COMPUTED_VALUE"""),"RB")</f>
        <v>RB</v>
      </c>
      <c r="I232" s="178">
        <f>IFERROR(__xludf.DUMMYFUNCTION("""COMPUTED_VALUE"""),9.0)</f>
        <v>9</v>
      </c>
    </row>
    <row r="233">
      <c r="A233" s="125">
        <f>IFERROR(__xludf.DUMMYFUNCTION("""COMPUTED_VALUE"""),55.0)</f>
        <v>55</v>
      </c>
      <c r="B233" s="125">
        <f>IFERROR(__xludf.DUMMYFUNCTION("""COMPUTED_VALUE"""),55.0)</f>
        <v>55</v>
      </c>
      <c r="C233" s="125">
        <f>IFERROR(__xludf.DUMMYFUNCTION("""COMPUTED_VALUE"""),55.0)</f>
        <v>55</v>
      </c>
      <c r="D233" s="125">
        <f>IFERROR(__xludf.DUMMYFUNCTION("""COMPUTED_VALUE"""),55.0)</f>
        <v>55</v>
      </c>
      <c r="E233" s="178">
        <f>IFERROR(__xludf.DUMMYFUNCTION("""COMPUTED_VALUE"""),55.0)</f>
        <v>55</v>
      </c>
      <c r="F233" s="127" t="str">
        <f>IFERROR(__xludf.DUMMYFUNCTION("""COMPUTED_VALUE"""),"Keenan Allen – LAC")</f>
        <v>Keenan Allen – LAC</v>
      </c>
      <c r="G233" s="127">
        <f>IFERROR(__xludf.DUMMYFUNCTION("""COMPUTED_VALUE"""),98.5)</f>
        <v>98.5</v>
      </c>
      <c r="H233" s="127" t="str">
        <f>IFERROR(__xludf.DUMMYFUNCTION("""COMPUTED_VALUE"""),"WR")</f>
        <v>WR</v>
      </c>
      <c r="I233" s="178">
        <f>IFERROR(__xludf.DUMMYFUNCTION("""COMPUTED_VALUE"""),12.0)</f>
        <v>12</v>
      </c>
    </row>
    <row r="234">
      <c r="A234" s="125">
        <f>IFERROR(__xludf.DUMMYFUNCTION("""COMPUTED_VALUE"""),55.0)</f>
        <v>55</v>
      </c>
      <c r="B234" s="125">
        <f>IFERROR(__xludf.DUMMYFUNCTION("""COMPUTED_VALUE"""),55.0)</f>
        <v>55</v>
      </c>
      <c r="C234" s="125">
        <f>IFERROR(__xludf.DUMMYFUNCTION("""COMPUTED_VALUE"""),55.0)</f>
        <v>55</v>
      </c>
      <c r="D234" s="125">
        <f>IFERROR(__xludf.DUMMYFUNCTION("""COMPUTED_VALUE"""),55.0)</f>
        <v>55</v>
      </c>
      <c r="E234" s="178">
        <f>IFERROR(__xludf.DUMMYFUNCTION("""COMPUTED_VALUE"""),55.0)</f>
        <v>55</v>
      </c>
      <c r="F234" s="127" t="str">
        <f>IFERROR(__xludf.DUMMYFUNCTION("""COMPUTED_VALUE"""),"Washington Commanders – WAS")</f>
        <v>Washington Commanders – WAS</v>
      </c>
      <c r="G234" s="127">
        <f>IFERROR(__xludf.DUMMYFUNCTION("""COMPUTED_VALUE"""),110.0)</f>
        <v>110</v>
      </c>
      <c r="H234" s="127" t="str">
        <f>IFERROR(__xludf.DUMMYFUNCTION("""COMPUTED_VALUE"""),"D/ST")</f>
        <v>D/ST</v>
      </c>
      <c r="I234" s="178">
        <f>IFERROR(__xludf.DUMMYFUNCTION("""COMPUTED_VALUE"""),12.0)</f>
        <v>12</v>
      </c>
    </row>
    <row r="235">
      <c r="A235" s="125">
        <f>IFERROR(__xludf.DUMMYFUNCTION("""COMPUTED_VALUE"""),56.0)</f>
        <v>56</v>
      </c>
      <c r="B235" s="125">
        <f>IFERROR(__xludf.DUMMYFUNCTION("""COMPUTED_VALUE"""),56.0)</f>
        <v>56</v>
      </c>
      <c r="C235" s="125">
        <f>IFERROR(__xludf.DUMMYFUNCTION("""COMPUTED_VALUE"""),56.0)</f>
        <v>56</v>
      </c>
      <c r="D235" s="125">
        <f>IFERROR(__xludf.DUMMYFUNCTION("""COMPUTED_VALUE"""),56.0)</f>
        <v>56</v>
      </c>
      <c r="E235" s="178">
        <f>IFERROR(__xludf.DUMMYFUNCTION("""COMPUTED_VALUE"""),56.0)</f>
        <v>56</v>
      </c>
      <c r="F235" s="127" t="str">
        <f>IFERROR(__xludf.DUMMYFUNCTION("""COMPUTED_VALUE"""),"Rico Dowdle – CAR")</f>
        <v>Rico Dowdle – CAR</v>
      </c>
      <c r="G235" s="127">
        <f>IFERROR(__xludf.DUMMYFUNCTION("""COMPUTED_VALUE"""),118.0)</f>
        <v>118</v>
      </c>
      <c r="H235" s="127" t="str">
        <f>IFERROR(__xludf.DUMMYFUNCTION("""COMPUTED_VALUE"""),"RB")</f>
        <v>RB</v>
      </c>
      <c r="I235" s="178">
        <f>IFERROR(__xludf.DUMMYFUNCTION("""COMPUTED_VALUE"""),14.0)</f>
        <v>14</v>
      </c>
    </row>
    <row r="236">
      <c r="A236" s="125">
        <f>IFERROR(__xludf.DUMMYFUNCTION("""COMPUTED_VALUE"""),56.0)</f>
        <v>56</v>
      </c>
      <c r="B236" s="125">
        <f>IFERROR(__xludf.DUMMYFUNCTION("""COMPUTED_VALUE"""),56.0)</f>
        <v>56</v>
      </c>
      <c r="C236" s="125">
        <f>IFERROR(__xludf.DUMMYFUNCTION("""COMPUTED_VALUE"""),56.0)</f>
        <v>56</v>
      </c>
      <c r="D236" s="125">
        <f>IFERROR(__xludf.DUMMYFUNCTION("""COMPUTED_VALUE"""),56.0)</f>
        <v>56</v>
      </c>
      <c r="E236" s="178">
        <f>IFERROR(__xludf.DUMMYFUNCTION("""COMPUTED_VALUE"""),56.0)</f>
        <v>56</v>
      </c>
      <c r="F236" s="127" t="str">
        <f>IFERROR(__xludf.DUMMYFUNCTION("""COMPUTED_VALUE"""),"Cedric Tillman – CLE")</f>
        <v>Cedric Tillman – CLE</v>
      </c>
      <c r="G236" s="127">
        <f>IFERROR(__xludf.DUMMYFUNCTION("""COMPUTED_VALUE"""),91.2)</f>
        <v>91.2</v>
      </c>
      <c r="H236" s="127" t="str">
        <f>IFERROR(__xludf.DUMMYFUNCTION("""COMPUTED_VALUE"""),"WR")</f>
        <v>WR</v>
      </c>
      <c r="I236" s="178">
        <f>IFERROR(__xludf.DUMMYFUNCTION("""COMPUTED_VALUE"""),9.0)</f>
        <v>9</v>
      </c>
    </row>
    <row r="237">
      <c r="A237" s="125">
        <f>IFERROR(__xludf.DUMMYFUNCTION("""COMPUTED_VALUE"""),56.0)</f>
        <v>56</v>
      </c>
      <c r="B237" s="125">
        <f>IFERROR(__xludf.DUMMYFUNCTION("""COMPUTED_VALUE"""),56.0)</f>
        <v>56</v>
      </c>
      <c r="C237" s="125">
        <f>IFERROR(__xludf.DUMMYFUNCTION("""COMPUTED_VALUE"""),56.0)</f>
        <v>56</v>
      </c>
      <c r="D237" s="125">
        <f>IFERROR(__xludf.DUMMYFUNCTION("""COMPUTED_VALUE"""),56.0)</f>
        <v>56</v>
      </c>
      <c r="E237" s="178">
        <f>IFERROR(__xludf.DUMMYFUNCTION("""COMPUTED_VALUE"""),56.0)</f>
        <v>56</v>
      </c>
      <c r="F237" s="127" t="str">
        <f>IFERROR(__xludf.DUMMYFUNCTION("""COMPUTED_VALUE"""),"Cincinnati Bengals – CIN")</f>
        <v>Cincinnati Bengals – CIN</v>
      </c>
      <c r="G237" s="127">
        <f>IFERROR(__xludf.DUMMYFUNCTION("""COMPUTED_VALUE"""),109.0)</f>
        <v>109</v>
      </c>
      <c r="H237" s="127" t="str">
        <f>IFERROR(__xludf.DUMMYFUNCTION("""COMPUTED_VALUE"""),"D/ST")</f>
        <v>D/ST</v>
      </c>
      <c r="I237" s="178">
        <f>IFERROR(__xludf.DUMMYFUNCTION("""COMPUTED_VALUE"""),10.0)</f>
        <v>10</v>
      </c>
    </row>
    <row r="238">
      <c r="A238" s="125">
        <f>IFERROR(__xludf.DUMMYFUNCTION("""COMPUTED_VALUE"""),57.0)</f>
        <v>57</v>
      </c>
      <c r="B238" s="125">
        <f>IFERROR(__xludf.DUMMYFUNCTION("""COMPUTED_VALUE"""),57.0)</f>
        <v>57</v>
      </c>
      <c r="C238" s="125">
        <f>IFERROR(__xludf.DUMMYFUNCTION("""COMPUTED_VALUE"""),57.0)</f>
        <v>57</v>
      </c>
      <c r="D238" s="125">
        <f>IFERROR(__xludf.DUMMYFUNCTION("""COMPUTED_VALUE"""),57.0)</f>
        <v>57</v>
      </c>
      <c r="E238" s="178">
        <f>IFERROR(__xludf.DUMMYFUNCTION("""COMPUTED_VALUE"""),57.0)</f>
        <v>57</v>
      </c>
      <c r="F238" s="127" t="str">
        <f>IFERROR(__xludf.DUMMYFUNCTION("""COMPUTED_VALUE"""),"Bhayshul Tuten – JAX")</f>
        <v>Bhayshul Tuten – JAX</v>
      </c>
      <c r="G238" s="127">
        <f>IFERROR(__xludf.DUMMYFUNCTION("""COMPUTED_VALUE"""),117.0)</f>
        <v>117</v>
      </c>
      <c r="H238" s="127" t="str">
        <f>IFERROR(__xludf.DUMMYFUNCTION("""COMPUTED_VALUE"""),"RB")</f>
        <v>RB</v>
      </c>
      <c r="I238" s="178">
        <f>IFERROR(__xludf.DUMMYFUNCTION("""COMPUTED_VALUE"""),8.0)</f>
        <v>8</v>
      </c>
    </row>
    <row r="239">
      <c r="A239" s="125">
        <f>IFERROR(__xludf.DUMMYFUNCTION("""COMPUTED_VALUE"""),57.0)</f>
        <v>57</v>
      </c>
      <c r="B239" s="125">
        <f>IFERROR(__xludf.DUMMYFUNCTION("""COMPUTED_VALUE"""),57.0)</f>
        <v>57</v>
      </c>
      <c r="C239" s="125">
        <f>IFERROR(__xludf.DUMMYFUNCTION("""COMPUTED_VALUE"""),57.0)</f>
        <v>57</v>
      </c>
      <c r="D239" s="125">
        <f>IFERROR(__xludf.DUMMYFUNCTION("""COMPUTED_VALUE"""),57.0)</f>
        <v>57</v>
      </c>
      <c r="E239" s="178">
        <f>IFERROR(__xludf.DUMMYFUNCTION("""COMPUTED_VALUE"""),57.0)</f>
        <v>57</v>
      </c>
      <c r="F239" s="127" t="str">
        <f>IFERROR(__xludf.DUMMYFUNCTION("""COMPUTED_VALUE"""),"Emeka Egbuka – TB")</f>
        <v>Emeka Egbuka – TB</v>
      </c>
      <c r="G239" s="127">
        <f>IFERROR(__xludf.DUMMYFUNCTION("""COMPUTED_VALUE"""),89.3)</f>
        <v>89.3</v>
      </c>
      <c r="H239" s="127" t="str">
        <f>IFERROR(__xludf.DUMMYFUNCTION("""COMPUTED_VALUE"""),"WR")</f>
        <v>WR</v>
      </c>
      <c r="I239" s="178">
        <f>IFERROR(__xludf.DUMMYFUNCTION("""COMPUTED_VALUE"""),9.0)</f>
        <v>9</v>
      </c>
    </row>
    <row r="240">
      <c r="A240" s="125">
        <f>IFERROR(__xludf.DUMMYFUNCTION("""COMPUTED_VALUE"""),57.0)</f>
        <v>57</v>
      </c>
      <c r="B240" s="125">
        <f>IFERROR(__xludf.DUMMYFUNCTION("""COMPUTED_VALUE"""),57.0)</f>
        <v>57</v>
      </c>
      <c r="C240" s="125">
        <f>IFERROR(__xludf.DUMMYFUNCTION("""COMPUTED_VALUE"""),57.0)</f>
        <v>57</v>
      </c>
      <c r="D240" s="125">
        <f>IFERROR(__xludf.DUMMYFUNCTION("""COMPUTED_VALUE"""),57.0)</f>
        <v>57</v>
      </c>
      <c r="E240" s="178">
        <f>IFERROR(__xludf.DUMMYFUNCTION("""COMPUTED_VALUE"""),57.0)</f>
        <v>57</v>
      </c>
      <c r="F240" s="127" t="str">
        <f>IFERROR(__xludf.DUMMYFUNCTION("""COMPUTED_VALUE"""),"Atlanta Falcons – ATL")</f>
        <v>Atlanta Falcons – ATL</v>
      </c>
      <c r="G240" s="127">
        <f>IFERROR(__xludf.DUMMYFUNCTION("""COMPUTED_VALUE"""),108.0)</f>
        <v>108</v>
      </c>
      <c r="H240" s="127" t="str">
        <f>IFERROR(__xludf.DUMMYFUNCTION("""COMPUTED_VALUE"""),"D/ST")</f>
        <v>D/ST</v>
      </c>
      <c r="I240" s="178">
        <f>IFERROR(__xludf.DUMMYFUNCTION("""COMPUTED_VALUE"""),5.0)</f>
        <v>5</v>
      </c>
    </row>
    <row r="241">
      <c r="A241" s="125">
        <f>IFERROR(__xludf.DUMMYFUNCTION("""COMPUTED_VALUE"""),58.0)</f>
        <v>58</v>
      </c>
      <c r="B241" s="125">
        <f>IFERROR(__xludf.DUMMYFUNCTION("""COMPUTED_VALUE"""),58.0)</f>
        <v>58</v>
      </c>
      <c r="C241" s="125">
        <f>IFERROR(__xludf.DUMMYFUNCTION("""COMPUTED_VALUE"""),58.0)</f>
        <v>58</v>
      </c>
      <c r="D241" s="125">
        <f>IFERROR(__xludf.DUMMYFUNCTION("""COMPUTED_VALUE"""),58.0)</f>
        <v>58</v>
      </c>
      <c r="E241" s="178">
        <f>IFERROR(__xludf.DUMMYFUNCTION("""COMPUTED_VALUE"""),58.0)</f>
        <v>58</v>
      </c>
      <c r="F241" s="127" t="str">
        <f>IFERROR(__xludf.DUMMYFUNCTION("""COMPUTED_VALUE"""),"Kendre Miller – NO")</f>
        <v>Kendre Miller – NO</v>
      </c>
      <c r="G241" s="127">
        <f>IFERROR(__xludf.DUMMYFUNCTION("""COMPUTED_VALUE"""),116.0)</f>
        <v>116</v>
      </c>
      <c r="H241" s="127" t="str">
        <f>IFERROR(__xludf.DUMMYFUNCTION("""COMPUTED_VALUE"""),"RB")</f>
        <v>RB</v>
      </c>
      <c r="I241" s="178">
        <f>IFERROR(__xludf.DUMMYFUNCTION("""COMPUTED_VALUE"""),11.0)</f>
        <v>11</v>
      </c>
    </row>
    <row r="242">
      <c r="A242" s="125">
        <f>IFERROR(__xludf.DUMMYFUNCTION("""COMPUTED_VALUE"""),58.0)</f>
        <v>58</v>
      </c>
      <c r="B242" s="125">
        <f>IFERROR(__xludf.DUMMYFUNCTION("""COMPUTED_VALUE"""),58.0)</f>
        <v>58</v>
      </c>
      <c r="C242" s="125">
        <f>IFERROR(__xludf.DUMMYFUNCTION("""COMPUTED_VALUE"""),58.0)</f>
        <v>58</v>
      </c>
      <c r="D242" s="125">
        <f>IFERROR(__xludf.DUMMYFUNCTION("""COMPUTED_VALUE"""),58.0)</f>
        <v>58</v>
      </c>
      <c r="E242" s="178">
        <f>IFERROR(__xludf.DUMMYFUNCTION("""COMPUTED_VALUE"""),58.0)</f>
        <v>58</v>
      </c>
      <c r="F242" s="127" t="str">
        <f>IFERROR(__xludf.DUMMYFUNCTION("""COMPUTED_VALUE"""),"Jayden Higgins – HOU")</f>
        <v>Jayden Higgins – HOU</v>
      </c>
      <c r="G242" s="127">
        <f>IFERROR(__xludf.DUMMYFUNCTION("""COMPUTED_VALUE"""),86.2)</f>
        <v>86.2</v>
      </c>
      <c r="H242" s="127" t="str">
        <f>IFERROR(__xludf.DUMMYFUNCTION("""COMPUTED_VALUE"""),"WR")</f>
        <v>WR</v>
      </c>
      <c r="I242" s="178">
        <f>IFERROR(__xludf.DUMMYFUNCTION("""COMPUTED_VALUE"""),6.0)</f>
        <v>6</v>
      </c>
    </row>
    <row r="243">
      <c r="A243" s="125">
        <f>IFERROR(__xludf.DUMMYFUNCTION("""COMPUTED_VALUE"""),58.0)</f>
        <v>58</v>
      </c>
      <c r="B243" s="125">
        <f>IFERROR(__xludf.DUMMYFUNCTION("""COMPUTED_VALUE"""),58.0)</f>
        <v>58</v>
      </c>
      <c r="C243" s="125">
        <f>IFERROR(__xludf.DUMMYFUNCTION("""COMPUTED_VALUE"""),58.0)</f>
        <v>58</v>
      </c>
      <c r="D243" s="125">
        <f>IFERROR(__xludf.DUMMYFUNCTION("""COMPUTED_VALUE"""),58.0)</f>
        <v>58</v>
      </c>
      <c r="E243" s="178">
        <f>IFERROR(__xludf.DUMMYFUNCTION("""COMPUTED_VALUE"""),58.0)</f>
        <v>58</v>
      </c>
      <c r="F243" s="127" t="str">
        <f>IFERROR(__xludf.DUMMYFUNCTION("""COMPUTED_VALUE"""),"New Orleans Saints – NO")</f>
        <v>New Orleans Saints – NO</v>
      </c>
      <c r="G243" s="127">
        <f>IFERROR(__xludf.DUMMYFUNCTION("""COMPUTED_VALUE"""),107.0)</f>
        <v>107</v>
      </c>
      <c r="H243" s="127" t="str">
        <f>IFERROR(__xludf.DUMMYFUNCTION("""COMPUTED_VALUE"""),"D/ST")</f>
        <v>D/ST</v>
      </c>
      <c r="I243" s="178">
        <f>IFERROR(__xludf.DUMMYFUNCTION("""COMPUTED_VALUE"""),11.0)</f>
        <v>11</v>
      </c>
    </row>
    <row r="244">
      <c r="A244" s="125">
        <f>IFERROR(__xludf.DUMMYFUNCTION("""COMPUTED_VALUE"""),59.0)</f>
        <v>59</v>
      </c>
      <c r="B244" s="125">
        <f>IFERROR(__xludf.DUMMYFUNCTION("""COMPUTED_VALUE"""),59.0)</f>
        <v>59</v>
      </c>
      <c r="C244" s="125">
        <f>IFERROR(__xludf.DUMMYFUNCTION("""COMPUTED_VALUE"""),59.0)</f>
        <v>59</v>
      </c>
      <c r="D244" s="125">
        <f>IFERROR(__xludf.DUMMYFUNCTION("""COMPUTED_VALUE"""),59.0)</f>
        <v>59</v>
      </c>
      <c r="E244" s="178">
        <f>IFERROR(__xludf.DUMMYFUNCTION("""COMPUTED_VALUE"""),59.0)</f>
        <v>59</v>
      </c>
      <c r="F244" s="127" t="str">
        <f>IFERROR(__xludf.DUMMYFUNCTION("""COMPUTED_VALUE"""),"Miles Sanders – DAL")</f>
        <v>Miles Sanders – DAL</v>
      </c>
      <c r="G244" s="127">
        <f>IFERROR(__xludf.DUMMYFUNCTION("""COMPUTED_VALUE"""),115.0)</f>
        <v>115</v>
      </c>
      <c r="H244" s="127" t="str">
        <f>IFERROR(__xludf.DUMMYFUNCTION("""COMPUTED_VALUE"""),"RB")</f>
        <v>RB</v>
      </c>
      <c r="I244" s="178">
        <f>IFERROR(__xludf.DUMMYFUNCTION("""COMPUTED_VALUE"""),10.0)</f>
        <v>10</v>
      </c>
    </row>
    <row r="245">
      <c r="A245" s="125">
        <f>IFERROR(__xludf.DUMMYFUNCTION("""COMPUTED_VALUE"""),59.0)</f>
        <v>59</v>
      </c>
      <c r="B245" s="125">
        <f>IFERROR(__xludf.DUMMYFUNCTION("""COMPUTED_VALUE"""),59.0)</f>
        <v>59</v>
      </c>
      <c r="C245" s="125">
        <f>IFERROR(__xludf.DUMMYFUNCTION("""COMPUTED_VALUE"""),59.0)</f>
        <v>59</v>
      </c>
      <c r="D245" s="125">
        <f>IFERROR(__xludf.DUMMYFUNCTION("""COMPUTED_VALUE"""),59.0)</f>
        <v>59</v>
      </c>
      <c r="E245" s="178">
        <f>IFERROR(__xludf.DUMMYFUNCTION("""COMPUTED_VALUE"""),59.0)</f>
        <v>59</v>
      </c>
      <c r="F245" s="127" t="str">
        <f>IFERROR(__xludf.DUMMYFUNCTION("""COMPUTED_VALUE"""),"Luther Burden III – CHI")</f>
        <v>Luther Burden III – CHI</v>
      </c>
      <c r="G245" s="127">
        <f>IFERROR(__xludf.DUMMYFUNCTION("""COMPUTED_VALUE"""),79.9)</f>
        <v>79.9</v>
      </c>
      <c r="H245" s="127" t="str">
        <f>IFERROR(__xludf.DUMMYFUNCTION("""COMPUTED_VALUE"""),"WR")</f>
        <v>WR</v>
      </c>
      <c r="I245" s="178">
        <f>IFERROR(__xludf.DUMMYFUNCTION("""COMPUTED_VALUE"""),5.0)</f>
        <v>5</v>
      </c>
    </row>
    <row r="246">
      <c r="A246" s="125">
        <f>IFERROR(__xludf.DUMMYFUNCTION("""COMPUTED_VALUE"""),59.0)</f>
        <v>59</v>
      </c>
      <c r="B246" s="125">
        <f>IFERROR(__xludf.DUMMYFUNCTION("""COMPUTED_VALUE"""),59.0)</f>
        <v>59</v>
      </c>
      <c r="C246" s="125">
        <f>IFERROR(__xludf.DUMMYFUNCTION("""COMPUTED_VALUE"""),59.0)</f>
        <v>59</v>
      </c>
      <c r="D246" s="125">
        <f>IFERROR(__xludf.DUMMYFUNCTION("""COMPUTED_VALUE"""),59.0)</f>
        <v>59</v>
      </c>
      <c r="E246" s="178">
        <f>IFERROR(__xludf.DUMMYFUNCTION("""COMPUTED_VALUE"""),59.0)</f>
        <v>59</v>
      </c>
      <c r="F246" s="127" t="str">
        <f>IFERROR(__xludf.DUMMYFUNCTION("""COMPUTED_VALUE"""),"Indianapolis Colts – IND")</f>
        <v>Indianapolis Colts – IND</v>
      </c>
      <c r="G246" s="127">
        <f>IFERROR(__xludf.DUMMYFUNCTION("""COMPUTED_VALUE"""),106.0)</f>
        <v>106</v>
      </c>
      <c r="H246" s="127" t="str">
        <f>IFERROR(__xludf.DUMMYFUNCTION("""COMPUTED_VALUE"""),"D/ST")</f>
        <v>D/ST</v>
      </c>
      <c r="I246" s="178">
        <f>IFERROR(__xludf.DUMMYFUNCTION("""COMPUTED_VALUE"""),11.0)</f>
        <v>11</v>
      </c>
    </row>
    <row r="247">
      <c r="A247" s="125">
        <f>IFERROR(__xludf.DUMMYFUNCTION("""COMPUTED_VALUE"""),60.0)</f>
        <v>60</v>
      </c>
      <c r="B247" s="125">
        <f>IFERROR(__xludf.DUMMYFUNCTION("""COMPUTED_VALUE"""),60.0)</f>
        <v>60</v>
      </c>
      <c r="C247" s="125">
        <f>IFERROR(__xludf.DUMMYFUNCTION("""COMPUTED_VALUE"""),60.0)</f>
        <v>60</v>
      </c>
      <c r="D247" s="125">
        <f>IFERROR(__xludf.DUMMYFUNCTION("""COMPUTED_VALUE"""),60.0)</f>
        <v>60</v>
      </c>
      <c r="E247" s="178">
        <f>IFERROR(__xludf.DUMMYFUNCTION("""COMPUTED_VALUE"""),60.0)</f>
        <v>60</v>
      </c>
      <c r="F247" s="127" t="str">
        <f>IFERROR(__xludf.DUMMYFUNCTION("""COMPUTED_VALUE"""),"Justice Hill – BAL")</f>
        <v>Justice Hill – BAL</v>
      </c>
      <c r="G247" s="127">
        <f>IFERROR(__xludf.DUMMYFUNCTION("""COMPUTED_VALUE"""),114.0)</f>
        <v>114</v>
      </c>
      <c r="H247" s="127" t="str">
        <f>IFERROR(__xludf.DUMMYFUNCTION("""COMPUTED_VALUE"""),"RB")</f>
        <v>RB</v>
      </c>
      <c r="I247" s="178">
        <f>IFERROR(__xludf.DUMMYFUNCTION("""COMPUTED_VALUE"""),7.0)</f>
        <v>7</v>
      </c>
    </row>
    <row r="248">
      <c r="A248" s="125">
        <f>IFERROR(__xludf.DUMMYFUNCTION("""COMPUTED_VALUE"""),60.0)</f>
        <v>60</v>
      </c>
      <c r="B248" s="125">
        <f>IFERROR(__xludf.DUMMYFUNCTION("""COMPUTED_VALUE"""),60.0)</f>
        <v>60</v>
      </c>
      <c r="C248" s="125">
        <f>IFERROR(__xludf.DUMMYFUNCTION("""COMPUTED_VALUE"""),60.0)</f>
        <v>60</v>
      </c>
      <c r="D248" s="125">
        <f>IFERROR(__xludf.DUMMYFUNCTION("""COMPUTED_VALUE"""),60.0)</f>
        <v>60</v>
      </c>
      <c r="E248" s="178">
        <f>IFERROR(__xludf.DUMMYFUNCTION("""COMPUTED_VALUE"""),60.0)</f>
        <v>60</v>
      </c>
      <c r="F248" s="127" t="str">
        <f>IFERROR(__xludf.DUMMYFUNCTION("""COMPUTED_VALUE"""),"Xavier Legette – CAR")</f>
        <v>Xavier Legette – CAR</v>
      </c>
      <c r="G248" s="127">
        <f>IFERROR(__xludf.DUMMYFUNCTION("""COMPUTED_VALUE"""),86.0)</f>
        <v>86</v>
      </c>
      <c r="H248" s="127" t="str">
        <f>IFERROR(__xludf.DUMMYFUNCTION("""COMPUTED_VALUE"""),"WR")</f>
        <v>WR</v>
      </c>
      <c r="I248" s="178">
        <f>IFERROR(__xludf.DUMMYFUNCTION("""COMPUTED_VALUE"""),14.0)</f>
        <v>14</v>
      </c>
    </row>
    <row r="249">
      <c r="A249" s="125">
        <f>IFERROR(__xludf.DUMMYFUNCTION("""COMPUTED_VALUE"""),60.0)</f>
        <v>60</v>
      </c>
      <c r="B249" s="125">
        <f>IFERROR(__xludf.DUMMYFUNCTION("""COMPUTED_VALUE"""),60.0)</f>
        <v>60</v>
      </c>
      <c r="C249" s="125">
        <f>IFERROR(__xludf.DUMMYFUNCTION("""COMPUTED_VALUE"""),60.0)</f>
        <v>60</v>
      </c>
      <c r="D249" s="125">
        <f>IFERROR(__xludf.DUMMYFUNCTION("""COMPUTED_VALUE"""),60.0)</f>
        <v>60</v>
      </c>
      <c r="E249" s="178">
        <f>IFERROR(__xludf.DUMMYFUNCTION("""COMPUTED_VALUE"""),60.0)</f>
        <v>60</v>
      </c>
      <c r="F249" s="127" t="str">
        <f>IFERROR(__xludf.DUMMYFUNCTION("""COMPUTED_VALUE"""),"Las Vegas Raiders – LV")</f>
        <v>Las Vegas Raiders – LV</v>
      </c>
      <c r="G249" s="127">
        <f>IFERROR(__xludf.DUMMYFUNCTION("""COMPUTED_VALUE"""),105.0)</f>
        <v>105</v>
      </c>
      <c r="H249" s="127" t="str">
        <f>IFERROR(__xludf.DUMMYFUNCTION("""COMPUTED_VALUE"""),"D/ST")</f>
        <v>D/ST</v>
      </c>
      <c r="I249" s="178">
        <f>IFERROR(__xludf.DUMMYFUNCTION("""COMPUTED_VALUE"""),8.0)</f>
        <v>8</v>
      </c>
    </row>
    <row r="250">
      <c r="A250" s="125">
        <f>IFERROR(__xludf.DUMMYFUNCTION("""COMPUTED_VALUE"""),61.0)</f>
        <v>61</v>
      </c>
      <c r="B250" s="125">
        <f>IFERROR(__xludf.DUMMYFUNCTION("""COMPUTED_VALUE"""),61.0)</f>
        <v>61</v>
      </c>
      <c r="C250" s="125">
        <f>IFERROR(__xludf.DUMMYFUNCTION("""COMPUTED_VALUE"""),61.0)</f>
        <v>61</v>
      </c>
      <c r="D250" s="125">
        <f>IFERROR(__xludf.DUMMYFUNCTION("""COMPUTED_VALUE"""),61.0)</f>
        <v>61</v>
      </c>
      <c r="E250" s="178">
        <f>IFERROR(__xludf.DUMMYFUNCTION("""COMPUTED_VALUE"""),61.0)</f>
        <v>61</v>
      </c>
      <c r="F250" s="127" t="str">
        <f>IFERROR(__xludf.DUMMYFUNCTION("""COMPUTED_VALUE"""),"Kareem Hunt – KC")</f>
        <v>Kareem Hunt – KC</v>
      </c>
      <c r="G250" s="127">
        <f>IFERROR(__xludf.DUMMYFUNCTION("""COMPUTED_VALUE"""),113.0)</f>
        <v>113</v>
      </c>
      <c r="H250" s="127" t="str">
        <f>IFERROR(__xludf.DUMMYFUNCTION("""COMPUTED_VALUE"""),"RB")</f>
        <v>RB</v>
      </c>
      <c r="I250" s="178">
        <f>IFERROR(__xludf.DUMMYFUNCTION("""COMPUTED_VALUE"""),10.0)</f>
        <v>10</v>
      </c>
    </row>
    <row r="251">
      <c r="A251" s="125">
        <f>IFERROR(__xludf.DUMMYFUNCTION("""COMPUTED_VALUE"""),61.0)</f>
        <v>61</v>
      </c>
      <c r="B251" s="125">
        <f>IFERROR(__xludf.DUMMYFUNCTION("""COMPUTED_VALUE"""),61.0)</f>
        <v>61</v>
      </c>
      <c r="C251" s="125">
        <f>IFERROR(__xludf.DUMMYFUNCTION("""COMPUTED_VALUE"""),61.0)</f>
        <v>61</v>
      </c>
      <c r="D251" s="125">
        <f>IFERROR(__xludf.DUMMYFUNCTION("""COMPUTED_VALUE"""),61.0)</f>
        <v>61</v>
      </c>
      <c r="E251" s="178">
        <f>IFERROR(__xludf.DUMMYFUNCTION("""COMPUTED_VALUE"""),61.0)</f>
        <v>61</v>
      </c>
      <c r="F251" s="127" t="str">
        <f>IFERROR(__xludf.DUMMYFUNCTION("""COMPUTED_VALUE"""),"Christian Kirk – HOU")</f>
        <v>Christian Kirk – HOU</v>
      </c>
      <c r="G251" s="127">
        <f>IFERROR(__xludf.DUMMYFUNCTION("""COMPUTED_VALUE"""),84.7)</f>
        <v>84.7</v>
      </c>
      <c r="H251" s="127" t="str">
        <f>IFERROR(__xludf.DUMMYFUNCTION("""COMPUTED_VALUE"""),"WR")</f>
        <v>WR</v>
      </c>
      <c r="I251" s="178">
        <f>IFERROR(__xludf.DUMMYFUNCTION("""COMPUTED_VALUE"""),6.0)</f>
        <v>6</v>
      </c>
    </row>
    <row r="252">
      <c r="A252" s="125">
        <f>IFERROR(__xludf.DUMMYFUNCTION("""COMPUTED_VALUE"""),61.0)</f>
        <v>61</v>
      </c>
      <c r="B252" s="125">
        <f>IFERROR(__xludf.DUMMYFUNCTION("""COMPUTED_VALUE"""),61.0)</f>
        <v>61</v>
      </c>
      <c r="C252" s="125">
        <f>IFERROR(__xludf.DUMMYFUNCTION("""COMPUTED_VALUE"""),61.0)</f>
        <v>61</v>
      </c>
      <c r="D252" s="125">
        <f>IFERROR(__xludf.DUMMYFUNCTION("""COMPUTED_VALUE"""),61.0)</f>
        <v>61</v>
      </c>
      <c r="E252" s="178">
        <f>IFERROR(__xludf.DUMMYFUNCTION("""COMPUTED_VALUE"""),61.0)</f>
        <v>61</v>
      </c>
      <c r="F252" s="127" t="str">
        <f>IFERROR(__xludf.DUMMYFUNCTION("""COMPUTED_VALUE"""),"Jacksonville Jaguars – JAC")</f>
        <v>Jacksonville Jaguars – JAC</v>
      </c>
      <c r="G252" s="127">
        <f>IFERROR(__xludf.DUMMYFUNCTION("""COMPUTED_VALUE"""),104.0)</f>
        <v>104</v>
      </c>
      <c r="H252" s="127" t="str">
        <f>IFERROR(__xludf.DUMMYFUNCTION("""COMPUTED_VALUE"""),"D/ST")</f>
        <v>D/ST</v>
      </c>
      <c r="I252" s="178">
        <f>IFERROR(__xludf.DUMMYFUNCTION("""COMPUTED_VALUE"""),8.0)</f>
        <v>8</v>
      </c>
    </row>
    <row r="253">
      <c r="A253" s="125">
        <f>IFERROR(__xludf.DUMMYFUNCTION("""COMPUTED_VALUE"""),62.0)</f>
        <v>62</v>
      </c>
      <c r="B253" s="125">
        <f>IFERROR(__xludf.DUMMYFUNCTION("""COMPUTED_VALUE"""),62.0)</f>
        <v>62</v>
      </c>
      <c r="C253" s="125">
        <f>IFERROR(__xludf.DUMMYFUNCTION("""COMPUTED_VALUE"""),62.0)</f>
        <v>62</v>
      </c>
      <c r="D253" s="125">
        <f>IFERROR(__xludf.DUMMYFUNCTION("""COMPUTED_VALUE"""),62.0)</f>
        <v>62</v>
      </c>
      <c r="E253" s="178">
        <f>IFERROR(__xludf.DUMMYFUNCTION("""COMPUTED_VALUE"""),62.0)</f>
        <v>62</v>
      </c>
      <c r="F253" s="127" t="str">
        <f>IFERROR(__xludf.DUMMYFUNCTION("""COMPUTED_VALUE"""),"MarShawn Lloyd – GB")</f>
        <v>MarShawn Lloyd – GB</v>
      </c>
      <c r="G253" s="127">
        <f>IFERROR(__xludf.DUMMYFUNCTION("""COMPUTED_VALUE"""),112.0)</f>
        <v>112</v>
      </c>
      <c r="H253" s="127" t="str">
        <f>IFERROR(__xludf.DUMMYFUNCTION("""COMPUTED_VALUE"""),"RB")</f>
        <v>RB</v>
      </c>
      <c r="I253" s="178">
        <f>IFERROR(__xludf.DUMMYFUNCTION("""COMPUTED_VALUE"""),5.0)</f>
        <v>5</v>
      </c>
    </row>
    <row r="254">
      <c r="A254" s="125">
        <f>IFERROR(__xludf.DUMMYFUNCTION("""COMPUTED_VALUE"""),62.0)</f>
        <v>62</v>
      </c>
      <c r="B254" s="125">
        <f>IFERROR(__xludf.DUMMYFUNCTION("""COMPUTED_VALUE"""),62.0)</f>
        <v>62</v>
      </c>
      <c r="C254" s="125">
        <f>IFERROR(__xludf.DUMMYFUNCTION("""COMPUTED_VALUE"""),62.0)</f>
        <v>62</v>
      </c>
      <c r="D254" s="125">
        <f>IFERROR(__xludf.DUMMYFUNCTION("""COMPUTED_VALUE"""),62.0)</f>
        <v>62</v>
      </c>
      <c r="E254" s="178">
        <f>IFERROR(__xludf.DUMMYFUNCTION("""COMPUTED_VALUE"""),62.0)</f>
        <v>62</v>
      </c>
      <c r="F254" s="127" t="str">
        <f>IFERROR(__xludf.DUMMYFUNCTION("""COMPUTED_VALUE"""),"Adam Thielen – CAR")</f>
        <v>Adam Thielen – CAR</v>
      </c>
      <c r="G254" s="127">
        <f>IFERROR(__xludf.DUMMYFUNCTION("""COMPUTED_VALUE"""),89.0)</f>
        <v>89</v>
      </c>
      <c r="H254" s="127" t="str">
        <f>IFERROR(__xludf.DUMMYFUNCTION("""COMPUTED_VALUE"""),"WR")</f>
        <v>WR</v>
      </c>
      <c r="I254" s="178">
        <f>IFERROR(__xludf.DUMMYFUNCTION("""COMPUTED_VALUE"""),14.0)</f>
        <v>14</v>
      </c>
    </row>
    <row r="255">
      <c r="A255" s="125">
        <f>IFERROR(__xludf.DUMMYFUNCTION("""COMPUTED_VALUE"""),62.0)</f>
        <v>62</v>
      </c>
      <c r="B255" s="125">
        <f>IFERROR(__xludf.DUMMYFUNCTION("""COMPUTED_VALUE"""),62.0)</f>
        <v>62</v>
      </c>
      <c r="C255" s="125">
        <f>IFERROR(__xludf.DUMMYFUNCTION("""COMPUTED_VALUE"""),62.0)</f>
        <v>62</v>
      </c>
      <c r="D255" s="125">
        <f>IFERROR(__xludf.DUMMYFUNCTION("""COMPUTED_VALUE"""),62.0)</f>
        <v>62</v>
      </c>
      <c r="E255" s="178">
        <f>IFERROR(__xludf.DUMMYFUNCTION("""COMPUTED_VALUE"""),62.0)</f>
        <v>62</v>
      </c>
      <c r="F255" s="127" t="str">
        <f>IFERROR(__xludf.DUMMYFUNCTION("""COMPUTED_VALUE"""),"Tennessee Titans – TEN")</f>
        <v>Tennessee Titans – TEN</v>
      </c>
      <c r="G255" s="127">
        <f>IFERROR(__xludf.DUMMYFUNCTION("""COMPUTED_VALUE"""),103.0)</f>
        <v>103</v>
      </c>
      <c r="H255" s="127" t="str">
        <f>IFERROR(__xludf.DUMMYFUNCTION("""COMPUTED_VALUE"""),"D/ST")</f>
        <v>D/ST</v>
      </c>
      <c r="I255" s="178">
        <f>IFERROR(__xludf.DUMMYFUNCTION("""COMPUTED_VALUE"""),10.0)</f>
        <v>10</v>
      </c>
    </row>
    <row r="256">
      <c r="A256" s="125">
        <f>IFERROR(__xludf.DUMMYFUNCTION("""COMPUTED_VALUE"""),63.0)</f>
        <v>63</v>
      </c>
      <c r="B256" s="125">
        <f>IFERROR(__xludf.DUMMYFUNCTION("""COMPUTED_VALUE"""),63.0)</f>
        <v>63</v>
      </c>
      <c r="C256" s="125">
        <f>IFERROR(__xludf.DUMMYFUNCTION("""COMPUTED_VALUE"""),63.0)</f>
        <v>63</v>
      </c>
      <c r="D256" s="125">
        <f>IFERROR(__xludf.DUMMYFUNCTION("""COMPUTED_VALUE"""),63.0)</f>
        <v>63</v>
      </c>
      <c r="E256" s="178">
        <f>IFERROR(__xludf.DUMMYFUNCTION("""COMPUTED_VALUE"""),63.0)</f>
        <v>63</v>
      </c>
      <c r="F256" s="127" t="str">
        <f>IFERROR(__xludf.DUMMYFUNCTION("""COMPUTED_VALUE"""),"Ty Johnson – BUF")</f>
        <v>Ty Johnson – BUF</v>
      </c>
      <c r="G256" s="127">
        <f>IFERROR(__xludf.DUMMYFUNCTION("""COMPUTED_VALUE"""),111.0)</f>
        <v>111</v>
      </c>
      <c r="H256" s="127" t="str">
        <f>IFERROR(__xludf.DUMMYFUNCTION("""COMPUTED_VALUE"""),"RB")</f>
        <v>RB</v>
      </c>
      <c r="I256" s="178">
        <f>IFERROR(__xludf.DUMMYFUNCTION("""COMPUTED_VALUE"""),7.0)</f>
        <v>7</v>
      </c>
    </row>
    <row r="257">
      <c r="A257" s="125">
        <f>IFERROR(__xludf.DUMMYFUNCTION("""COMPUTED_VALUE"""),63.0)</f>
        <v>63</v>
      </c>
      <c r="B257" s="125">
        <f>IFERROR(__xludf.DUMMYFUNCTION("""COMPUTED_VALUE"""),63.0)</f>
        <v>63</v>
      </c>
      <c r="C257" s="125">
        <f>IFERROR(__xludf.DUMMYFUNCTION("""COMPUTED_VALUE"""),63.0)</f>
        <v>63</v>
      </c>
      <c r="D257" s="125">
        <f>IFERROR(__xludf.DUMMYFUNCTION("""COMPUTED_VALUE"""),63.0)</f>
        <v>63</v>
      </c>
      <c r="E257" s="178">
        <f>IFERROR(__xludf.DUMMYFUNCTION("""COMPUTED_VALUE"""),63.0)</f>
        <v>63</v>
      </c>
      <c r="F257" s="127" t="str">
        <f>IFERROR(__xludf.DUMMYFUNCTION("""COMPUTED_VALUE"""),"Jack Bech – LV")</f>
        <v>Jack Bech – LV</v>
      </c>
      <c r="G257" s="127">
        <f>IFERROR(__xludf.DUMMYFUNCTION("""COMPUTED_VALUE"""),74.1)</f>
        <v>74.1</v>
      </c>
      <c r="H257" s="127" t="str">
        <f>IFERROR(__xludf.DUMMYFUNCTION("""COMPUTED_VALUE"""),"WR")</f>
        <v>WR</v>
      </c>
      <c r="I257" s="178">
        <f>IFERROR(__xludf.DUMMYFUNCTION("""COMPUTED_VALUE"""),8.0)</f>
        <v>8</v>
      </c>
    </row>
    <row r="258">
      <c r="A258" s="125">
        <f>IFERROR(__xludf.DUMMYFUNCTION("""COMPUTED_VALUE"""),63.0)</f>
        <v>63</v>
      </c>
      <c r="B258" s="125">
        <f>IFERROR(__xludf.DUMMYFUNCTION("""COMPUTED_VALUE"""),63.0)</f>
        <v>63</v>
      </c>
      <c r="C258" s="125">
        <f>IFERROR(__xludf.DUMMYFUNCTION("""COMPUTED_VALUE"""),63.0)</f>
        <v>63</v>
      </c>
      <c r="D258" s="125">
        <f>IFERROR(__xludf.DUMMYFUNCTION("""COMPUTED_VALUE"""),63.0)</f>
        <v>63</v>
      </c>
      <c r="E258" s="178">
        <f>IFERROR(__xludf.DUMMYFUNCTION("""COMPUTED_VALUE"""),63.0)</f>
        <v>63</v>
      </c>
      <c r="F258" s="127" t="str">
        <f>IFERROR(__xludf.DUMMYFUNCTION("""COMPUTED_VALUE"""),"Carolina Panthers – CAR")</f>
        <v>Carolina Panthers – CAR</v>
      </c>
      <c r="G258" s="127">
        <f>IFERROR(__xludf.DUMMYFUNCTION("""COMPUTED_VALUE"""),102.0)</f>
        <v>102</v>
      </c>
      <c r="H258" s="127" t="str">
        <f>IFERROR(__xludf.DUMMYFUNCTION("""COMPUTED_VALUE"""),"D/ST")</f>
        <v>D/ST</v>
      </c>
      <c r="I258" s="178">
        <f>IFERROR(__xludf.DUMMYFUNCTION("""COMPUTED_VALUE"""),14.0)</f>
        <v>14</v>
      </c>
    </row>
    <row r="259">
      <c r="A259" s="125">
        <f>IFERROR(__xludf.DUMMYFUNCTION("""COMPUTED_VALUE"""),64.0)</f>
        <v>64</v>
      </c>
      <c r="B259" s="125">
        <f>IFERROR(__xludf.DUMMYFUNCTION("""COMPUTED_VALUE"""),64.0)</f>
        <v>64</v>
      </c>
      <c r="C259" s="125">
        <f>IFERROR(__xludf.DUMMYFUNCTION("""COMPUTED_VALUE"""),64.0)</f>
        <v>64</v>
      </c>
      <c r="D259" s="125">
        <f>IFERROR(__xludf.DUMMYFUNCTION("""COMPUTED_VALUE"""),64.0)</f>
        <v>64</v>
      </c>
      <c r="E259" s="178">
        <f>IFERROR(__xludf.DUMMYFUNCTION("""COMPUTED_VALUE"""),64.0)</f>
        <v>64</v>
      </c>
      <c r="F259" s="127" t="str">
        <f>IFERROR(__xludf.DUMMYFUNCTION("""COMPUTED_VALUE"""),"Raheem Mostert – LV")</f>
        <v>Raheem Mostert – LV</v>
      </c>
      <c r="G259" s="127">
        <f>IFERROR(__xludf.DUMMYFUNCTION("""COMPUTED_VALUE"""),110.0)</f>
        <v>110</v>
      </c>
      <c r="H259" s="127" t="str">
        <f>IFERROR(__xludf.DUMMYFUNCTION("""COMPUTED_VALUE"""),"RB")</f>
        <v>RB</v>
      </c>
      <c r="I259" s="178">
        <f>IFERROR(__xludf.DUMMYFUNCTION("""COMPUTED_VALUE"""),8.0)</f>
        <v>8</v>
      </c>
    </row>
    <row r="260">
      <c r="A260" s="125">
        <f>IFERROR(__xludf.DUMMYFUNCTION("""COMPUTED_VALUE"""),64.0)</f>
        <v>64</v>
      </c>
      <c r="B260" s="125">
        <f>IFERROR(__xludf.DUMMYFUNCTION("""COMPUTED_VALUE"""),64.0)</f>
        <v>64</v>
      </c>
      <c r="C260" s="125">
        <f>IFERROR(__xludf.DUMMYFUNCTION("""COMPUTED_VALUE"""),64.0)</f>
        <v>64</v>
      </c>
      <c r="D260" s="125">
        <f>IFERROR(__xludf.DUMMYFUNCTION("""COMPUTED_VALUE"""),64.0)</f>
        <v>64</v>
      </c>
      <c r="E260" s="178">
        <f>IFERROR(__xludf.DUMMYFUNCTION("""COMPUTED_VALUE"""),64.0)</f>
        <v>64</v>
      </c>
      <c r="F260" s="127" t="str">
        <f>IFERROR(__xludf.DUMMYFUNCTION("""COMPUTED_VALUE"""),"Jalen McMillan – TB")</f>
        <v>Jalen McMillan – TB</v>
      </c>
      <c r="G260" s="127">
        <f>IFERROR(__xludf.DUMMYFUNCTION("""COMPUTED_VALUE"""),75.0)</f>
        <v>75</v>
      </c>
      <c r="H260" s="127" t="str">
        <f>IFERROR(__xludf.DUMMYFUNCTION("""COMPUTED_VALUE"""),"WR")</f>
        <v>WR</v>
      </c>
      <c r="I260" s="178">
        <f>IFERROR(__xludf.DUMMYFUNCTION("""COMPUTED_VALUE"""),9.0)</f>
        <v>9</v>
      </c>
    </row>
    <row r="261">
      <c r="A261" s="125">
        <f>IFERROR(__xludf.DUMMYFUNCTION("""COMPUTED_VALUE"""),65.0)</f>
        <v>65</v>
      </c>
      <c r="B261" s="125">
        <f>IFERROR(__xludf.DUMMYFUNCTION("""COMPUTED_VALUE"""),65.0)</f>
        <v>65</v>
      </c>
      <c r="C261" s="125">
        <f>IFERROR(__xludf.DUMMYFUNCTION("""COMPUTED_VALUE"""),65.0)</f>
        <v>65</v>
      </c>
      <c r="D261" s="125">
        <f>IFERROR(__xludf.DUMMYFUNCTION("""COMPUTED_VALUE"""),65.0)</f>
        <v>65</v>
      </c>
      <c r="E261" s="178">
        <f>IFERROR(__xludf.DUMMYFUNCTION("""COMPUTED_VALUE"""),65.0)</f>
        <v>65</v>
      </c>
      <c r="F261" s="127" t="str">
        <f>IFERROR(__xludf.DUMMYFUNCTION("""COMPUTED_VALUE"""),"Samaje Perine – CIN")</f>
        <v>Samaje Perine – CIN</v>
      </c>
      <c r="G261" s="127">
        <f>IFERROR(__xludf.DUMMYFUNCTION("""COMPUTED_VALUE"""),109.0)</f>
        <v>109</v>
      </c>
      <c r="H261" s="127" t="str">
        <f>IFERROR(__xludf.DUMMYFUNCTION("""COMPUTED_VALUE"""),"RB")</f>
        <v>RB</v>
      </c>
      <c r="I261" s="178">
        <f>IFERROR(__xludf.DUMMYFUNCTION("""COMPUTED_VALUE"""),10.0)</f>
        <v>10</v>
      </c>
    </row>
    <row r="262">
      <c r="A262" s="125">
        <f>IFERROR(__xludf.DUMMYFUNCTION("""COMPUTED_VALUE"""),65.0)</f>
        <v>65</v>
      </c>
      <c r="B262" s="125">
        <f>IFERROR(__xludf.DUMMYFUNCTION("""COMPUTED_VALUE"""),65.0)</f>
        <v>65</v>
      </c>
      <c r="C262" s="125">
        <f>IFERROR(__xludf.DUMMYFUNCTION("""COMPUTED_VALUE"""),65.0)</f>
        <v>65</v>
      </c>
      <c r="D262" s="125">
        <f>IFERROR(__xludf.DUMMYFUNCTION("""COMPUTED_VALUE"""),65.0)</f>
        <v>65</v>
      </c>
      <c r="E262" s="178">
        <f>IFERROR(__xludf.DUMMYFUNCTION("""COMPUTED_VALUE"""),65.0)</f>
        <v>65</v>
      </c>
      <c r="F262" s="127" t="str">
        <f>IFERROR(__xludf.DUMMYFUNCTION("""COMPUTED_VALUE"""),"Quentin Johnston – LAC")</f>
        <v>Quentin Johnston – LAC</v>
      </c>
      <c r="G262" s="127">
        <f>IFERROR(__xludf.DUMMYFUNCTION("""COMPUTED_VALUE"""),79.9)</f>
        <v>79.9</v>
      </c>
      <c r="H262" s="127" t="str">
        <f>IFERROR(__xludf.DUMMYFUNCTION("""COMPUTED_VALUE"""),"WR")</f>
        <v>WR</v>
      </c>
      <c r="I262" s="178">
        <f>IFERROR(__xludf.DUMMYFUNCTION("""COMPUTED_VALUE"""),12.0)</f>
        <v>12</v>
      </c>
    </row>
    <row r="263">
      <c r="A263" s="125">
        <f>IFERROR(__xludf.DUMMYFUNCTION("""COMPUTED_VALUE"""),66.0)</f>
        <v>66</v>
      </c>
      <c r="B263" s="125">
        <f>IFERROR(__xludf.DUMMYFUNCTION("""COMPUTED_VALUE"""),66.0)</f>
        <v>66</v>
      </c>
      <c r="C263" s="125">
        <f>IFERROR(__xludf.DUMMYFUNCTION("""COMPUTED_VALUE"""),66.0)</f>
        <v>66</v>
      </c>
      <c r="D263" s="125">
        <f>IFERROR(__xludf.DUMMYFUNCTION("""COMPUTED_VALUE"""),66.0)</f>
        <v>66</v>
      </c>
      <c r="E263" s="178">
        <f>IFERROR(__xludf.DUMMYFUNCTION("""COMPUTED_VALUE"""),66.0)</f>
        <v>66</v>
      </c>
      <c r="F263" s="127" t="str">
        <f>IFERROR(__xludf.DUMMYFUNCTION("""COMPUTED_VALUE"""),"Keaton Mitchell – BAL")</f>
        <v>Keaton Mitchell – BAL</v>
      </c>
      <c r="G263" s="127">
        <f>IFERROR(__xludf.DUMMYFUNCTION("""COMPUTED_VALUE"""),108.0)</f>
        <v>108</v>
      </c>
      <c r="H263" s="127" t="str">
        <f>IFERROR(__xludf.DUMMYFUNCTION("""COMPUTED_VALUE"""),"RB")</f>
        <v>RB</v>
      </c>
      <c r="I263" s="178">
        <f>IFERROR(__xludf.DUMMYFUNCTION("""COMPUTED_VALUE"""),7.0)</f>
        <v>7</v>
      </c>
    </row>
    <row r="264">
      <c r="A264" s="125">
        <f>IFERROR(__xludf.DUMMYFUNCTION("""COMPUTED_VALUE"""),66.0)</f>
        <v>66</v>
      </c>
      <c r="B264" s="125">
        <f>IFERROR(__xludf.DUMMYFUNCTION("""COMPUTED_VALUE"""),66.0)</f>
        <v>66</v>
      </c>
      <c r="C264" s="125">
        <f>IFERROR(__xludf.DUMMYFUNCTION("""COMPUTED_VALUE"""),66.0)</f>
        <v>66</v>
      </c>
      <c r="D264" s="125">
        <f>IFERROR(__xludf.DUMMYFUNCTION("""COMPUTED_VALUE"""),66.0)</f>
        <v>66</v>
      </c>
      <c r="E264" s="178">
        <f>IFERROR(__xludf.DUMMYFUNCTION("""COMPUTED_VALUE"""),66.0)</f>
        <v>66</v>
      </c>
      <c r="F264" s="127" t="str">
        <f>IFERROR(__xludf.DUMMYFUNCTION("""COMPUTED_VALUE"""),"Tyler Lockett – TEN")</f>
        <v>Tyler Lockett – TEN</v>
      </c>
      <c r="G264" s="127">
        <f>IFERROR(__xludf.DUMMYFUNCTION("""COMPUTED_VALUE"""),77.6)</f>
        <v>77.6</v>
      </c>
      <c r="H264" s="127" t="str">
        <f>IFERROR(__xludf.DUMMYFUNCTION("""COMPUTED_VALUE"""),"WR")</f>
        <v>WR</v>
      </c>
      <c r="I264" s="178">
        <f>IFERROR(__xludf.DUMMYFUNCTION("""COMPUTED_VALUE"""),10.0)</f>
        <v>10</v>
      </c>
    </row>
    <row r="265">
      <c r="A265" s="125">
        <f>IFERROR(__xludf.DUMMYFUNCTION("""COMPUTED_VALUE"""),67.0)</f>
        <v>67</v>
      </c>
      <c r="B265" s="125">
        <f>IFERROR(__xludf.DUMMYFUNCTION("""COMPUTED_VALUE"""),67.0)</f>
        <v>67</v>
      </c>
      <c r="C265" s="125">
        <f>IFERROR(__xludf.DUMMYFUNCTION("""COMPUTED_VALUE"""),67.0)</f>
        <v>67</v>
      </c>
      <c r="D265" s="125">
        <f>IFERROR(__xludf.DUMMYFUNCTION("""COMPUTED_VALUE"""),67.0)</f>
        <v>67</v>
      </c>
      <c r="E265" s="178">
        <f>IFERROR(__xludf.DUMMYFUNCTION("""COMPUTED_VALUE"""),67.0)</f>
        <v>67</v>
      </c>
      <c r="F265" s="127" t="str">
        <f>IFERROR(__xludf.DUMMYFUNCTION("""COMPUTED_VALUE"""),"Blake Corum – LAR")</f>
        <v>Blake Corum – LAR</v>
      </c>
      <c r="G265" s="127">
        <f>IFERROR(__xludf.DUMMYFUNCTION("""COMPUTED_VALUE"""),107.0)</f>
        <v>107</v>
      </c>
      <c r="H265" s="127" t="str">
        <f>IFERROR(__xludf.DUMMYFUNCTION("""COMPUTED_VALUE"""),"RB")</f>
        <v>RB</v>
      </c>
      <c r="I265" s="178">
        <f>IFERROR(__xludf.DUMMYFUNCTION("""COMPUTED_VALUE"""),8.0)</f>
        <v>8</v>
      </c>
    </row>
    <row r="266">
      <c r="A266" s="125">
        <f>IFERROR(__xludf.DUMMYFUNCTION("""COMPUTED_VALUE"""),67.0)</f>
        <v>67</v>
      </c>
      <c r="B266" s="125">
        <f>IFERROR(__xludf.DUMMYFUNCTION("""COMPUTED_VALUE"""),67.0)</f>
        <v>67</v>
      </c>
      <c r="C266" s="125">
        <f>IFERROR(__xludf.DUMMYFUNCTION("""COMPUTED_VALUE"""),67.0)</f>
        <v>67</v>
      </c>
      <c r="D266" s="125">
        <f>IFERROR(__xludf.DUMMYFUNCTION("""COMPUTED_VALUE"""),67.0)</f>
        <v>67</v>
      </c>
      <c r="E266" s="178">
        <f>IFERROR(__xludf.DUMMYFUNCTION("""COMPUTED_VALUE"""),67.0)</f>
        <v>67</v>
      </c>
      <c r="F266" s="127" t="str">
        <f>IFERROR(__xludf.DUMMYFUNCTION("""COMPUTED_VALUE"""),"Michael Wilson – ARI")</f>
        <v>Michael Wilson – ARI</v>
      </c>
      <c r="G266" s="127">
        <f>IFERROR(__xludf.DUMMYFUNCTION("""COMPUTED_VALUE"""),76.4)</f>
        <v>76.4</v>
      </c>
      <c r="H266" s="127" t="str">
        <f>IFERROR(__xludf.DUMMYFUNCTION("""COMPUTED_VALUE"""),"WR")</f>
        <v>WR</v>
      </c>
      <c r="I266" s="178">
        <f>IFERROR(__xludf.DUMMYFUNCTION("""COMPUTED_VALUE"""),8.0)</f>
        <v>8</v>
      </c>
    </row>
    <row r="267">
      <c r="A267" s="125">
        <f>IFERROR(__xludf.DUMMYFUNCTION("""COMPUTED_VALUE"""),68.0)</f>
        <v>68</v>
      </c>
      <c r="B267" s="125">
        <f>IFERROR(__xludf.DUMMYFUNCTION("""COMPUTED_VALUE"""),68.0)</f>
        <v>68</v>
      </c>
      <c r="C267" s="125">
        <f>IFERROR(__xludf.DUMMYFUNCTION("""COMPUTED_VALUE"""),68.0)</f>
        <v>68</v>
      </c>
      <c r="D267" s="125">
        <f>IFERROR(__xludf.DUMMYFUNCTION("""COMPUTED_VALUE"""),68.0)</f>
        <v>68</v>
      </c>
      <c r="E267" s="178">
        <f>IFERROR(__xludf.DUMMYFUNCTION("""COMPUTED_VALUE"""),68.0)</f>
        <v>68</v>
      </c>
      <c r="F267" s="127" t="str">
        <f>IFERROR(__xludf.DUMMYFUNCTION("""COMPUTED_VALUE"""),"Alexander Mattison – MIA")</f>
        <v>Alexander Mattison – MIA</v>
      </c>
      <c r="G267" s="127">
        <f>IFERROR(__xludf.DUMMYFUNCTION("""COMPUTED_VALUE"""),106.0)</f>
        <v>106</v>
      </c>
      <c r="H267" s="127" t="str">
        <f>IFERROR(__xludf.DUMMYFUNCTION("""COMPUTED_VALUE"""),"RB")</f>
        <v>RB</v>
      </c>
      <c r="I267" s="178">
        <f>IFERROR(__xludf.DUMMYFUNCTION("""COMPUTED_VALUE"""),12.0)</f>
        <v>12</v>
      </c>
    </row>
    <row r="268">
      <c r="A268" s="125">
        <f>IFERROR(__xludf.DUMMYFUNCTION("""COMPUTED_VALUE"""),68.0)</f>
        <v>68</v>
      </c>
      <c r="B268" s="125">
        <f>IFERROR(__xludf.DUMMYFUNCTION("""COMPUTED_VALUE"""),68.0)</f>
        <v>68</v>
      </c>
      <c r="C268" s="125">
        <f>IFERROR(__xludf.DUMMYFUNCTION("""COMPUTED_VALUE"""),68.0)</f>
        <v>68</v>
      </c>
      <c r="D268" s="125">
        <f>IFERROR(__xludf.DUMMYFUNCTION("""COMPUTED_VALUE"""),68.0)</f>
        <v>68</v>
      </c>
      <c r="E268" s="178">
        <f>IFERROR(__xludf.DUMMYFUNCTION("""COMPUTED_VALUE"""),68.0)</f>
        <v>68</v>
      </c>
      <c r="F268" s="127" t="str">
        <f>IFERROR(__xludf.DUMMYFUNCTION("""COMPUTED_VALUE"""),"Calvin Austin III – PIT")</f>
        <v>Calvin Austin III – PIT</v>
      </c>
      <c r="G268" s="127">
        <f>IFERROR(__xludf.DUMMYFUNCTION("""COMPUTED_VALUE"""),76.2)</f>
        <v>76.2</v>
      </c>
      <c r="H268" s="127" t="str">
        <f>IFERROR(__xludf.DUMMYFUNCTION("""COMPUTED_VALUE"""),"WR")</f>
        <v>WR</v>
      </c>
      <c r="I268" s="178">
        <f>IFERROR(__xludf.DUMMYFUNCTION("""COMPUTED_VALUE"""),5.0)</f>
        <v>5</v>
      </c>
    </row>
    <row r="269">
      <c r="A269" s="125">
        <f>IFERROR(__xludf.DUMMYFUNCTION("""COMPUTED_VALUE"""),69.0)</f>
        <v>69</v>
      </c>
      <c r="B269" s="125">
        <f>IFERROR(__xludf.DUMMYFUNCTION("""COMPUTED_VALUE"""),69.0)</f>
        <v>69</v>
      </c>
      <c r="C269" s="125">
        <f>IFERROR(__xludf.DUMMYFUNCTION("""COMPUTED_VALUE"""),69.0)</f>
        <v>69</v>
      </c>
      <c r="D269" s="125">
        <f>IFERROR(__xludf.DUMMYFUNCTION("""COMPUTED_VALUE"""),69.0)</f>
        <v>69</v>
      </c>
      <c r="E269" s="178">
        <f>IFERROR(__xludf.DUMMYFUNCTION("""COMPUTED_VALUE"""),69.0)</f>
        <v>69</v>
      </c>
      <c r="F269" s="127" t="str">
        <f>IFERROR(__xludf.DUMMYFUNCTION("""COMPUTED_VALUE"""),"Woody Marks – HOU")</f>
        <v>Woody Marks – HOU</v>
      </c>
      <c r="G269" s="127">
        <f>IFERROR(__xludf.DUMMYFUNCTION("""COMPUTED_VALUE"""),105.0)</f>
        <v>105</v>
      </c>
      <c r="H269" s="127" t="str">
        <f>IFERROR(__xludf.DUMMYFUNCTION("""COMPUTED_VALUE"""),"RB")</f>
        <v>RB</v>
      </c>
      <c r="I269" s="178">
        <f>IFERROR(__xludf.DUMMYFUNCTION("""COMPUTED_VALUE"""),6.0)</f>
        <v>6</v>
      </c>
    </row>
    <row r="270">
      <c r="A270" s="125">
        <f>IFERROR(__xludf.DUMMYFUNCTION("""COMPUTED_VALUE"""),69.0)</f>
        <v>69</v>
      </c>
      <c r="B270" s="125">
        <f>IFERROR(__xludf.DUMMYFUNCTION("""COMPUTED_VALUE"""),69.0)</f>
        <v>69</v>
      </c>
      <c r="C270" s="125">
        <f>IFERROR(__xludf.DUMMYFUNCTION("""COMPUTED_VALUE"""),69.0)</f>
        <v>69</v>
      </c>
      <c r="D270" s="125">
        <f>IFERROR(__xludf.DUMMYFUNCTION("""COMPUTED_VALUE"""),69.0)</f>
        <v>69</v>
      </c>
      <c r="E270" s="178">
        <f>IFERROR(__xludf.DUMMYFUNCTION("""COMPUTED_VALUE"""),69.0)</f>
        <v>69</v>
      </c>
      <c r="F270" s="127" t="str">
        <f>IFERROR(__xludf.DUMMYFUNCTION("""COMPUTED_VALUE"""),"DeMario Douglas – NE")</f>
        <v>DeMario Douglas – NE</v>
      </c>
      <c r="G270" s="127">
        <f>IFERROR(__xludf.DUMMYFUNCTION("""COMPUTED_VALUE"""),75.7)</f>
        <v>75.7</v>
      </c>
      <c r="H270" s="127" t="str">
        <f>IFERROR(__xludf.DUMMYFUNCTION("""COMPUTED_VALUE"""),"WR")</f>
        <v>WR</v>
      </c>
      <c r="I270" s="178">
        <f>IFERROR(__xludf.DUMMYFUNCTION("""COMPUTED_VALUE"""),14.0)</f>
        <v>14</v>
      </c>
    </row>
    <row r="271">
      <c r="A271" s="125">
        <f>IFERROR(__xludf.DUMMYFUNCTION("""COMPUTED_VALUE"""),70.0)</f>
        <v>70</v>
      </c>
      <c r="B271" s="125">
        <f>IFERROR(__xludf.DUMMYFUNCTION("""COMPUTED_VALUE"""),70.0)</f>
        <v>70</v>
      </c>
      <c r="C271" s="125">
        <f>IFERROR(__xludf.DUMMYFUNCTION("""COMPUTED_VALUE"""),70.0)</f>
        <v>70</v>
      </c>
      <c r="D271" s="125">
        <f>IFERROR(__xludf.DUMMYFUNCTION("""COMPUTED_VALUE"""),70.0)</f>
        <v>70</v>
      </c>
      <c r="E271" s="178">
        <f>IFERROR(__xludf.DUMMYFUNCTION("""COMPUTED_VALUE"""),70.0)</f>
        <v>70</v>
      </c>
      <c r="F271" s="127" t="str">
        <f>IFERROR(__xludf.DUMMYFUNCTION("""COMPUTED_VALUE"""),"Emanuel Wilson – GB")</f>
        <v>Emanuel Wilson – GB</v>
      </c>
      <c r="G271" s="127">
        <f>IFERROR(__xludf.DUMMYFUNCTION("""COMPUTED_VALUE"""),104.0)</f>
        <v>104</v>
      </c>
      <c r="H271" s="127" t="str">
        <f>IFERROR(__xludf.DUMMYFUNCTION("""COMPUTED_VALUE"""),"RB")</f>
        <v>RB</v>
      </c>
      <c r="I271" s="178">
        <f>IFERROR(__xludf.DUMMYFUNCTION("""COMPUTED_VALUE"""),5.0)</f>
        <v>5</v>
      </c>
    </row>
    <row r="272">
      <c r="A272" s="125">
        <f>IFERROR(__xludf.DUMMYFUNCTION("""COMPUTED_VALUE"""),70.0)</f>
        <v>70</v>
      </c>
      <c r="B272" s="125">
        <f>IFERROR(__xludf.DUMMYFUNCTION("""COMPUTED_VALUE"""),70.0)</f>
        <v>70</v>
      </c>
      <c r="C272" s="125">
        <f>IFERROR(__xludf.DUMMYFUNCTION("""COMPUTED_VALUE"""),70.0)</f>
        <v>70</v>
      </c>
      <c r="D272" s="125">
        <f>IFERROR(__xludf.DUMMYFUNCTION("""COMPUTED_VALUE"""),70.0)</f>
        <v>70</v>
      </c>
      <c r="E272" s="178">
        <f>IFERROR(__xludf.DUMMYFUNCTION("""COMPUTED_VALUE"""),70.0)</f>
        <v>70</v>
      </c>
      <c r="F272" s="127" t="str">
        <f>IFERROR(__xludf.DUMMYFUNCTION("""COMPUTED_VALUE"""),"Alec Pierce – IND")</f>
        <v>Alec Pierce – IND</v>
      </c>
      <c r="G272" s="127">
        <f>IFERROR(__xludf.DUMMYFUNCTION("""COMPUTED_VALUE"""),72.6)</f>
        <v>72.6</v>
      </c>
      <c r="H272" s="127" t="str">
        <f>IFERROR(__xludf.DUMMYFUNCTION("""COMPUTED_VALUE"""),"WR")</f>
        <v>WR</v>
      </c>
      <c r="I272" s="178">
        <f>IFERROR(__xludf.DUMMYFUNCTION("""COMPUTED_VALUE"""),11.0)</f>
        <v>11</v>
      </c>
    </row>
    <row r="273">
      <c r="A273" s="125">
        <f>IFERROR(__xludf.DUMMYFUNCTION("""COMPUTED_VALUE"""),71.0)</f>
        <v>71</v>
      </c>
      <c r="B273" s="125">
        <f>IFERROR(__xludf.DUMMYFUNCTION("""COMPUTED_VALUE"""),71.0)</f>
        <v>71</v>
      </c>
      <c r="C273" s="125">
        <f>IFERROR(__xludf.DUMMYFUNCTION("""COMPUTED_VALUE"""),71.0)</f>
        <v>71</v>
      </c>
      <c r="D273" s="125">
        <f>IFERROR(__xludf.DUMMYFUNCTION("""COMPUTED_VALUE"""),71.0)</f>
        <v>71</v>
      </c>
      <c r="E273" s="178">
        <f>IFERROR(__xludf.DUMMYFUNCTION("""COMPUTED_VALUE"""),71.0)</f>
        <v>71</v>
      </c>
      <c r="F273" s="127" t="str">
        <f>IFERROR(__xludf.DUMMYFUNCTION("""COMPUTED_VALUE"""),"Elijah Mitchell – KC")</f>
        <v>Elijah Mitchell – KC</v>
      </c>
      <c r="G273" s="127">
        <f>IFERROR(__xludf.DUMMYFUNCTION("""COMPUTED_VALUE"""),103.0)</f>
        <v>103</v>
      </c>
      <c r="H273" s="127" t="str">
        <f>IFERROR(__xludf.DUMMYFUNCTION("""COMPUTED_VALUE"""),"RB")</f>
        <v>RB</v>
      </c>
      <c r="I273" s="178">
        <f>IFERROR(__xludf.DUMMYFUNCTION("""COMPUTED_VALUE"""),10.0)</f>
        <v>10</v>
      </c>
    </row>
    <row r="274">
      <c r="A274" s="125">
        <f>IFERROR(__xludf.DUMMYFUNCTION("""COMPUTED_VALUE"""),71.0)</f>
        <v>71</v>
      </c>
      <c r="B274" s="125">
        <f>IFERROR(__xludf.DUMMYFUNCTION("""COMPUTED_VALUE"""),71.0)</f>
        <v>71</v>
      </c>
      <c r="C274" s="125">
        <f>IFERROR(__xludf.DUMMYFUNCTION("""COMPUTED_VALUE"""),71.0)</f>
        <v>71</v>
      </c>
      <c r="D274" s="125">
        <f>IFERROR(__xludf.DUMMYFUNCTION("""COMPUTED_VALUE"""),71.0)</f>
        <v>71</v>
      </c>
      <c r="E274" s="178">
        <f>IFERROR(__xludf.DUMMYFUNCTION("""COMPUTED_VALUE"""),71.0)</f>
        <v>71</v>
      </c>
      <c r="F274" s="127" t="str">
        <f>IFERROR(__xludf.DUMMYFUNCTION("""COMPUTED_VALUE"""),"Diontae Johnson – CLE")</f>
        <v>Diontae Johnson – CLE</v>
      </c>
      <c r="G274" s="127">
        <f>IFERROR(__xludf.DUMMYFUNCTION("""COMPUTED_VALUE"""),68.8)</f>
        <v>68.8</v>
      </c>
      <c r="H274" s="127" t="str">
        <f>IFERROR(__xludf.DUMMYFUNCTION("""COMPUTED_VALUE"""),"WR")</f>
        <v>WR</v>
      </c>
      <c r="I274" s="178">
        <f>IFERROR(__xludf.DUMMYFUNCTION("""COMPUTED_VALUE"""),9.0)</f>
        <v>9</v>
      </c>
    </row>
    <row r="275">
      <c r="A275" s="125">
        <f>IFERROR(__xludf.DUMMYFUNCTION("""COMPUTED_VALUE"""),72.0)</f>
        <v>72</v>
      </c>
      <c r="B275" s="125">
        <f>IFERROR(__xludf.DUMMYFUNCTION("""COMPUTED_VALUE"""),72.0)</f>
        <v>72</v>
      </c>
      <c r="C275" s="125">
        <f>IFERROR(__xludf.DUMMYFUNCTION("""COMPUTED_VALUE"""),72.0)</f>
        <v>72</v>
      </c>
      <c r="D275" s="125">
        <f>IFERROR(__xludf.DUMMYFUNCTION("""COMPUTED_VALUE"""),72.0)</f>
        <v>72</v>
      </c>
      <c r="E275" s="178">
        <f>IFERROR(__xludf.DUMMYFUNCTION("""COMPUTED_VALUE"""),72.0)</f>
        <v>72</v>
      </c>
      <c r="F275" s="127" t="str">
        <f>IFERROR(__xludf.DUMMYFUNCTION("""COMPUTED_VALUE"""),"Tahj Brooks – CIN")</f>
        <v>Tahj Brooks – CIN</v>
      </c>
      <c r="G275" s="127">
        <f>IFERROR(__xludf.DUMMYFUNCTION("""COMPUTED_VALUE"""),102.0)</f>
        <v>102</v>
      </c>
      <c r="H275" s="127" t="str">
        <f>IFERROR(__xludf.DUMMYFUNCTION("""COMPUTED_VALUE"""),"RB")</f>
        <v>RB</v>
      </c>
      <c r="I275" s="178">
        <f>IFERROR(__xludf.DUMMYFUNCTION("""COMPUTED_VALUE"""),10.0)</f>
        <v>10</v>
      </c>
    </row>
    <row r="276">
      <c r="A276" s="125">
        <f>IFERROR(__xludf.DUMMYFUNCTION("""COMPUTED_VALUE"""),72.0)</f>
        <v>72</v>
      </c>
      <c r="B276" s="125">
        <f>IFERROR(__xludf.DUMMYFUNCTION("""COMPUTED_VALUE"""),72.0)</f>
        <v>72</v>
      </c>
      <c r="C276" s="125">
        <f>IFERROR(__xludf.DUMMYFUNCTION("""COMPUTED_VALUE"""),72.0)</f>
        <v>72</v>
      </c>
      <c r="D276" s="125">
        <f>IFERROR(__xludf.DUMMYFUNCTION("""COMPUTED_VALUE"""),72.0)</f>
        <v>72</v>
      </c>
      <c r="E276" s="178">
        <f>IFERROR(__xludf.DUMMYFUNCTION("""COMPUTED_VALUE"""),72.0)</f>
        <v>72</v>
      </c>
      <c r="F276" s="127" t="str">
        <f>IFERROR(__xludf.DUMMYFUNCTION("""COMPUTED_VALUE"""),"Kyle Williams – NE")</f>
        <v>Kyle Williams – NE</v>
      </c>
      <c r="G276" s="127">
        <f>IFERROR(__xludf.DUMMYFUNCTION("""COMPUTED_VALUE"""),67.3)</f>
        <v>67.3</v>
      </c>
      <c r="H276" s="127" t="str">
        <f>IFERROR(__xludf.DUMMYFUNCTION("""COMPUTED_VALUE"""),"WR")</f>
        <v>WR</v>
      </c>
      <c r="I276" s="178">
        <f>IFERROR(__xludf.DUMMYFUNCTION("""COMPUTED_VALUE"""),14.0)</f>
        <v>14</v>
      </c>
    </row>
    <row r="277">
      <c r="A277" s="125">
        <f>IFERROR(__xludf.DUMMYFUNCTION("""COMPUTED_VALUE"""),73.0)</f>
        <v>73</v>
      </c>
      <c r="B277" s="125">
        <f>IFERROR(__xludf.DUMMYFUNCTION("""COMPUTED_VALUE"""),73.0)</f>
        <v>73</v>
      </c>
      <c r="C277" s="125">
        <f>IFERROR(__xludf.DUMMYFUNCTION("""COMPUTED_VALUE"""),73.0)</f>
        <v>73</v>
      </c>
      <c r="D277" s="125">
        <f>IFERROR(__xludf.DUMMYFUNCTION("""COMPUTED_VALUE"""),73.0)</f>
        <v>73</v>
      </c>
      <c r="E277" s="178">
        <f>IFERROR(__xludf.DUMMYFUNCTION("""COMPUTED_VALUE"""),73.0)</f>
        <v>73</v>
      </c>
      <c r="F277" s="127" t="str">
        <f>IFERROR(__xludf.DUMMYFUNCTION("""COMPUTED_VALUE"""),"Jarquez Hunter – LAR")</f>
        <v>Jarquez Hunter – LAR</v>
      </c>
      <c r="G277" s="127">
        <f>IFERROR(__xludf.DUMMYFUNCTION("""COMPUTED_VALUE"""),101.0)</f>
        <v>101</v>
      </c>
      <c r="H277" s="127" t="str">
        <f>IFERROR(__xludf.DUMMYFUNCTION("""COMPUTED_VALUE"""),"RB")</f>
        <v>RB</v>
      </c>
      <c r="I277" s="178">
        <f>IFERROR(__xludf.DUMMYFUNCTION("""COMPUTED_VALUE"""),8.0)</f>
        <v>8</v>
      </c>
    </row>
    <row r="278">
      <c r="A278" s="125">
        <f>IFERROR(__xludf.DUMMYFUNCTION("""COMPUTED_VALUE"""),73.0)</f>
        <v>73</v>
      </c>
      <c r="B278" s="125">
        <f>IFERROR(__xludf.DUMMYFUNCTION("""COMPUTED_VALUE"""),73.0)</f>
        <v>73</v>
      </c>
      <c r="C278" s="125">
        <f>IFERROR(__xludf.DUMMYFUNCTION("""COMPUTED_VALUE"""),73.0)</f>
        <v>73</v>
      </c>
      <c r="D278" s="125">
        <f>IFERROR(__xludf.DUMMYFUNCTION("""COMPUTED_VALUE"""),73.0)</f>
        <v>73</v>
      </c>
      <c r="E278" s="178">
        <f>IFERROR(__xludf.DUMMYFUNCTION("""COMPUTED_VALUE"""),73.0)</f>
        <v>73</v>
      </c>
      <c r="F278" s="127" t="str">
        <f>IFERROR(__xludf.DUMMYFUNCTION("""COMPUTED_VALUE"""),"Dyami Brown – JAX")</f>
        <v>Dyami Brown – JAX</v>
      </c>
      <c r="G278" s="127">
        <f>IFERROR(__xludf.DUMMYFUNCTION("""COMPUTED_VALUE"""),66.5)</f>
        <v>66.5</v>
      </c>
      <c r="H278" s="127" t="str">
        <f>IFERROR(__xludf.DUMMYFUNCTION("""COMPUTED_VALUE"""),"WR")</f>
        <v>WR</v>
      </c>
      <c r="I278" s="178">
        <f>IFERROR(__xludf.DUMMYFUNCTION("""COMPUTED_VALUE"""),8.0)</f>
        <v>8</v>
      </c>
    </row>
    <row r="279">
      <c r="A279" s="125">
        <f>IFERROR(__xludf.DUMMYFUNCTION("""COMPUTED_VALUE"""),74.0)</f>
        <v>74</v>
      </c>
      <c r="B279" s="125">
        <f>IFERROR(__xludf.DUMMYFUNCTION("""COMPUTED_VALUE"""),74.0)</f>
        <v>74</v>
      </c>
      <c r="C279" s="125">
        <f>IFERROR(__xludf.DUMMYFUNCTION("""COMPUTED_VALUE"""),74.0)</f>
        <v>74</v>
      </c>
      <c r="D279" s="125">
        <f>IFERROR(__xludf.DUMMYFUNCTION("""COMPUTED_VALUE"""),74.0)</f>
        <v>74</v>
      </c>
      <c r="E279" s="178">
        <f>IFERROR(__xludf.DUMMYFUNCTION("""COMPUTED_VALUE"""),74.0)</f>
        <v>74</v>
      </c>
      <c r="F279" s="127" t="str">
        <f>IFERROR(__xludf.DUMMYFUNCTION("""COMPUTED_VALUE"""),"Khalil Herbert – IND")</f>
        <v>Khalil Herbert – IND</v>
      </c>
      <c r="G279" s="127">
        <f>IFERROR(__xludf.DUMMYFUNCTION("""COMPUTED_VALUE"""),100.0)</f>
        <v>100</v>
      </c>
      <c r="H279" s="127" t="str">
        <f>IFERROR(__xludf.DUMMYFUNCTION("""COMPUTED_VALUE"""),"RB")</f>
        <v>RB</v>
      </c>
      <c r="I279" s="178">
        <f>IFERROR(__xludf.DUMMYFUNCTION("""COMPUTED_VALUE"""),11.0)</f>
        <v>11</v>
      </c>
    </row>
    <row r="280">
      <c r="A280" s="125">
        <f>IFERROR(__xludf.DUMMYFUNCTION("""COMPUTED_VALUE"""),74.0)</f>
        <v>74</v>
      </c>
      <c r="B280" s="125">
        <f>IFERROR(__xludf.DUMMYFUNCTION("""COMPUTED_VALUE"""),74.0)</f>
        <v>74</v>
      </c>
      <c r="C280" s="125">
        <f>IFERROR(__xludf.DUMMYFUNCTION("""COMPUTED_VALUE"""),74.0)</f>
        <v>74</v>
      </c>
      <c r="D280" s="125">
        <f>IFERROR(__xludf.DUMMYFUNCTION("""COMPUTED_VALUE"""),74.0)</f>
        <v>74</v>
      </c>
      <c r="E280" s="178">
        <f>IFERROR(__xludf.DUMMYFUNCTION("""COMPUTED_VALUE"""),74.0)</f>
        <v>74</v>
      </c>
      <c r="F280" s="127" t="str">
        <f>IFERROR(__xludf.DUMMYFUNCTION("""COMPUTED_VALUE"""),"Tutu Atwell – LAR")</f>
        <v>Tutu Atwell – LAR</v>
      </c>
      <c r="G280" s="127">
        <f>IFERROR(__xludf.DUMMYFUNCTION("""COMPUTED_VALUE"""),65.3)</f>
        <v>65.3</v>
      </c>
      <c r="H280" s="127" t="str">
        <f>IFERROR(__xludf.DUMMYFUNCTION("""COMPUTED_VALUE"""),"WR")</f>
        <v>WR</v>
      </c>
      <c r="I280" s="178">
        <f>IFERROR(__xludf.DUMMYFUNCTION("""COMPUTED_VALUE"""),8.0)</f>
        <v>8</v>
      </c>
    </row>
    <row r="281">
      <c r="A281" s="125">
        <f>IFERROR(__xludf.DUMMYFUNCTION("""COMPUTED_VALUE"""),75.0)</f>
        <v>75</v>
      </c>
      <c r="B281" s="125">
        <f>IFERROR(__xludf.DUMMYFUNCTION("""COMPUTED_VALUE"""),75.0)</f>
        <v>75</v>
      </c>
      <c r="C281" s="125">
        <f>IFERROR(__xludf.DUMMYFUNCTION("""COMPUTED_VALUE"""),75.0)</f>
        <v>75</v>
      </c>
      <c r="D281" s="125">
        <f>IFERROR(__xludf.DUMMYFUNCTION("""COMPUTED_VALUE"""),75.0)</f>
        <v>75</v>
      </c>
      <c r="E281" s="178">
        <f>IFERROR(__xludf.DUMMYFUNCTION("""COMPUTED_VALUE"""),75.0)</f>
        <v>75</v>
      </c>
      <c r="F281" s="127" t="str">
        <f>IFERROR(__xludf.DUMMYFUNCTION("""COMPUTED_VALUE"""),"A.J. Dillon – PHI")</f>
        <v>A.J. Dillon – PHI</v>
      </c>
      <c r="G281" s="127">
        <f>IFERROR(__xludf.DUMMYFUNCTION("""COMPUTED_VALUE"""),99.0)</f>
        <v>99</v>
      </c>
      <c r="H281" s="127" t="str">
        <f>IFERROR(__xludf.DUMMYFUNCTION("""COMPUTED_VALUE"""),"RB")</f>
        <v>RB</v>
      </c>
      <c r="I281" s="178">
        <f>IFERROR(__xludf.DUMMYFUNCTION("""COMPUTED_VALUE"""),9.0)</f>
        <v>9</v>
      </c>
    </row>
    <row r="282">
      <c r="A282" s="125">
        <f>IFERROR(__xludf.DUMMYFUNCTION("""COMPUTED_VALUE"""),75.0)</f>
        <v>75</v>
      </c>
      <c r="B282" s="125">
        <f>IFERROR(__xludf.DUMMYFUNCTION("""COMPUTED_VALUE"""),75.0)</f>
        <v>75</v>
      </c>
      <c r="C282" s="125">
        <f>IFERROR(__xludf.DUMMYFUNCTION("""COMPUTED_VALUE"""),75.0)</f>
        <v>75</v>
      </c>
      <c r="D282" s="125">
        <f>IFERROR(__xludf.DUMMYFUNCTION("""COMPUTED_VALUE"""),75.0)</f>
        <v>75</v>
      </c>
      <c r="E282" s="178">
        <f>IFERROR(__xludf.DUMMYFUNCTION("""COMPUTED_VALUE"""),75.0)</f>
        <v>75</v>
      </c>
      <c r="F282" s="127" t="str">
        <f>IFERROR(__xludf.DUMMYFUNCTION("""COMPUTED_VALUE"""),"Darius Slayton – NYG")</f>
        <v>Darius Slayton – NYG</v>
      </c>
      <c r="G282" s="127">
        <f>IFERROR(__xludf.DUMMYFUNCTION("""COMPUTED_VALUE"""),65.2)</f>
        <v>65.2</v>
      </c>
      <c r="H282" s="127" t="str">
        <f>IFERROR(__xludf.DUMMYFUNCTION("""COMPUTED_VALUE"""),"WR")</f>
        <v>WR</v>
      </c>
      <c r="I282" s="178">
        <f>IFERROR(__xludf.DUMMYFUNCTION("""COMPUTED_VALUE"""),14.0)</f>
        <v>14</v>
      </c>
    </row>
    <row r="283">
      <c r="A283" s="125">
        <f>IFERROR(__xludf.DUMMYFUNCTION("""COMPUTED_VALUE"""),76.0)</f>
        <v>76</v>
      </c>
      <c r="B283" s="125">
        <f>IFERROR(__xludf.DUMMYFUNCTION("""COMPUTED_VALUE"""),76.0)</f>
        <v>76</v>
      </c>
      <c r="C283" s="125">
        <f>IFERROR(__xludf.DUMMYFUNCTION("""COMPUTED_VALUE"""),76.0)</f>
        <v>76</v>
      </c>
      <c r="D283" s="125">
        <f>IFERROR(__xludf.DUMMYFUNCTION("""COMPUTED_VALUE"""),76.0)</f>
        <v>76</v>
      </c>
      <c r="E283" s="178">
        <f>IFERROR(__xludf.DUMMYFUNCTION("""COMPUTED_VALUE"""),76.0)</f>
        <v>76</v>
      </c>
      <c r="F283" s="127" t="str">
        <f>IFERROR(__xludf.DUMMYFUNCTION("""COMPUTED_VALUE"""),"Will Shipley – PHI")</f>
        <v>Will Shipley – PHI</v>
      </c>
      <c r="G283" s="127">
        <f>IFERROR(__xludf.DUMMYFUNCTION("""COMPUTED_VALUE"""),98.0)</f>
        <v>98</v>
      </c>
      <c r="H283" s="127" t="str">
        <f>IFERROR(__xludf.DUMMYFUNCTION("""COMPUTED_VALUE"""),"RB")</f>
        <v>RB</v>
      </c>
      <c r="I283" s="178">
        <f>IFERROR(__xludf.DUMMYFUNCTION("""COMPUTED_VALUE"""),9.0)</f>
        <v>9</v>
      </c>
    </row>
    <row r="284">
      <c r="A284" s="125">
        <f>IFERROR(__xludf.DUMMYFUNCTION("""COMPUTED_VALUE"""),76.0)</f>
        <v>76</v>
      </c>
      <c r="B284" s="125">
        <f>IFERROR(__xludf.DUMMYFUNCTION("""COMPUTED_VALUE"""),76.0)</f>
        <v>76</v>
      </c>
      <c r="C284" s="125">
        <f>IFERROR(__xludf.DUMMYFUNCTION("""COMPUTED_VALUE"""),76.0)</f>
        <v>76</v>
      </c>
      <c r="D284" s="125">
        <f>IFERROR(__xludf.DUMMYFUNCTION("""COMPUTED_VALUE"""),76.0)</f>
        <v>76</v>
      </c>
      <c r="E284" s="178">
        <f>IFERROR(__xludf.DUMMYFUNCTION("""COMPUTED_VALUE"""),76.0)</f>
        <v>76</v>
      </c>
      <c r="F284" s="127" t="str">
        <f>IFERROR(__xludf.DUMMYFUNCTION("""COMPUTED_VALUE"""),"DeAndre Hopkins – BAL")</f>
        <v>DeAndre Hopkins – BAL</v>
      </c>
      <c r="G284" s="127">
        <f>IFERROR(__xludf.DUMMYFUNCTION("""COMPUTED_VALUE"""),64.9)</f>
        <v>64.9</v>
      </c>
      <c r="H284" s="127" t="str">
        <f>IFERROR(__xludf.DUMMYFUNCTION("""COMPUTED_VALUE"""),"WR")</f>
        <v>WR</v>
      </c>
      <c r="I284" s="178">
        <f>IFERROR(__xludf.DUMMYFUNCTION("""COMPUTED_VALUE"""),7.0)</f>
        <v>7</v>
      </c>
    </row>
    <row r="285">
      <c r="A285" s="125">
        <f>IFERROR(__xludf.DUMMYFUNCTION("""COMPUTED_VALUE"""),77.0)</f>
        <v>77</v>
      </c>
      <c r="B285" s="125">
        <f>IFERROR(__xludf.DUMMYFUNCTION("""COMPUTED_VALUE"""),77.0)</f>
        <v>77</v>
      </c>
      <c r="C285" s="125">
        <f>IFERROR(__xludf.DUMMYFUNCTION("""COMPUTED_VALUE"""),77.0)</f>
        <v>77</v>
      </c>
      <c r="D285" s="125">
        <f>IFERROR(__xludf.DUMMYFUNCTION("""COMPUTED_VALUE"""),77.0)</f>
        <v>77</v>
      </c>
      <c r="E285" s="178">
        <f>IFERROR(__xludf.DUMMYFUNCTION("""COMPUTED_VALUE"""),77.0)</f>
        <v>77</v>
      </c>
      <c r="F285" s="127" t="str">
        <f>IFERROR(__xludf.DUMMYFUNCTION("""COMPUTED_VALUE"""),"Sean Tucker – TB")</f>
        <v>Sean Tucker – TB</v>
      </c>
      <c r="G285" s="127">
        <f>IFERROR(__xludf.DUMMYFUNCTION("""COMPUTED_VALUE"""),97.0)</f>
        <v>97</v>
      </c>
      <c r="H285" s="127" t="str">
        <f>IFERROR(__xludf.DUMMYFUNCTION("""COMPUTED_VALUE"""),"RB")</f>
        <v>RB</v>
      </c>
      <c r="I285" s="178">
        <f>IFERROR(__xludf.DUMMYFUNCTION("""COMPUTED_VALUE"""),9.0)</f>
        <v>9</v>
      </c>
    </row>
    <row r="286">
      <c r="A286" s="125">
        <f>IFERROR(__xludf.DUMMYFUNCTION("""COMPUTED_VALUE"""),77.0)</f>
        <v>77</v>
      </c>
      <c r="B286" s="125">
        <f>IFERROR(__xludf.DUMMYFUNCTION("""COMPUTED_VALUE"""),77.0)</f>
        <v>77</v>
      </c>
      <c r="C286" s="125">
        <f>IFERROR(__xludf.DUMMYFUNCTION("""COMPUTED_VALUE"""),77.0)</f>
        <v>77</v>
      </c>
      <c r="D286" s="125">
        <f>IFERROR(__xludf.DUMMYFUNCTION("""COMPUTED_VALUE"""),77.0)</f>
        <v>77</v>
      </c>
      <c r="E286" s="178">
        <f>IFERROR(__xludf.DUMMYFUNCTION("""COMPUTED_VALUE"""),77.0)</f>
        <v>77</v>
      </c>
      <c r="F286" s="127" t="str">
        <f>IFERROR(__xludf.DUMMYFUNCTION("""COMPUTED_VALUE"""),"Marquise Brown – KC")</f>
        <v>Marquise Brown – KC</v>
      </c>
      <c r="G286" s="127">
        <f>IFERROR(__xludf.DUMMYFUNCTION("""COMPUTED_VALUE"""),111.4)</f>
        <v>111.4</v>
      </c>
      <c r="H286" s="127" t="str">
        <f>IFERROR(__xludf.DUMMYFUNCTION("""COMPUTED_VALUE"""),"WR")</f>
        <v>WR</v>
      </c>
      <c r="I286" s="178">
        <f>IFERROR(__xludf.DUMMYFUNCTION("""COMPUTED_VALUE"""),10.0)</f>
        <v>10</v>
      </c>
    </row>
    <row r="287">
      <c r="A287" s="125">
        <f>IFERROR(__xludf.DUMMYFUNCTION("""COMPUTED_VALUE"""),78.0)</f>
        <v>78</v>
      </c>
      <c r="B287" s="125">
        <f>IFERROR(__xludf.DUMMYFUNCTION("""COMPUTED_VALUE"""),78.0)</f>
        <v>78</v>
      </c>
      <c r="C287" s="125">
        <f>IFERROR(__xludf.DUMMYFUNCTION("""COMPUTED_VALUE"""),78.0)</f>
        <v>78</v>
      </c>
      <c r="D287" s="125">
        <f>IFERROR(__xludf.DUMMYFUNCTION("""COMPUTED_VALUE"""),78.0)</f>
        <v>78</v>
      </c>
      <c r="E287" s="178">
        <f>IFERROR(__xludf.DUMMYFUNCTION("""COMPUTED_VALUE"""),78.0)</f>
        <v>78</v>
      </c>
      <c r="F287" s="127" t="str">
        <f>IFERROR(__xludf.DUMMYFUNCTION("""COMPUTED_VALUE"""),"Kenneth Gainwell – PIT")</f>
        <v>Kenneth Gainwell – PIT</v>
      </c>
      <c r="G287" s="127">
        <f>IFERROR(__xludf.DUMMYFUNCTION("""COMPUTED_VALUE"""),96.0)</f>
        <v>96</v>
      </c>
      <c r="H287" s="127" t="str">
        <f>IFERROR(__xludf.DUMMYFUNCTION("""COMPUTED_VALUE"""),"RB")</f>
        <v>RB</v>
      </c>
      <c r="I287" s="178">
        <f>IFERROR(__xludf.DUMMYFUNCTION("""COMPUTED_VALUE"""),5.0)</f>
        <v>5</v>
      </c>
    </row>
    <row r="288">
      <c r="A288" s="125">
        <f>IFERROR(__xludf.DUMMYFUNCTION("""COMPUTED_VALUE"""),78.0)</f>
        <v>78</v>
      </c>
      <c r="B288" s="125">
        <f>IFERROR(__xludf.DUMMYFUNCTION("""COMPUTED_VALUE"""),78.0)</f>
        <v>78</v>
      </c>
      <c r="C288" s="125">
        <f>IFERROR(__xludf.DUMMYFUNCTION("""COMPUTED_VALUE"""),78.0)</f>
        <v>78</v>
      </c>
      <c r="D288" s="125">
        <f>IFERROR(__xludf.DUMMYFUNCTION("""COMPUTED_VALUE"""),78.0)</f>
        <v>78</v>
      </c>
      <c r="E288" s="178">
        <f>IFERROR(__xludf.DUMMYFUNCTION("""COMPUTED_VALUE"""),78.0)</f>
        <v>78</v>
      </c>
      <c r="F288" s="127" t="str">
        <f>IFERROR(__xludf.DUMMYFUNCTION("""COMPUTED_VALUE"""),"Jalen McMillan – TB")</f>
        <v>Jalen McMillan – TB</v>
      </c>
      <c r="G288" s="127">
        <f>IFERROR(__xludf.DUMMYFUNCTION("""COMPUTED_VALUE"""),107.6)</f>
        <v>107.6</v>
      </c>
      <c r="H288" s="127" t="str">
        <f>IFERROR(__xludf.DUMMYFUNCTION("""COMPUTED_VALUE"""),"WR")</f>
        <v>WR</v>
      </c>
      <c r="I288" s="178">
        <f>IFERROR(__xludf.DUMMYFUNCTION("""COMPUTED_VALUE"""),9.0)</f>
        <v>9</v>
      </c>
    </row>
    <row r="289">
      <c r="A289" s="125">
        <f>IFERROR(__xludf.DUMMYFUNCTION("""COMPUTED_VALUE"""),79.0)</f>
        <v>79</v>
      </c>
      <c r="B289" s="125">
        <f>IFERROR(__xludf.DUMMYFUNCTION("""COMPUTED_VALUE"""),79.0)</f>
        <v>79</v>
      </c>
      <c r="C289" s="125">
        <f>IFERROR(__xludf.DUMMYFUNCTION("""COMPUTED_VALUE"""),79.0)</f>
        <v>79</v>
      </c>
      <c r="D289" s="125">
        <f>IFERROR(__xludf.DUMMYFUNCTION("""COMPUTED_VALUE"""),79.0)</f>
        <v>79</v>
      </c>
      <c r="E289" s="178">
        <f>IFERROR(__xludf.DUMMYFUNCTION("""COMPUTED_VALUE"""),79.0)</f>
        <v>79</v>
      </c>
      <c r="F289" s="127" t="str">
        <f>IFERROR(__xludf.DUMMYFUNCTION("""COMPUTED_VALUE"""),"Kyle Monangai – CHI")</f>
        <v>Kyle Monangai – CHI</v>
      </c>
      <c r="G289" s="127">
        <f>IFERROR(__xludf.DUMMYFUNCTION("""COMPUTED_VALUE"""),95.0)</f>
        <v>95</v>
      </c>
      <c r="H289" s="127" t="str">
        <f>IFERROR(__xludf.DUMMYFUNCTION("""COMPUTED_VALUE"""),"RB")</f>
        <v>RB</v>
      </c>
      <c r="I289" s="178">
        <f>IFERROR(__xludf.DUMMYFUNCTION("""COMPUTED_VALUE"""),5.0)</f>
        <v>5</v>
      </c>
    </row>
    <row r="290">
      <c r="A290" s="125">
        <f>IFERROR(__xludf.DUMMYFUNCTION("""COMPUTED_VALUE"""),79.0)</f>
        <v>79</v>
      </c>
      <c r="B290" s="125">
        <f>IFERROR(__xludf.DUMMYFUNCTION("""COMPUTED_VALUE"""),79.0)</f>
        <v>79</v>
      </c>
      <c r="C290" s="125">
        <f>IFERROR(__xludf.DUMMYFUNCTION("""COMPUTED_VALUE"""),79.0)</f>
        <v>79</v>
      </c>
      <c r="D290" s="125">
        <f>IFERROR(__xludf.DUMMYFUNCTION("""COMPUTED_VALUE"""),79.0)</f>
        <v>79</v>
      </c>
      <c r="E290" s="178">
        <f>IFERROR(__xludf.DUMMYFUNCTION("""COMPUTED_VALUE"""),79.0)</f>
        <v>79</v>
      </c>
      <c r="F290" s="127" t="str">
        <f>IFERROR(__xludf.DUMMYFUNCTION("""COMPUTED_VALUE"""),"Donte Thornton Jr. – LV")</f>
        <v>Donte Thornton Jr. – LV</v>
      </c>
      <c r="G290" s="127">
        <f>IFERROR(__xludf.DUMMYFUNCTION("""COMPUTED_VALUE"""),106.2)</f>
        <v>106.2</v>
      </c>
      <c r="H290" s="127" t="str">
        <f>IFERROR(__xludf.DUMMYFUNCTION("""COMPUTED_VALUE"""),"WR")</f>
        <v>WR</v>
      </c>
      <c r="I290" s="178">
        <f>IFERROR(__xludf.DUMMYFUNCTION("""COMPUTED_VALUE"""),8.0)</f>
        <v>8</v>
      </c>
    </row>
    <row r="291">
      <c r="A291" s="125">
        <f>IFERROR(__xludf.DUMMYFUNCTION("""COMPUTED_VALUE"""),80.0)</f>
        <v>80</v>
      </c>
      <c r="B291" s="125">
        <f>IFERROR(__xludf.DUMMYFUNCTION("""COMPUTED_VALUE"""),80.0)</f>
        <v>80</v>
      </c>
      <c r="C291" s="125">
        <f>IFERROR(__xludf.DUMMYFUNCTION("""COMPUTED_VALUE"""),80.0)</f>
        <v>80</v>
      </c>
      <c r="D291" s="125">
        <f>IFERROR(__xludf.DUMMYFUNCTION("""COMPUTED_VALUE"""),80.0)</f>
        <v>80</v>
      </c>
      <c r="E291" s="178">
        <f>IFERROR(__xludf.DUMMYFUNCTION("""COMPUTED_VALUE"""),80.0)</f>
        <v>80</v>
      </c>
      <c r="F291" s="127" t="str">
        <f>IFERROR(__xludf.DUMMYFUNCTION("""COMPUTED_VALUE"""),"Trevor Etienne – CAR")</f>
        <v>Trevor Etienne – CAR</v>
      </c>
      <c r="G291" s="127">
        <f>IFERROR(__xludf.DUMMYFUNCTION("""COMPUTED_VALUE"""),94.0)</f>
        <v>94</v>
      </c>
      <c r="H291" s="127" t="str">
        <f>IFERROR(__xludf.DUMMYFUNCTION("""COMPUTED_VALUE"""),"RB")</f>
        <v>RB</v>
      </c>
      <c r="I291" s="178">
        <f>IFERROR(__xludf.DUMMYFUNCTION("""COMPUTED_VALUE"""),14.0)</f>
        <v>14</v>
      </c>
    </row>
    <row r="292">
      <c r="A292" s="125">
        <f>IFERROR(__xludf.DUMMYFUNCTION("""COMPUTED_VALUE"""),80.0)</f>
        <v>80</v>
      </c>
      <c r="B292" s="125">
        <f>IFERROR(__xludf.DUMMYFUNCTION("""COMPUTED_VALUE"""),80.0)</f>
        <v>80</v>
      </c>
      <c r="C292" s="125">
        <f>IFERROR(__xludf.DUMMYFUNCTION("""COMPUTED_VALUE"""),80.0)</f>
        <v>80</v>
      </c>
      <c r="D292" s="125">
        <f>IFERROR(__xludf.DUMMYFUNCTION("""COMPUTED_VALUE"""),80.0)</f>
        <v>80</v>
      </c>
      <c r="E292" s="178">
        <f>IFERROR(__xludf.DUMMYFUNCTION("""COMPUTED_VALUE"""),80.0)</f>
        <v>80</v>
      </c>
      <c r="F292" s="127" t="str">
        <f>IFERROR(__xludf.DUMMYFUNCTION("""COMPUTED_VALUE"""),"Devaughn Vele – DEN")</f>
        <v>Devaughn Vele – DEN</v>
      </c>
      <c r="G292" s="127">
        <f>IFERROR(__xludf.DUMMYFUNCTION("""COMPUTED_VALUE"""),105.7)</f>
        <v>105.7</v>
      </c>
      <c r="H292" s="127" t="str">
        <f>IFERROR(__xludf.DUMMYFUNCTION("""COMPUTED_VALUE"""),"WR")</f>
        <v>WR</v>
      </c>
      <c r="I292" s="178">
        <f>IFERROR(__xludf.DUMMYFUNCTION("""COMPUTED_VALUE"""),12.0)</f>
        <v>12</v>
      </c>
    </row>
    <row r="293">
      <c r="A293" s="125">
        <f>IFERROR(__xludf.DUMMYFUNCTION("""COMPUTED_VALUE"""),81.0)</f>
        <v>81</v>
      </c>
      <c r="B293" s="178">
        <f>IFERROR(__xludf.DUMMYFUNCTION("""COMPUTED_VALUE"""),81.0)</f>
        <v>81</v>
      </c>
      <c r="C293" s="125">
        <f>IFERROR(__xludf.DUMMYFUNCTION("""COMPUTED_VALUE"""),81.0)</f>
        <v>81</v>
      </c>
      <c r="D293" s="125">
        <f>IFERROR(__xludf.DUMMYFUNCTION("""COMPUTED_VALUE"""),81.0)</f>
        <v>81</v>
      </c>
      <c r="E293" s="178">
        <f>IFERROR(__xludf.DUMMYFUNCTION("""COMPUTED_VALUE"""),81.0)</f>
        <v>81</v>
      </c>
      <c r="F293" s="127" t="str">
        <f>IFERROR(__xludf.DUMMYFUNCTION("""COMPUTED_VALUE"""),"Antonio Gibson – NE")</f>
        <v>Antonio Gibson – NE</v>
      </c>
      <c r="G293" s="127">
        <f>IFERROR(__xludf.DUMMYFUNCTION("""COMPUTED_VALUE"""),93.0)</f>
        <v>93</v>
      </c>
      <c r="H293" s="127" t="str">
        <f>IFERROR(__xludf.DUMMYFUNCTION("""COMPUTED_VALUE"""),"RB")</f>
        <v>RB</v>
      </c>
      <c r="I293" s="178">
        <f>IFERROR(__xludf.DUMMYFUNCTION("""COMPUTED_VALUE"""),14.0)</f>
        <v>14</v>
      </c>
    </row>
    <row r="294">
      <c r="A294" s="125">
        <f>IFERROR(__xludf.DUMMYFUNCTION("""COMPUTED_VALUE"""),81.0)</f>
        <v>81</v>
      </c>
      <c r="B294" s="125">
        <f>IFERROR(__xludf.DUMMYFUNCTION("""COMPUTED_VALUE"""),81.0)</f>
        <v>81</v>
      </c>
      <c r="C294" s="125">
        <f>IFERROR(__xludf.DUMMYFUNCTION("""COMPUTED_VALUE"""),81.0)</f>
        <v>81</v>
      </c>
      <c r="D294" s="125">
        <f>IFERROR(__xludf.DUMMYFUNCTION("""COMPUTED_VALUE"""),81.0)</f>
        <v>81</v>
      </c>
      <c r="E294" s="178">
        <f>IFERROR(__xludf.DUMMYFUNCTION("""COMPUTED_VALUE"""),81.0)</f>
        <v>81</v>
      </c>
      <c r="F294" s="127" t="str">
        <f>IFERROR(__xludf.DUMMYFUNCTION("""COMPUTED_VALUE"""),"Isaiah Bond – TEX")</f>
        <v>Isaiah Bond – TEX</v>
      </c>
      <c r="G294" s="127">
        <f>IFERROR(__xludf.DUMMYFUNCTION("""COMPUTED_VALUE"""),104.9)</f>
        <v>104.9</v>
      </c>
      <c r="H294" s="127" t="str">
        <f>IFERROR(__xludf.DUMMYFUNCTION("""COMPUTED_VALUE"""),"WR")</f>
        <v>WR</v>
      </c>
      <c r="I294" s="178" t="str">
        <f>IFERROR(__xludf.DUMMYFUNCTION("""COMPUTED_VALUE"""),"—")</f>
        <v>—</v>
      </c>
    </row>
    <row r="295">
      <c r="A295" s="125">
        <f>IFERROR(__xludf.DUMMYFUNCTION("""COMPUTED_VALUE"""),82.0)</f>
        <v>82</v>
      </c>
      <c r="B295" s="125">
        <f>IFERROR(__xludf.DUMMYFUNCTION("""COMPUTED_VALUE"""),82.0)</f>
        <v>82</v>
      </c>
      <c r="C295" s="125">
        <f>IFERROR(__xludf.DUMMYFUNCTION("""COMPUTED_VALUE"""),82.0)</f>
        <v>82</v>
      </c>
      <c r="D295" s="125">
        <f>IFERROR(__xludf.DUMMYFUNCTION("""COMPUTED_VALUE"""),82.0)</f>
        <v>82</v>
      </c>
      <c r="E295" s="178">
        <f>IFERROR(__xludf.DUMMYFUNCTION("""COMPUTED_VALUE"""),82.0)</f>
        <v>82</v>
      </c>
      <c r="F295" s="127" t="str">
        <f>IFERROR(__xludf.DUMMYFUNCTION("""COMPUTED_VALUE"""),"Robbie Ouzts – SEA")</f>
        <v>Robbie Ouzts – SEA</v>
      </c>
      <c r="G295" s="127">
        <f>IFERROR(__xludf.DUMMYFUNCTION("""COMPUTED_VALUE"""),92.0)</f>
        <v>92</v>
      </c>
      <c r="H295" s="127" t="str">
        <f>IFERROR(__xludf.DUMMYFUNCTION("""COMPUTED_VALUE"""),"RB")</f>
        <v>RB</v>
      </c>
      <c r="I295" s="178">
        <f>IFERROR(__xludf.DUMMYFUNCTION("""COMPUTED_VALUE"""),8.0)</f>
        <v>8</v>
      </c>
    </row>
    <row r="296">
      <c r="A296" s="125">
        <f>IFERROR(__xludf.DUMMYFUNCTION("""COMPUTED_VALUE"""),82.0)</f>
        <v>82</v>
      </c>
      <c r="B296" s="125">
        <f>IFERROR(__xludf.DUMMYFUNCTION("""COMPUTED_VALUE"""),82.0)</f>
        <v>82</v>
      </c>
      <c r="C296" s="125">
        <f>IFERROR(__xludf.DUMMYFUNCTION("""COMPUTED_VALUE"""),82.0)</f>
        <v>82</v>
      </c>
      <c r="D296" s="125">
        <f>IFERROR(__xludf.DUMMYFUNCTION("""COMPUTED_VALUE"""),82.0)</f>
        <v>82</v>
      </c>
      <c r="E296" s="178">
        <f>IFERROR(__xludf.DUMMYFUNCTION("""COMPUTED_VALUE"""),82.0)</f>
        <v>82</v>
      </c>
      <c r="F296" s="127" t="str">
        <f>IFERROR(__xludf.DUMMYFUNCTION("""COMPUTED_VALUE"""),"Jordan Whittington – LAR")</f>
        <v>Jordan Whittington – LAR</v>
      </c>
      <c r="G296" s="127">
        <f>IFERROR(__xludf.DUMMYFUNCTION("""COMPUTED_VALUE"""),104.2)</f>
        <v>104.2</v>
      </c>
      <c r="H296" s="127" t="str">
        <f>IFERROR(__xludf.DUMMYFUNCTION("""COMPUTED_VALUE"""),"WR")</f>
        <v>WR</v>
      </c>
      <c r="I296" s="178">
        <f>IFERROR(__xludf.DUMMYFUNCTION("""COMPUTED_VALUE"""),8.0)</f>
        <v>8</v>
      </c>
    </row>
    <row r="297">
      <c r="A297" s="125">
        <f>IFERROR(__xludf.DUMMYFUNCTION("""COMPUTED_VALUE"""),83.0)</f>
        <v>83</v>
      </c>
      <c r="B297" s="125">
        <f>IFERROR(__xludf.DUMMYFUNCTION("""COMPUTED_VALUE"""),83.0)</f>
        <v>83</v>
      </c>
      <c r="C297" s="125">
        <f>IFERROR(__xludf.DUMMYFUNCTION("""COMPUTED_VALUE"""),83.0)</f>
        <v>83</v>
      </c>
      <c r="D297" s="125">
        <f>IFERROR(__xludf.DUMMYFUNCTION("""COMPUTED_VALUE"""),83.0)</f>
        <v>83</v>
      </c>
      <c r="E297" s="178">
        <f>IFERROR(__xludf.DUMMYFUNCTION("""COMPUTED_VALUE"""),83.0)</f>
        <v>83</v>
      </c>
      <c r="F297" s="127" t="str">
        <f>IFERROR(__xludf.DUMMYFUNCTION("""COMPUTED_VALUE"""),"Devin Singletary – NYG")</f>
        <v>Devin Singletary – NYG</v>
      </c>
      <c r="G297" s="127">
        <f>IFERROR(__xludf.DUMMYFUNCTION("""COMPUTED_VALUE"""),91.0)</f>
        <v>91</v>
      </c>
      <c r="H297" s="127" t="str">
        <f>IFERROR(__xludf.DUMMYFUNCTION("""COMPUTED_VALUE"""),"RB")</f>
        <v>RB</v>
      </c>
      <c r="I297" s="178">
        <f>IFERROR(__xludf.DUMMYFUNCTION("""COMPUTED_VALUE"""),14.0)</f>
        <v>14</v>
      </c>
    </row>
    <row r="298">
      <c r="A298" s="125">
        <f>IFERROR(__xludf.DUMMYFUNCTION("""COMPUTED_VALUE"""),83.0)</f>
        <v>83</v>
      </c>
      <c r="B298" s="125">
        <f>IFERROR(__xludf.DUMMYFUNCTION("""COMPUTED_VALUE"""),83.0)</f>
        <v>83</v>
      </c>
      <c r="C298" s="125">
        <f>IFERROR(__xludf.DUMMYFUNCTION("""COMPUTED_VALUE"""),83.0)</f>
        <v>83</v>
      </c>
      <c r="D298" s="125">
        <f>IFERROR(__xludf.DUMMYFUNCTION("""COMPUTED_VALUE"""),83.0)</f>
        <v>83</v>
      </c>
      <c r="E298" s="178">
        <f>IFERROR(__xludf.DUMMYFUNCTION("""COMPUTED_VALUE"""),83.0)</f>
        <v>83</v>
      </c>
      <c r="F298" s="127" t="str">
        <f>IFERROR(__xludf.DUMMYFUNCTION("""COMPUTED_VALUE"""),"Ja’Corey Brooks – FA")</f>
        <v>Ja’Corey Brooks – FA</v>
      </c>
      <c r="G298" s="127">
        <f>IFERROR(__xludf.DUMMYFUNCTION("""COMPUTED_VALUE"""),103.6)</f>
        <v>103.6</v>
      </c>
      <c r="H298" s="127" t="str">
        <f>IFERROR(__xludf.DUMMYFUNCTION("""COMPUTED_VALUE"""),"WR")</f>
        <v>WR</v>
      </c>
      <c r="I298" s="178" t="str">
        <f>IFERROR(__xludf.DUMMYFUNCTION("""COMPUTED_VALUE"""),"—")</f>
        <v>—</v>
      </c>
    </row>
    <row r="299">
      <c r="A299" s="125">
        <f>IFERROR(__xludf.DUMMYFUNCTION("""COMPUTED_VALUE"""),84.0)</f>
        <v>84</v>
      </c>
      <c r="B299" s="125">
        <f>IFERROR(__xludf.DUMMYFUNCTION("""COMPUTED_VALUE"""),84.0)</f>
        <v>84</v>
      </c>
      <c r="C299" s="125">
        <f>IFERROR(__xludf.DUMMYFUNCTION("""COMPUTED_VALUE"""),84.0)</f>
        <v>84</v>
      </c>
      <c r="D299" s="125">
        <f>IFERROR(__xludf.DUMMYFUNCTION("""COMPUTED_VALUE"""),84.0)</f>
        <v>84</v>
      </c>
      <c r="E299" s="178">
        <f>IFERROR(__xludf.DUMMYFUNCTION("""COMPUTED_VALUE"""),84.0)</f>
        <v>84</v>
      </c>
      <c r="F299" s="127" t="str">
        <f>IFERROR(__xludf.DUMMYFUNCTION("""COMPUTED_VALUE"""),"Devin Neal – NO")</f>
        <v>Devin Neal – NO</v>
      </c>
      <c r="G299" s="127">
        <f>IFERROR(__xludf.DUMMYFUNCTION("""COMPUTED_VALUE"""),90.0)</f>
        <v>90</v>
      </c>
      <c r="H299" s="127" t="str">
        <f>IFERROR(__xludf.DUMMYFUNCTION("""COMPUTED_VALUE"""),"RB")</f>
        <v>RB</v>
      </c>
      <c r="I299" s="178">
        <f>IFERROR(__xludf.DUMMYFUNCTION("""COMPUTED_VALUE"""),11.0)</f>
        <v>11</v>
      </c>
    </row>
    <row r="300">
      <c r="A300" s="125">
        <f>IFERROR(__xludf.DUMMYFUNCTION("""COMPUTED_VALUE"""),84.0)</f>
        <v>84</v>
      </c>
      <c r="B300" s="125">
        <f>IFERROR(__xludf.DUMMYFUNCTION("""COMPUTED_VALUE"""),84.0)</f>
        <v>84</v>
      </c>
      <c r="C300" s="125">
        <f>IFERROR(__xludf.DUMMYFUNCTION("""COMPUTED_VALUE"""),84.0)</f>
        <v>84</v>
      </c>
      <c r="D300" s="125">
        <f>IFERROR(__xludf.DUMMYFUNCTION("""COMPUTED_VALUE"""),84.0)</f>
        <v>84</v>
      </c>
      <c r="E300" s="178">
        <f>IFERROR(__xludf.DUMMYFUNCTION("""COMPUTED_VALUE"""),84.0)</f>
        <v>84</v>
      </c>
      <c r="F300" s="127" t="str">
        <f>IFERROR(__xludf.DUMMYFUNCTION("""COMPUTED_VALUE"""),"Beaux Collins – FA")</f>
        <v>Beaux Collins – FA</v>
      </c>
      <c r="G300" s="127">
        <f>IFERROR(__xludf.DUMMYFUNCTION("""COMPUTED_VALUE"""),102.8)</f>
        <v>102.8</v>
      </c>
      <c r="H300" s="127" t="str">
        <f>IFERROR(__xludf.DUMMYFUNCTION("""COMPUTED_VALUE"""),"WR")</f>
        <v>WR</v>
      </c>
      <c r="I300" s="178" t="str">
        <f>IFERROR(__xludf.DUMMYFUNCTION("""COMPUTED_VALUE"""),"—")</f>
        <v>—</v>
      </c>
    </row>
    <row r="301">
      <c r="A301" s="125">
        <f>IFERROR(__xludf.DUMMYFUNCTION("""COMPUTED_VALUE"""),85.0)</f>
        <v>85</v>
      </c>
      <c r="B301" s="125">
        <f>IFERROR(__xludf.DUMMYFUNCTION("""COMPUTED_VALUE"""),85.0)</f>
        <v>85</v>
      </c>
      <c r="C301" s="125">
        <f>IFERROR(__xludf.DUMMYFUNCTION("""COMPUTED_VALUE"""),85.0)</f>
        <v>85</v>
      </c>
      <c r="D301" s="125">
        <f>IFERROR(__xludf.DUMMYFUNCTION("""COMPUTED_VALUE"""),85.0)</f>
        <v>85</v>
      </c>
      <c r="E301" s="178">
        <f>IFERROR(__xludf.DUMMYFUNCTION("""COMPUTED_VALUE"""),85.0)</f>
        <v>85</v>
      </c>
      <c r="F301" s="127" t="str">
        <f>IFERROR(__xludf.DUMMYFUNCTION("""COMPUTED_VALUE"""),"Dameon Pierce – HOU")</f>
        <v>Dameon Pierce – HOU</v>
      </c>
      <c r="G301" s="127">
        <f>IFERROR(__xludf.DUMMYFUNCTION("""COMPUTED_VALUE"""),89.0)</f>
        <v>89</v>
      </c>
      <c r="H301" s="127" t="str">
        <f>IFERROR(__xludf.DUMMYFUNCTION("""COMPUTED_VALUE"""),"RB")</f>
        <v>RB</v>
      </c>
      <c r="I301" s="178">
        <f>IFERROR(__xludf.DUMMYFUNCTION("""COMPUTED_VALUE"""),6.0)</f>
        <v>6</v>
      </c>
    </row>
    <row r="302">
      <c r="A302" s="125">
        <f>IFERROR(__xludf.DUMMYFUNCTION("""COMPUTED_VALUE"""),85.0)</f>
        <v>85</v>
      </c>
      <c r="B302" s="125">
        <f>IFERROR(__xludf.DUMMYFUNCTION("""COMPUTED_VALUE"""),85.0)</f>
        <v>85</v>
      </c>
      <c r="C302" s="125">
        <f>IFERROR(__xludf.DUMMYFUNCTION("""COMPUTED_VALUE"""),85.0)</f>
        <v>85</v>
      </c>
      <c r="D302" s="125">
        <f>IFERROR(__xludf.DUMMYFUNCTION("""COMPUTED_VALUE"""),85.0)</f>
        <v>85</v>
      </c>
      <c r="E302" s="178">
        <f>IFERROR(__xludf.DUMMYFUNCTION("""COMPUTED_VALUE"""),85.0)</f>
        <v>85</v>
      </c>
      <c r="F302" s="127" t="str">
        <f>IFERROR(__xludf.DUMMYFUNCTION("""COMPUTED_VALUE"""),"Andrew Armstrong – FA")</f>
        <v>Andrew Armstrong – FA</v>
      </c>
      <c r="G302" s="127">
        <f>IFERROR(__xludf.DUMMYFUNCTION("""COMPUTED_VALUE"""),101.9)</f>
        <v>101.9</v>
      </c>
      <c r="H302" s="127" t="str">
        <f>IFERROR(__xludf.DUMMYFUNCTION("""COMPUTED_VALUE"""),"WR")</f>
        <v>WR</v>
      </c>
      <c r="I302" s="178" t="str">
        <f>IFERROR(__xludf.DUMMYFUNCTION("""COMPUTED_VALUE"""),"—")</f>
        <v>—</v>
      </c>
    </row>
    <row r="303">
      <c r="A303" s="125">
        <f>IFERROR(__xludf.DUMMYFUNCTION("""COMPUTED_VALUE"""),86.0)</f>
        <v>86</v>
      </c>
      <c r="B303" s="125">
        <f>IFERROR(__xludf.DUMMYFUNCTION("""COMPUTED_VALUE"""),86.0)</f>
        <v>86</v>
      </c>
      <c r="C303" s="125">
        <f>IFERROR(__xludf.DUMMYFUNCTION("""COMPUTED_VALUE"""),86.0)</f>
        <v>86</v>
      </c>
      <c r="D303" s="125">
        <f>IFERROR(__xludf.DUMMYFUNCTION("""COMPUTED_VALUE"""),86.0)</f>
        <v>86</v>
      </c>
      <c r="E303" s="178">
        <f>IFERROR(__xludf.DUMMYFUNCTION("""COMPUTED_VALUE"""),86.0)</f>
        <v>86</v>
      </c>
      <c r="F303" s="127" t="str">
        <f>IFERROR(__xludf.DUMMYFUNCTION("""COMPUTED_VALUE"""),"Jacory Croskey-Merritt – WAS")</f>
        <v>Jacory Croskey-Merritt – WAS</v>
      </c>
      <c r="G303" s="127">
        <f>IFERROR(__xludf.DUMMYFUNCTION("""COMPUTED_VALUE"""),88.0)</f>
        <v>88</v>
      </c>
      <c r="H303" s="127" t="str">
        <f>IFERROR(__xludf.DUMMYFUNCTION("""COMPUTED_VALUE"""),"RB")</f>
        <v>RB</v>
      </c>
      <c r="I303" s="178">
        <f>IFERROR(__xludf.DUMMYFUNCTION("""COMPUTED_VALUE"""),12.0)</f>
        <v>12</v>
      </c>
    </row>
    <row r="304">
      <c r="A304" s="125">
        <f>IFERROR(__xludf.DUMMYFUNCTION("""COMPUTED_VALUE"""),86.0)</f>
        <v>86</v>
      </c>
      <c r="B304" s="125">
        <f>IFERROR(__xludf.DUMMYFUNCTION("""COMPUTED_VALUE"""),86.0)</f>
        <v>86</v>
      </c>
      <c r="C304" s="125">
        <f>IFERROR(__xludf.DUMMYFUNCTION("""COMPUTED_VALUE"""),86.0)</f>
        <v>86</v>
      </c>
      <c r="D304" s="125">
        <f>IFERROR(__xludf.DUMMYFUNCTION("""COMPUTED_VALUE"""),86.0)</f>
        <v>86</v>
      </c>
      <c r="E304" s="178">
        <f>IFERROR(__xludf.DUMMYFUNCTION("""COMPUTED_VALUE"""),86.0)</f>
        <v>86</v>
      </c>
      <c r="F304" s="127" t="str">
        <f>IFERROR(__xludf.DUMMYFUNCTION("""COMPUTED_VALUE"""),"LaJohntay Wester – FA")</f>
        <v>LaJohntay Wester – FA</v>
      </c>
      <c r="G304" s="127">
        <f>IFERROR(__xludf.DUMMYFUNCTION("""COMPUTED_VALUE"""),101.2)</f>
        <v>101.2</v>
      </c>
      <c r="H304" s="127" t="str">
        <f>IFERROR(__xludf.DUMMYFUNCTION("""COMPUTED_VALUE"""),"WR")</f>
        <v>WR</v>
      </c>
      <c r="I304" s="178" t="str">
        <f>IFERROR(__xludf.DUMMYFUNCTION("""COMPUTED_VALUE"""),"—")</f>
        <v>—</v>
      </c>
    </row>
    <row r="305">
      <c r="A305" s="125">
        <f>IFERROR(__xludf.DUMMYFUNCTION("""COMPUTED_VALUE"""),87.0)</f>
        <v>87</v>
      </c>
      <c r="B305" s="125">
        <f>IFERROR(__xludf.DUMMYFUNCTION("""COMPUTED_VALUE"""),87.0)</f>
        <v>87</v>
      </c>
      <c r="C305" s="125">
        <f>IFERROR(__xludf.DUMMYFUNCTION("""COMPUTED_VALUE"""),87.0)</f>
        <v>87</v>
      </c>
      <c r="D305" s="125">
        <f>IFERROR(__xludf.DUMMYFUNCTION("""COMPUTED_VALUE"""),87.0)</f>
        <v>87</v>
      </c>
      <c r="E305" s="178">
        <f>IFERROR(__xludf.DUMMYFUNCTION("""COMPUTED_VALUE"""),87.0)</f>
        <v>87</v>
      </c>
      <c r="F305" s="127" t="str">
        <f>IFERROR(__xludf.DUMMYFUNCTION("""COMPUTED_VALUE"""),"Jordan James – SF")</f>
        <v>Jordan James – SF</v>
      </c>
      <c r="G305" s="127">
        <f>IFERROR(__xludf.DUMMYFUNCTION("""COMPUTED_VALUE"""),87.0)</f>
        <v>87</v>
      </c>
      <c r="H305" s="127" t="str">
        <f>IFERROR(__xludf.DUMMYFUNCTION("""COMPUTED_VALUE"""),"RB")</f>
        <v>RB</v>
      </c>
      <c r="I305" s="178">
        <f>IFERROR(__xludf.DUMMYFUNCTION("""COMPUTED_VALUE"""),14.0)</f>
        <v>14</v>
      </c>
    </row>
    <row r="306">
      <c r="A306" s="125">
        <f>IFERROR(__xludf.DUMMYFUNCTION("""COMPUTED_VALUE"""),87.0)</f>
        <v>87</v>
      </c>
      <c r="B306" s="125">
        <f>IFERROR(__xludf.DUMMYFUNCTION("""COMPUTED_VALUE"""),87.0)</f>
        <v>87</v>
      </c>
      <c r="C306" s="125">
        <f>IFERROR(__xludf.DUMMYFUNCTION("""COMPUTED_VALUE"""),87.0)</f>
        <v>87</v>
      </c>
      <c r="D306" s="125">
        <f>IFERROR(__xludf.DUMMYFUNCTION("""COMPUTED_VALUE"""),87.0)</f>
        <v>87</v>
      </c>
      <c r="E306" s="178">
        <f>IFERROR(__xludf.DUMMYFUNCTION("""COMPUTED_VALUE"""),87.0)</f>
        <v>87</v>
      </c>
      <c r="F306" s="127" t="str">
        <f>IFERROR(__xludf.DUMMYFUNCTION("""COMPUTED_VALUE"""),"Antwane Wells Jr. – FA")</f>
        <v>Antwane Wells Jr. – FA</v>
      </c>
      <c r="G306" s="127">
        <f>IFERROR(__xludf.DUMMYFUNCTION("""COMPUTED_VALUE"""),100.6)</f>
        <v>100.6</v>
      </c>
      <c r="H306" s="127" t="str">
        <f>IFERROR(__xludf.DUMMYFUNCTION("""COMPUTED_VALUE"""),"WR")</f>
        <v>WR</v>
      </c>
      <c r="I306" s="178" t="str">
        <f>IFERROR(__xludf.DUMMYFUNCTION("""COMPUTED_VALUE"""),"—")</f>
        <v>—</v>
      </c>
    </row>
    <row r="307">
      <c r="A307" s="125">
        <f>IFERROR(__xludf.DUMMYFUNCTION("""COMPUTED_VALUE"""),88.0)</f>
        <v>88</v>
      </c>
      <c r="B307" s="125">
        <f>IFERROR(__xludf.DUMMYFUNCTION("""COMPUTED_VALUE"""),88.0)</f>
        <v>88</v>
      </c>
      <c r="C307" s="125">
        <f>IFERROR(__xludf.DUMMYFUNCTION("""COMPUTED_VALUE"""),88.0)</f>
        <v>88</v>
      </c>
      <c r="D307" s="125">
        <f>IFERROR(__xludf.DUMMYFUNCTION("""COMPUTED_VALUE"""),88.0)</f>
        <v>88</v>
      </c>
      <c r="E307" s="178">
        <f>IFERROR(__xludf.DUMMYFUNCTION("""COMPUTED_VALUE"""),88.0)</f>
        <v>88</v>
      </c>
      <c r="F307" s="127" t="str">
        <f>IFERROR(__xludf.DUMMYFUNCTION("""COMPUTED_VALUE"""),"Ameer Abdullah – SF")</f>
        <v>Ameer Abdullah – SF</v>
      </c>
      <c r="G307" s="127">
        <f>IFERROR(__xludf.DUMMYFUNCTION("""COMPUTED_VALUE"""),86.0)</f>
        <v>86</v>
      </c>
      <c r="H307" s="127" t="str">
        <f>IFERROR(__xludf.DUMMYFUNCTION("""COMPUTED_VALUE"""),"RB")</f>
        <v>RB</v>
      </c>
      <c r="I307" s="178">
        <f>IFERROR(__xludf.DUMMYFUNCTION("""COMPUTED_VALUE"""),14.0)</f>
        <v>14</v>
      </c>
    </row>
    <row r="308">
      <c r="A308" s="125">
        <f>IFERROR(__xludf.DUMMYFUNCTION("""COMPUTED_VALUE"""),88.0)</f>
        <v>88</v>
      </c>
      <c r="B308" s="125">
        <f>IFERROR(__xludf.DUMMYFUNCTION("""COMPUTED_VALUE"""),88.0)</f>
        <v>88</v>
      </c>
      <c r="C308" s="125">
        <f>IFERROR(__xludf.DUMMYFUNCTION("""COMPUTED_VALUE"""),88.0)</f>
        <v>88</v>
      </c>
      <c r="D308" s="125">
        <f>IFERROR(__xludf.DUMMYFUNCTION("""COMPUTED_VALUE"""),88.0)</f>
        <v>88</v>
      </c>
      <c r="E308" s="178">
        <f>IFERROR(__xludf.DUMMYFUNCTION("""COMPUTED_VALUE"""),88.0)</f>
        <v>88</v>
      </c>
      <c r="F308" s="127" t="str">
        <f>IFERROR(__xludf.DUMMYFUNCTION("""COMPUTED_VALUE"""),"Tyjae Spears – TEN")</f>
        <v>Tyjae Spears – TEN</v>
      </c>
      <c r="G308" s="127">
        <f>IFERROR(__xludf.DUMMYFUNCTION("""COMPUTED_VALUE"""),100.0)</f>
        <v>100</v>
      </c>
      <c r="H308" s="127" t="str">
        <f>IFERROR(__xludf.DUMMYFUNCTION("""COMPUTED_VALUE"""),"WR")</f>
        <v>WR</v>
      </c>
      <c r="I308" s="178">
        <f>IFERROR(__xludf.DUMMYFUNCTION("""COMPUTED_VALUE"""),10.0)</f>
        <v>10</v>
      </c>
    </row>
    <row r="309">
      <c r="A309" s="125">
        <f>IFERROR(__xludf.DUMMYFUNCTION("""COMPUTED_VALUE"""),89.0)</f>
        <v>89</v>
      </c>
      <c r="B309" s="125">
        <f>IFERROR(__xludf.DUMMYFUNCTION("""COMPUTED_VALUE"""),89.0)</f>
        <v>89</v>
      </c>
      <c r="C309" s="125">
        <f>IFERROR(__xludf.DUMMYFUNCTION("""COMPUTED_VALUE"""),89.0)</f>
        <v>89</v>
      </c>
      <c r="D309" s="125">
        <f>IFERROR(__xludf.DUMMYFUNCTION("""COMPUTED_VALUE"""),89.0)</f>
        <v>89</v>
      </c>
      <c r="E309" s="178">
        <f>IFERROR(__xludf.DUMMYFUNCTION("""COMPUTED_VALUE"""),89.0)</f>
        <v>89</v>
      </c>
      <c r="F309" s="127" t="str">
        <f>IFERROR(__xludf.DUMMYFUNCTION("""COMPUTED_VALUE"""),"DJ Giddens – IND")</f>
        <v>DJ Giddens – IND</v>
      </c>
      <c r="G309" s="127">
        <f>IFERROR(__xludf.DUMMYFUNCTION("""COMPUTED_VALUE"""),85.0)</f>
        <v>85</v>
      </c>
      <c r="H309" s="127" t="str">
        <f>IFERROR(__xludf.DUMMYFUNCTION("""COMPUTED_VALUE"""),"RB")</f>
        <v>RB</v>
      </c>
      <c r="I309" s="178">
        <f>IFERROR(__xludf.DUMMYFUNCTION("""COMPUTED_VALUE"""),11.0)</f>
        <v>11</v>
      </c>
    </row>
    <row r="310">
      <c r="A310" s="125">
        <f>IFERROR(__xludf.DUMMYFUNCTION("""COMPUTED_VALUE"""),89.0)</f>
        <v>89</v>
      </c>
      <c r="B310" s="125">
        <f>IFERROR(__xludf.DUMMYFUNCTION("""COMPUTED_VALUE"""),89.0)</f>
        <v>89</v>
      </c>
      <c r="C310" s="125">
        <f>IFERROR(__xludf.DUMMYFUNCTION("""COMPUTED_VALUE"""),89.0)</f>
        <v>89</v>
      </c>
      <c r="D310" s="125">
        <f>IFERROR(__xludf.DUMMYFUNCTION("""COMPUTED_VALUE"""),89.0)</f>
        <v>89</v>
      </c>
      <c r="E310" s="178">
        <f>IFERROR(__xludf.DUMMYFUNCTION("""COMPUTED_VALUE"""),89.0)</f>
        <v>89</v>
      </c>
      <c r="F310" s="127" t="str">
        <f>IFERROR(__xludf.DUMMYFUNCTION("""COMPUTED_VALUE"""),"Van Jefferson – TEN")</f>
        <v>Van Jefferson – TEN</v>
      </c>
      <c r="G310" s="127">
        <f>IFERROR(__xludf.DUMMYFUNCTION("""COMPUTED_VALUE"""),99.4)</f>
        <v>99.4</v>
      </c>
      <c r="H310" s="127" t="str">
        <f>IFERROR(__xludf.DUMMYFUNCTION("""COMPUTED_VALUE"""),"WR")</f>
        <v>WR</v>
      </c>
      <c r="I310" s="178">
        <f>IFERROR(__xludf.DUMMYFUNCTION("""COMPUTED_VALUE"""),10.0)</f>
        <v>10</v>
      </c>
    </row>
    <row r="311">
      <c r="A311" s="125">
        <f>IFERROR(__xludf.DUMMYFUNCTION("""COMPUTED_VALUE"""),90.0)</f>
        <v>90</v>
      </c>
      <c r="B311" s="125">
        <f>IFERROR(__xludf.DUMMYFUNCTION("""COMPUTED_VALUE"""),90.0)</f>
        <v>90</v>
      </c>
      <c r="C311" s="125">
        <f>IFERROR(__xludf.DUMMYFUNCTION("""COMPUTED_VALUE"""),90.0)</f>
        <v>90</v>
      </c>
      <c r="D311" s="125">
        <f>IFERROR(__xludf.DUMMYFUNCTION("""COMPUTED_VALUE"""),90.0)</f>
        <v>90</v>
      </c>
      <c r="E311" s="178">
        <f>IFERROR(__xludf.DUMMYFUNCTION("""COMPUTED_VALUE"""),90.0)</f>
        <v>90</v>
      </c>
      <c r="F311" s="127" t="str">
        <f>IFERROR(__xludf.DUMMYFUNCTION("""COMPUTED_VALUE"""),"Jaleel McLaughlin – DEN")</f>
        <v>Jaleel McLaughlin – DEN</v>
      </c>
      <c r="G311" s="127">
        <f>IFERROR(__xludf.DUMMYFUNCTION("""COMPUTED_VALUE"""),84.0)</f>
        <v>84</v>
      </c>
      <c r="H311" s="127" t="str">
        <f>IFERROR(__xludf.DUMMYFUNCTION("""COMPUTED_VALUE"""),"RB")</f>
        <v>RB</v>
      </c>
      <c r="I311" s="178">
        <f>IFERROR(__xludf.DUMMYFUNCTION("""COMPUTED_VALUE"""),12.0)</f>
        <v>12</v>
      </c>
    </row>
    <row r="312">
      <c r="A312" s="125">
        <f>IFERROR(__xludf.DUMMYFUNCTION("""COMPUTED_VALUE"""),90.0)</f>
        <v>90</v>
      </c>
      <c r="B312" s="125">
        <f>IFERROR(__xludf.DUMMYFUNCTION("""COMPUTED_VALUE"""),90.0)</f>
        <v>90</v>
      </c>
      <c r="C312" s="125">
        <f>IFERROR(__xludf.DUMMYFUNCTION("""COMPUTED_VALUE"""),90.0)</f>
        <v>90</v>
      </c>
      <c r="D312" s="125">
        <f>IFERROR(__xludf.DUMMYFUNCTION("""COMPUTED_VALUE"""),90.0)</f>
        <v>90</v>
      </c>
      <c r="E312" s="178">
        <f>IFERROR(__xludf.DUMMYFUNCTION("""COMPUTED_VALUE"""),90.0)</f>
        <v>90</v>
      </c>
      <c r="F312" s="127" t="str">
        <f>IFERROR(__xludf.DUMMYFUNCTION("""COMPUTED_VALUE"""),"Jermaine Burton – CIN")</f>
        <v>Jermaine Burton – CIN</v>
      </c>
      <c r="G312" s="127">
        <f>IFERROR(__xludf.DUMMYFUNCTION("""COMPUTED_VALUE"""),98.7)</f>
        <v>98.7</v>
      </c>
      <c r="H312" s="127" t="str">
        <f>IFERROR(__xludf.DUMMYFUNCTION("""COMPUTED_VALUE"""),"WR")</f>
        <v>WR</v>
      </c>
      <c r="I312" s="178">
        <f>IFERROR(__xludf.DUMMYFUNCTION("""COMPUTED_VALUE"""),10.0)</f>
        <v>10</v>
      </c>
    </row>
    <row r="313">
      <c r="A313" s="125">
        <f>IFERROR(__xludf.DUMMYFUNCTION("""COMPUTED_VALUE"""),91.0)</f>
        <v>91</v>
      </c>
      <c r="B313" s="125">
        <f>IFERROR(__xludf.DUMMYFUNCTION("""COMPUTED_VALUE"""),91.0)</f>
        <v>91</v>
      </c>
      <c r="C313" s="125">
        <f>IFERROR(__xludf.DUMMYFUNCTION("""COMPUTED_VALUE"""),91.0)</f>
        <v>91</v>
      </c>
      <c r="D313" s="125">
        <f>IFERROR(__xludf.DUMMYFUNCTION("""COMPUTED_VALUE"""),91.0)</f>
        <v>91</v>
      </c>
      <c r="E313" s="178">
        <f>IFERROR(__xludf.DUMMYFUNCTION("""COMPUTED_VALUE"""),91.0)</f>
        <v>91</v>
      </c>
      <c r="F313" s="127" t="str">
        <f>IFERROR(__xludf.DUMMYFUNCTION("""COMPUTED_VALUE"""),"Kyle Juszczyk – SF")</f>
        <v>Kyle Juszczyk – SF</v>
      </c>
      <c r="G313" s="127">
        <f>IFERROR(__xludf.DUMMYFUNCTION("""COMPUTED_VALUE"""),83.0)</f>
        <v>83</v>
      </c>
      <c r="H313" s="127" t="str">
        <f>IFERROR(__xludf.DUMMYFUNCTION("""COMPUTED_VALUE"""),"RB")</f>
        <v>RB</v>
      </c>
      <c r="I313" s="178">
        <f>IFERROR(__xludf.DUMMYFUNCTION("""COMPUTED_VALUE"""),14.0)</f>
        <v>14</v>
      </c>
    </row>
    <row r="314">
      <c r="A314" s="125">
        <f>IFERROR(__xludf.DUMMYFUNCTION("""COMPUTED_VALUE"""),91.0)</f>
        <v>91</v>
      </c>
      <c r="B314" s="125">
        <f>IFERROR(__xludf.DUMMYFUNCTION("""COMPUTED_VALUE"""),91.0)</f>
        <v>91</v>
      </c>
      <c r="C314" s="125">
        <f>IFERROR(__xludf.DUMMYFUNCTION("""COMPUTED_VALUE"""),91.0)</f>
        <v>91</v>
      </c>
      <c r="D314" s="125">
        <f>IFERROR(__xludf.DUMMYFUNCTION("""COMPUTED_VALUE"""),91.0)</f>
        <v>91</v>
      </c>
      <c r="E314" s="178">
        <f>IFERROR(__xludf.DUMMYFUNCTION("""COMPUTED_VALUE"""),91.0)</f>
        <v>91</v>
      </c>
      <c r="F314" s="127" t="str">
        <f>IFERROR(__xludf.DUMMYFUNCTION("""COMPUTED_VALUE"""),"K.J. Osborn – WAS")</f>
        <v>K.J. Osborn – WAS</v>
      </c>
      <c r="G314" s="127">
        <f>IFERROR(__xludf.DUMMYFUNCTION("""COMPUTED_VALUE"""),98.1)</f>
        <v>98.1</v>
      </c>
      <c r="H314" s="127" t="str">
        <f>IFERROR(__xludf.DUMMYFUNCTION("""COMPUTED_VALUE"""),"WR")</f>
        <v>WR</v>
      </c>
      <c r="I314" s="178">
        <f>IFERROR(__xludf.DUMMYFUNCTION("""COMPUTED_VALUE"""),12.0)</f>
        <v>12</v>
      </c>
    </row>
    <row r="315">
      <c r="A315" s="125">
        <f>IFERROR(__xludf.DUMMYFUNCTION("""COMPUTED_VALUE"""),92.0)</f>
        <v>92</v>
      </c>
      <c r="B315" s="125">
        <f>IFERROR(__xludf.DUMMYFUNCTION("""COMPUTED_VALUE"""),92.0)</f>
        <v>92</v>
      </c>
      <c r="C315" s="125">
        <f>IFERROR(__xludf.DUMMYFUNCTION("""COMPUTED_VALUE"""),92.0)</f>
        <v>92</v>
      </c>
      <c r="D315" s="125">
        <f>IFERROR(__xludf.DUMMYFUNCTION("""COMPUTED_VALUE"""),92.0)</f>
        <v>92</v>
      </c>
      <c r="E315" s="178">
        <f>IFERROR(__xludf.DUMMYFUNCTION("""COMPUTED_VALUE"""),92.0)</f>
        <v>92</v>
      </c>
      <c r="F315" s="127" t="str">
        <f>IFERROR(__xludf.DUMMYFUNCTION("""COMPUTED_VALUE"""),"Emari Demercado – ARI")</f>
        <v>Emari Demercado – ARI</v>
      </c>
      <c r="G315" s="127">
        <f>IFERROR(__xludf.DUMMYFUNCTION("""COMPUTED_VALUE"""),82.0)</f>
        <v>82</v>
      </c>
      <c r="H315" s="127" t="str">
        <f>IFERROR(__xludf.DUMMYFUNCTION("""COMPUTED_VALUE"""),"RB")</f>
        <v>RB</v>
      </c>
      <c r="I315" s="178">
        <f>IFERROR(__xludf.DUMMYFUNCTION("""COMPUTED_VALUE"""),8.0)</f>
        <v>8</v>
      </c>
    </row>
    <row r="316">
      <c r="A316" s="125">
        <f>IFERROR(__xludf.DUMMYFUNCTION("""COMPUTED_VALUE"""),92.0)</f>
        <v>92</v>
      </c>
      <c r="B316" s="125">
        <f>IFERROR(__xludf.DUMMYFUNCTION("""COMPUTED_VALUE"""),92.0)</f>
        <v>92</v>
      </c>
      <c r="C316" s="125">
        <f>IFERROR(__xludf.DUMMYFUNCTION("""COMPUTED_VALUE"""),92.0)</f>
        <v>92</v>
      </c>
      <c r="D316" s="125">
        <f>IFERROR(__xludf.DUMMYFUNCTION("""COMPUTED_VALUE"""),92.0)</f>
        <v>92</v>
      </c>
      <c r="E316" s="178">
        <f>IFERROR(__xludf.DUMMYFUNCTION("""COMPUTED_VALUE"""),92.0)</f>
        <v>92</v>
      </c>
      <c r="F316" s="127" t="str">
        <f>IFERROR(__xludf.DUMMYFUNCTION("""COMPUTED_VALUE"""),"JuJu Smith-Schuster – KC")</f>
        <v>JuJu Smith-Schuster – KC</v>
      </c>
      <c r="G316" s="127">
        <f>IFERROR(__xludf.DUMMYFUNCTION("""COMPUTED_VALUE"""),97.5)</f>
        <v>97.5</v>
      </c>
      <c r="H316" s="127" t="str">
        <f>IFERROR(__xludf.DUMMYFUNCTION("""COMPUTED_VALUE"""),"WR")</f>
        <v>WR</v>
      </c>
      <c r="I316" s="178">
        <f>IFERROR(__xludf.DUMMYFUNCTION("""COMPUTED_VALUE"""),10.0)</f>
        <v>10</v>
      </c>
    </row>
    <row r="317">
      <c r="A317" s="125">
        <f>IFERROR(__xludf.DUMMYFUNCTION("""COMPUTED_VALUE"""),93.0)</f>
        <v>93</v>
      </c>
      <c r="B317" s="125">
        <f>IFERROR(__xludf.DUMMYFUNCTION("""COMPUTED_VALUE"""),93.0)</f>
        <v>93</v>
      </c>
      <c r="C317" s="125">
        <f>IFERROR(__xludf.DUMMYFUNCTION("""COMPUTED_VALUE"""),93.0)</f>
        <v>93</v>
      </c>
      <c r="D317" s="125">
        <f>IFERROR(__xludf.DUMMYFUNCTION("""COMPUTED_VALUE"""),93.0)</f>
        <v>93</v>
      </c>
      <c r="E317" s="178">
        <f>IFERROR(__xludf.DUMMYFUNCTION("""COMPUTED_VALUE"""),93.0)</f>
        <v>93</v>
      </c>
      <c r="F317" s="127" t="str">
        <f>IFERROR(__xludf.DUMMYFUNCTION("""COMPUTED_VALUE"""),"Amar Johnson – GB")</f>
        <v>Amar Johnson – GB</v>
      </c>
      <c r="G317" s="127">
        <f>IFERROR(__xludf.DUMMYFUNCTION("""COMPUTED_VALUE"""),81.0)</f>
        <v>81</v>
      </c>
      <c r="H317" s="127" t="str">
        <f>IFERROR(__xludf.DUMMYFUNCTION("""COMPUTED_VALUE"""),"RB")</f>
        <v>RB</v>
      </c>
      <c r="I317" s="178">
        <f>IFERROR(__xludf.DUMMYFUNCTION("""COMPUTED_VALUE"""),5.0)</f>
        <v>5</v>
      </c>
    </row>
    <row r="318">
      <c r="A318" s="125">
        <f>IFERROR(__xludf.DUMMYFUNCTION("""COMPUTED_VALUE"""),93.0)</f>
        <v>93</v>
      </c>
      <c r="B318" s="125">
        <f>IFERROR(__xludf.DUMMYFUNCTION("""COMPUTED_VALUE"""),93.0)</f>
        <v>93</v>
      </c>
      <c r="C318" s="125">
        <f>IFERROR(__xludf.DUMMYFUNCTION("""COMPUTED_VALUE"""),93.0)</f>
        <v>93</v>
      </c>
      <c r="D318" s="125">
        <f>IFERROR(__xludf.DUMMYFUNCTION("""COMPUTED_VALUE"""),93.0)</f>
        <v>93</v>
      </c>
      <c r="E318" s="178">
        <f>IFERROR(__xludf.DUMMYFUNCTION("""COMPUTED_VALUE"""),93.0)</f>
        <v>93</v>
      </c>
      <c r="F318" s="127" t="str">
        <f>IFERROR(__xludf.DUMMYFUNCTION("""COMPUTED_VALUE"""),"Ty Felton – MIN")</f>
        <v>Ty Felton – MIN</v>
      </c>
      <c r="G318" s="127">
        <f>IFERROR(__xludf.DUMMYFUNCTION("""COMPUTED_VALUE"""),96.8)</f>
        <v>96.8</v>
      </c>
      <c r="H318" s="127" t="str">
        <f>IFERROR(__xludf.DUMMYFUNCTION("""COMPUTED_VALUE"""),"WR")</f>
        <v>WR</v>
      </c>
      <c r="I318" s="178">
        <f>IFERROR(__xludf.DUMMYFUNCTION("""COMPUTED_VALUE"""),6.0)</f>
        <v>6</v>
      </c>
    </row>
    <row r="319">
      <c r="A319" s="125">
        <f>IFERROR(__xludf.DUMMYFUNCTION("""COMPUTED_VALUE"""),94.0)</f>
        <v>94</v>
      </c>
      <c r="B319" s="125">
        <f>IFERROR(__xludf.DUMMYFUNCTION("""COMPUTED_VALUE"""),94.0)</f>
        <v>94</v>
      </c>
      <c r="C319" s="125">
        <f>IFERROR(__xludf.DUMMYFUNCTION("""COMPUTED_VALUE"""),94.0)</f>
        <v>94</v>
      </c>
      <c r="D319" s="125">
        <f>IFERROR(__xludf.DUMMYFUNCTION("""COMPUTED_VALUE"""),94.0)</f>
        <v>94</v>
      </c>
      <c r="E319" s="178">
        <f>IFERROR(__xludf.DUMMYFUNCTION("""COMPUTED_VALUE"""),94.0)</f>
        <v>94</v>
      </c>
      <c r="F319" s="127" t="str">
        <f>IFERROR(__xludf.DUMMYFUNCTION("""COMPUTED_VALUE"""),"Brashard Smith – KC")</f>
        <v>Brashard Smith – KC</v>
      </c>
      <c r="G319" s="127">
        <f>IFERROR(__xludf.DUMMYFUNCTION("""COMPUTED_VALUE"""),80.0)</f>
        <v>80</v>
      </c>
      <c r="H319" s="127" t="str">
        <f>IFERROR(__xludf.DUMMYFUNCTION("""COMPUTED_VALUE"""),"RB")</f>
        <v>RB</v>
      </c>
      <c r="I319" s="178">
        <f>IFERROR(__xludf.DUMMYFUNCTION("""COMPUTED_VALUE"""),10.0)</f>
        <v>10</v>
      </c>
    </row>
    <row r="320">
      <c r="A320" s="125">
        <f>IFERROR(__xludf.DUMMYFUNCTION("""COMPUTED_VALUE"""),94.0)</f>
        <v>94</v>
      </c>
      <c r="B320" s="125">
        <f>IFERROR(__xludf.DUMMYFUNCTION("""COMPUTED_VALUE"""),94.0)</f>
        <v>94</v>
      </c>
      <c r="C320" s="125">
        <f>IFERROR(__xludf.DUMMYFUNCTION("""COMPUTED_VALUE"""),94.0)</f>
        <v>94</v>
      </c>
      <c r="D320" s="125">
        <f>IFERROR(__xludf.DUMMYFUNCTION("""COMPUTED_VALUE"""),94.0)</f>
        <v>94</v>
      </c>
      <c r="E320" s="178">
        <f>IFERROR(__xludf.DUMMYFUNCTION("""COMPUTED_VALUE"""),94.0)</f>
        <v>94</v>
      </c>
      <c r="F320" s="127" t="str">
        <f>IFERROR(__xludf.DUMMYFUNCTION("""COMPUTED_VALUE"""),"Anthony Miller – BAL")</f>
        <v>Anthony Miller – BAL</v>
      </c>
      <c r="G320" s="127">
        <f>IFERROR(__xludf.DUMMYFUNCTION("""COMPUTED_VALUE"""),96.0)</f>
        <v>96</v>
      </c>
      <c r="H320" s="127" t="str">
        <f>IFERROR(__xludf.DUMMYFUNCTION("""COMPUTED_VALUE"""),"WR")</f>
        <v>WR</v>
      </c>
      <c r="I320" s="178">
        <f>IFERROR(__xludf.DUMMYFUNCTION("""COMPUTED_VALUE"""),7.0)</f>
        <v>7</v>
      </c>
    </row>
    <row r="321">
      <c r="A321" s="125">
        <f>IFERROR(__xludf.DUMMYFUNCTION("""COMPUTED_VALUE"""),95.0)</f>
        <v>95</v>
      </c>
      <c r="B321" s="125">
        <f>IFERROR(__xludf.DUMMYFUNCTION("""COMPUTED_VALUE"""),95.0)</f>
        <v>95</v>
      </c>
      <c r="C321" s="125">
        <f>IFERROR(__xludf.DUMMYFUNCTION("""COMPUTED_VALUE"""),95.0)</f>
        <v>95</v>
      </c>
      <c r="D321" s="125">
        <f>IFERROR(__xludf.DUMMYFUNCTION("""COMPUTED_VALUE"""),95.0)</f>
        <v>95</v>
      </c>
      <c r="E321" s="178">
        <f>IFERROR(__xludf.DUMMYFUNCTION("""COMPUTED_VALUE"""),95.0)</f>
        <v>95</v>
      </c>
      <c r="F321" s="127" t="str">
        <f>IFERROR(__xludf.DUMMYFUNCTION("""COMPUTED_VALUE"""),"Isaiah Davis – NYJ")</f>
        <v>Isaiah Davis – NYJ</v>
      </c>
      <c r="G321" s="127">
        <f>IFERROR(__xludf.DUMMYFUNCTION("""COMPUTED_VALUE"""),79.0)</f>
        <v>79</v>
      </c>
      <c r="H321" s="127" t="str">
        <f>IFERROR(__xludf.DUMMYFUNCTION("""COMPUTED_VALUE"""),"RB")</f>
        <v>RB</v>
      </c>
      <c r="I321" s="178">
        <f>IFERROR(__xludf.DUMMYFUNCTION("""COMPUTED_VALUE"""),9.0)</f>
        <v>9</v>
      </c>
    </row>
    <row r="322">
      <c r="A322" s="125">
        <f>IFERROR(__xludf.DUMMYFUNCTION("""COMPUTED_VALUE"""),95.0)</f>
        <v>95</v>
      </c>
      <c r="B322" s="125">
        <f>IFERROR(__xludf.DUMMYFUNCTION("""COMPUTED_VALUE"""),95.0)</f>
        <v>95</v>
      </c>
      <c r="C322" s="125">
        <f>IFERROR(__xludf.DUMMYFUNCTION("""COMPUTED_VALUE"""),95.0)</f>
        <v>95</v>
      </c>
      <c r="D322" s="125">
        <f>IFERROR(__xludf.DUMMYFUNCTION("""COMPUTED_VALUE"""),95.0)</f>
        <v>95</v>
      </c>
      <c r="E322" s="178">
        <f>IFERROR(__xludf.DUMMYFUNCTION("""COMPUTED_VALUE"""),95.0)</f>
        <v>95</v>
      </c>
      <c r="F322" s="127" t="str">
        <f>IFERROR(__xludf.DUMMYFUNCTION("""COMPUTED_VALUE"""),"Elijah Moore – BUF")</f>
        <v>Elijah Moore – BUF</v>
      </c>
      <c r="G322" s="127">
        <f>IFERROR(__xludf.DUMMYFUNCTION("""COMPUTED_VALUE"""),95.3)</f>
        <v>95.3</v>
      </c>
      <c r="H322" s="127" t="str">
        <f>IFERROR(__xludf.DUMMYFUNCTION("""COMPUTED_VALUE"""),"WR")</f>
        <v>WR</v>
      </c>
      <c r="I322" s="178">
        <f>IFERROR(__xludf.DUMMYFUNCTION("""COMPUTED_VALUE"""),7.0)</f>
        <v>7</v>
      </c>
    </row>
    <row r="323">
      <c r="A323" s="125">
        <f>IFERROR(__xludf.DUMMYFUNCTION("""COMPUTED_VALUE"""),96.0)</f>
        <v>96</v>
      </c>
      <c r="B323" s="125">
        <f>IFERROR(__xludf.DUMMYFUNCTION("""COMPUTED_VALUE"""),96.0)</f>
        <v>96</v>
      </c>
      <c r="C323" s="125">
        <f>IFERROR(__xludf.DUMMYFUNCTION("""COMPUTED_VALUE"""),96.0)</f>
        <v>96</v>
      </c>
      <c r="D323" s="125">
        <f>IFERROR(__xludf.DUMMYFUNCTION("""COMPUTED_VALUE"""),96.0)</f>
        <v>96</v>
      </c>
      <c r="E323" s="178">
        <f>IFERROR(__xludf.DUMMYFUNCTION("""COMPUTED_VALUE"""),96.0)</f>
        <v>96</v>
      </c>
      <c r="F323" s="127" t="str">
        <f>IFERROR(__xludf.DUMMYFUNCTION("""COMPUTED_VALUE"""),"Chris Rodriguez Jr. – WAS")</f>
        <v>Chris Rodriguez Jr. – WAS</v>
      </c>
      <c r="G323" s="127">
        <f>IFERROR(__xludf.DUMMYFUNCTION("""COMPUTED_VALUE"""),78.0)</f>
        <v>78</v>
      </c>
      <c r="H323" s="127" t="str">
        <f>IFERROR(__xludf.DUMMYFUNCTION("""COMPUTED_VALUE"""),"RB")</f>
        <v>RB</v>
      </c>
      <c r="I323" s="178">
        <f>IFERROR(__xludf.DUMMYFUNCTION("""COMPUTED_VALUE"""),12.0)</f>
        <v>12</v>
      </c>
    </row>
    <row r="324">
      <c r="A324" s="125">
        <f>IFERROR(__xludf.DUMMYFUNCTION("""COMPUTED_VALUE"""),96.0)</f>
        <v>96</v>
      </c>
      <c r="B324" s="125">
        <f>IFERROR(__xludf.DUMMYFUNCTION("""COMPUTED_VALUE"""),96.0)</f>
        <v>96</v>
      </c>
      <c r="C324" s="125">
        <f>IFERROR(__xludf.DUMMYFUNCTION("""COMPUTED_VALUE"""),96.0)</f>
        <v>96</v>
      </c>
      <c r="D324" s="125">
        <f>IFERROR(__xludf.DUMMYFUNCTION("""COMPUTED_VALUE"""),96.0)</f>
        <v>96</v>
      </c>
      <c r="E324" s="178">
        <f>IFERROR(__xludf.DUMMYFUNCTION("""COMPUTED_VALUE"""),96.0)</f>
        <v>96</v>
      </c>
      <c r="F324" s="127" t="str">
        <f>IFERROR(__xludf.DUMMYFUNCTION("""COMPUTED_VALUE"""),"Josh Palmer – BUF")</f>
        <v>Josh Palmer – BUF</v>
      </c>
      <c r="G324" s="127">
        <f>IFERROR(__xludf.DUMMYFUNCTION("""COMPUTED_VALUE"""),94.7)</f>
        <v>94.7</v>
      </c>
      <c r="H324" s="127" t="str">
        <f>IFERROR(__xludf.DUMMYFUNCTION("""COMPUTED_VALUE"""),"WR")</f>
        <v>WR</v>
      </c>
      <c r="I324" s="178">
        <f>IFERROR(__xludf.DUMMYFUNCTION("""COMPUTED_VALUE"""),7.0)</f>
        <v>7</v>
      </c>
    </row>
    <row r="325">
      <c r="A325" s="125">
        <f>IFERROR(__xludf.DUMMYFUNCTION("""COMPUTED_VALUE"""),97.0)</f>
        <v>97</v>
      </c>
      <c r="B325" s="125">
        <f>IFERROR(__xludf.DUMMYFUNCTION("""COMPUTED_VALUE"""),97.0)</f>
        <v>97</v>
      </c>
      <c r="C325" s="125">
        <f>IFERROR(__xludf.DUMMYFUNCTION("""COMPUTED_VALUE"""),97.0)</f>
        <v>97</v>
      </c>
      <c r="D325" s="125">
        <f>IFERROR(__xludf.DUMMYFUNCTION("""COMPUTED_VALUE"""),97.0)</f>
        <v>97</v>
      </c>
      <c r="E325" s="178">
        <f>IFERROR(__xludf.DUMMYFUNCTION("""COMPUTED_VALUE"""),97.0)</f>
        <v>97</v>
      </c>
      <c r="F325" s="127" t="str">
        <f>IFERROR(__xludf.DUMMYFUNCTION("""COMPUTED_VALUE"""),"Audric Estime – DEN")</f>
        <v>Audric Estime – DEN</v>
      </c>
      <c r="G325" s="127">
        <f>IFERROR(__xludf.DUMMYFUNCTION("""COMPUTED_VALUE"""),77.0)</f>
        <v>77</v>
      </c>
      <c r="H325" s="127" t="str">
        <f>IFERROR(__xludf.DUMMYFUNCTION("""COMPUTED_VALUE"""),"RB")</f>
        <v>RB</v>
      </c>
      <c r="I325" s="178">
        <f>IFERROR(__xludf.DUMMYFUNCTION("""COMPUTED_VALUE"""),12.0)</f>
        <v>12</v>
      </c>
    </row>
    <row r="326">
      <c r="A326" s="125">
        <f>IFERROR(__xludf.DUMMYFUNCTION("""COMPUTED_VALUE"""),97.0)</f>
        <v>97</v>
      </c>
      <c r="B326" s="125">
        <f>IFERROR(__xludf.DUMMYFUNCTION("""COMPUTED_VALUE"""),97.0)</f>
        <v>97</v>
      </c>
      <c r="C326" s="125">
        <f>IFERROR(__xludf.DUMMYFUNCTION("""COMPUTED_VALUE"""),97.0)</f>
        <v>97</v>
      </c>
      <c r="D326" s="125">
        <f>IFERROR(__xludf.DUMMYFUNCTION("""COMPUTED_VALUE"""),97.0)</f>
        <v>97</v>
      </c>
      <c r="E326" s="178">
        <f>IFERROR(__xludf.DUMMYFUNCTION("""COMPUTED_VALUE"""),97.0)</f>
        <v>97</v>
      </c>
      <c r="F326" s="127" t="str">
        <f>IFERROR(__xludf.DUMMYFUNCTION("""COMPUTED_VALUE"""),"Kalif Raymond – DET")</f>
        <v>Kalif Raymond – DET</v>
      </c>
      <c r="G326" s="127">
        <f>IFERROR(__xludf.DUMMYFUNCTION("""COMPUTED_VALUE"""),94.0)</f>
        <v>94</v>
      </c>
      <c r="H326" s="127" t="str">
        <f>IFERROR(__xludf.DUMMYFUNCTION("""COMPUTED_VALUE"""),"WR")</f>
        <v>WR</v>
      </c>
      <c r="I326" s="178">
        <f>IFERROR(__xludf.DUMMYFUNCTION("""COMPUTED_VALUE"""),8.0)</f>
        <v>8</v>
      </c>
    </row>
    <row r="327">
      <c r="A327" s="125">
        <f>IFERROR(__xludf.DUMMYFUNCTION("""COMPUTED_VALUE"""),98.0)</f>
        <v>98</v>
      </c>
      <c r="B327" s="125">
        <f>IFERROR(__xludf.DUMMYFUNCTION("""COMPUTED_VALUE"""),98.0)</f>
        <v>98</v>
      </c>
      <c r="C327" s="125">
        <f>IFERROR(__xludf.DUMMYFUNCTION("""COMPUTED_VALUE"""),98.0)</f>
        <v>98</v>
      </c>
      <c r="D327" s="125">
        <f>IFERROR(__xludf.DUMMYFUNCTION("""COMPUTED_VALUE"""),98.0)</f>
        <v>98</v>
      </c>
      <c r="E327" s="178">
        <f>IFERROR(__xludf.DUMMYFUNCTION("""COMPUTED_VALUE"""),98.0)</f>
        <v>98</v>
      </c>
      <c r="F327" s="127" t="str">
        <f>IFERROR(__xludf.DUMMYFUNCTION("""COMPUTED_VALUE"""),"Damien Martinez – SEA")</f>
        <v>Damien Martinez – SEA</v>
      </c>
      <c r="G327" s="127">
        <f>IFERROR(__xludf.DUMMYFUNCTION("""COMPUTED_VALUE"""),76.0)</f>
        <v>76</v>
      </c>
      <c r="H327" s="127" t="str">
        <f>IFERROR(__xludf.DUMMYFUNCTION("""COMPUTED_VALUE"""),"RB")</f>
        <v>RB</v>
      </c>
      <c r="I327" s="178">
        <f>IFERROR(__xludf.DUMMYFUNCTION("""COMPUTED_VALUE"""),8.0)</f>
        <v>8</v>
      </c>
    </row>
    <row r="328">
      <c r="A328" s="125">
        <f>IFERROR(__xludf.DUMMYFUNCTION("""COMPUTED_VALUE"""),98.0)</f>
        <v>98</v>
      </c>
      <c r="B328" s="125">
        <f>IFERROR(__xludf.DUMMYFUNCTION("""COMPUTED_VALUE"""),98.0)</f>
        <v>98</v>
      </c>
      <c r="C328" s="125">
        <f>IFERROR(__xludf.DUMMYFUNCTION("""COMPUTED_VALUE"""),98.0)</f>
        <v>98</v>
      </c>
      <c r="D328" s="125">
        <f>IFERROR(__xludf.DUMMYFUNCTION("""COMPUTED_VALUE"""),98.0)</f>
        <v>98</v>
      </c>
      <c r="E328" s="178">
        <f>IFERROR(__xludf.DUMMYFUNCTION("""COMPUTED_VALUE"""),98.0)</f>
        <v>98</v>
      </c>
      <c r="F328" s="127" t="str">
        <f>IFERROR(__xludf.DUMMYFUNCTION("""COMPUTED_VALUE"""),"Robert Woods – PIT")</f>
        <v>Robert Woods – PIT</v>
      </c>
      <c r="G328" s="127">
        <f>IFERROR(__xludf.DUMMYFUNCTION("""COMPUTED_VALUE"""),93.2)</f>
        <v>93.2</v>
      </c>
      <c r="H328" s="127" t="str">
        <f>IFERROR(__xludf.DUMMYFUNCTION("""COMPUTED_VALUE"""),"WR")</f>
        <v>WR</v>
      </c>
      <c r="I328" s="178">
        <f>IFERROR(__xludf.DUMMYFUNCTION("""COMPUTED_VALUE"""),5.0)</f>
        <v>5</v>
      </c>
    </row>
    <row r="329">
      <c r="A329" s="125">
        <f>IFERROR(__xludf.DUMMYFUNCTION("""COMPUTED_VALUE"""),99.0)</f>
        <v>99</v>
      </c>
      <c r="B329" s="125">
        <f>IFERROR(__xludf.DUMMYFUNCTION("""COMPUTED_VALUE"""),99.0)</f>
        <v>99</v>
      </c>
      <c r="C329" s="125">
        <f>IFERROR(__xludf.DUMMYFUNCTION("""COMPUTED_VALUE"""),99.0)</f>
        <v>99</v>
      </c>
      <c r="D329" s="125">
        <f>IFERROR(__xludf.DUMMYFUNCTION("""COMPUTED_VALUE"""),99.0)</f>
        <v>99</v>
      </c>
      <c r="E329" s="178">
        <f>IFERROR(__xludf.DUMMYFUNCTION("""COMPUTED_VALUE"""),99.0)</f>
        <v>99</v>
      </c>
      <c r="F329" s="127" t="str">
        <f>IFERROR(__xludf.DUMMYFUNCTION("""COMPUTED_VALUE"""),"Chris Brooks – GB")</f>
        <v>Chris Brooks – GB</v>
      </c>
      <c r="G329" s="127">
        <f>IFERROR(__xludf.DUMMYFUNCTION("""COMPUTED_VALUE"""),75.0)</f>
        <v>75</v>
      </c>
      <c r="H329" s="127" t="str">
        <f>IFERROR(__xludf.DUMMYFUNCTION("""COMPUTED_VALUE"""),"RB")</f>
        <v>RB</v>
      </c>
      <c r="I329" s="178">
        <f>IFERROR(__xludf.DUMMYFUNCTION("""COMPUTED_VALUE"""),5.0)</f>
        <v>5</v>
      </c>
    </row>
    <row r="330">
      <c r="A330" s="125">
        <f>IFERROR(__xludf.DUMMYFUNCTION("""COMPUTED_VALUE"""),99.0)</f>
        <v>99</v>
      </c>
      <c r="B330" s="125">
        <f>IFERROR(__xludf.DUMMYFUNCTION("""COMPUTED_VALUE"""),99.0)</f>
        <v>99</v>
      </c>
      <c r="C330" s="125">
        <f>IFERROR(__xludf.DUMMYFUNCTION("""COMPUTED_VALUE"""),99.0)</f>
        <v>99</v>
      </c>
      <c r="D330" s="125">
        <f>IFERROR(__xludf.DUMMYFUNCTION("""COMPUTED_VALUE"""),99.0)</f>
        <v>99</v>
      </c>
      <c r="E330" s="178">
        <f>IFERROR(__xludf.DUMMYFUNCTION("""COMPUTED_VALUE"""),99.0)</f>
        <v>99</v>
      </c>
      <c r="F330" s="127" t="str">
        <f>IFERROR(__xludf.DUMMYFUNCTION("""COMPUTED_VALUE"""),"Zay Jones – ARI")</f>
        <v>Zay Jones – ARI</v>
      </c>
      <c r="G330" s="127">
        <f>IFERROR(__xludf.DUMMYFUNCTION("""COMPUTED_VALUE"""),92.5)</f>
        <v>92.5</v>
      </c>
      <c r="H330" s="127" t="str">
        <f>IFERROR(__xludf.DUMMYFUNCTION("""COMPUTED_VALUE"""),"WR")</f>
        <v>WR</v>
      </c>
      <c r="I330" s="178">
        <f>IFERROR(__xludf.DUMMYFUNCTION("""COMPUTED_VALUE"""),8.0)</f>
        <v>8</v>
      </c>
    </row>
    <row r="331">
      <c r="A331" s="125">
        <f>IFERROR(__xludf.DUMMYFUNCTION("""COMPUTED_VALUE"""),100.0)</f>
        <v>100</v>
      </c>
      <c r="B331" s="125">
        <f>IFERROR(__xludf.DUMMYFUNCTION("""COMPUTED_VALUE"""),100.0)</f>
        <v>100</v>
      </c>
      <c r="C331" s="125">
        <f>IFERROR(__xludf.DUMMYFUNCTION("""COMPUTED_VALUE"""),100.0)</f>
        <v>100</v>
      </c>
      <c r="D331" s="125">
        <f>IFERROR(__xludf.DUMMYFUNCTION("""COMPUTED_VALUE"""),100.0)</f>
        <v>100</v>
      </c>
      <c r="E331" s="178">
        <f>IFERROR(__xludf.DUMMYFUNCTION("""COMPUTED_VALUE"""),100.0)</f>
        <v>100</v>
      </c>
      <c r="F331" s="127" t="str">
        <f>IFERROR(__xludf.DUMMYFUNCTION("""COMPUTED_VALUE"""),"Ollie Gordon II – MIA")</f>
        <v>Ollie Gordon II – MIA</v>
      </c>
      <c r="G331" s="127">
        <f>IFERROR(__xludf.DUMMYFUNCTION("""COMPUTED_VALUE"""),74.0)</f>
        <v>74</v>
      </c>
      <c r="H331" s="127" t="str">
        <f>IFERROR(__xludf.DUMMYFUNCTION("""COMPUTED_VALUE"""),"RB")</f>
        <v>RB</v>
      </c>
      <c r="I331" s="178">
        <f>IFERROR(__xludf.DUMMYFUNCTION("""COMPUTED_VALUE"""),12.0)</f>
        <v>12</v>
      </c>
    </row>
    <row r="332">
      <c r="A332" s="125">
        <f>IFERROR(__xludf.DUMMYFUNCTION("""COMPUTED_VALUE"""),100.0)</f>
        <v>100</v>
      </c>
      <c r="B332" s="125">
        <f>IFERROR(__xludf.DUMMYFUNCTION("""COMPUTED_VALUE"""),100.0)</f>
        <v>100</v>
      </c>
      <c r="C332" s="125">
        <f>IFERROR(__xludf.DUMMYFUNCTION("""COMPUTED_VALUE"""),100.0)</f>
        <v>100</v>
      </c>
      <c r="D332" s="125">
        <f>IFERROR(__xludf.DUMMYFUNCTION("""COMPUTED_VALUE"""),100.0)</f>
        <v>100</v>
      </c>
      <c r="E332" s="178">
        <f>IFERROR(__xludf.DUMMYFUNCTION("""COMPUTED_VALUE"""),100.0)</f>
        <v>100</v>
      </c>
      <c r="F332" s="127" t="str">
        <f>IFERROR(__xludf.DUMMYFUNCTION("""COMPUTED_VALUE"""),"Jalin Hyatt – NYG")</f>
        <v>Jalin Hyatt – NYG</v>
      </c>
      <c r="G332" s="127">
        <f>IFERROR(__xludf.DUMMYFUNCTION("""COMPUTED_VALUE"""),91.8)</f>
        <v>91.8</v>
      </c>
      <c r="H332" s="127" t="str">
        <f>IFERROR(__xludf.DUMMYFUNCTION("""COMPUTED_VALUE"""),"WR")</f>
        <v>WR</v>
      </c>
      <c r="I332" s="178">
        <f>IFERROR(__xludf.DUMMYFUNCTION("""COMPUTED_VALUE"""),14.0)</f>
        <v>14</v>
      </c>
    </row>
    <row r="333">
      <c r="A333" s="179"/>
      <c r="B333" s="179"/>
      <c r="C333" s="179"/>
      <c r="D333" s="179"/>
      <c r="E333" s="127"/>
      <c r="F333" s="127"/>
      <c r="G333" s="127"/>
      <c r="H333" s="127"/>
      <c r="I333" s="127"/>
    </row>
    <row r="334">
      <c r="A334" s="179"/>
      <c r="B334" s="179"/>
      <c r="C334" s="179"/>
      <c r="D334" s="179"/>
      <c r="E334" s="127"/>
      <c r="F334" s="127"/>
      <c r="G334" s="127"/>
      <c r="H334" s="127"/>
      <c r="I334" s="127"/>
    </row>
    <row r="335">
      <c r="A335" s="179"/>
      <c r="B335" s="179"/>
      <c r="C335" s="179"/>
      <c r="D335" s="179"/>
      <c r="E335" s="127"/>
      <c r="F335" s="127"/>
      <c r="G335" s="127"/>
      <c r="H335" s="127"/>
      <c r="I335" s="127"/>
    </row>
    <row r="336">
      <c r="A336" s="179"/>
      <c r="B336" s="179"/>
      <c r="C336" s="179"/>
      <c r="D336" s="179"/>
      <c r="E336" s="127"/>
      <c r="F336" s="127"/>
      <c r="G336" s="127"/>
      <c r="H336" s="127"/>
      <c r="I336" s="127"/>
    </row>
    <row r="337">
      <c r="A337" s="179"/>
      <c r="B337" s="179"/>
      <c r="C337" s="179"/>
      <c r="D337" s="179"/>
      <c r="E337" s="127"/>
      <c r="F337" s="127"/>
      <c r="G337" s="127"/>
      <c r="H337" s="127"/>
      <c r="I337" s="127"/>
    </row>
    <row r="338">
      <c r="A338" s="179"/>
      <c r="B338" s="179"/>
      <c r="C338" s="179"/>
      <c r="D338" s="179"/>
      <c r="E338" s="127"/>
      <c r="F338" s="127"/>
      <c r="G338" s="127"/>
      <c r="H338" s="127"/>
      <c r="I338" s="127"/>
    </row>
    <row r="339">
      <c r="A339" s="179"/>
      <c r="B339" s="179"/>
      <c r="C339" s="179"/>
      <c r="D339" s="179"/>
      <c r="E339" s="127"/>
      <c r="F339" s="127"/>
      <c r="G339" s="127"/>
      <c r="H339" s="127"/>
      <c r="I339" s="127"/>
    </row>
    <row r="340">
      <c r="A340" s="179"/>
      <c r="B340" s="179"/>
      <c r="C340" s="179"/>
      <c r="D340" s="179"/>
      <c r="E340" s="127"/>
      <c r="F340" s="127"/>
      <c r="G340" s="127"/>
      <c r="H340" s="127"/>
      <c r="I340" s="127"/>
    </row>
    <row r="341">
      <c r="A341" s="179"/>
      <c r="B341" s="179"/>
      <c r="C341" s="179"/>
      <c r="D341" s="179"/>
      <c r="E341" s="127"/>
      <c r="F341" s="127"/>
      <c r="G341" s="127"/>
      <c r="H341" s="127"/>
      <c r="I341" s="127"/>
    </row>
    <row r="342">
      <c r="A342" s="179"/>
      <c r="B342" s="179"/>
      <c r="C342" s="179"/>
      <c r="D342" s="179"/>
      <c r="E342" s="127"/>
      <c r="F342" s="127"/>
      <c r="G342" s="127"/>
      <c r="H342" s="127"/>
      <c r="I342" s="127"/>
    </row>
    <row r="343">
      <c r="A343" s="179"/>
      <c r="B343" s="179"/>
      <c r="C343" s="179"/>
      <c r="D343" s="179"/>
      <c r="E343" s="127"/>
      <c r="F343" s="127"/>
      <c r="G343" s="127"/>
      <c r="H343" s="127"/>
      <c r="I343" s="127"/>
    </row>
    <row r="344">
      <c r="A344" s="179"/>
      <c r="B344" s="179"/>
      <c r="C344" s="179"/>
      <c r="D344" s="179"/>
      <c r="E344" s="127"/>
      <c r="F344" s="127"/>
      <c r="G344" s="127"/>
      <c r="H344" s="127"/>
      <c r="I344" s="127"/>
    </row>
    <row r="345">
      <c r="A345" s="179"/>
      <c r="B345" s="179"/>
      <c r="C345" s="179"/>
      <c r="D345" s="179"/>
      <c r="E345" s="127"/>
      <c r="F345" s="127"/>
      <c r="G345" s="127"/>
      <c r="H345" s="127"/>
      <c r="I345" s="127"/>
    </row>
    <row r="346">
      <c r="A346" s="179"/>
      <c r="B346" s="127"/>
      <c r="C346" s="179"/>
      <c r="D346" s="179"/>
      <c r="E346" s="127"/>
      <c r="F346" s="127"/>
      <c r="G346" s="127"/>
      <c r="H346" s="127"/>
      <c r="I346" s="127"/>
    </row>
    <row r="347">
      <c r="A347" s="179"/>
      <c r="B347" s="179"/>
      <c r="C347" s="179"/>
      <c r="D347" s="179"/>
      <c r="E347" s="127"/>
      <c r="F347" s="127"/>
      <c r="G347" s="127"/>
      <c r="H347" s="127"/>
      <c r="I347" s="127"/>
    </row>
    <row r="348">
      <c r="A348" s="179"/>
      <c r="B348" s="179"/>
      <c r="C348" s="179"/>
      <c r="D348" s="179"/>
      <c r="E348" s="127"/>
      <c r="F348" s="127"/>
      <c r="G348" s="127"/>
      <c r="H348" s="127"/>
      <c r="I348" s="127"/>
    </row>
    <row r="349">
      <c r="A349" s="179"/>
      <c r="B349" s="179"/>
      <c r="C349" s="179"/>
      <c r="D349" s="179"/>
      <c r="E349" s="127"/>
      <c r="F349" s="127"/>
      <c r="G349" s="127"/>
      <c r="H349" s="127"/>
      <c r="I349" s="127"/>
    </row>
    <row r="350">
      <c r="A350" s="179"/>
      <c r="B350" s="179"/>
      <c r="C350" s="179"/>
      <c r="D350" s="179"/>
      <c r="E350" s="127"/>
      <c r="F350" s="127"/>
      <c r="G350" s="127"/>
      <c r="H350" s="127"/>
      <c r="I350" s="127"/>
    </row>
    <row r="351">
      <c r="A351" s="179"/>
      <c r="B351" s="179"/>
      <c r="C351" s="179"/>
      <c r="D351" s="179"/>
      <c r="E351" s="127"/>
      <c r="F351" s="127"/>
      <c r="G351" s="127"/>
      <c r="H351" s="127"/>
      <c r="I351" s="127"/>
    </row>
    <row r="352">
      <c r="A352" s="179"/>
      <c r="B352" s="179"/>
      <c r="C352" s="179"/>
      <c r="D352" s="179"/>
      <c r="E352" s="127"/>
      <c r="F352" s="127"/>
      <c r="G352" s="127"/>
      <c r="H352" s="127"/>
      <c r="I352" s="127"/>
    </row>
    <row r="353">
      <c r="A353" s="179"/>
      <c r="B353" s="179"/>
      <c r="C353" s="179"/>
      <c r="D353" s="179"/>
      <c r="E353" s="127"/>
      <c r="F353" s="127"/>
      <c r="G353" s="127"/>
      <c r="H353" s="127"/>
      <c r="I353" s="127"/>
    </row>
    <row r="354">
      <c r="A354" s="179"/>
      <c r="B354" s="179"/>
      <c r="C354" s="179"/>
      <c r="D354" s="179"/>
      <c r="E354" s="127"/>
      <c r="F354" s="127"/>
      <c r="G354" s="127"/>
      <c r="H354" s="127"/>
      <c r="I354" s="127"/>
    </row>
    <row r="355">
      <c r="A355" s="179"/>
      <c r="B355" s="179"/>
      <c r="C355" s="179"/>
      <c r="D355" s="179"/>
      <c r="E355" s="127"/>
      <c r="F355" s="127"/>
      <c r="G355" s="127"/>
      <c r="H355" s="127"/>
      <c r="I355" s="127"/>
    </row>
    <row r="356">
      <c r="A356" s="179"/>
      <c r="B356" s="179"/>
      <c r="C356" s="179"/>
      <c r="D356" s="179"/>
      <c r="E356" s="127"/>
      <c r="F356" s="127"/>
      <c r="G356" s="127"/>
      <c r="H356" s="127"/>
      <c r="I356" s="127"/>
    </row>
    <row r="357">
      <c r="A357" s="179"/>
      <c r="B357" s="127"/>
      <c r="C357" s="179"/>
      <c r="D357" s="179"/>
      <c r="E357" s="127"/>
      <c r="F357" s="127"/>
      <c r="G357" s="127"/>
      <c r="H357" s="127"/>
      <c r="I357" s="127"/>
    </row>
    <row r="358">
      <c r="A358" s="179"/>
      <c r="B358" s="179"/>
      <c r="C358" s="179"/>
      <c r="D358" s="179"/>
      <c r="E358" s="127"/>
      <c r="F358" s="127"/>
      <c r="G358" s="127"/>
      <c r="H358" s="127"/>
      <c r="I358" s="127"/>
    </row>
    <row r="359">
      <c r="A359" s="179"/>
      <c r="B359" s="179"/>
      <c r="C359" s="179"/>
      <c r="D359" s="179"/>
      <c r="E359" s="127"/>
      <c r="F359" s="127"/>
      <c r="G359" s="127"/>
      <c r="H359" s="127"/>
      <c r="I359" s="127"/>
    </row>
    <row r="360">
      <c r="A360" s="179"/>
      <c r="B360" s="179"/>
      <c r="C360" s="179"/>
      <c r="D360" s="179"/>
      <c r="E360" s="127"/>
      <c r="F360" s="127"/>
      <c r="G360" s="127"/>
      <c r="H360" s="127"/>
      <c r="I360" s="127"/>
    </row>
    <row r="361">
      <c r="A361" s="179"/>
      <c r="B361" s="179"/>
      <c r="C361" s="179"/>
      <c r="D361" s="179"/>
      <c r="E361" s="127"/>
      <c r="F361" s="127"/>
      <c r="G361" s="127"/>
      <c r="H361" s="127"/>
      <c r="I361" s="127"/>
    </row>
    <row r="362">
      <c r="A362" s="179"/>
      <c r="B362" s="179"/>
      <c r="C362" s="179"/>
      <c r="D362" s="179"/>
      <c r="E362" s="127"/>
      <c r="F362" s="127"/>
      <c r="G362" s="127"/>
      <c r="H362" s="127"/>
      <c r="I362" s="127"/>
    </row>
    <row r="363">
      <c r="A363" s="179"/>
      <c r="B363" s="179"/>
      <c r="C363" s="179"/>
      <c r="D363" s="179"/>
      <c r="E363" s="127"/>
      <c r="F363" s="127"/>
      <c r="G363" s="127"/>
      <c r="H363" s="127"/>
      <c r="I363" s="127"/>
    </row>
    <row r="364">
      <c r="A364" s="179"/>
      <c r="B364" s="179"/>
      <c r="C364" s="179"/>
      <c r="D364" s="179"/>
      <c r="E364" s="127"/>
      <c r="F364" s="127"/>
      <c r="G364" s="127"/>
      <c r="H364" s="127"/>
      <c r="I364" s="127"/>
    </row>
    <row r="365">
      <c r="A365" s="179"/>
      <c r="B365" s="179"/>
      <c r="C365" s="179"/>
      <c r="D365" s="179"/>
      <c r="E365" s="127"/>
      <c r="F365" s="127"/>
      <c r="G365" s="127"/>
      <c r="H365" s="127"/>
      <c r="I365" s="127"/>
    </row>
    <row r="366">
      <c r="A366" s="179"/>
      <c r="B366" s="179"/>
      <c r="C366" s="179"/>
      <c r="D366" s="179"/>
      <c r="E366" s="127"/>
      <c r="F366" s="127"/>
      <c r="G366" s="127"/>
      <c r="H366" s="127"/>
      <c r="I366" s="127"/>
    </row>
    <row r="367">
      <c r="A367" s="179"/>
      <c r="B367" s="179"/>
      <c r="C367" s="179"/>
      <c r="D367" s="179"/>
      <c r="E367" s="127"/>
      <c r="F367" s="127"/>
      <c r="G367" s="127"/>
      <c r="H367" s="127"/>
      <c r="I367" s="127"/>
    </row>
    <row r="368">
      <c r="A368" s="179"/>
      <c r="B368" s="179"/>
      <c r="C368" s="179"/>
      <c r="D368" s="179"/>
      <c r="E368" s="127"/>
      <c r="F368" s="127"/>
      <c r="G368" s="127"/>
      <c r="H368" s="127"/>
      <c r="I368" s="127"/>
    </row>
    <row r="369">
      <c r="A369" s="179"/>
      <c r="B369" s="179"/>
      <c r="C369" s="179"/>
      <c r="D369" s="179"/>
      <c r="E369" s="127"/>
      <c r="F369" s="127"/>
      <c r="G369" s="127"/>
      <c r="H369" s="127"/>
      <c r="I369" s="127"/>
    </row>
    <row r="370">
      <c r="A370" s="179"/>
      <c r="B370" s="179"/>
      <c r="C370" s="179"/>
      <c r="D370" s="179"/>
      <c r="E370" s="127"/>
      <c r="F370" s="127"/>
      <c r="G370" s="127"/>
      <c r="H370" s="127"/>
      <c r="I370" s="127"/>
    </row>
    <row r="371">
      <c r="A371" s="179"/>
      <c r="B371" s="179"/>
      <c r="C371" s="179"/>
      <c r="D371" s="179"/>
      <c r="E371" s="127"/>
      <c r="F371" s="127"/>
      <c r="G371" s="127"/>
      <c r="H371" s="127"/>
      <c r="I371" s="127"/>
    </row>
    <row r="372">
      <c r="A372" s="179"/>
      <c r="B372" s="127"/>
      <c r="C372" s="179"/>
      <c r="D372" s="179"/>
      <c r="E372" s="127"/>
      <c r="F372" s="127"/>
      <c r="G372" s="127"/>
      <c r="H372" s="127"/>
      <c r="I372" s="127"/>
    </row>
    <row r="373">
      <c r="A373" s="179"/>
      <c r="B373" s="179"/>
      <c r="C373" s="179"/>
      <c r="D373" s="179"/>
      <c r="E373" s="127"/>
      <c r="F373" s="127"/>
      <c r="G373" s="127"/>
      <c r="H373" s="127"/>
      <c r="I373" s="127"/>
    </row>
    <row r="374">
      <c r="A374" s="179"/>
      <c r="B374" s="179"/>
      <c r="C374" s="179"/>
      <c r="D374" s="179"/>
      <c r="E374" s="127"/>
      <c r="F374" s="127"/>
      <c r="G374" s="127"/>
      <c r="H374" s="127"/>
      <c r="I374" s="127"/>
    </row>
    <row r="375">
      <c r="A375" s="179"/>
      <c r="B375" s="179"/>
      <c r="C375" s="179"/>
      <c r="D375" s="179"/>
      <c r="E375" s="127"/>
      <c r="F375" s="127"/>
      <c r="G375" s="127"/>
      <c r="H375" s="127"/>
      <c r="I375" s="127"/>
    </row>
    <row r="376">
      <c r="A376" s="179"/>
      <c r="B376" s="179"/>
      <c r="C376" s="179"/>
      <c r="D376" s="179"/>
      <c r="E376" s="127"/>
      <c r="F376" s="127"/>
      <c r="G376" s="127"/>
      <c r="H376" s="127"/>
      <c r="I376" s="127"/>
    </row>
    <row r="377">
      <c r="A377" s="179"/>
      <c r="B377" s="179"/>
      <c r="C377" s="179"/>
      <c r="D377" s="179"/>
      <c r="E377" s="127"/>
      <c r="F377" s="127"/>
      <c r="G377" s="127"/>
      <c r="H377" s="127"/>
      <c r="I377" s="127"/>
    </row>
    <row r="378">
      <c r="A378" s="179"/>
      <c r="B378" s="179"/>
      <c r="C378" s="179"/>
      <c r="D378" s="179"/>
      <c r="E378" s="127"/>
      <c r="F378" s="127"/>
      <c r="G378" s="127"/>
      <c r="H378" s="127"/>
      <c r="I378" s="127"/>
    </row>
    <row r="379">
      <c r="A379" s="179"/>
      <c r="B379" s="179"/>
      <c r="C379" s="179"/>
      <c r="D379" s="179"/>
      <c r="E379" s="127"/>
      <c r="F379" s="127"/>
      <c r="G379" s="127"/>
      <c r="H379" s="127"/>
      <c r="I379" s="127"/>
    </row>
    <row r="380">
      <c r="A380" s="179"/>
      <c r="B380" s="179"/>
      <c r="C380" s="179"/>
      <c r="D380" s="179"/>
      <c r="E380" s="127"/>
      <c r="F380" s="127"/>
      <c r="G380" s="127"/>
      <c r="H380" s="127"/>
      <c r="I380" s="127"/>
    </row>
    <row r="381">
      <c r="A381" s="179"/>
      <c r="B381" s="179"/>
      <c r="C381" s="179"/>
      <c r="D381" s="179"/>
      <c r="E381" s="127"/>
      <c r="F381" s="127"/>
      <c r="G381" s="127"/>
      <c r="H381" s="127"/>
      <c r="I381" s="127"/>
    </row>
    <row r="382">
      <c r="A382" s="179"/>
      <c r="B382" s="179"/>
      <c r="C382" s="179"/>
      <c r="D382" s="179"/>
      <c r="E382" s="127"/>
      <c r="F382" s="127"/>
      <c r="G382" s="127"/>
      <c r="H382" s="127"/>
      <c r="I382" s="127"/>
    </row>
    <row r="383">
      <c r="A383" s="179"/>
      <c r="B383" s="179"/>
      <c r="C383" s="179"/>
      <c r="D383" s="179"/>
      <c r="E383" s="127"/>
      <c r="F383" s="127"/>
      <c r="G383" s="127"/>
      <c r="H383" s="127"/>
      <c r="I383" s="127"/>
    </row>
    <row r="384">
      <c r="A384" s="179"/>
      <c r="B384" s="179"/>
      <c r="C384" s="179"/>
      <c r="D384" s="179"/>
      <c r="E384" s="127"/>
      <c r="F384" s="127"/>
      <c r="G384" s="127"/>
      <c r="H384" s="127"/>
      <c r="I384" s="127"/>
    </row>
    <row r="385">
      <c r="A385" s="179"/>
      <c r="B385" s="179"/>
      <c r="C385" s="179"/>
      <c r="D385" s="179"/>
      <c r="E385" s="127"/>
      <c r="F385" s="127"/>
      <c r="G385" s="127"/>
      <c r="H385" s="127"/>
      <c r="I385" s="127"/>
    </row>
    <row r="386">
      <c r="A386" s="179"/>
      <c r="B386" s="179"/>
      <c r="C386" s="179"/>
      <c r="D386" s="179"/>
      <c r="E386" s="127"/>
      <c r="F386" s="127"/>
      <c r="G386" s="127"/>
      <c r="H386" s="127"/>
      <c r="I386" s="127"/>
    </row>
    <row r="387">
      <c r="A387" s="179"/>
      <c r="B387" s="179"/>
      <c r="C387" s="179"/>
      <c r="D387" s="179"/>
      <c r="E387" s="127"/>
      <c r="F387" s="127"/>
      <c r="G387" s="127"/>
      <c r="H387" s="127"/>
      <c r="I387" s="127"/>
    </row>
    <row r="388">
      <c r="A388" s="179"/>
      <c r="B388" s="179"/>
      <c r="C388" s="179"/>
      <c r="D388" s="179"/>
      <c r="E388" s="127"/>
      <c r="F388" s="127"/>
      <c r="G388" s="127"/>
      <c r="H388" s="127"/>
      <c r="I388" s="127"/>
    </row>
    <row r="389">
      <c r="A389" s="179"/>
      <c r="B389" s="179"/>
      <c r="C389" s="179"/>
      <c r="D389" s="179"/>
      <c r="E389" s="127"/>
      <c r="F389" s="127"/>
      <c r="G389" s="127"/>
      <c r="H389" s="127"/>
      <c r="I389" s="127"/>
    </row>
    <row r="390">
      <c r="A390" s="179"/>
      <c r="B390" s="179"/>
      <c r="C390" s="179"/>
      <c r="D390" s="179"/>
      <c r="E390" s="127"/>
      <c r="F390" s="127"/>
      <c r="G390" s="127"/>
      <c r="H390" s="127"/>
      <c r="I390" s="127"/>
    </row>
    <row r="391">
      <c r="A391" s="179"/>
      <c r="B391" s="179"/>
      <c r="C391" s="179"/>
      <c r="D391" s="179"/>
      <c r="E391" s="127"/>
      <c r="F391" s="127"/>
      <c r="G391" s="127"/>
      <c r="H391" s="127"/>
      <c r="I391" s="127"/>
    </row>
    <row r="392">
      <c r="A392" s="179"/>
      <c r="B392" s="179"/>
      <c r="C392" s="179"/>
      <c r="D392" s="179"/>
      <c r="E392" s="127"/>
      <c r="F392" s="127"/>
      <c r="G392" s="127"/>
      <c r="H392" s="127"/>
      <c r="I392" s="127"/>
    </row>
    <row r="393">
      <c r="A393" s="179"/>
      <c r="B393" s="179"/>
      <c r="C393" s="179"/>
      <c r="D393" s="179"/>
      <c r="E393" s="127"/>
      <c r="F393" s="127"/>
      <c r="G393" s="127"/>
      <c r="H393" s="127"/>
      <c r="I393" s="127"/>
    </row>
    <row r="394">
      <c r="A394" s="179"/>
      <c r="B394" s="179"/>
      <c r="C394" s="179"/>
      <c r="D394" s="179"/>
      <c r="E394" s="127"/>
      <c r="F394" s="127"/>
      <c r="G394" s="127"/>
      <c r="H394" s="127"/>
      <c r="I394" s="127"/>
    </row>
    <row r="395">
      <c r="A395" s="179"/>
      <c r="B395" s="179"/>
      <c r="C395" s="179"/>
      <c r="D395" s="179"/>
      <c r="E395" s="127"/>
      <c r="F395" s="127"/>
      <c r="G395" s="127"/>
      <c r="H395" s="127"/>
      <c r="I395" s="127"/>
    </row>
    <row r="396">
      <c r="A396" s="179"/>
      <c r="B396" s="179"/>
      <c r="C396" s="179"/>
      <c r="D396" s="179"/>
      <c r="E396" s="127"/>
      <c r="F396" s="127"/>
      <c r="G396" s="127"/>
      <c r="H396" s="127"/>
      <c r="I396" s="127"/>
    </row>
    <row r="397">
      <c r="A397" s="179"/>
      <c r="B397" s="179"/>
      <c r="C397" s="179"/>
      <c r="D397" s="179"/>
      <c r="E397" s="127"/>
      <c r="F397" s="127"/>
      <c r="G397" s="127"/>
      <c r="H397" s="127"/>
      <c r="I397" s="127"/>
    </row>
    <row r="398">
      <c r="A398" s="179"/>
      <c r="B398" s="179"/>
      <c r="C398" s="179"/>
      <c r="D398" s="179"/>
      <c r="E398" s="127"/>
      <c r="F398" s="127"/>
      <c r="G398" s="127"/>
      <c r="H398" s="127"/>
      <c r="I398" s="127"/>
    </row>
    <row r="399">
      <c r="A399" s="179"/>
      <c r="B399" s="179"/>
      <c r="C399" s="179"/>
      <c r="D399" s="179"/>
      <c r="E399" s="127"/>
      <c r="F399" s="127"/>
      <c r="G399" s="127"/>
      <c r="H399" s="127"/>
      <c r="I399" s="127"/>
    </row>
    <row r="400">
      <c r="A400" s="179"/>
      <c r="B400" s="179"/>
      <c r="C400" s="179"/>
      <c r="D400" s="179"/>
      <c r="E400" s="127"/>
      <c r="F400" s="127"/>
      <c r="G400" s="127"/>
      <c r="H400" s="127"/>
      <c r="I400" s="127"/>
    </row>
    <row r="401">
      <c r="A401" s="179"/>
      <c r="B401" s="179"/>
      <c r="C401" s="179"/>
      <c r="D401" s="179"/>
      <c r="E401" s="127"/>
      <c r="F401" s="127"/>
      <c r="G401" s="127"/>
      <c r="H401" s="127"/>
      <c r="I401" s="127"/>
    </row>
    <row r="402">
      <c r="A402" s="179"/>
      <c r="B402" s="179"/>
      <c r="C402" s="179"/>
      <c r="D402" s="179"/>
      <c r="E402" s="127"/>
      <c r="F402" s="127"/>
      <c r="G402" s="127"/>
      <c r="H402" s="127"/>
      <c r="I402" s="127"/>
    </row>
    <row r="403">
      <c r="A403" s="179"/>
      <c r="B403" s="179"/>
      <c r="C403" s="179"/>
      <c r="D403" s="179"/>
      <c r="E403" s="127"/>
      <c r="F403" s="127"/>
      <c r="G403" s="127"/>
      <c r="H403" s="127"/>
      <c r="I403" s="127"/>
    </row>
    <row r="404">
      <c r="A404" s="179"/>
      <c r="B404" s="179"/>
      <c r="C404" s="179"/>
      <c r="D404" s="179"/>
      <c r="E404" s="127"/>
      <c r="F404" s="127"/>
      <c r="G404" s="127"/>
      <c r="H404" s="127"/>
      <c r="I404" s="127"/>
    </row>
    <row r="405">
      <c r="A405" s="179"/>
      <c r="B405" s="179"/>
      <c r="C405" s="179"/>
      <c r="D405" s="179"/>
      <c r="E405" s="127"/>
      <c r="F405" s="127"/>
      <c r="G405" s="127"/>
      <c r="H405" s="127"/>
      <c r="I405" s="127"/>
    </row>
    <row r="406">
      <c r="A406" s="179"/>
      <c r="B406" s="179"/>
      <c r="C406" s="179"/>
      <c r="D406" s="179"/>
      <c r="E406" s="127"/>
      <c r="F406" s="127"/>
      <c r="G406" s="127"/>
      <c r="H406" s="127"/>
      <c r="I406" s="127"/>
    </row>
    <row r="407">
      <c r="A407" s="179"/>
      <c r="B407" s="179"/>
      <c r="C407" s="179"/>
      <c r="D407" s="179"/>
      <c r="E407" s="127"/>
      <c r="F407" s="127"/>
      <c r="G407" s="127"/>
      <c r="H407" s="127"/>
      <c r="I407" s="127"/>
    </row>
    <row r="408">
      <c r="A408" s="179"/>
      <c r="B408" s="179"/>
      <c r="C408" s="179"/>
      <c r="D408" s="179"/>
      <c r="E408" s="127"/>
      <c r="F408" s="127"/>
      <c r="G408" s="127"/>
      <c r="H408" s="127"/>
      <c r="I408" s="127"/>
    </row>
    <row r="409">
      <c r="A409" s="179"/>
      <c r="B409" s="179"/>
      <c r="C409" s="179"/>
      <c r="D409" s="179"/>
      <c r="E409" s="127"/>
      <c r="F409" s="127"/>
      <c r="G409" s="127"/>
      <c r="H409" s="127"/>
      <c r="I409" s="127"/>
    </row>
    <row r="410">
      <c r="A410" s="179"/>
      <c r="B410" s="179"/>
      <c r="C410" s="179"/>
      <c r="D410" s="179"/>
      <c r="E410" s="127"/>
      <c r="F410" s="127"/>
      <c r="G410" s="127"/>
      <c r="H410" s="127"/>
      <c r="I410" s="127"/>
    </row>
    <row r="411">
      <c r="A411" s="179"/>
      <c r="B411" s="179"/>
      <c r="C411" s="179"/>
      <c r="D411" s="179"/>
      <c r="E411" s="127"/>
      <c r="F411" s="127"/>
      <c r="G411" s="127"/>
      <c r="H411" s="127"/>
      <c r="I411" s="127"/>
    </row>
    <row r="412">
      <c r="A412" s="179"/>
      <c r="B412" s="179"/>
      <c r="C412" s="179"/>
      <c r="D412" s="179"/>
      <c r="E412" s="127"/>
      <c r="F412" s="127"/>
      <c r="G412" s="127"/>
      <c r="H412" s="127"/>
      <c r="I412" s="127"/>
    </row>
    <row r="413">
      <c r="A413" s="179"/>
      <c r="B413" s="179"/>
      <c r="C413" s="179"/>
      <c r="D413" s="179"/>
      <c r="E413" s="127"/>
      <c r="F413" s="127"/>
      <c r="G413" s="127"/>
      <c r="H413" s="127"/>
      <c r="I413" s="127"/>
    </row>
    <row r="414">
      <c r="A414" s="179"/>
      <c r="B414" s="179"/>
      <c r="C414" s="179"/>
      <c r="D414" s="179"/>
      <c r="E414" s="127"/>
      <c r="F414" s="127"/>
      <c r="G414" s="127"/>
      <c r="H414" s="127"/>
      <c r="I414" s="127"/>
    </row>
    <row r="415">
      <c r="A415" s="179"/>
      <c r="B415" s="179"/>
      <c r="C415" s="179"/>
      <c r="D415" s="179"/>
      <c r="E415" s="127"/>
      <c r="F415" s="127"/>
      <c r="G415" s="127"/>
      <c r="H415" s="127"/>
      <c r="I415" s="127"/>
    </row>
    <row r="416">
      <c r="A416" s="179"/>
      <c r="B416" s="179"/>
      <c r="C416" s="179"/>
      <c r="D416" s="179"/>
      <c r="E416" s="127"/>
      <c r="F416" s="127"/>
      <c r="G416" s="127"/>
      <c r="H416" s="127"/>
      <c r="I416" s="127"/>
    </row>
    <row r="417">
      <c r="A417" s="179"/>
      <c r="B417" s="179"/>
      <c r="C417" s="179"/>
      <c r="D417" s="179"/>
      <c r="E417" s="127"/>
      <c r="F417" s="127"/>
      <c r="G417" s="127"/>
      <c r="H417" s="127"/>
      <c r="I417" s="127"/>
    </row>
    <row r="418">
      <c r="A418" s="179"/>
      <c r="B418" s="179"/>
      <c r="C418" s="179"/>
      <c r="D418" s="179"/>
      <c r="E418" s="127"/>
      <c r="F418" s="127"/>
      <c r="G418" s="127"/>
      <c r="H418" s="127"/>
      <c r="I418" s="127"/>
    </row>
    <row r="419">
      <c r="A419" s="179"/>
      <c r="B419" s="179"/>
      <c r="C419" s="179"/>
      <c r="D419" s="179"/>
      <c r="E419" s="127"/>
      <c r="F419" s="127"/>
      <c r="G419" s="127"/>
      <c r="H419" s="127"/>
      <c r="I419" s="127"/>
    </row>
    <row r="420">
      <c r="A420" s="179"/>
      <c r="B420" s="179"/>
      <c r="C420" s="179"/>
      <c r="D420" s="179"/>
      <c r="E420" s="127"/>
      <c r="F420" s="127"/>
      <c r="G420" s="127"/>
      <c r="H420" s="127"/>
      <c r="I420" s="127"/>
    </row>
    <row r="421">
      <c r="A421" s="179"/>
      <c r="B421" s="179"/>
      <c r="C421" s="179"/>
      <c r="D421" s="179"/>
      <c r="E421" s="127"/>
      <c r="F421" s="127"/>
      <c r="G421" s="127"/>
      <c r="H421" s="127"/>
      <c r="I421" s="127"/>
    </row>
    <row r="422">
      <c r="A422" s="179"/>
      <c r="B422" s="179"/>
      <c r="C422" s="179"/>
      <c r="D422" s="179"/>
      <c r="E422" s="127"/>
      <c r="F422" s="127"/>
      <c r="G422" s="127"/>
      <c r="H422" s="127"/>
      <c r="I422" s="127"/>
    </row>
    <row r="423">
      <c r="A423" s="179"/>
      <c r="B423" s="179"/>
      <c r="C423" s="179"/>
      <c r="D423" s="179"/>
      <c r="E423" s="127"/>
      <c r="F423" s="127"/>
      <c r="G423" s="127"/>
      <c r="H423" s="127"/>
      <c r="I423" s="127"/>
    </row>
    <row r="424">
      <c r="A424" s="179"/>
      <c r="B424" s="179"/>
      <c r="C424" s="179"/>
      <c r="D424" s="179"/>
      <c r="E424" s="127"/>
      <c r="F424" s="127"/>
      <c r="G424" s="127"/>
      <c r="H424" s="127"/>
      <c r="I424" s="127"/>
    </row>
    <row r="425">
      <c r="A425" s="179"/>
      <c r="B425" s="179"/>
      <c r="C425" s="179"/>
      <c r="D425" s="179"/>
      <c r="E425" s="127"/>
      <c r="F425" s="127"/>
      <c r="G425" s="127"/>
      <c r="H425" s="127"/>
      <c r="I425" s="127"/>
    </row>
    <row r="426">
      <c r="A426" s="179"/>
      <c r="B426" s="179"/>
      <c r="C426" s="179"/>
      <c r="D426" s="179"/>
      <c r="E426" s="127"/>
      <c r="F426" s="127"/>
      <c r="G426" s="127"/>
      <c r="H426" s="127"/>
      <c r="I426" s="127"/>
    </row>
    <row r="427">
      <c r="A427" s="179"/>
      <c r="B427" s="179"/>
      <c r="C427" s="179"/>
      <c r="D427" s="179"/>
      <c r="E427" s="127"/>
      <c r="F427" s="127"/>
      <c r="G427" s="127"/>
      <c r="H427" s="127"/>
      <c r="I427" s="127"/>
    </row>
    <row r="428">
      <c r="A428" s="179"/>
      <c r="B428" s="179"/>
      <c r="C428" s="179"/>
      <c r="D428" s="179"/>
      <c r="E428" s="127"/>
      <c r="F428" s="127"/>
      <c r="G428" s="127"/>
      <c r="H428" s="127"/>
      <c r="I428" s="127"/>
    </row>
    <row r="429">
      <c r="A429" s="179"/>
      <c r="B429" s="179"/>
      <c r="C429" s="179"/>
      <c r="D429" s="179"/>
      <c r="E429" s="127"/>
      <c r="F429" s="127"/>
      <c r="G429" s="127"/>
      <c r="H429" s="127"/>
      <c r="I429" s="127"/>
    </row>
    <row r="430">
      <c r="A430" s="179"/>
      <c r="B430" s="179"/>
      <c r="C430" s="179"/>
      <c r="D430" s="179"/>
      <c r="E430" s="127"/>
      <c r="F430" s="127"/>
      <c r="G430" s="127"/>
      <c r="H430" s="127"/>
      <c r="I430" s="127"/>
    </row>
    <row r="431">
      <c r="A431" s="179"/>
      <c r="B431" s="179"/>
      <c r="C431" s="179"/>
      <c r="D431" s="179"/>
      <c r="E431" s="127"/>
      <c r="F431" s="127"/>
      <c r="G431" s="127"/>
      <c r="H431" s="127"/>
      <c r="I431" s="127"/>
    </row>
    <row r="432">
      <c r="A432" s="179"/>
      <c r="B432" s="179"/>
      <c r="C432" s="179"/>
      <c r="D432" s="179"/>
      <c r="E432" s="127"/>
      <c r="F432" s="127"/>
      <c r="G432" s="127"/>
      <c r="H432" s="127"/>
      <c r="I432" s="127"/>
    </row>
    <row r="433">
      <c r="A433" s="179"/>
      <c r="B433" s="179"/>
      <c r="C433" s="179"/>
      <c r="D433" s="179"/>
      <c r="E433" s="127"/>
      <c r="F433" s="127"/>
      <c r="G433" s="127"/>
      <c r="H433" s="127"/>
      <c r="I433" s="127"/>
    </row>
    <row r="434">
      <c r="A434" s="179"/>
      <c r="B434" s="179"/>
      <c r="C434" s="179"/>
      <c r="D434" s="179"/>
      <c r="E434" s="127"/>
      <c r="F434" s="127"/>
      <c r="G434" s="127"/>
      <c r="H434" s="127"/>
      <c r="I434" s="127"/>
    </row>
    <row r="435">
      <c r="A435" s="179"/>
      <c r="B435" s="179"/>
      <c r="C435" s="179"/>
      <c r="D435" s="179"/>
      <c r="E435" s="127"/>
      <c r="F435" s="127"/>
      <c r="G435" s="127"/>
      <c r="H435" s="127"/>
      <c r="I435" s="127"/>
    </row>
    <row r="436">
      <c r="A436" s="179"/>
      <c r="B436" s="179"/>
      <c r="C436" s="179"/>
      <c r="D436" s="179"/>
      <c r="E436" s="127"/>
      <c r="F436" s="127"/>
      <c r="G436" s="127"/>
      <c r="H436" s="127"/>
      <c r="I436" s="127"/>
    </row>
    <row r="437">
      <c r="A437" s="179"/>
      <c r="B437" s="179"/>
      <c r="C437" s="179"/>
      <c r="D437" s="179"/>
      <c r="E437" s="127"/>
      <c r="F437" s="127"/>
      <c r="G437" s="127"/>
      <c r="H437" s="127"/>
      <c r="I437" s="127"/>
    </row>
    <row r="438">
      <c r="A438" s="179"/>
      <c r="B438" s="179"/>
      <c r="C438" s="179"/>
      <c r="D438" s="179"/>
      <c r="E438" s="127"/>
      <c r="F438" s="127"/>
      <c r="G438" s="127"/>
      <c r="H438" s="127"/>
      <c r="I438" s="127"/>
    </row>
    <row r="439">
      <c r="A439" s="179"/>
      <c r="B439" s="179"/>
      <c r="C439" s="179"/>
      <c r="D439" s="179"/>
      <c r="E439" s="127"/>
      <c r="F439" s="127"/>
      <c r="G439" s="127"/>
      <c r="H439" s="127"/>
      <c r="I439" s="127"/>
    </row>
    <row r="440">
      <c r="A440" s="179"/>
      <c r="B440" s="179"/>
      <c r="C440" s="179"/>
      <c r="D440" s="179"/>
      <c r="E440" s="127"/>
      <c r="F440" s="127"/>
      <c r="G440" s="127"/>
      <c r="H440" s="127"/>
      <c r="I440" s="127"/>
    </row>
    <row r="441">
      <c r="A441" s="179"/>
      <c r="B441" s="179"/>
      <c r="C441" s="179"/>
      <c r="D441" s="179"/>
      <c r="E441" s="127"/>
      <c r="F441" s="127"/>
      <c r="G441" s="127"/>
      <c r="H441" s="127"/>
      <c r="I441" s="127"/>
    </row>
    <row r="442">
      <c r="A442" s="179"/>
      <c r="B442" s="179"/>
      <c r="C442" s="179"/>
      <c r="D442" s="179"/>
      <c r="E442" s="127"/>
      <c r="F442" s="127"/>
      <c r="G442" s="127"/>
      <c r="H442" s="127"/>
      <c r="I442" s="127"/>
    </row>
    <row r="443">
      <c r="A443" s="179"/>
      <c r="B443" s="179"/>
      <c r="C443" s="179"/>
      <c r="D443" s="179"/>
      <c r="E443" s="127"/>
      <c r="F443" s="127"/>
      <c r="G443" s="127"/>
      <c r="H443" s="127"/>
      <c r="I443" s="127"/>
    </row>
    <row r="444">
      <c r="A444" s="179"/>
      <c r="B444" s="179"/>
      <c r="C444" s="179"/>
      <c r="D444" s="179"/>
      <c r="E444" s="127"/>
      <c r="F444" s="127"/>
      <c r="G444" s="127"/>
      <c r="H444" s="127"/>
      <c r="I444" s="127"/>
    </row>
    <row r="445">
      <c r="A445" s="179"/>
      <c r="B445" s="179"/>
      <c r="C445" s="179"/>
      <c r="D445" s="179"/>
      <c r="E445" s="127"/>
      <c r="F445" s="127"/>
      <c r="G445" s="127"/>
      <c r="H445" s="127"/>
      <c r="I445" s="127"/>
    </row>
    <row r="446">
      <c r="A446" s="179"/>
      <c r="B446" s="179"/>
      <c r="C446" s="179"/>
      <c r="D446" s="179"/>
      <c r="E446" s="127"/>
      <c r="F446" s="127"/>
      <c r="G446" s="127"/>
      <c r="H446" s="127"/>
      <c r="I446" s="127"/>
    </row>
    <row r="447">
      <c r="A447" s="179"/>
      <c r="B447" s="179"/>
      <c r="C447" s="179"/>
      <c r="D447" s="179"/>
      <c r="E447" s="127"/>
      <c r="F447" s="127"/>
      <c r="G447" s="127"/>
      <c r="H447" s="127"/>
      <c r="I447" s="127"/>
    </row>
    <row r="448">
      <c r="A448" s="179"/>
      <c r="B448" s="179"/>
      <c r="C448" s="179"/>
      <c r="D448" s="179"/>
      <c r="E448" s="127"/>
      <c r="F448" s="127"/>
      <c r="G448" s="127"/>
      <c r="H448" s="127"/>
      <c r="I448" s="127"/>
    </row>
    <row r="449">
      <c r="A449" s="179"/>
      <c r="B449" s="179"/>
      <c r="C449" s="179"/>
      <c r="D449" s="179"/>
      <c r="E449" s="127"/>
      <c r="F449" s="127"/>
      <c r="G449" s="127"/>
      <c r="H449" s="127"/>
      <c r="I449" s="127"/>
    </row>
    <row r="450">
      <c r="A450" s="179"/>
      <c r="B450" s="179"/>
      <c r="C450" s="179"/>
      <c r="D450" s="179"/>
      <c r="E450" s="127"/>
      <c r="F450" s="127"/>
      <c r="G450" s="127"/>
      <c r="H450" s="127"/>
      <c r="I450" s="127"/>
    </row>
    <row r="451">
      <c r="A451" s="179"/>
      <c r="B451" s="179"/>
      <c r="C451" s="179"/>
      <c r="D451" s="179"/>
      <c r="E451" s="127"/>
      <c r="F451" s="127"/>
      <c r="G451" s="127"/>
      <c r="H451" s="127"/>
      <c r="I451" s="127"/>
    </row>
    <row r="452">
      <c r="A452" s="179"/>
      <c r="B452" s="179"/>
      <c r="C452" s="179"/>
      <c r="D452" s="179"/>
      <c r="E452" s="127"/>
      <c r="F452" s="127"/>
      <c r="G452" s="127"/>
      <c r="H452" s="127"/>
      <c r="I452" s="127"/>
    </row>
    <row r="453">
      <c r="A453" s="179"/>
      <c r="B453" s="179"/>
      <c r="C453" s="179"/>
      <c r="D453" s="179"/>
      <c r="E453" s="127"/>
      <c r="F453" s="127"/>
      <c r="G453" s="127"/>
      <c r="H453" s="127"/>
      <c r="I453" s="127"/>
    </row>
    <row r="454">
      <c r="A454" s="179"/>
      <c r="B454" s="179"/>
      <c r="C454" s="179"/>
      <c r="D454" s="179"/>
      <c r="E454" s="127"/>
      <c r="F454" s="127"/>
      <c r="G454" s="127"/>
      <c r="H454" s="127"/>
      <c r="I454" s="127"/>
    </row>
    <row r="455">
      <c r="A455" s="179"/>
      <c r="B455" s="179"/>
      <c r="C455" s="179"/>
      <c r="D455" s="179"/>
      <c r="E455" s="127"/>
      <c r="F455" s="127"/>
      <c r="G455" s="127"/>
      <c r="H455" s="127"/>
      <c r="I455" s="127"/>
    </row>
    <row r="456">
      <c r="A456" s="179"/>
      <c r="B456" s="179"/>
      <c r="C456" s="179"/>
      <c r="D456" s="179"/>
      <c r="E456" s="127"/>
      <c r="F456" s="127"/>
      <c r="G456" s="127"/>
      <c r="H456" s="127"/>
      <c r="I456" s="127"/>
    </row>
    <row r="457">
      <c r="A457" s="179"/>
      <c r="B457" s="179"/>
      <c r="C457" s="179"/>
      <c r="D457" s="179"/>
      <c r="E457" s="127"/>
      <c r="F457" s="127"/>
      <c r="G457" s="127"/>
      <c r="H457" s="127"/>
      <c r="I457" s="127"/>
    </row>
    <row r="458">
      <c r="A458" s="179"/>
      <c r="B458" s="179"/>
      <c r="C458" s="179"/>
      <c r="D458" s="179"/>
      <c r="E458" s="127"/>
      <c r="F458" s="127"/>
      <c r="G458" s="127"/>
      <c r="H458" s="127"/>
      <c r="I458" s="127"/>
    </row>
    <row r="459">
      <c r="A459" s="179"/>
      <c r="B459" s="179"/>
      <c r="C459" s="179"/>
      <c r="D459" s="179"/>
      <c r="E459" s="127"/>
      <c r="F459" s="127"/>
      <c r="G459" s="127"/>
      <c r="H459" s="127"/>
      <c r="I459" s="127"/>
    </row>
    <row r="460">
      <c r="A460" s="179"/>
      <c r="B460" s="179"/>
      <c r="C460" s="179"/>
      <c r="D460" s="179"/>
      <c r="E460" s="127"/>
      <c r="F460" s="127"/>
      <c r="G460" s="127"/>
      <c r="H460" s="127"/>
      <c r="I460" s="127"/>
    </row>
    <row r="461">
      <c r="A461" s="179"/>
      <c r="B461" s="179"/>
      <c r="C461" s="179"/>
      <c r="D461" s="179"/>
      <c r="E461" s="127"/>
      <c r="F461" s="127"/>
      <c r="G461" s="127"/>
      <c r="H461" s="127"/>
      <c r="I461" s="127"/>
    </row>
    <row r="462">
      <c r="A462" s="179"/>
      <c r="B462" s="179"/>
      <c r="C462" s="179"/>
      <c r="D462" s="179"/>
      <c r="E462" s="127"/>
      <c r="F462" s="127"/>
      <c r="G462" s="127"/>
      <c r="H462" s="127"/>
      <c r="I462" s="127"/>
    </row>
    <row r="463">
      <c r="A463" s="179"/>
      <c r="B463" s="179"/>
      <c r="C463" s="179"/>
      <c r="D463" s="179"/>
      <c r="E463" s="127"/>
      <c r="F463" s="127"/>
      <c r="G463" s="127"/>
      <c r="H463" s="127"/>
      <c r="I463" s="127"/>
    </row>
    <row r="464">
      <c r="A464" s="179"/>
      <c r="B464" s="179"/>
      <c r="C464" s="179"/>
      <c r="D464" s="179"/>
      <c r="E464" s="127"/>
      <c r="F464" s="127"/>
      <c r="G464" s="127"/>
      <c r="H464" s="127"/>
      <c r="I464" s="127"/>
    </row>
    <row r="465">
      <c r="A465" s="179"/>
      <c r="B465" s="179"/>
      <c r="C465" s="179"/>
      <c r="D465" s="179"/>
      <c r="E465" s="127"/>
      <c r="F465" s="127"/>
      <c r="G465" s="127"/>
      <c r="H465" s="127"/>
      <c r="I465" s="127"/>
    </row>
    <row r="466">
      <c r="A466" s="179"/>
      <c r="B466" s="179"/>
      <c r="C466" s="179"/>
      <c r="D466" s="179"/>
      <c r="E466" s="127"/>
      <c r="F466" s="127"/>
      <c r="G466" s="127"/>
      <c r="H466" s="127"/>
      <c r="I466" s="127"/>
    </row>
    <row r="467">
      <c r="A467" s="179"/>
      <c r="B467" s="179"/>
      <c r="C467" s="179"/>
      <c r="D467" s="179"/>
      <c r="E467" s="127"/>
      <c r="F467" s="127"/>
      <c r="G467" s="127"/>
      <c r="H467" s="127"/>
      <c r="I467" s="127"/>
    </row>
    <row r="468">
      <c r="A468" s="179"/>
      <c r="B468" s="127"/>
      <c r="C468" s="179"/>
      <c r="D468" s="179"/>
      <c r="E468" s="127"/>
      <c r="F468" s="127"/>
      <c r="G468" s="127"/>
      <c r="H468" s="127"/>
      <c r="I468" s="127"/>
    </row>
    <row r="469">
      <c r="A469" s="179"/>
      <c r="B469" s="179"/>
      <c r="C469" s="179"/>
      <c r="D469" s="179"/>
      <c r="E469" s="127"/>
      <c r="F469" s="127"/>
      <c r="G469" s="127"/>
      <c r="H469" s="127"/>
      <c r="I469" s="127"/>
    </row>
    <row r="470">
      <c r="A470" s="179"/>
      <c r="B470" s="179"/>
      <c r="C470" s="179"/>
      <c r="D470" s="179"/>
      <c r="E470" s="127"/>
      <c r="F470" s="127"/>
      <c r="G470" s="127"/>
      <c r="H470" s="127"/>
      <c r="I470" s="127"/>
    </row>
    <row r="471">
      <c r="A471" s="179"/>
      <c r="B471" s="179"/>
      <c r="C471" s="179"/>
      <c r="D471" s="179"/>
      <c r="E471" s="127"/>
      <c r="F471" s="127"/>
      <c r="G471" s="127"/>
      <c r="H471" s="127"/>
      <c r="I471" s="127"/>
    </row>
    <row r="472">
      <c r="A472" s="179"/>
      <c r="B472" s="179"/>
      <c r="C472" s="179"/>
      <c r="D472" s="179"/>
      <c r="E472" s="127"/>
      <c r="F472" s="127"/>
      <c r="G472" s="127"/>
      <c r="H472" s="127"/>
      <c r="I472" s="127"/>
    </row>
    <row r="473">
      <c r="A473" s="179"/>
      <c r="B473" s="179"/>
      <c r="C473" s="179"/>
      <c r="D473" s="179"/>
      <c r="E473" s="127"/>
      <c r="F473" s="127"/>
      <c r="G473" s="127"/>
      <c r="H473" s="127"/>
      <c r="I473" s="127"/>
    </row>
    <row r="474">
      <c r="A474" s="179"/>
      <c r="B474" s="179"/>
      <c r="C474" s="179"/>
      <c r="D474" s="179"/>
      <c r="E474" s="127"/>
      <c r="F474" s="127"/>
      <c r="G474" s="127"/>
      <c r="H474" s="127"/>
      <c r="I474" s="127"/>
    </row>
    <row r="475">
      <c r="A475" s="179"/>
      <c r="B475" s="179"/>
      <c r="C475" s="179"/>
      <c r="D475" s="179"/>
      <c r="E475" s="127"/>
      <c r="F475" s="127"/>
      <c r="G475" s="127"/>
      <c r="H475" s="127"/>
      <c r="I475" s="127"/>
    </row>
    <row r="476">
      <c r="A476" s="179"/>
      <c r="B476" s="179"/>
      <c r="C476" s="179"/>
      <c r="D476" s="179"/>
      <c r="E476" s="127"/>
      <c r="F476" s="127"/>
      <c r="G476" s="127"/>
      <c r="H476" s="127"/>
      <c r="I476" s="127"/>
    </row>
    <row r="477">
      <c r="A477" s="179"/>
      <c r="B477" s="127"/>
      <c r="C477" s="179"/>
      <c r="D477" s="179"/>
      <c r="E477" s="127"/>
      <c r="F477" s="127"/>
      <c r="G477" s="127"/>
      <c r="H477" s="127"/>
      <c r="I477" s="127"/>
    </row>
    <row r="478">
      <c r="A478" s="179"/>
      <c r="B478" s="179"/>
      <c r="C478" s="179"/>
      <c r="D478" s="179"/>
      <c r="E478" s="127"/>
      <c r="F478" s="127"/>
      <c r="G478" s="127"/>
      <c r="H478" s="127"/>
      <c r="I478" s="127"/>
    </row>
    <row r="479">
      <c r="A479" s="179"/>
      <c r="B479" s="179"/>
      <c r="C479" s="179"/>
      <c r="D479" s="179"/>
      <c r="E479" s="127"/>
      <c r="F479" s="127"/>
      <c r="G479" s="127"/>
      <c r="H479" s="127"/>
      <c r="I479" s="127"/>
    </row>
    <row r="480">
      <c r="A480" s="179"/>
      <c r="B480" s="179"/>
      <c r="C480" s="179"/>
      <c r="D480" s="179"/>
      <c r="E480" s="127"/>
      <c r="F480" s="127"/>
      <c r="G480" s="127"/>
      <c r="H480" s="127"/>
      <c r="I480" s="127"/>
    </row>
    <row r="481">
      <c r="A481" s="179"/>
      <c r="B481" s="179"/>
      <c r="C481" s="179"/>
      <c r="D481" s="179"/>
      <c r="E481" s="127"/>
      <c r="F481" s="127"/>
      <c r="G481" s="127"/>
      <c r="H481" s="127"/>
      <c r="I481" s="127"/>
    </row>
    <row r="482">
      <c r="A482" s="179"/>
      <c r="B482" s="179"/>
      <c r="C482" s="179"/>
      <c r="D482" s="179"/>
      <c r="E482" s="127"/>
      <c r="F482" s="127"/>
      <c r="G482" s="127"/>
      <c r="H482" s="127"/>
      <c r="I482" s="127"/>
    </row>
    <row r="483">
      <c r="A483" s="179"/>
      <c r="B483" s="179"/>
      <c r="C483" s="179"/>
      <c r="D483" s="179"/>
      <c r="E483" s="127"/>
      <c r="F483" s="127"/>
      <c r="G483" s="127"/>
      <c r="H483" s="127"/>
      <c r="I483" s="127"/>
    </row>
    <row r="484">
      <c r="A484" s="179"/>
      <c r="B484" s="179"/>
      <c r="C484" s="179"/>
      <c r="D484" s="179"/>
      <c r="E484" s="127"/>
      <c r="F484" s="127"/>
      <c r="G484" s="127"/>
      <c r="H484" s="127"/>
      <c r="I484" s="127"/>
    </row>
    <row r="485">
      <c r="A485" s="179"/>
      <c r="B485" s="179"/>
      <c r="C485" s="179"/>
      <c r="D485" s="179"/>
      <c r="E485" s="127"/>
      <c r="F485" s="127"/>
      <c r="G485" s="127"/>
      <c r="H485" s="127"/>
      <c r="I485" s="127"/>
    </row>
    <row r="486">
      <c r="A486" s="179"/>
      <c r="B486" s="179"/>
      <c r="C486" s="179"/>
      <c r="D486" s="179"/>
      <c r="E486" s="127"/>
      <c r="F486" s="127"/>
      <c r="G486" s="127"/>
      <c r="H486" s="127"/>
      <c r="I486" s="127"/>
    </row>
    <row r="487">
      <c r="A487" s="179"/>
      <c r="B487" s="179"/>
      <c r="C487" s="179"/>
      <c r="D487" s="179"/>
      <c r="E487" s="127"/>
      <c r="F487" s="127"/>
      <c r="G487" s="127"/>
      <c r="H487" s="127"/>
      <c r="I487" s="127"/>
    </row>
    <row r="488">
      <c r="A488" s="179"/>
      <c r="B488" s="179"/>
      <c r="C488" s="179"/>
      <c r="D488" s="179"/>
      <c r="E488" s="127"/>
      <c r="F488" s="127"/>
      <c r="G488" s="127"/>
      <c r="H488" s="127"/>
      <c r="I488" s="127"/>
    </row>
    <row r="489">
      <c r="A489" s="179"/>
      <c r="B489" s="179"/>
      <c r="C489" s="179"/>
      <c r="D489" s="179"/>
      <c r="E489" s="127"/>
      <c r="F489" s="127"/>
      <c r="G489" s="127"/>
      <c r="H489" s="127"/>
      <c r="I489" s="127"/>
    </row>
    <row r="490">
      <c r="A490" s="179"/>
      <c r="B490" s="179"/>
      <c r="C490" s="179"/>
      <c r="D490" s="179"/>
      <c r="E490" s="127"/>
      <c r="F490" s="127"/>
      <c r="G490" s="127"/>
      <c r="H490" s="127"/>
      <c r="I490" s="127"/>
    </row>
    <row r="491">
      <c r="A491" s="179"/>
      <c r="B491" s="179"/>
      <c r="C491" s="179"/>
      <c r="D491" s="179"/>
      <c r="E491" s="127"/>
      <c r="F491" s="127"/>
      <c r="G491" s="127"/>
      <c r="H491" s="127"/>
      <c r="I491" s="127"/>
    </row>
    <row r="492">
      <c r="A492" s="179"/>
      <c r="B492" s="179"/>
      <c r="C492" s="179"/>
      <c r="D492" s="179"/>
      <c r="E492" s="127"/>
      <c r="F492" s="127"/>
      <c r="G492" s="127"/>
      <c r="H492" s="127"/>
      <c r="I492" s="127"/>
    </row>
    <row r="493">
      <c r="A493" s="179"/>
      <c r="B493" s="179"/>
      <c r="C493" s="179"/>
      <c r="D493" s="179"/>
      <c r="E493" s="127"/>
      <c r="F493" s="127"/>
      <c r="G493" s="127"/>
      <c r="H493" s="127"/>
      <c r="I493" s="127"/>
    </row>
    <row r="494">
      <c r="A494" s="179"/>
      <c r="B494" s="179"/>
      <c r="C494" s="179"/>
      <c r="D494" s="179"/>
      <c r="E494" s="127"/>
      <c r="F494" s="127"/>
      <c r="G494" s="127"/>
      <c r="H494" s="127"/>
      <c r="I494" s="127"/>
    </row>
    <row r="495">
      <c r="A495" s="179"/>
      <c r="B495" s="179"/>
      <c r="C495" s="179"/>
      <c r="D495" s="179"/>
      <c r="E495" s="127"/>
      <c r="F495" s="127"/>
      <c r="G495" s="127"/>
      <c r="H495" s="127"/>
      <c r="I495" s="127"/>
    </row>
    <row r="496">
      <c r="A496" s="179"/>
      <c r="B496" s="179"/>
      <c r="C496" s="179"/>
      <c r="D496" s="179"/>
      <c r="E496" s="127"/>
      <c r="F496" s="127"/>
      <c r="G496" s="127"/>
      <c r="H496" s="127"/>
      <c r="I496" s="127"/>
    </row>
    <row r="497">
      <c r="A497" s="179"/>
      <c r="B497" s="179"/>
      <c r="C497" s="179"/>
      <c r="D497" s="179"/>
      <c r="E497" s="127"/>
      <c r="F497" s="127"/>
      <c r="G497" s="127"/>
      <c r="H497" s="127"/>
      <c r="I497" s="127"/>
    </row>
    <row r="498">
      <c r="A498" s="179"/>
      <c r="B498" s="179"/>
      <c r="C498" s="179"/>
      <c r="D498" s="179"/>
      <c r="E498" s="127"/>
      <c r="F498" s="127"/>
      <c r="G498" s="127"/>
      <c r="H498" s="127"/>
      <c r="I498" s="127"/>
    </row>
    <row r="499">
      <c r="A499" s="179"/>
      <c r="B499" s="179"/>
      <c r="C499" s="179"/>
      <c r="D499" s="179"/>
      <c r="E499" s="127"/>
      <c r="F499" s="127"/>
      <c r="G499" s="127"/>
      <c r="H499" s="127"/>
      <c r="I499" s="127"/>
    </row>
    <row r="500">
      <c r="A500" s="179"/>
      <c r="B500" s="179"/>
      <c r="C500" s="179"/>
      <c r="D500" s="179"/>
      <c r="E500" s="127"/>
      <c r="F500" s="127"/>
      <c r="G500" s="127"/>
      <c r="H500" s="127"/>
      <c r="I500" s="127"/>
    </row>
    <row r="501">
      <c r="A501" s="179"/>
      <c r="B501" s="179"/>
      <c r="C501" s="179"/>
      <c r="D501" s="179"/>
      <c r="E501" s="127"/>
      <c r="F501" s="127"/>
      <c r="G501" s="127"/>
      <c r="H501" s="127"/>
      <c r="I501" s="127"/>
    </row>
    <row r="502">
      <c r="A502" s="179"/>
      <c r="B502" s="179"/>
      <c r="C502" s="179"/>
      <c r="D502" s="179"/>
      <c r="E502" s="127"/>
      <c r="F502" s="127"/>
      <c r="G502" s="127"/>
      <c r="H502" s="127"/>
      <c r="I502" s="127"/>
    </row>
    <row r="503">
      <c r="A503" s="179"/>
      <c r="B503" s="179"/>
      <c r="C503" s="179"/>
      <c r="D503" s="179"/>
      <c r="E503" s="127"/>
      <c r="F503" s="127"/>
      <c r="G503" s="127"/>
      <c r="H503" s="127"/>
      <c r="I503" s="127"/>
    </row>
    <row r="504">
      <c r="A504" s="179"/>
      <c r="B504" s="179"/>
      <c r="C504" s="179"/>
      <c r="D504" s="179"/>
      <c r="E504" s="127"/>
      <c r="F504" s="127"/>
      <c r="G504" s="127"/>
      <c r="H504" s="127"/>
      <c r="I504" s="127"/>
    </row>
    <row r="505">
      <c r="A505" s="179"/>
      <c r="B505" s="179"/>
      <c r="C505" s="179"/>
      <c r="D505" s="179"/>
      <c r="E505" s="127"/>
      <c r="F505" s="127"/>
      <c r="G505" s="127"/>
      <c r="H505" s="127"/>
      <c r="I505" s="127"/>
    </row>
    <row r="506">
      <c r="A506" s="179"/>
      <c r="B506" s="179"/>
      <c r="C506" s="179"/>
      <c r="D506" s="179"/>
      <c r="E506" s="127"/>
      <c r="F506" s="127"/>
      <c r="G506" s="127"/>
      <c r="H506" s="127"/>
      <c r="I506" s="127"/>
    </row>
    <row r="507">
      <c r="A507" s="179"/>
      <c r="B507" s="179"/>
      <c r="C507" s="179"/>
      <c r="D507" s="179"/>
      <c r="E507" s="127"/>
      <c r="F507" s="127"/>
      <c r="G507" s="127"/>
      <c r="H507" s="127"/>
      <c r="I507" s="127"/>
    </row>
    <row r="508">
      <c r="A508" s="179"/>
      <c r="B508" s="179"/>
      <c r="C508" s="179"/>
      <c r="D508" s="179"/>
      <c r="E508" s="127"/>
      <c r="F508" s="127"/>
      <c r="G508" s="127"/>
      <c r="H508" s="127"/>
      <c r="I508" s="127"/>
    </row>
    <row r="509">
      <c r="A509" s="179"/>
      <c r="B509" s="179"/>
      <c r="C509" s="179"/>
      <c r="D509" s="179"/>
      <c r="E509" s="127"/>
      <c r="F509" s="127"/>
      <c r="G509" s="127"/>
      <c r="H509" s="127"/>
      <c r="I509" s="127"/>
    </row>
    <row r="510">
      <c r="A510" s="179"/>
      <c r="B510" s="179"/>
      <c r="C510" s="179"/>
      <c r="D510" s="179"/>
      <c r="E510" s="127"/>
      <c r="F510" s="127"/>
      <c r="G510" s="127"/>
      <c r="H510" s="127"/>
      <c r="I510" s="127"/>
    </row>
    <row r="511">
      <c r="A511" s="179"/>
      <c r="B511" s="179"/>
      <c r="C511" s="179"/>
      <c r="D511" s="179"/>
      <c r="E511" s="127"/>
      <c r="F511" s="127"/>
      <c r="G511" s="127"/>
      <c r="H511" s="127"/>
      <c r="I511" s="127"/>
    </row>
    <row r="512">
      <c r="A512" s="179"/>
      <c r="B512" s="179"/>
      <c r="C512" s="179"/>
      <c r="D512" s="179"/>
      <c r="E512" s="127"/>
      <c r="F512" s="127"/>
      <c r="G512" s="127"/>
      <c r="H512" s="127"/>
      <c r="I512" s="127"/>
    </row>
    <row r="513">
      <c r="A513" s="179"/>
      <c r="B513" s="179"/>
      <c r="C513" s="179"/>
      <c r="D513" s="179"/>
      <c r="E513" s="127"/>
      <c r="F513" s="127"/>
      <c r="G513" s="127"/>
      <c r="H513" s="127"/>
      <c r="I513" s="127"/>
    </row>
    <row r="514">
      <c r="A514" s="179"/>
      <c r="B514" s="179"/>
      <c r="C514" s="179"/>
      <c r="D514" s="179"/>
      <c r="E514" s="127"/>
      <c r="F514" s="127"/>
      <c r="G514" s="127"/>
      <c r="H514" s="127"/>
      <c r="I514" s="127"/>
    </row>
    <row r="515">
      <c r="A515" s="179"/>
      <c r="B515" s="179"/>
      <c r="C515" s="179"/>
      <c r="D515" s="179"/>
      <c r="E515" s="127"/>
      <c r="F515" s="127"/>
      <c r="G515" s="127"/>
      <c r="H515" s="127"/>
      <c r="I515" s="127"/>
    </row>
    <row r="516">
      <c r="A516" s="179"/>
      <c r="B516" s="179"/>
      <c r="C516" s="179"/>
      <c r="D516" s="179"/>
      <c r="E516" s="127"/>
      <c r="F516" s="127"/>
      <c r="G516" s="127"/>
      <c r="H516" s="127"/>
      <c r="I516" s="127"/>
    </row>
    <row r="517">
      <c r="A517" s="179"/>
      <c r="B517" s="179"/>
      <c r="C517" s="179"/>
      <c r="D517" s="179"/>
      <c r="E517" s="127"/>
      <c r="F517" s="127"/>
      <c r="G517" s="127"/>
      <c r="H517" s="127"/>
      <c r="I517" s="127"/>
    </row>
    <row r="518">
      <c r="A518" s="179"/>
      <c r="B518" s="179"/>
      <c r="C518" s="179"/>
      <c r="D518" s="179"/>
      <c r="E518" s="127"/>
      <c r="F518" s="127"/>
      <c r="G518" s="127"/>
      <c r="H518" s="127"/>
      <c r="I518" s="127"/>
    </row>
    <row r="519">
      <c r="A519" s="179"/>
      <c r="B519" s="179"/>
      <c r="C519" s="179"/>
      <c r="D519" s="179"/>
      <c r="E519" s="127"/>
      <c r="F519" s="127"/>
      <c r="G519" s="127"/>
      <c r="H519" s="127"/>
      <c r="I519" s="127"/>
    </row>
    <row r="520">
      <c r="A520" s="179"/>
      <c r="B520" s="179"/>
      <c r="C520" s="179"/>
      <c r="D520" s="179"/>
      <c r="E520" s="127"/>
      <c r="F520" s="127"/>
      <c r="G520" s="127"/>
      <c r="H520" s="127"/>
      <c r="I520" s="127"/>
    </row>
    <row r="521">
      <c r="A521" s="179"/>
      <c r="B521" s="179"/>
      <c r="C521" s="179"/>
      <c r="D521" s="179"/>
      <c r="E521" s="127"/>
      <c r="F521" s="127"/>
      <c r="G521" s="127"/>
      <c r="H521" s="127"/>
      <c r="I521" s="127"/>
    </row>
    <row r="522">
      <c r="A522" s="179"/>
      <c r="B522" s="179"/>
      <c r="C522" s="179"/>
      <c r="D522" s="179"/>
      <c r="E522" s="127"/>
      <c r="F522" s="127"/>
      <c r="G522" s="127"/>
      <c r="H522" s="127"/>
      <c r="I522" s="127"/>
    </row>
    <row r="523">
      <c r="A523" s="179"/>
      <c r="B523" s="179"/>
      <c r="C523" s="179"/>
      <c r="D523" s="179"/>
      <c r="E523" s="127"/>
      <c r="F523" s="127"/>
      <c r="G523" s="127"/>
      <c r="H523" s="127"/>
      <c r="I523" s="127"/>
    </row>
    <row r="524">
      <c r="A524" s="179"/>
      <c r="B524" s="179"/>
      <c r="C524" s="179"/>
      <c r="D524" s="179"/>
      <c r="E524" s="127"/>
      <c r="F524" s="127"/>
      <c r="G524" s="127"/>
      <c r="H524" s="127"/>
      <c r="I524" s="127"/>
    </row>
    <row r="525">
      <c r="A525" s="179"/>
      <c r="B525" s="179"/>
      <c r="C525" s="179"/>
      <c r="D525" s="179"/>
      <c r="E525" s="127"/>
      <c r="F525" s="127"/>
      <c r="G525" s="127"/>
      <c r="H525" s="127"/>
      <c r="I525" s="127"/>
    </row>
    <row r="526">
      <c r="A526" s="179"/>
      <c r="B526" s="179"/>
      <c r="C526" s="179"/>
      <c r="D526" s="179"/>
      <c r="E526" s="127"/>
      <c r="F526" s="127"/>
      <c r="G526" s="127"/>
      <c r="H526" s="127"/>
      <c r="I526" s="127"/>
    </row>
    <row r="527">
      <c r="A527" s="179"/>
      <c r="B527" s="179"/>
      <c r="C527" s="179"/>
      <c r="D527" s="179"/>
      <c r="E527" s="127"/>
      <c r="F527" s="127"/>
      <c r="G527" s="127"/>
      <c r="H527" s="127"/>
      <c r="I527" s="127"/>
    </row>
    <row r="528">
      <c r="A528" s="179"/>
      <c r="B528" s="179"/>
      <c r="C528" s="179"/>
      <c r="D528" s="179"/>
      <c r="E528" s="127"/>
      <c r="F528" s="127"/>
      <c r="G528" s="127"/>
      <c r="H528" s="127"/>
      <c r="I528" s="127"/>
    </row>
    <row r="529">
      <c r="A529" s="179"/>
      <c r="B529" s="179"/>
      <c r="C529" s="179"/>
      <c r="D529" s="179"/>
      <c r="E529" s="127"/>
      <c r="F529" s="127"/>
      <c r="G529" s="127"/>
      <c r="H529" s="127"/>
      <c r="I529" s="127"/>
    </row>
    <row r="530">
      <c r="A530" s="179"/>
      <c r="B530" s="179"/>
      <c r="C530" s="179"/>
      <c r="D530" s="179"/>
      <c r="E530" s="127"/>
      <c r="F530" s="127"/>
      <c r="G530" s="127"/>
      <c r="H530" s="127"/>
      <c r="I530" s="127"/>
    </row>
    <row r="531">
      <c r="A531" s="179"/>
      <c r="B531" s="179"/>
      <c r="C531" s="179"/>
      <c r="D531" s="179"/>
      <c r="E531" s="127"/>
      <c r="F531" s="127"/>
      <c r="G531" s="127"/>
      <c r="H531" s="127"/>
      <c r="I531" s="127"/>
    </row>
    <row r="532">
      <c r="A532" s="179"/>
      <c r="B532" s="179"/>
      <c r="C532" s="179"/>
      <c r="D532" s="179"/>
      <c r="E532" s="127"/>
      <c r="F532" s="127"/>
      <c r="G532" s="127"/>
      <c r="H532" s="127"/>
      <c r="I532" s="127"/>
    </row>
    <row r="533">
      <c r="A533" s="179"/>
      <c r="B533" s="179"/>
      <c r="C533" s="179"/>
      <c r="D533" s="179"/>
      <c r="E533" s="127"/>
      <c r="F533" s="127"/>
      <c r="G533" s="127"/>
      <c r="H533" s="127"/>
      <c r="I533" s="127"/>
    </row>
    <row r="534">
      <c r="A534" s="179"/>
      <c r="B534" s="179"/>
      <c r="C534" s="179"/>
      <c r="D534" s="179"/>
      <c r="E534" s="127"/>
      <c r="F534" s="127"/>
      <c r="G534" s="127"/>
      <c r="H534" s="127"/>
      <c r="I534" s="127"/>
    </row>
    <row r="535">
      <c r="A535" s="179"/>
      <c r="B535" s="179"/>
      <c r="C535" s="179"/>
      <c r="D535" s="179"/>
      <c r="E535" s="127"/>
      <c r="F535" s="127"/>
      <c r="G535" s="127"/>
      <c r="H535" s="127"/>
      <c r="I535" s="127"/>
    </row>
    <row r="536">
      <c r="A536" s="179"/>
      <c r="B536" s="179"/>
      <c r="C536" s="179"/>
      <c r="D536" s="179"/>
      <c r="E536" s="127"/>
      <c r="F536" s="127"/>
      <c r="G536" s="127"/>
      <c r="H536" s="127"/>
      <c r="I536" s="127"/>
    </row>
    <row r="537">
      <c r="A537" s="179"/>
      <c r="B537" s="179"/>
      <c r="C537" s="179"/>
      <c r="D537" s="179"/>
      <c r="E537" s="127"/>
      <c r="F537" s="127"/>
      <c r="G537" s="127"/>
      <c r="H537" s="127"/>
      <c r="I537" s="127"/>
    </row>
    <row r="538">
      <c r="A538" s="179"/>
      <c r="B538" s="179"/>
      <c r="C538" s="179"/>
      <c r="D538" s="179"/>
      <c r="E538" s="127"/>
      <c r="F538" s="127"/>
      <c r="G538" s="127"/>
      <c r="H538" s="127"/>
      <c r="I538" s="127"/>
    </row>
    <row r="539">
      <c r="A539" s="179"/>
      <c r="B539" s="179"/>
      <c r="C539" s="179"/>
      <c r="D539" s="179"/>
      <c r="E539" s="127"/>
      <c r="F539" s="127"/>
      <c r="G539" s="127"/>
      <c r="H539" s="127"/>
      <c r="I539" s="127"/>
    </row>
    <row r="540">
      <c r="A540" s="179"/>
      <c r="B540" s="179"/>
      <c r="C540" s="179"/>
      <c r="D540" s="179"/>
      <c r="E540" s="127"/>
      <c r="F540" s="127"/>
      <c r="G540" s="127"/>
      <c r="H540" s="127"/>
      <c r="I540" s="127"/>
    </row>
    <row r="541">
      <c r="A541" s="179"/>
      <c r="B541" s="179"/>
      <c r="C541" s="179"/>
      <c r="D541" s="179"/>
      <c r="E541" s="127"/>
      <c r="F541" s="127"/>
      <c r="G541" s="127"/>
      <c r="H541" s="127"/>
      <c r="I541" s="127"/>
    </row>
    <row r="542">
      <c r="A542" s="179"/>
      <c r="B542" s="179"/>
      <c r="C542" s="179"/>
      <c r="D542" s="179"/>
      <c r="E542" s="127"/>
      <c r="F542" s="127"/>
      <c r="G542" s="127"/>
      <c r="H542" s="127"/>
      <c r="I542" s="127"/>
    </row>
    <row r="543">
      <c r="A543" s="179"/>
      <c r="B543" s="179"/>
      <c r="C543" s="179"/>
      <c r="D543" s="179"/>
      <c r="E543" s="127"/>
      <c r="F543" s="127"/>
      <c r="G543" s="127"/>
      <c r="H543" s="127"/>
      <c r="I543" s="127"/>
    </row>
    <row r="544">
      <c r="A544" s="179"/>
      <c r="B544" s="179"/>
      <c r="C544" s="179"/>
      <c r="D544" s="179"/>
      <c r="E544" s="127"/>
      <c r="F544" s="127"/>
      <c r="G544" s="127"/>
      <c r="H544" s="127"/>
      <c r="I544" s="127"/>
    </row>
    <row r="545">
      <c r="A545" s="179"/>
      <c r="B545" s="179"/>
      <c r="C545" s="179"/>
      <c r="D545" s="179"/>
      <c r="E545" s="127"/>
      <c r="F545" s="127"/>
      <c r="G545" s="127"/>
      <c r="H545" s="127"/>
      <c r="I545" s="127"/>
    </row>
    <row r="546">
      <c r="A546" s="179"/>
      <c r="B546" s="179"/>
      <c r="C546" s="179"/>
      <c r="D546" s="179"/>
      <c r="E546" s="127"/>
      <c r="F546" s="127"/>
      <c r="G546" s="127"/>
      <c r="H546" s="127"/>
      <c r="I546" s="127"/>
    </row>
    <row r="547">
      <c r="A547" s="179"/>
      <c r="B547" s="179"/>
      <c r="C547" s="179"/>
      <c r="D547" s="179"/>
      <c r="E547" s="127"/>
      <c r="F547" s="127"/>
      <c r="G547" s="127"/>
      <c r="H547" s="127"/>
      <c r="I547" s="127"/>
    </row>
    <row r="548">
      <c r="A548" s="179"/>
      <c r="B548" s="179"/>
      <c r="C548" s="179"/>
      <c r="D548" s="179"/>
      <c r="E548" s="127"/>
      <c r="F548" s="127"/>
      <c r="G548" s="127"/>
      <c r="H548" s="127"/>
      <c r="I548" s="127"/>
    </row>
    <row r="549">
      <c r="A549" s="179"/>
      <c r="B549" s="179"/>
      <c r="C549" s="179"/>
      <c r="D549" s="179"/>
      <c r="E549" s="127"/>
      <c r="F549" s="127"/>
      <c r="G549" s="127"/>
      <c r="H549" s="127"/>
      <c r="I549" s="127"/>
    </row>
    <row r="550">
      <c r="A550" s="179"/>
      <c r="B550" s="179"/>
      <c r="C550" s="179"/>
      <c r="D550" s="179"/>
      <c r="E550" s="127"/>
      <c r="F550" s="127"/>
      <c r="G550" s="127"/>
      <c r="H550" s="127"/>
      <c r="I550" s="127"/>
    </row>
    <row r="551">
      <c r="A551" s="179"/>
      <c r="B551" s="179"/>
      <c r="C551" s="179"/>
      <c r="D551" s="179"/>
      <c r="E551" s="127"/>
      <c r="F551" s="127"/>
      <c r="G551" s="127"/>
      <c r="H551" s="127"/>
      <c r="I551" s="127"/>
    </row>
    <row r="552">
      <c r="A552" s="179"/>
      <c r="B552" s="179"/>
      <c r="C552" s="179"/>
      <c r="D552" s="179"/>
      <c r="E552" s="127"/>
      <c r="F552" s="127"/>
      <c r="G552" s="127"/>
      <c r="H552" s="127"/>
      <c r="I552" s="127"/>
    </row>
    <row r="553">
      <c r="A553" s="179"/>
      <c r="B553" s="179"/>
      <c r="C553" s="179"/>
      <c r="D553" s="179"/>
      <c r="E553" s="127"/>
      <c r="F553" s="127"/>
      <c r="G553" s="127"/>
      <c r="H553" s="127"/>
      <c r="I553" s="127"/>
    </row>
    <row r="554">
      <c r="A554" s="179"/>
      <c r="B554" s="179"/>
      <c r="C554" s="179"/>
      <c r="D554" s="179"/>
      <c r="E554" s="127"/>
      <c r="F554" s="127"/>
      <c r="G554" s="127"/>
      <c r="H554" s="127"/>
      <c r="I554" s="127"/>
    </row>
    <row r="555">
      <c r="A555" s="179"/>
      <c r="B555" s="179"/>
      <c r="C555" s="179"/>
      <c r="D555" s="179"/>
      <c r="E555" s="127"/>
      <c r="F555" s="127"/>
      <c r="G555" s="127"/>
      <c r="H555" s="127"/>
      <c r="I555" s="127"/>
    </row>
    <row r="556">
      <c r="A556" s="179"/>
      <c r="B556" s="179"/>
      <c r="C556" s="179"/>
      <c r="D556" s="179"/>
      <c r="E556" s="127"/>
      <c r="F556" s="127"/>
      <c r="G556" s="127"/>
      <c r="H556" s="127"/>
      <c r="I556" s="127"/>
    </row>
    <row r="557">
      <c r="A557" s="179"/>
      <c r="B557" s="179"/>
      <c r="C557" s="179"/>
      <c r="D557" s="179"/>
      <c r="E557" s="127"/>
      <c r="F557" s="127"/>
      <c r="G557" s="127"/>
      <c r="H557" s="127"/>
      <c r="I557" s="127"/>
    </row>
    <row r="558">
      <c r="A558" s="179"/>
      <c r="B558" s="179"/>
      <c r="C558" s="179"/>
      <c r="D558" s="179"/>
      <c r="E558" s="127"/>
      <c r="F558" s="127"/>
      <c r="G558" s="127"/>
      <c r="H558" s="127"/>
      <c r="I558" s="127"/>
    </row>
    <row r="559">
      <c r="A559" s="179"/>
      <c r="B559" s="179"/>
      <c r="C559" s="179"/>
      <c r="D559" s="179"/>
      <c r="E559" s="127"/>
      <c r="F559" s="127"/>
      <c r="G559" s="127"/>
      <c r="H559" s="127"/>
      <c r="I559" s="127"/>
    </row>
    <row r="560">
      <c r="A560" s="179"/>
      <c r="B560" s="179"/>
      <c r="C560" s="179"/>
      <c r="D560" s="179"/>
      <c r="E560" s="127"/>
      <c r="F560" s="127"/>
      <c r="G560" s="127"/>
      <c r="H560" s="127"/>
      <c r="I560" s="127"/>
    </row>
    <row r="561">
      <c r="A561" s="179"/>
      <c r="B561" s="179"/>
      <c r="C561" s="179"/>
      <c r="D561" s="179"/>
      <c r="E561" s="127"/>
      <c r="F561" s="127"/>
      <c r="G561" s="127"/>
      <c r="H561" s="127"/>
      <c r="I561" s="127"/>
    </row>
    <row r="562">
      <c r="A562" s="179"/>
      <c r="B562" s="179"/>
      <c r="C562" s="179"/>
      <c r="D562" s="179"/>
      <c r="E562" s="127"/>
      <c r="F562" s="127"/>
      <c r="G562" s="127"/>
      <c r="H562" s="127"/>
      <c r="I562" s="127"/>
    </row>
    <row r="563">
      <c r="A563" s="179"/>
      <c r="B563" s="179"/>
      <c r="C563" s="179"/>
      <c r="D563" s="179"/>
      <c r="E563" s="127"/>
      <c r="F563" s="127"/>
      <c r="G563" s="127"/>
      <c r="H563" s="127"/>
      <c r="I563" s="127"/>
    </row>
    <row r="564">
      <c r="A564" s="179"/>
      <c r="B564" s="127"/>
      <c r="C564" s="179"/>
      <c r="D564" s="179"/>
      <c r="E564" s="127"/>
      <c r="F564" s="127"/>
      <c r="G564" s="127"/>
      <c r="H564" s="127"/>
      <c r="I564" s="127"/>
    </row>
    <row r="565">
      <c r="A565" s="179"/>
      <c r="B565" s="179"/>
      <c r="C565" s="179"/>
      <c r="D565" s="179"/>
      <c r="E565" s="127"/>
      <c r="F565" s="127"/>
      <c r="G565" s="127"/>
      <c r="H565" s="127"/>
      <c r="I565" s="127"/>
    </row>
    <row r="566">
      <c r="A566" s="179"/>
      <c r="B566" s="179"/>
      <c r="C566" s="179"/>
      <c r="D566" s="179"/>
      <c r="E566" s="127"/>
      <c r="F566" s="127"/>
      <c r="G566" s="127"/>
      <c r="H566" s="127"/>
      <c r="I566" s="127"/>
    </row>
    <row r="567">
      <c r="A567" s="179"/>
      <c r="B567" s="179"/>
      <c r="C567" s="179"/>
      <c r="D567" s="179"/>
      <c r="E567" s="127"/>
      <c r="F567" s="127"/>
      <c r="G567" s="127"/>
      <c r="H567" s="127"/>
      <c r="I567" s="127"/>
    </row>
    <row r="568">
      <c r="A568" s="179"/>
      <c r="B568" s="179"/>
      <c r="C568" s="179"/>
      <c r="D568" s="179"/>
      <c r="E568" s="127"/>
      <c r="F568" s="127"/>
      <c r="G568" s="127"/>
      <c r="H568" s="127"/>
      <c r="I568" s="127"/>
    </row>
    <row r="569">
      <c r="A569" s="179"/>
      <c r="B569" s="179"/>
      <c r="C569" s="179"/>
      <c r="D569" s="179"/>
      <c r="E569" s="127"/>
      <c r="F569" s="127"/>
      <c r="G569" s="127"/>
      <c r="H569" s="127"/>
      <c r="I569" s="127"/>
    </row>
    <row r="570">
      <c r="A570" s="179"/>
      <c r="B570" s="179"/>
      <c r="C570" s="179"/>
      <c r="D570" s="179"/>
      <c r="E570" s="127"/>
      <c r="F570" s="127"/>
      <c r="G570" s="127"/>
      <c r="H570" s="127"/>
      <c r="I570" s="127"/>
    </row>
    <row r="571">
      <c r="A571" s="179"/>
      <c r="B571" s="179"/>
      <c r="C571" s="179"/>
      <c r="D571" s="179"/>
      <c r="E571" s="127"/>
      <c r="F571" s="127"/>
      <c r="G571" s="127"/>
      <c r="H571" s="127"/>
      <c r="I571" s="127"/>
    </row>
    <row r="572">
      <c r="A572" s="179"/>
      <c r="B572" s="179"/>
      <c r="C572" s="179"/>
      <c r="D572" s="179"/>
      <c r="E572" s="127"/>
      <c r="F572" s="127"/>
      <c r="G572" s="127"/>
      <c r="H572" s="127"/>
      <c r="I572" s="127"/>
    </row>
    <row r="573">
      <c r="A573" s="179"/>
      <c r="B573" s="179"/>
      <c r="C573" s="179"/>
      <c r="D573" s="179"/>
      <c r="E573" s="127"/>
      <c r="F573" s="127"/>
      <c r="G573" s="127"/>
      <c r="H573" s="127"/>
      <c r="I573" s="127"/>
    </row>
    <row r="574">
      <c r="A574" s="179"/>
      <c r="B574" s="179"/>
      <c r="C574" s="179"/>
      <c r="D574" s="179"/>
      <c r="E574" s="127"/>
      <c r="F574" s="127"/>
      <c r="G574" s="127"/>
      <c r="H574" s="127"/>
      <c r="I574" s="127"/>
    </row>
    <row r="575">
      <c r="A575" s="179"/>
      <c r="B575" s="179"/>
      <c r="C575" s="179"/>
      <c r="D575" s="179"/>
      <c r="E575" s="127"/>
      <c r="F575" s="127"/>
      <c r="G575" s="127"/>
      <c r="H575" s="127"/>
      <c r="I575" s="127"/>
    </row>
    <row r="576">
      <c r="A576" s="179"/>
      <c r="B576" s="179"/>
      <c r="C576" s="179"/>
      <c r="D576" s="179"/>
      <c r="E576" s="127"/>
      <c r="F576" s="127"/>
      <c r="G576" s="127"/>
      <c r="H576" s="127"/>
      <c r="I576" s="127"/>
    </row>
    <row r="577">
      <c r="A577" s="179"/>
      <c r="B577" s="179"/>
      <c r="C577" s="179"/>
      <c r="D577" s="179"/>
      <c r="E577" s="127"/>
      <c r="F577" s="127"/>
      <c r="G577" s="127"/>
      <c r="H577" s="127"/>
      <c r="I577" s="127"/>
    </row>
    <row r="578">
      <c r="A578" s="179"/>
      <c r="B578" s="179"/>
      <c r="C578" s="179"/>
      <c r="D578" s="179"/>
      <c r="E578" s="127"/>
      <c r="F578" s="127"/>
      <c r="G578" s="127"/>
      <c r="H578" s="127"/>
      <c r="I578" s="127"/>
    </row>
    <row r="579">
      <c r="A579" s="179"/>
      <c r="B579" s="179"/>
      <c r="C579" s="179"/>
      <c r="D579" s="179"/>
      <c r="E579" s="127"/>
      <c r="F579" s="127"/>
      <c r="G579" s="127"/>
      <c r="H579" s="127"/>
      <c r="I579" s="127"/>
    </row>
    <row r="580">
      <c r="A580" s="179"/>
      <c r="B580" s="179"/>
      <c r="C580" s="179"/>
      <c r="D580" s="179"/>
      <c r="E580" s="127"/>
      <c r="F580" s="127"/>
      <c r="G580" s="127"/>
      <c r="H580" s="127"/>
      <c r="I580" s="127"/>
    </row>
    <row r="581">
      <c r="A581" s="179"/>
      <c r="B581" s="179"/>
      <c r="C581" s="179"/>
      <c r="D581" s="179"/>
      <c r="E581" s="127"/>
      <c r="F581" s="127"/>
      <c r="G581" s="127"/>
      <c r="H581" s="127"/>
      <c r="I581" s="127"/>
    </row>
    <row r="582">
      <c r="A582" s="179"/>
      <c r="B582" s="179"/>
      <c r="C582" s="179"/>
      <c r="D582" s="179"/>
      <c r="E582" s="127"/>
      <c r="F582" s="127"/>
      <c r="G582" s="127"/>
      <c r="H582" s="127"/>
      <c r="I582" s="127"/>
    </row>
    <row r="583">
      <c r="A583" s="179"/>
      <c r="B583" s="179"/>
      <c r="C583" s="179"/>
      <c r="D583" s="179"/>
      <c r="E583" s="127"/>
      <c r="F583" s="127"/>
      <c r="G583" s="127"/>
      <c r="H583" s="127"/>
      <c r="I583" s="127"/>
    </row>
    <row r="584">
      <c r="A584" s="179"/>
      <c r="B584" s="179"/>
      <c r="C584" s="179"/>
      <c r="D584" s="179"/>
      <c r="E584" s="127"/>
      <c r="F584" s="127"/>
      <c r="G584" s="127"/>
      <c r="H584" s="127"/>
      <c r="I584" s="127"/>
    </row>
    <row r="585">
      <c r="A585" s="179"/>
      <c r="B585" s="179"/>
      <c r="C585" s="179"/>
      <c r="D585" s="179"/>
      <c r="E585" s="127"/>
      <c r="F585" s="127"/>
      <c r="G585" s="127"/>
      <c r="H585" s="127"/>
      <c r="I585" s="127"/>
    </row>
    <row r="586">
      <c r="A586" s="179"/>
      <c r="B586" s="179"/>
      <c r="C586" s="179"/>
      <c r="D586" s="179"/>
      <c r="E586" s="127"/>
      <c r="F586" s="127"/>
      <c r="G586" s="127"/>
      <c r="H586" s="127"/>
      <c r="I586" s="127"/>
    </row>
    <row r="587">
      <c r="A587" s="179"/>
      <c r="B587" s="179"/>
      <c r="C587" s="179"/>
      <c r="D587" s="179"/>
      <c r="E587" s="127"/>
      <c r="F587" s="127"/>
      <c r="G587" s="127"/>
      <c r="H587" s="127"/>
      <c r="I587" s="127"/>
    </row>
    <row r="588">
      <c r="A588" s="179"/>
      <c r="B588" s="179"/>
      <c r="C588" s="179"/>
      <c r="D588" s="179"/>
      <c r="E588" s="127"/>
      <c r="F588" s="127"/>
      <c r="G588" s="127"/>
      <c r="H588" s="127"/>
      <c r="I588" s="127"/>
    </row>
    <row r="589">
      <c r="A589" s="179"/>
      <c r="B589" s="179"/>
      <c r="C589" s="179"/>
      <c r="D589" s="179"/>
      <c r="E589" s="127"/>
      <c r="F589" s="127"/>
      <c r="G589" s="127"/>
      <c r="H589" s="127"/>
      <c r="I589" s="127"/>
    </row>
    <row r="590">
      <c r="A590" s="179"/>
      <c r="B590" s="179"/>
      <c r="C590" s="179"/>
      <c r="D590" s="179"/>
      <c r="E590" s="127"/>
      <c r="F590" s="127"/>
      <c r="G590" s="127"/>
      <c r="H590" s="127"/>
      <c r="I590" s="127"/>
    </row>
    <row r="591">
      <c r="A591" s="179"/>
      <c r="B591" s="179"/>
      <c r="C591" s="179"/>
      <c r="D591" s="179"/>
      <c r="E591" s="127"/>
      <c r="F591" s="127"/>
      <c r="G591" s="127"/>
      <c r="H591" s="127"/>
      <c r="I591" s="127"/>
    </row>
    <row r="592">
      <c r="A592" s="179"/>
      <c r="B592" s="179"/>
      <c r="C592" s="179"/>
      <c r="D592" s="179"/>
      <c r="E592" s="127"/>
      <c r="F592" s="127"/>
      <c r="G592" s="127"/>
      <c r="H592" s="127"/>
      <c r="I592" s="127"/>
    </row>
    <row r="593">
      <c r="A593" s="179"/>
      <c r="B593" s="179"/>
      <c r="C593" s="179"/>
      <c r="D593" s="179"/>
      <c r="E593" s="127"/>
      <c r="F593" s="127"/>
      <c r="G593" s="127"/>
      <c r="H593" s="127"/>
      <c r="I593" s="127"/>
    </row>
    <row r="594">
      <c r="A594" s="179"/>
      <c r="B594" s="179"/>
      <c r="C594" s="179"/>
      <c r="D594" s="179"/>
      <c r="E594" s="127"/>
      <c r="F594" s="127"/>
      <c r="G594" s="127"/>
      <c r="H594" s="127"/>
      <c r="I594" s="127"/>
    </row>
    <row r="595">
      <c r="A595" s="179"/>
      <c r="B595" s="179"/>
      <c r="C595" s="179"/>
      <c r="D595" s="179"/>
      <c r="E595" s="127"/>
      <c r="F595" s="127"/>
      <c r="G595" s="127"/>
      <c r="H595" s="127"/>
      <c r="I595" s="127"/>
    </row>
    <row r="596">
      <c r="A596" s="179"/>
      <c r="B596" s="179"/>
      <c r="C596" s="179"/>
      <c r="D596" s="179"/>
      <c r="E596" s="127"/>
      <c r="F596" s="127"/>
      <c r="G596" s="127"/>
      <c r="H596" s="127"/>
      <c r="I596" s="127"/>
    </row>
    <row r="597">
      <c r="A597" s="179"/>
      <c r="B597" s="179"/>
      <c r="C597" s="179"/>
      <c r="D597" s="179"/>
      <c r="E597" s="127"/>
      <c r="F597" s="127"/>
      <c r="G597" s="127"/>
      <c r="H597" s="127"/>
      <c r="I597" s="127"/>
    </row>
    <row r="598">
      <c r="A598" s="179"/>
      <c r="B598" s="179"/>
      <c r="C598" s="179"/>
      <c r="D598" s="179"/>
      <c r="E598" s="127"/>
      <c r="F598" s="127"/>
      <c r="G598" s="127"/>
      <c r="H598" s="127"/>
      <c r="I598" s="127"/>
    </row>
    <row r="599">
      <c r="A599" s="179"/>
      <c r="B599" s="179"/>
      <c r="C599" s="179"/>
      <c r="D599" s="179"/>
      <c r="E599" s="127"/>
      <c r="F599" s="127"/>
      <c r="G599" s="127"/>
      <c r="H599" s="127"/>
      <c r="I599" s="127"/>
    </row>
    <row r="600">
      <c r="A600" s="179"/>
      <c r="B600" s="179"/>
      <c r="C600" s="179"/>
      <c r="D600" s="179"/>
      <c r="E600" s="127"/>
      <c r="F600" s="127"/>
      <c r="G600" s="127"/>
      <c r="H600" s="127"/>
      <c r="I600" s="127"/>
    </row>
    <row r="601">
      <c r="A601" s="179"/>
      <c r="B601" s="179"/>
      <c r="C601" s="179"/>
      <c r="D601" s="179"/>
      <c r="E601" s="127"/>
      <c r="F601" s="127"/>
      <c r="G601" s="127"/>
      <c r="H601" s="127"/>
      <c r="I601" s="127"/>
    </row>
    <row r="602">
      <c r="A602" s="179"/>
      <c r="B602" s="179"/>
      <c r="C602" s="179"/>
      <c r="D602" s="179"/>
      <c r="E602" s="127"/>
      <c r="F602" s="127"/>
      <c r="G602" s="127"/>
      <c r="H602" s="127"/>
      <c r="I602" s="127"/>
    </row>
    <row r="603">
      <c r="A603" s="179"/>
      <c r="B603" s="179"/>
      <c r="C603" s="179"/>
      <c r="D603" s="179"/>
      <c r="E603" s="127"/>
      <c r="F603" s="127"/>
      <c r="G603" s="127"/>
      <c r="H603" s="127"/>
      <c r="I603" s="127"/>
    </row>
    <row r="604">
      <c r="A604" s="179"/>
      <c r="B604" s="179"/>
      <c r="C604" s="179"/>
      <c r="D604" s="179"/>
      <c r="E604" s="127"/>
      <c r="F604" s="127"/>
      <c r="G604" s="127"/>
      <c r="H604" s="127"/>
      <c r="I604" s="127"/>
    </row>
    <row r="605">
      <c r="A605" s="179"/>
      <c r="B605" s="179"/>
      <c r="C605" s="179"/>
      <c r="D605" s="179"/>
      <c r="E605" s="127"/>
      <c r="F605" s="127"/>
      <c r="G605" s="127"/>
      <c r="H605" s="127"/>
      <c r="I605" s="127"/>
    </row>
    <row r="606">
      <c r="A606" s="179"/>
      <c r="B606" s="179"/>
      <c r="C606" s="179"/>
      <c r="D606" s="179"/>
      <c r="E606" s="127"/>
      <c r="F606" s="127"/>
      <c r="G606" s="127"/>
      <c r="H606" s="127"/>
      <c r="I606" s="127"/>
    </row>
    <row r="607">
      <c r="A607" s="179"/>
      <c r="B607" s="179"/>
      <c r="C607" s="179"/>
      <c r="D607" s="179"/>
      <c r="E607" s="127"/>
      <c r="F607" s="127"/>
      <c r="G607" s="127"/>
      <c r="H607" s="127"/>
      <c r="I607" s="127"/>
    </row>
    <row r="608">
      <c r="A608" s="179"/>
      <c r="B608" s="179"/>
      <c r="C608" s="179"/>
      <c r="D608" s="179"/>
      <c r="E608" s="127"/>
      <c r="F608" s="127"/>
      <c r="G608" s="127"/>
      <c r="H608" s="127"/>
      <c r="I608" s="127"/>
    </row>
    <row r="609">
      <c r="A609" s="179"/>
      <c r="B609" s="179"/>
      <c r="C609" s="179"/>
      <c r="D609" s="179"/>
      <c r="E609" s="127"/>
      <c r="F609" s="127"/>
      <c r="G609" s="127"/>
      <c r="H609" s="127"/>
      <c r="I609" s="127"/>
    </row>
    <row r="610">
      <c r="A610" s="179"/>
      <c r="B610" s="179"/>
      <c r="C610" s="179"/>
      <c r="D610" s="179"/>
      <c r="E610" s="127"/>
      <c r="F610" s="127"/>
      <c r="G610" s="127"/>
      <c r="H610" s="127"/>
      <c r="I610" s="127"/>
    </row>
    <row r="611">
      <c r="A611" s="179"/>
      <c r="B611" s="179"/>
      <c r="C611" s="179"/>
      <c r="D611" s="179"/>
      <c r="E611" s="127"/>
      <c r="F611" s="127"/>
      <c r="G611" s="127"/>
      <c r="H611" s="127"/>
      <c r="I611" s="127"/>
    </row>
    <row r="612">
      <c r="A612" s="179"/>
      <c r="B612" s="179"/>
      <c r="C612" s="179"/>
      <c r="D612" s="179"/>
      <c r="E612" s="127"/>
      <c r="F612" s="127"/>
      <c r="G612" s="127"/>
      <c r="H612" s="127"/>
      <c r="I612" s="127"/>
    </row>
    <row r="613">
      <c r="A613" s="179"/>
      <c r="B613" s="179"/>
      <c r="C613" s="179"/>
      <c r="D613" s="179"/>
      <c r="E613" s="127"/>
      <c r="F613" s="127"/>
      <c r="G613" s="127"/>
      <c r="H613" s="127"/>
      <c r="I613" s="127"/>
    </row>
    <row r="614">
      <c r="A614" s="179"/>
      <c r="B614" s="179"/>
      <c r="C614" s="179"/>
      <c r="D614" s="179"/>
      <c r="E614" s="127"/>
      <c r="F614" s="127"/>
      <c r="G614" s="127"/>
      <c r="H614" s="127"/>
      <c r="I614" s="127"/>
    </row>
    <row r="615">
      <c r="A615" s="179"/>
      <c r="B615" s="179"/>
      <c r="C615" s="179"/>
      <c r="D615" s="179"/>
      <c r="E615" s="127"/>
      <c r="F615" s="127"/>
      <c r="G615" s="127"/>
      <c r="H615" s="127"/>
      <c r="I615" s="127"/>
    </row>
    <row r="616">
      <c r="A616" s="179"/>
      <c r="B616" s="179"/>
      <c r="C616" s="179"/>
      <c r="D616" s="179"/>
      <c r="E616" s="127"/>
      <c r="F616" s="127"/>
      <c r="G616" s="127"/>
      <c r="H616" s="127"/>
      <c r="I616" s="127"/>
    </row>
    <row r="617">
      <c r="A617" s="179"/>
      <c r="B617" s="127"/>
      <c r="C617" s="179"/>
      <c r="D617" s="179"/>
      <c r="E617" s="127"/>
      <c r="F617" s="127"/>
      <c r="G617" s="127"/>
      <c r="H617" s="127"/>
      <c r="I617" s="127"/>
    </row>
    <row r="618">
      <c r="A618" s="179"/>
      <c r="B618" s="179"/>
      <c r="C618" s="179"/>
      <c r="D618" s="179"/>
      <c r="E618" s="127"/>
      <c r="F618" s="127"/>
      <c r="G618" s="127"/>
      <c r="H618" s="127"/>
      <c r="I618" s="127"/>
    </row>
    <row r="619">
      <c r="A619" s="179"/>
      <c r="B619" s="179"/>
      <c r="C619" s="179"/>
      <c r="D619" s="179"/>
      <c r="E619" s="127"/>
      <c r="F619" s="127"/>
      <c r="G619" s="127"/>
      <c r="H619" s="127"/>
      <c r="I619" s="127"/>
    </row>
    <row r="620">
      <c r="A620" s="179"/>
      <c r="B620" s="179"/>
      <c r="C620" s="179"/>
      <c r="D620" s="179"/>
      <c r="E620" s="127"/>
      <c r="F620" s="127"/>
      <c r="G620" s="127"/>
      <c r="H620" s="127"/>
      <c r="I620" s="127"/>
    </row>
    <row r="621">
      <c r="A621" s="179"/>
      <c r="B621" s="179"/>
      <c r="C621" s="179"/>
      <c r="D621" s="179"/>
      <c r="E621" s="127"/>
      <c r="F621" s="127"/>
      <c r="G621" s="127"/>
      <c r="H621" s="127"/>
      <c r="I621" s="127"/>
    </row>
    <row r="622">
      <c r="A622" s="179"/>
      <c r="B622" s="179"/>
      <c r="C622" s="179"/>
      <c r="D622" s="179"/>
      <c r="E622" s="127"/>
      <c r="F622" s="127"/>
      <c r="G622" s="127"/>
      <c r="H622" s="127"/>
      <c r="I622" s="127"/>
    </row>
    <row r="623">
      <c r="A623" s="179"/>
      <c r="B623" s="179"/>
      <c r="C623" s="179"/>
      <c r="D623" s="179"/>
      <c r="E623" s="127"/>
      <c r="F623" s="127"/>
      <c r="G623" s="127"/>
      <c r="H623" s="127"/>
      <c r="I623" s="127"/>
    </row>
    <row r="624">
      <c r="A624" s="179"/>
      <c r="B624" s="179"/>
      <c r="C624" s="179"/>
      <c r="D624" s="179"/>
      <c r="E624" s="127"/>
      <c r="F624" s="127"/>
      <c r="G624" s="127"/>
      <c r="H624" s="127"/>
      <c r="I624" s="127"/>
    </row>
    <row r="625">
      <c r="A625" s="179"/>
      <c r="B625" s="179"/>
      <c r="C625" s="179"/>
      <c r="D625" s="179"/>
      <c r="E625" s="127"/>
      <c r="F625" s="127"/>
      <c r="G625" s="127"/>
      <c r="H625" s="127"/>
      <c r="I625" s="127"/>
    </row>
    <row r="626">
      <c r="A626" s="179"/>
      <c r="B626" s="179"/>
      <c r="C626" s="179"/>
      <c r="D626" s="179"/>
      <c r="E626" s="127"/>
      <c r="F626" s="127"/>
      <c r="G626" s="127"/>
      <c r="H626" s="127"/>
      <c r="I626" s="127"/>
    </row>
    <row r="627">
      <c r="A627" s="179"/>
      <c r="B627" s="179"/>
      <c r="C627" s="179"/>
      <c r="D627" s="179"/>
      <c r="E627" s="127"/>
      <c r="F627" s="127"/>
      <c r="G627" s="127"/>
      <c r="H627" s="127"/>
      <c r="I627" s="127"/>
    </row>
    <row r="628">
      <c r="A628" s="179"/>
      <c r="B628" s="179"/>
      <c r="C628" s="179"/>
      <c r="D628" s="179"/>
      <c r="E628" s="127"/>
      <c r="F628" s="127"/>
      <c r="G628" s="127"/>
      <c r="H628" s="127"/>
      <c r="I628" s="127"/>
    </row>
    <row r="629">
      <c r="A629" s="179"/>
      <c r="B629" s="179"/>
      <c r="C629" s="179"/>
      <c r="D629" s="179"/>
      <c r="E629" s="127"/>
      <c r="F629" s="127"/>
      <c r="G629" s="127"/>
      <c r="H629" s="127"/>
      <c r="I629" s="127"/>
    </row>
    <row r="630">
      <c r="A630" s="179"/>
      <c r="B630" s="179"/>
      <c r="C630" s="179"/>
      <c r="D630" s="179"/>
      <c r="E630" s="127"/>
      <c r="F630" s="127"/>
      <c r="G630" s="127"/>
      <c r="H630" s="127"/>
      <c r="I630" s="127"/>
    </row>
    <row r="631">
      <c r="A631" s="179"/>
      <c r="B631" s="179"/>
      <c r="C631" s="179"/>
      <c r="D631" s="179"/>
      <c r="E631" s="127"/>
      <c r="F631" s="127"/>
      <c r="G631" s="127"/>
      <c r="H631" s="127"/>
      <c r="I631" s="127"/>
    </row>
    <row r="632">
      <c r="A632" s="179"/>
      <c r="B632" s="179"/>
      <c r="C632" s="179"/>
      <c r="D632" s="179"/>
      <c r="E632" s="127"/>
      <c r="F632" s="127"/>
      <c r="G632" s="127"/>
      <c r="H632" s="127"/>
      <c r="I632" s="127"/>
    </row>
    <row r="633">
      <c r="A633" s="179"/>
      <c r="B633" s="179"/>
      <c r="C633" s="179"/>
      <c r="D633" s="179"/>
      <c r="E633" s="127"/>
      <c r="F633" s="127"/>
      <c r="G633" s="127"/>
      <c r="H633" s="127"/>
      <c r="I633" s="127"/>
    </row>
    <row r="634">
      <c r="A634" s="179"/>
      <c r="B634" s="179"/>
      <c r="C634" s="179"/>
      <c r="D634" s="179"/>
      <c r="E634" s="127"/>
      <c r="F634" s="127"/>
      <c r="G634" s="127"/>
      <c r="H634" s="127"/>
      <c r="I634" s="127"/>
    </row>
    <row r="635">
      <c r="A635" s="179"/>
      <c r="B635" s="179"/>
      <c r="C635" s="179"/>
      <c r="D635" s="179"/>
      <c r="E635" s="127"/>
      <c r="F635" s="127"/>
      <c r="G635" s="127"/>
      <c r="H635" s="127"/>
      <c r="I635" s="127"/>
    </row>
    <row r="636">
      <c r="A636" s="179"/>
      <c r="B636" s="179"/>
      <c r="C636" s="179"/>
      <c r="D636" s="179"/>
      <c r="E636" s="127"/>
      <c r="F636" s="127"/>
      <c r="G636" s="127"/>
      <c r="H636" s="127"/>
      <c r="I636" s="127"/>
    </row>
    <row r="637">
      <c r="A637" s="179"/>
      <c r="B637" s="179"/>
      <c r="C637" s="179"/>
      <c r="D637" s="179"/>
      <c r="E637" s="127"/>
      <c r="F637" s="127"/>
      <c r="G637" s="127"/>
      <c r="H637" s="127"/>
      <c r="I637" s="127"/>
    </row>
    <row r="638">
      <c r="A638" s="179"/>
      <c r="B638" s="179"/>
      <c r="C638" s="179"/>
      <c r="D638" s="179"/>
      <c r="E638" s="127"/>
      <c r="F638" s="127"/>
      <c r="G638" s="127"/>
      <c r="H638" s="127"/>
      <c r="I638" s="127"/>
    </row>
    <row r="639">
      <c r="A639" s="179"/>
      <c r="B639" s="127"/>
      <c r="C639" s="179"/>
      <c r="D639" s="179"/>
      <c r="E639" s="127"/>
      <c r="F639" s="127"/>
      <c r="G639" s="127"/>
      <c r="H639" s="127"/>
      <c r="I639" s="127"/>
    </row>
    <row r="640">
      <c r="A640" s="179"/>
      <c r="B640" s="179"/>
      <c r="C640" s="179"/>
      <c r="D640" s="179"/>
      <c r="E640" s="127"/>
      <c r="F640" s="127"/>
      <c r="G640" s="127"/>
      <c r="H640" s="127"/>
      <c r="I640" s="127"/>
    </row>
    <row r="641">
      <c r="A641" s="179"/>
      <c r="B641" s="179"/>
      <c r="C641" s="179"/>
      <c r="D641" s="179"/>
      <c r="E641" s="127"/>
      <c r="F641" s="127"/>
      <c r="G641" s="127"/>
      <c r="H641" s="127"/>
      <c r="I641" s="127"/>
    </row>
    <row r="642">
      <c r="A642" s="179"/>
      <c r="B642" s="179"/>
      <c r="C642" s="179"/>
      <c r="D642" s="179"/>
      <c r="E642" s="127"/>
      <c r="F642" s="127"/>
      <c r="G642" s="127"/>
      <c r="H642" s="127"/>
      <c r="I642" s="127"/>
    </row>
    <row r="643">
      <c r="A643" s="179"/>
      <c r="B643" s="179"/>
      <c r="C643" s="179"/>
      <c r="D643" s="179"/>
      <c r="E643" s="127"/>
      <c r="F643" s="127"/>
      <c r="G643" s="127"/>
      <c r="H643" s="127"/>
      <c r="I643" s="127"/>
    </row>
    <row r="644">
      <c r="A644" s="179"/>
      <c r="B644" s="179"/>
      <c r="C644" s="179"/>
      <c r="D644" s="179"/>
      <c r="E644" s="127"/>
      <c r="F644" s="127"/>
      <c r="G644" s="127"/>
      <c r="H644" s="127"/>
      <c r="I644" s="127"/>
    </row>
    <row r="645">
      <c r="A645" s="179"/>
      <c r="B645" s="179"/>
      <c r="C645" s="179"/>
      <c r="D645" s="179"/>
      <c r="E645" s="127"/>
      <c r="F645" s="127"/>
      <c r="G645" s="127"/>
      <c r="H645" s="127"/>
      <c r="I645" s="127"/>
    </row>
    <row r="646">
      <c r="A646" s="179"/>
      <c r="B646" s="179"/>
      <c r="C646" s="179"/>
      <c r="D646" s="179"/>
      <c r="E646" s="127"/>
      <c r="F646" s="127"/>
      <c r="G646" s="127"/>
      <c r="H646" s="127"/>
      <c r="I646" s="127"/>
    </row>
    <row r="647">
      <c r="A647" s="179"/>
      <c r="B647" s="179"/>
      <c r="C647" s="179"/>
      <c r="D647" s="179"/>
      <c r="E647" s="127"/>
      <c r="F647" s="127"/>
      <c r="G647" s="127"/>
      <c r="H647" s="127"/>
      <c r="I647" s="127"/>
    </row>
    <row r="648">
      <c r="A648" s="179"/>
      <c r="B648" s="179"/>
      <c r="C648" s="179"/>
      <c r="D648" s="179"/>
      <c r="E648" s="127"/>
      <c r="F648" s="127"/>
      <c r="G648" s="127"/>
      <c r="H648" s="127"/>
      <c r="I648" s="127"/>
    </row>
    <row r="649">
      <c r="A649" s="179"/>
      <c r="B649" s="179"/>
      <c r="C649" s="179"/>
      <c r="D649" s="179"/>
      <c r="E649" s="127"/>
      <c r="F649" s="127"/>
      <c r="G649" s="127"/>
      <c r="H649" s="127"/>
      <c r="I649" s="127"/>
    </row>
    <row r="650">
      <c r="A650" s="179"/>
      <c r="B650" s="179"/>
      <c r="C650" s="179"/>
      <c r="D650" s="179"/>
      <c r="E650" s="127"/>
      <c r="F650" s="127"/>
      <c r="G650" s="127"/>
      <c r="H650" s="127"/>
      <c r="I650" s="127"/>
    </row>
    <row r="651">
      <c r="A651" s="179"/>
      <c r="B651" s="179"/>
      <c r="C651" s="179"/>
      <c r="D651" s="179"/>
      <c r="E651" s="127"/>
      <c r="F651" s="127"/>
      <c r="G651" s="127"/>
      <c r="H651" s="127"/>
      <c r="I651" s="127"/>
    </row>
    <row r="652">
      <c r="A652" s="179"/>
      <c r="B652" s="179"/>
      <c r="C652" s="179"/>
      <c r="D652" s="179"/>
      <c r="E652" s="127"/>
      <c r="F652" s="127"/>
      <c r="G652" s="127"/>
      <c r="H652" s="127"/>
      <c r="I652" s="127"/>
    </row>
    <row r="653">
      <c r="A653" s="179"/>
      <c r="B653" s="179"/>
      <c r="C653" s="179"/>
      <c r="D653" s="179"/>
      <c r="E653" s="127"/>
      <c r="F653" s="127"/>
      <c r="G653" s="127"/>
      <c r="H653" s="127"/>
      <c r="I653" s="127"/>
    </row>
    <row r="654">
      <c r="A654" s="179"/>
      <c r="B654" s="179"/>
      <c r="C654" s="179"/>
      <c r="D654" s="179"/>
      <c r="E654" s="127"/>
      <c r="F654" s="127"/>
      <c r="G654" s="127"/>
      <c r="H654" s="127"/>
      <c r="I654" s="127"/>
    </row>
    <row r="655">
      <c r="A655" s="179"/>
      <c r="B655" s="179"/>
      <c r="C655" s="179"/>
      <c r="D655" s="179"/>
      <c r="E655" s="127"/>
      <c r="F655" s="127"/>
      <c r="G655" s="127"/>
      <c r="H655" s="127"/>
      <c r="I655" s="127"/>
    </row>
    <row r="656">
      <c r="A656" s="179"/>
      <c r="B656" s="179"/>
      <c r="C656" s="179"/>
      <c r="D656" s="179"/>
      <c r="E656" s="127"/>
      <c r="F656" s="127"/>
      <c r="G656" s="127"/>
      <c r="H656" s="127"/>
      <c r="I656" s="127"/>
    </row>
    <row r="657">
      <c r="A657" s="179"/>
      <c r="B657" s="179"/>
      <c r="C657" s="179"/>
      <c r="D657" s="179"/>
      <c r="E657" s="127"/>
      <c r="F657" s="127"/>
      <c r="G657" s="127"/>
      <c r="H657" s="127"/>
      <c r="I657" s="127"/>
    </row>
    <row r="658">
      <c r="A658" s="179"/>
      <c r="B658" s="179"/>
      <c r="C658" s="179"/>
      <c r="D658" s="179"/>
      <c r="E658" s="127"/>
      <c r="F658" s="127"/>
      <c r="G658" s="127"/>
      <c r="H658" s="127"/>
      <c r="I658" s="127"/>
    </row>
    <row r="659">
      <c r="A659" s="179"/>
      <c r="B659" s="179"/>
      <c r="C659" s="179"/>
      <c r="D659" s="179"/>
      <c r="E659" s="127"/>
      <c r="F659" s="127"/>
      <c r="G659" s="127"/>
      <c r="H659" s="127"/>
      <c r="I659" s="127"/>
    </row>
    <row r="660">
      <c r="A660" s="179"/>
      <c r="B660" s="179"/>
      <c r="C660" s="179"/>
      <c r="D660" s="179"/>
      <c r="E660" s="127"/>
      <c r="F660" s="127"/>
      <c r="G660" s="127"/>
      <c r="H660" s="127"/>
      <c r="I660" s="127"/>
    </row>
    <row r="661">
      <c r="A661" s="179"/>
      <c r="B661" s="179"/>
      <c r="C661" s="179"/>
      <c r="D661" s="179"/>
      <c r="E661" s="127"/>
      <c r="F661" s="127"/>
      <c r="G661" s="127"/>
      <c r="H661" s="127"/>
      <c r="I661" s="127"/>
    </row>
    <row r="662">
      <c r="A662" s="179"/>
      <c r="B662" s="179"/>
      <c r="C662" s="179"/>
      <c r="D662" s="179"/>
      <c r="E662" s="127"/>
      <c r="F662" s="127"/>
      <c r="G662" s="127"/>
      <c r="H662" s="127"/>
      <c r="I662" s="127"/>
    </row>
    <row r="663">
      <c r="A663" s="179"/>
      <c r="B663" s="179"/>
      <c r="C663" s="179"/>
      <c r="D663" s="179"/>
      <c r="E663" s="127"/>
      <c r="F663" s="127"/>
      <c r="G663" s="127"/>
      <c r="H663" s="127"/>
      <c r="I663" s="127"/>
    </row>
    <row r="664">
      <c r="A664" s="179"/>
      <c r="B664" s="179"/>
      <c r="C664" s="179"/>
      <c r="D664" s="179"/>
      <c r="E664" s="127"/>
      <c r="F664" s="127"/>
      <c r="G664" s="127"/>
      <c r="H664" s="127"/>
      <c r="I664" s="127"/>
    </row>
    <row r="665">
      <c r="A665" s="179"/>
      <c r="B665" s="179"/>
      <c r="C665" s="179"/>
      <c r="D665" s="179"/>
      <c r="E665" s="127"/>
      <c r="F665" s="127"/>
      <c r="G665" s="127"/>
      <c r="H665" s="127"/>
      <c r="I665" s="127"/>
    </row>
    <row r="666">
      <c r="A666" s="179"/>
      <c r="B666" s="179"/>
      <c r="C666" s="179"/>
      <c r="D666" s="179"/>
      <c r="E666" s="127"/>
      <c r="F666" s="127"/>
      <c r="G666" s="127"/>
      <c r="H666" s="127"/>
      <c r="I666" s="127"/>
    </row>
    <row r="667">
      <c r="A667" s="179"/>
      <c r="B667" s="179"/>
      <c r="C667" s="179"/>
      <c r="D667" s="179"/>
      <c r="E667" s="127"/>
      <c r="F667" s="127"/>
      <c r="G667" s="127"/>
      <c r="H667" s="127"/>
      <c r="I667" s="127"/>
    </row>
    <row r="668">
      <c r="A668" s="179"/>
      <c r="B668" s="179"/>
      <c r="C668" s="179"/>
      <c r="D668" s="179"/>
      <c r="E668" s="127"/>
      <c r="F668" s="127"/>
      <c r="G668" s="127"/>
      <c r="H668" s="127"/>
      <c r="I668" s="127"/>
    </row>
    <row r="669">
      <c r="A669" s="179"/>
      <c r="B669" s="179"/>
      <c r="C669" s="179"/>
      <c r="D669" s="179"/>
      <c r="E669" s="127"/>
      <c r="F669" s="127"/>
      <c r="G669" s="127"/>
      <c r="H669" s="127"/>
      <c r="I669" s="127"/>
    </row>
    <row r="670">
      <c r="A670" s="179"/>
      <c r="B670" s="127"/>
      <c r="C670" s="179"/>
      <c r="D670" s="179"/>
      <c r="E670" s="127"/>
      <c r="F670" s="127"/>
      <c r="G670" s="127"/>
      <c r="H670" s="127"/>
      <c r="I670" s="127"/>
    </row>
    <row r="671">
      <c r="A671" s="179"/>
      <c r="B671" s="179"/>
      <c r="C671" s="179"/>
      <c r="D671" s="179"/>
      <c r="E671" s="127"/>
      <c r="F671" s="127"/>
      <c r="G671" s="127"/>
      <c r="H671" s="127"/>
      <c r="I671" s="127"/>
    </row>
    <row r="672">
      <c r="A672" s="179"/>
      <c r="B672" s="179"/>
      <c r="C672" s="179"/>
      <c r="D672" s="179"/>
      <c r="E672" s="127"/>
      <c r="F672" s="127"/>
      <c r="G672" s="127"/>
      <c r="H672" s="127"/>
      <c r="I672" s="127"/>
    </row>
    <row r="673">
      <c r="A673" s="179"/>
      <c r="B673" s="179"/>
      <c r="C673" s="179"/>
      <c r="D673" s="179"/>
      <c r="E673" s="127"/>
      <c r="F673" s="127"/>
      <c r="G673" s="127"/>
      <c r="H673" s="127"/>
      <c r="I673" s="127"/>
    </row>
    <row r="674">
      <c r="A674" s="179"/>
      <c r="B674" s="179"/>
      <c r="C674" s="179"/>
      <c r="D674" s="179"/>
      <c r="E674" s="127"/>
      <c r="F674" s="127"/>
      <c r="G674" s="127"/>
      <c r="H674" s="127"/>
      <c r="I674" s="127"/>
    </row>
    <row r="675">
      <c r="A675" s="179"/>
      <c r="B675" s="179"/>
      <c r="C675" s="179"/>
      <c r="D675" s="179"/>
      <c r="E675" s="127"/>
      <c r="F675" s="127"/>
      <c r="G675" s="127"/>
      <c r="H675" s="127"/>
      <c r="I675" s="127"/>
    </row>
    <row r="676">
      <c r="A676" s="179"/>
      <c r="B676" s="179"/>
      <c r="C676" s="179"/>
      <c r="D676" s="179"/>
      <c r="E676" s="127"/>
      <c r="F676" s="127"/>
      <c r="G676" s="127"/>
      <c r="H676" s="127"/>
      <c r="I676" s="127"/>
    </row>
    <row r="677">
      <c r="A677" s="179"/>
      <c r="B677" s="179"/>
      <c r="C677" s="179"/>
      <c r="D677" s="179"/>
      <c r="E677" s="127"/>
      <c r="F677" s="127"/>
      <c r="G677" s="127"/>
      <c r="H677" s="127"/>
      <c r="I677" s="127"/>
    </row>
    <row r="678">
      <c r="A678" s="179"/>
      <c r="B678" s="127"/>
      <c r="C678" s="179"/>
      <c r="D678" s="179"/>
      <c r="E678" s="127"/>
      <c r="F678" s="127"/>
      <c r="G678" s="127"/>
      <c r="H678" s="127"/>
      <c r="I678" s="127"/>
    </row>
    <row r="679">
      <c r="A679" s="179"/>
      <c r="B679" s="179"/>
      <c r="C679" s="179"/>
      <c r="D679" s="179"/>
      <c r="E679" s="127"/>
      <c r="F679" s="127"/>
      <c r="G679" s="127"/>
      <c r="H679" s="127"/>
      <c r="I679" s="127"/>
    </row>
    <row r="680">
      <c r="A680" s="179"/>
      <c r="B680" s="179"/>
      <c r="C680" s="179"/>
      <c r="D680" s="179"/>
      <c r="E680" s="127"/>
      <c r="F680" s="127"/>
      <c r="G680" s="127"/>
      <c r="H680" s="127"/>
      <c r="I680" s="127"/>
    </row>
    <row r="681">
      <c r="A681" s="179"/>
      <c r="B681" s="179"/>
      <c r="C681" s="179"/>
      <c r="D681" s="179"/>
      <c r="E681" s="127"/>
      <c r="F681" s="127"/>
      <c r="G681" s="127"/>
      <c r="H681" s="127"/>
      <c r="I681" s="127"/>
    </row>
    <row r="682">
      <c r="A682" s="179"/>
      <c r="B682" s="179"/>
      <c r="C682" s="179"/>
      <c r="D682" s="179"/>
      <c r="E682" s="127"/>
      <c r="F682" s="127"/>
      <c r="G682" s="127"/>
      <c r="H682" s="127"/>
      <c r="I682" s="127"/>
    </row>
    <row r="683">
      <c r="A683" s="179"/>
      <c r="B683" s="179"/>
      <c r="C683" s="179"/>
      <c r="D683" s="179"/>
      <c r="E683" s="127"/>
      <c r="F683" s="127"/>
      <c r="G683" s="127"/>
      <c r="H683" s="127"/>
      <c r="I683" s="127"/>
    </row>
    <row r="684">
      <c r="A684" s="179"/>
      <c r="B684" s="179"/>
      <c r="C684" s="179"/>
      <c r="D684" s="179"/>
      <c r="E684" s="127"/>
      <c r="F684" s="127"/>
      <c r="G684" s="127"/>
      <c r="H684" s="127"/>
      <c r="I684" s="127"/>
    </row>
    <row r="685">
      <c r="A685" s="179"/>
      <c r="B685" s="179"/>
      <c r="C685" s="179"/>
      <c r="D685" s="179"/>
      <c r="E685" s="127"/>
      <c r="F685" s="127"/>
      <c r="G685" s="127"/>
      <c r="H685" s="127"/>
      <c r="I685" s="127"/>
    </row>
    <row r="686">
      <c r="A686" s="179"/>
      <c r="B686" s="179"/>
      <c r="C686" s="179"/>
      <c r="D686" s="179"/>
      <c r="E686" s="127"/>
      <c r="F686" s="127"/>
      <c r="G686" s="127"/>
      <c r="H686" s="127"/>
      <c r="I686" s="127"/>
    </row>
    <row r="687">
      <c r="A687" s="179"/>
      <c r="B687" s="179"/>
      <c r="C687" s="179"/>
      <c r="D687" s="179"/>
      <c r="E687" s="127"/>
      <c r="F687" s="127"/>
      <c r="G687" s="127"/>
      <c r="H687" s="127"/>
      <c r="I687" s="127"/>
    </row>
    <row r="688">
      <c r="A688" s="179"/>
      <c r="B688" s="179"/>
      <c r="C688" s="179"/>
      <c r="D688" s="179"/>
      <c r="E688" s="127"/>
      <c r="F688" s="127"/>
      <c r="G688" s="127"/>
      <c r="H688" s="127"/>
      <c r="I688" s="127"/>
    </row>
    <row r="689">
      <c r="A689" s="179"/>
      <c r="B689" s="179"/>
      <c r="C689" s="179"/>
      <c r="D689" s="179"/>
      <c r="E689" s="127"/>
      <c r="F689" s="127"/>
      <c r="G689" s="127"/>
      <c r="H689" s="127"/>
      <c r="I689" s="127"/>
    </row>
    <row r="690">
      <c r="A690" s="179"/>
      <c r="B690" s="179"/>
      <c r="C690" s="179"/>
      <c r="D690" s="179"/>
      <c r="E690" s="127"/>
      <c r="F690" s="127"/>
      <c r="G690" s="127"/>
      <c r="H690" s="127"/>
      <c r="I690" s="127"/>
    </row>
    <row r="691">
      <c r="A691" s="179"/>
      <c r="B691" s="179"/>
      <c r="C691" s="179"/>
      <c r="D691" s="179"/>
      <c r="E691" s="127"/>
      <c r="F691" s="127"/>
      <c r="G691" s="127"/>
      <c r="H691" s="127"/>
      <c r="I691" s="127"/>
    </row>
    <row r="692">
      <c r="A692" s="179"/>
      <c r="B692" s="179"/>
      <c r="C692" s="179"/>
      <c r="D692" s="179"/>
      <c r="E692" s="127"/>
      <c r="F692" s="127"/>
      <c r="G692" s="127"/>
      <c r="H692" s="127"/>
      <c r="I692" s="127"/>
    </row>
    <row r="693">
      <c r="A693" s="179"/>
      <c r="B693" s="179"/>
      <c r="C693" s="179"/>
      <c r="D693" s="179"/>
      <c r="E693" s="127"/>
      <c r="F693" s="127"/>
      <c r="G693" s="127"/>
      <c r="H693" s="127"/>
      <c r="I693" s="127"/>
    </row>
    <row r="694">
      <c r="A694" s="179"/>
      <c r="B694" s="179"/>
      <c r="C694" s="179"/>
      <c r="D694" s="179"/>
      <c r="E694" s="127"/>
      <c r="F694" s="127"/>
      <c r="G694" s="127"/>
      <c r="H694" s="127"/>
      <c r="I694" s="127"/>
    </row>
    <row r="695">
      <c r="A695" s="179"/>
      <c r="B695" s="179"/>
      <c r="C695" s="179"/>
      <c r="D695" s="179"/>
      <c r="E695" s="127"/>
      <c r="F695" s="127"/>
      <c r="G695" s="127"/>
      <c r="H695" s="127"/>
      <c r="I695" s="127"/>
    </row>
    <row r="696">
      <c r="A696" s="179"/>
      <c r="B696" s="179"/>
      <c r="C696" s="179"/>
      <c r="D696" s="179"/>
      <c r="E696" s="127"/>
      <c r="F696" s="127"/>
      <c r="G696" s="127"/>
      <c r="H696" s="127"/>
      <c r="I696" s="127"/>
    </row>
    <row r="697">
      <c r="A697" s="179"/>
      <c r="B697" s="179"/>
      <c r="C697" s="179"/>
      <c r="D697" s="179"/>
      <c r="E697" s="127"/>
      <c r="F697" s="127"/>
      <c r="G697" s="127"/>
      <c r="H697" s="127"/>
      <c r="I697" s="127"/>
    </row>
    <row r="698">
      <c r="A698" s="179"/>
      <c r="B698" s="179"/>
      <c r="C698" s="179"/>
      <c r="D698" s="179"/>
      <c r="E698" s="127"/>
      <c r="F698" s="127"/>
      <c r="G698" s="127"/>
      <c r="H698" s="127"/>
      <c r="I698" s="127"/>
    </row>
    <row r="699">
      <c r="A699" s="179"/>
      <c r="B699" s="179"/>
      <c r="C699" s="179"/>
      <c r="D699" s="179"/>
      <c r="E699" s="127"/>
      <c r="F699" s="127"/>
      <c r="G699" s="127"/>
      <c r="H699" s="127"/>
      <c r="I699" s="127"/>
    </row>
    <row r="700">
      <c r="A700" s="179"/>
      <c r="B700" s="179"/>
      <c r="C700" s="179"/>
      <c r="D700" s="179"/>
      <c r="E700" s="127"/>
      <c r="F700" s="127"/>
      <c r="G700" s="127"/>
      <c r="H700" s="127"/>
      <c r="I700" s="127"/>
    </row>
    <row r="701">
      <c r="A701" s="179"/>
      <c r="B701" s="179"/>
      <c r="C701" s="179"/>
      <c r="D701" s="179"/>
      <c r="E701" s="127"/>
      <c r="F701" s="127"/>
      <c r="G701" s="127"/>
      <c r="H701" s="127"/>
      <c r="I701" s="127"/>
    </row>
    <row r="702">
      <c r="A702" s="179"/>
      <c r="B702" s="179"/>
      <c r="C702" s="179"/>
      <c r="D702" s="179"/>
      <c r="E702" s="127"/>
      <c r="F702" s="127"/>
      <c r="G702" s="127"/>
      <c r="H702" s="127"/>
      <c r="I702" s="127"/>
    </row>
    <row r="703">
      <c r="A703" s="179"/>
      <c r="B703" s="179"/>
      <c r="C703" s="179"/>
      <c r="D703" s="179"/>
      <c r="E703" s="127"/>
      <c r="F703" s="127"/>
      <c r="G703" s="127"/>
      <c r="H703" s="127"/>
      <c r="I703" s="127"/>
    </row>
    <row r="704">
      <c r="A704" s="179"/>
      <c r="B704" s="179"/>
      <c r="C704" s="179"/>
      <c r="D704" s="179"/>
      <c r="E704" s="127"/>
      <c r="F704" s="127"/>
      <c r="G704" s="127"/>
      <c r="H704" s="127"/>
      <c r="I704" s="127"/>
    </row>
    <row r="705">
      <c r="A705" s="179"/>
      <c r="B705" s="179"/>
      <c r="C705" s="179"/>
      <c r="D705" s="179"/>
      <c r="E705" s="127"/>
      <c r="F705" s="127"/>
      <c r="G705" s="127"/>
      <c r="H705" s="127"/>
      <c r="I705" s="127"/>
    </row>
    <row r="706">
      <c r="A706" s="179"/>
      <c r="B706" s="179"/>
      <c r="C706" s="179"/>
      <c r="D706" s="179"/>
      <c r="E706" s="127"/>
      <c r="F706" s="127"/>
      <c r="G706" s="127"/>
      <c r="H706" s="127"/>
      <c r="I706" s="127"/>
    </row>
    <row r="707">
      <c r="A707" s="179"/>
      <c r="B707" s="179"/>
      <c r="C707" s="179"/>
      <c r="D707" s="179"/>
      <c r="E707" s="127"/>
      <c r="F707" s="127"/>
      <c r="G707" s="127"/>
      <c r="H707" s="127"/>
      <c r="I707" s="127"/>
    </row>
    <row r="708">
      <c r="A708" s="179"/>
      <c r="B708" s="179"/>
      <c r="C708" s="179"/>
      <c r="D708" s="179"/>
      <c r="E708" s="127"/>
      <c r="F708" s="127"/>
      <c r="G708" s="127"/>
      <c r="H708" s="127"/>
      <c r="I708" s="127"/>
    </row>
    <row r="709">
      <c r="A709" s="179"/>
      <c r="B709" s="179"/>
      <c r="C709" s="179"/>
      <c r="D709" s="179"/>
      <c r="E709" s="127"/>
      <c r="F709" s="127"/>
      <c r="G709" s="127"/>
      <c r="H709" s="127"/>
      <c r="I709" s="127"/>
    </row>
    <row r="710">
      <c r="A710" s="179"/>
      <c r="B710" s="179"/>
      <c r="C710" s="179"/>
      <c r="D710" s="179"/>
      <c r="E710" s="127"/>
      <c r="F710" s="127"/>
      <c r="G710" s="127"/>
      <c r="H710" s="127"/>
      <c r="I710" s="127"/>
    </row>
    <row r="711">
      <c r="A711" s="179"/>
      <c r="B711" s="179"/>
      <c r="C711" s="179"/>
      <c r="D711" s="179"/>
      <c r="E711" s="127"/>
      <c r="F711" s="127"/>
      <c r="G711" s="127"/>
      <c r="H711" s="127"/>
      <c r="I711" s="127"/>
    </row>
    <row r="712">
      <c r="A712" s="179"/>
      <c r="B712" s="179"/>
      <c r="C712" s="179"/>
      <c r="D712" s="179"/>
      <c r="E712" s="127"/>
      <c r="F712" s="127"/>
      <c r="G712" s="127"/>
      <c r="H712" s="127"/>
      <c r="I712" s="127"/>
    </row>
    <row r="713">
      <c r="A713" s="179"/>
      <c r="B713" s="179"/>
      <c r="C713" s="179"/>
      <c r="D713" s="179"/>
      <c r="E713" s="127"/>
      <c r="F713" s="127"/>
      <c r="G713" s="127"/>
      <c r="H713" s="127"/>
      <c r="I713" s="127"/>
    </row>
    <row r="714">
      <c r="A714" s="179"/>
      <c r="B714" s="179"/>
      <c r="C714" s="179"/>
      <c r="D714" s="179"/>
      <c r="E714" s="127"/>
      <c r="F714" s="127"/>
      <c r="G714" s="127"/>
      <c r="H714" s="127"/>
      <c r="I714" s="127"/>
    </row>
    <row r="715">
      <c r="A715" s="179"/>
      <c r="B715" s="179"/>
      <c r="C715" s="179"/>
      <c r="D715" s="179"/>
      <c r="E715" s="127"/>
      <c r="F715" s="127"/>
      <c r="G715" s="127"/>
      <c r="H715" s="127"/>
      <c r="I715" s="127"/>
    </row>
    <row r="716">
      <c r="A716" s="179"/>
      <c r="B716" s="179"/>
      <c r="C716" s="179"/>
      <c r="D716" s="179"/>
      <c r="E716" s="127"/>
      <c r="F716" s="127"/>
      <c r="G716" s="127"/>
      <c r="H716" s="127"/>
      <c r="I716" s="127"/>
    </row>
    <row r="717">
      <c r="A717" s="179"/>
      <c r="B717" s="179"/>
      <c r="C717" s="179"/>
      <c r="D717" s="179"/>
      <c r="E717" s="127"/>
      <c r="F717" s="127"/>
      <c r="G717" s="127"/>
      <c r="H717" s="127"/>
      <c r="I717" s="127"/>
    </row>
    <row r="718">
      <c r="A718" s="179"/>
      <c r="B718" s="179"/>
      <c r="C718" s="179"/>
      <c r="D718" s="179"/>
      <c r="E718" s="127"/>
      <c r="F718" s="127"/>
      <c r="G718" s="127"/>
      <c r="H718" s="127"/>
      <c r="I718" s="127"/>
    </row>
    <row r="719">
      <c r="A719" s="179"/>
      <c r="B719" s="179"/>
      <c r="C719" s="179"/>
      <c r="D719" s="179"/>
      <c r="E719" s="127"/>
      <c r="F719" s="127"/>
      <c r="G719" s="127"/>
      <c r="H719" s="127"/>
      <c r="I719" s="127"/>
    </row>
    <row r="720">
      <c r="A720" s="179"/>
      <c r="B720" s="179"/>
      <c r="C720" s="179"/>
      <c r="D720" s="179"/>
      <c r="E720" s="127"/>
      <c r="F720" s="127"/>
      <c r="G720" s="127"/>
      <c r="H720" s="127"/>
      <c r="I720" s="127"/>
    </row>
    <row r="721">
      <c r="A721" s="179"/>
      <c r="B721" s="179"/>
      <c r="C721" s="179"/>
      <c r="D721" s="179"/>
      <c r="E721" s="127"/>
      <c r="F721" s="127"/>
      <c r="G721" s="127"/>
      <c r="H721" s="127"/>
      <c r="I721" s="127"/>
    </row>
    <row r="722">
      <c r="A722" s="179"/>
      <c r="B722" s="179"/>
      <c r="C722" s="179"/>
      <c r="D722" s="179"/>
      <c r="E722" s="127"/>
      <c r="F722" s="127"/>
      <c r="G722" s="127"/>
      <c r="H722" s="127"/>
      <c r="I722" s="127"/>
    </row>
    <row r="723">
      <c r="A723" s="179"/>
      <c r="B723" s="179"/>
      <c r="C723" s="179"/>
      <c r="D723" s="179"/>
      <c r="E723" s="127"/>
      <c r="F723" s="127"/>
      <c r="G723" s="127"/>
      <c r="H723" s="127"/>
      <c r="I723" s="127"/>
    </row>
    <row r="724">
      <c r="A724" s="179"/>
      <c r="B724" s="179"/>
      <c r="C724" s="179"/>
      <c r="D724" s="179"/>
      <c r="E724" s="127"/>
      <c r="F724" s="127"/>
      <c r="G724" s="127"/>
      <c r="H724" s="127"/>
      <c r="I724" s="127"/>
    </row>
    <row r="725">
      <c r="A725" s="179"/>
      <c r="B725" s="179"/>
      <c r="C725" s="179"/>
      <c r="D725" s="179"/>
      <c r="E725" s="127"/>
      <c r="F725" s="127"/>
      <c r="G725" s="127"/>
      <c r="H725" s="127"/>
      <c r="I725" s="127"/>
    </row>
    <row r="726">
      <c r="A726" s="179"/>
      <c r="B726" s="179"/>
      <c r="C726" s="179"/>
      <c r="D726" s="179"/>
      <c r="E726" s="127"/>
      <c r="F726" s="127"/>
      <c r="G726" s="127"/>
      <c r="H726" s="127"/>
      <c r="I726" s="127"/>
    </row>
    <row r="727">
      <c r="A727" s="179"/>
      <c r="B727" s="179"/>
      <c r="C727" s="179"/>
      <c r="D727" s="179"/>
      <c r="E727" s="127"/>
      <c r="F727" s="127"/>
      <c r="G727" s="127"/>
      <c r="H727" s="127"/>
      <c r="I727" s="127"/>
    </row>
    <row r="728">
      <c r="A728" s="179"/>
      <c r="B728" s="179"/>
      <c r="C728" s="179"/>
      <c r="D728" s="179"/>
      <c r="E728" s="127"/>
      <c r="F728" s="127"/>
      <c r="G728" s="127"/>
      <c r="H728" s="127"/>
      <c r="I728" s="127"/>
    </row>
    <row r="729">
      <c r="A729" s="179"/>
      <c r="B729" s="179"/>
      <c r="C729" s="179"/>
      <c r="D729" s="179"/>
      <c r="E729" s="127"/>
      <c r="F729" s="127"/>
      <c r="G729" s="127"/>
      <c r="H729" s="127"/>
      <c r="I729" s="127"/>
    </row>
    <row r="730">
      <c r="A730" s="179"/>
      <c r="B730" s="179"/>
      <c r="C730" s="179"/>
      <c r="D730" s="179"/>
      <c r="E730" s="127"/>
      <c r="F730" s="127"/>
      <c r="G730" s="127"/>
      <c r="H730" s="127"/>
      <c r="I730" s="127"/>
    </row>
    <row r="731">
      <c r="A731" s="179"/>
      <c r="B731" s="179"/>
      <c r="C731" s="179"/>
      <c r="D731" s="179"/>
      <c r="E731" s="127"/>
      <c r="F731" s="127"/>
      <c r="G731" s="127"/>
      <c r="H731" s="127"/>
      <c r="I731" s="127"/>
    </row>
    <row r="732">
      <c r="A732" s="179"/>
      <c r="B732" s="179"/>
      <c r="C732" s="179"/>
      <c r="D732" s="179"/>
      <c r="E732" s="127"/>
      <c r="F732" s="127"/>
      <c r="G732" s="127"/>
      <c r="H732" s="127"/>
      <c r="I732" s="127"/>
    </row>
    <row r="733">
      <c r="A733" s="179"/>
      <c r="B733" s="179"/>
      <c r="C733" s="179"/>
      <c r="D733" s="179"/>
      <c r="E733" s="127"/>
      <c r="F733" s="127"/>
      <c r="G733" s="127"/>
      <c r="H733" s="127"/>
      <c r="I733" s="127"/>
    </row>
    <row r="734">
      <c r="A734" s="179"/>
      <c r="B734" s="179"/>
      <c r="C734" s="179"/>
      <c r="D734" s="179"/>
      <c r="E734" s="127"/>
      <c r="F734" s="127"/>
      <c r="G734" s="127"/>
      <c r="H734" s="127"/>
      <c r="I734" s="127"/>
    </row>
    <row r="735">
      <c r="A735" s="179"/>
      <c r="B735" s="179"/>
      <c r="C735" s="179"/>
      <c r="D735" s="179"/>
      <c r="E735" s="127"/>
      <c r="F735" s="127"/>
      <c r="G735" s="127"/>
      <c r="H735" s="127"/>
      <c r="I735" s="127"/>
    </row>
    <row r="736">
      <c r="A736" s="179"/>
      <c r="B736" s="179"/>
      <c r="C736" s="179"/>
      <c r="D736" s="179"/>
      <c r="E736" s="127"/>
      <c r="F736" s="127"/>
      <c r="G736" s="127"/>
      <c r="H736" s="127"/>
      <c r="I736" s="127"/>
    </row>
    <row r="737">
      <c r="A737" s="179"/>
      <c r="B737" s="179"/>
      <c r="C737" s="179"/>
      <c r="D737" s="179"/>
      <c r="E737" s="127"/>
      <c r="F737" s="127"/>
      <c r="G737" s="127"/>
      <c r="H737" s="127"/>
      <c r="I737" s="127"/>
    </row>
    <row r="738">
      <c r="A738" s="179"/>
      <c r="B738" s="179"/>
      <c r="C738" s="179"/>
      <c r="D738" s="179"/>
      <c r="E738" s="127"/>
      <c r="F738" s="127"/>
      <c r="G738" s="127"/>
      <c r="H738" s="127"/>
      <c r="I738" s="127"/>
    </row>
    <row r="739">
      <c r="A739" s="179"/>
      <c r="B739" s="179"/>
      <c r="C739" s="179"/>
      <c r="D739" s="179"/>
      <c r="E739" s="127"/>
      <c r="F739" s="127"/>
      <c r="G739" s="127"/>
      <c r="H739" s="127"/>
      <c r="I739" s="127"/>
    </row>
    <row r="740">
      <c r="A740" s="179"/>
      <c r="B740" s="179"/>
      <c r="C740" s="179"/>
      <c r="D740" s="179"/>
      <c r="E740" s="127"/>
      <c r="F740" s="127"/>
      <c r="G740" s="127"/>
      <c r="H740" s="127"/>
      <c r="I740" s="127"/>
    </row>
    <row r="741">
      <c r="A741" s="179"/>
      <c r="B741" s="179"/>
      <c r="C741" s="179"/>
      <c r="D741" s="179"/>
      <c r="E741" s="127"/>
      <c r="F741" s="127"/>
      <c r="G741" s="127"/>
      <c r="H741" s="127"/>
      <c r="I741" s="127"/>
    </row>
    <row r="742">
      <c r="A742" s="179"/>
      <c r="B742" s="179"/>
      <c r="C742" s="179"/>
      <c r="D742" s="179"/>
      <c r="E742" s="127"/>
      <c r="F742" s="127"/>
      <c r="G742" s="127"/>
      <c r="H742" s="127"/>
      <c r="I742" s="127"/>
    </row>
    <row r="743">
      <c r="A743" s="179"/>
      <c r="B743" s="179"/>
      <c r="C743" s="179"/>
      <c r="D743" s="179"/>
      <c r="E743" s="127"/>
      <c r="F743" s="127"/>
      <c r="G743" s="127"/>
      <c r="H743" s="127"/>
      <c r="I743" s="127"/>
    </row>
    <row r="744">
      <c r="A744" s="179"/>
      <c r="B744" s="179"/>
      <c r="C744" s="179"/>
      <c r="D744" s="179"/>
      <c r="E744" s="127"/>
      <c r="F744" s="127"/>
      <c r="G744" s="127"/>
      <c r="H744" s="127"/>
      <c r="I744" s="127"/>
    </row>
    <row r="745">
      <c r="A745" s="179"/>
      <c r="B745" s="179"/>
      <c r="C745" s="179"/>
      <c r="D745" s="179"/>
      <c r="E745" s="127"/>
      <c r="F745" s="127"/>
      <c r="G745" s="127"/>
      <c r="H745" s="127"/>
      <c r="I745" s="127"/>
    </row>
    <row r="746">
      <c r="A746" s="179"/>
      <c r="B746" s="179"/>
      <c r="C746" s="179"/>
      <c r="D746" s="179"/>
      <c r="E746" s="127"/>
      <c r="F746" s="127"/>
      <c r="G746" s="127"/>
      <c r="H746" s="127"/>
      <c r="I746" s="127"/>
    </row>
    <row r="747">
      <c r="A747" s="179"/>
      <c r="B747" s="179"/>
      <c r="C747" s="179"/>
      <c r="D747" s="179"/>
      <c r="E747" s="127"/>
      <c r="F747" s="127"/>
      <c r="G747" s="127"/>
      <c r="H747" s="127"/>
      <c r="I747" s="127"/>
    </row>
    <row r="748">
      <c r="A748" s="179"/>
      <c r="B748" s="179"/>
      <c r="C748" s="179"/>
      <c r="D748" s="179"/>
      <c r="E748" s="127"/>
      <c r="F748" s="127"/>
      <c r="G748" s="127"/>
      <c r="H748" s="127"/>
      <c r="I748" s="127"/>
    </row>
    <row r="749">
      <c r="A749" s="179"/>
      <c r="B749" s="179"/>
      <c r="C749" s="179"/>
      <c r="D749" s="179"/>
      <c r="E749" s="127"/>
      <c r="F749" s="127"/>
      <c r="G749" s="127"/>
      <c r="H749" s="127"/>
      <c r="I749" s="127"/>
    </row>
    <row r="750">
      <c r="A750" s="179"/>
      <c r="B750" s="179"/>
      <c r="C750" s="179"/>
      <c r="D750" s="179"/>
      <c r="E750" s="127"/>
      <c r="F750" s="127"/>
      <c r="G750" s="127"/>
      <c r="H750" s="127"/>
      <c r="I750" s="127"/>
    </row>
    <row r="751">
      <c r="A751" s="179"/>
      <c r="B751" s="179"/>
      <c r="C751" s="179"/>
      <c r="D751" s="179"/>
      <c r="E751" s="127"/>
      <c r="F751" s="127"/>
      <c r="G751" s="127"/>
      <c r="H751" s="127"/>
      <c r="I751" s="127"/>
    </row>
    <row r="752">
      <c r="A752" s="179"/>
      <c r="B752" s="179"/>
      <c r="C752" s="179"/>
      <c r="D752" s="179"/>
      <c r="E752" s="127"/>
      <c r="F752" s="127"/>
      <c r="G752" s="127"/>
      <c r="H752" s="127"/>
      <c r="I752" s="127"/>
    </row>
    <row r="753">
      <c r="A753" s="179"/>
      <c r="B753" s="179"/>
      <c r="C753" s="179"/>
      <c r="D753" s="179"/>
      <c r="E753" s="127"/>
      <c r="F753" s="127"/>
      <c r="G753" s="127"/>
      <c r="H753" s="127"/>
      <c r="I753" s="127"/>
    </row>
    <row r="754">
      <c r="A754" s="179"/>
      <c r="B754" s="179"/>
      <c r="C754" s="179"/>
      <c r="D754" s="179"/>
      <c r="E754" s="127"/>
      <c r="F754" s="127"/>
      <c r="G754" s="127"/>
      <c r="H754" s="127"/>
      <c r="I754" s="127"/>
    </row>
    <row r="755">
      <c r="A755" s="179"/>
      <c r="B755" s="179"/>
      <c r="C755" s="179"/>
      <c r="D755" s="179"/>
      <c r="E755" s="127"/>
      <c r="F755" s="127"/>
      <c r="G755" s="127"/>
      <c r="H755" s="127"/>
      <c r="I755" s="127"/>
    </row>
    <row r="756">
      <c r="A756" s="179"/>
      <c r="B756" s="179"/>
      <c r="C756" s="179"/>
      <c r="D756" s="179"/>
      <c r="E756" s="127"/>
      <c r="F756" s="127"/>
      <c r="G756" s="127"/>
      <c r="H756" s="127"/>
      <c r="I756" s="127"/>
    </row>
    <row r="757">
      <c r="A757" s="179"/>
      <c r="B757" s="179"/>
      <c r="C757" s="179"/>
      <c r="D757" s="179"/>
      <c r="E757" s="127"/>
      <c r="F757" s="127"/>
      <c r="G757" s="127"/>
      <c r="H757" s="127"/>
      <c r="I757" s="127"/>
    </row>
    <row r="758">
      <c r="A758" s="179"/>
      <c r="B758" s="179"/>
      <c r="C758" s="179"/>
      <c r="D758" s="179"/>
      <c r="E758" s="127"/>
      <c r="F758" s="127"/>
      <c r="G758" s="127"/>
      <c r="H758" s="127"/>
      <c r="I758" s="127"/>
    </row>
    <row r="759">
      <c r="A759" s="179"/>
      <c r="B759" s="127"/>
      <c r="C759" s="179"/>
      <c r="D759" s="179"/>
      <c r="E759" s="127"/>
      <c r="F759" s="127"/>
      <c r="G759" s="127"/>
      <c r="H759" s="127"/>
      <c r="I759" s="127"/>
    </row>
    <row r="760">
      <c r="A760" s="179"/>
      <c r="B760" s="179"/>
      <c r="C760" s="179"/>
      <c r="D760" s="179"/>
      <c r="E760" s="127"/>
      <c r="F760" s="127"/>
      <c r="G760" s="127"/>
      <c r="H760" s="127"/>
      <c r="I760" s="127"/>
    </row>
    <row r="761">
      <c r="A761" s="179"/>
      <c r="B761" s="179"/>
      <c r="C761" s="179"/>
      <c r="D761" s="179"/>
      <c r="E761" s="127"/>
      <c r="F761" s="127"/>
      <c r="G761" s="127"/>
      <c r="H761" s="127"/>
      <c r="I761" s="127"/>
    </row>
    <row r="762">
      <c r="A762" s="179"/>
      <c r="B762" s="179"/>
      <c r="C762" s="179"/>
      <c r="D762" s="179"/>
      <c r="E762" s="127"/>
      <c r="F762" s="127"/>
      <c r="G762" s="127"/>
      <c r="H762" s="127"/>
      <c r="I762" s="127"/>
    </row>
    <row r="763">
      <c r="A763" s="179"/>
      <c r="B763" s="179"/>
      <c r="C763" s="179"/>
      <c r="D763" s="179"/>
      <c r="E763" s="127"/>
      <c r="F763" s="127"/>
      <c r="G763" s="127"/>
      <c r="H763" s="127"/>
      <c r="I763" s="127"/>
    </row>
    <row r="764">
      <c r="A764" s="179"/>
      <c r="B764" s="179"/>
      <c r="C764" s="179"/>
      <c r="D764" s="179"/>
      <c r="E764" s="127"/>
      <c r="F764" s="127"/>
      <c r="G764" s="127"/>
      <c r="H764" s="127"/>
      <c r="I764" s="127"/>
    </row>
    <row r="765">
      <c r="A765" s="179"/>
      <c r="B765" s="179"/>
      <c r="C765" s="179"/>
      <c r="D765" s="179"/>
      <c r="E765" s="127"/>
      <c r="F765" s="127"/>
      <c r="G765" s="127"/>
      <c r="H765" s="127"/>
      <c r="I765" s="127"/>
    </row>
    <row r="766">
      <c r="A766" s="179"/>
      <c r="B766" s="179"/>
      <c r="C766" s="179"/>
      <c r="D766" s="179"/>
      <c r="E766" s="127"/>
      <c r="F766" s="127"/>
      <c r="G766" s="127"/>
      <c r="H766" s="127"/>
      <c r="I766" s="127"/>
    </row>
    <row r="767">
      <c r="A767" s="179"/>
      <c r="B767" s="179"/>
      <c r="C767" s="179"/>
      <c r="D767" s="179"/>
      <c r="E767" s="127"/>
      <c r="F767" s="127"/>
      <c r="G767" s="127"/>
      <c r="H767" s="127"/>
      <c r="I767" s="127"/>
    </row>
    <row r="768">
      <c r="A768" s="179"/>
      <c r="B768" s="179"/>
      <c r="C768" s="179"/>
      <c r="D768" s="179"/>
      <c r="E768" s="127"/>
      <c r="F768" s="127"/>
      <c r="G768" s="127"/>
      <c r="H768" s="127"/>
      <c r="I768" s="127"/>
    </row>
    <row r="769">
      <c r="A769" s="179"/>
      <c r="B769" s="179"/>
      <c r="C769" s="179"/>
      <c r="D769" s="179"/>
      <c r="E769" s="127"/>
      <c r="F769" s="127"/>
      <c r="G769" s="127"/>
      <c r="H769" s="127"/>
      <c r="I769" s="127"/>
    </row>
    <row r="770">
      <c r="A770" s="179"/>
      <c r="B770" s="179"/>
      <c r="C770" s="179"/>
      <c r="D770" s="179"/>
      <c r="E770" s="127"/>
      <c r="F770" s="127"/>
      <c r="G770" s="127"/>
      <c r="H770" s="127"/>
      <c r="I770" s="127"/>
    </row>
    <row r="771">
      <c r="A771" s="179"/>
      <c r="B771" s="179"/>
      <c r="C771" s="179"/>
      <c r="D771" s="179"/>
      <c r="E771" s="127"/>
      <c r="F771" s="127"/>
      <c r="G771" s="127"/>
      <c r="H771" s="127"/>
      <c r="I771" s="127"/>
    </row>
    <row r="772">
      <c r="A772" s="179"/>
      <c r="B772" s="179"/>
      <c r="C772" s="179"/>
      <c r="D772" s="179"/>
      <c r="E772" s="127"/>
      <c r="F772" s="127"/>
      <c r="G772" s="127"/>
      <c r="H772" s="127"/>
      <c r="I772" s="127"/>
    </row>
    <row r="773">
      <c r="A773" s="179"/>
      <c r="B773" s="179"/>
      <c r="C773" s="179"/>
      <c r="D773" s="179"/>
      <c r="E773" s="127"/>
      <c r="F773" s="127"/>
      <c r="G773" s="127"/>
      <c r="H773" s="127"/>
      <c r="I773" s="127"/>
    </row>
    <row r="774">
      <c r="A774" s="179"/>
      <c r="B774" s="179"/>
      <c r="C774" s="179"/>
      <c r="D774" s="179"/>
      <c r="E774" s="127"/>
      <c r="F774" s="127"/>
      <c r="G774" s="127"/>
      <c r="H774" s="127"/>
      <c r="I774" s="127"/>
    </row>
    <row r="775">
      <c r="A775" s="179"/>
      <c r="B775" s="179"/>
      <c r="C775" s="179"/>
      <c r="D775" s="179"/>
      <c r="E775" s="127"/>
      <c r="F775" s="127"/>
      <c r="G775" s="127"/>
      <c r="H775" s="127"/>
      <c r="I775" s="127"/>
    </row>
    <row r="776">
      <c r="A776" s="179"/>
      <c r="B776" s="179"/>
      <c r="C776" s="179"/>
      <c r="D776" s="179"/>
      <c r="E776" s="127"/>
      <c r="F776" s="127"/>
      <c r="G776" s="127"/>
      <c r="H776" s="127"/>
      <c r="I776" s="127"/>
    </row>
    <row r="777">
      <c r="A777" s="179"/>
      <c r="B777" s="179"/>
      <c r="C777" s="179"/>
      <c r="D777" s="179"/>
      <c r="E777" s="127"/>
      <c r="F777" s="127"/>
      <c r="G777" s="127"/>
      <c r="H777" s="127"/>
      <c r="I777" s="127"/>
    </row>
    <row r="778">
      <c r="A778" s="179"/>
      <c r="B778" s="179"/>
      <c r="C778" s="179"/>
      <c r="D778" s="179"/>
      <c r="E778" s="127"/>
      <c r="F778" s="127"/>
      <c r="G778" s="127"/>
      <c r="H778" s="127"/>
      <c r="I778" s="127"/>
    </row>
    <row r="779">
      <c r="A779" s="179"/>
      <c r="B779" s="179"/>
      <c r="C779" s="179"/>
      <c r="D779" s="179"/>
      <c r="E779" s="127"/>
      <c r="F779" s="127"/>
      <c r="G779" s="127"/>
      <c r="H779" s="127"/>
      <c r="I779" s="127"/>
    </row>
    <row r="780">
      <c r="A780" s="179"/>
      <c r="B780" s="179"/>
      <c r="C780" s="179"/>
      <c r="D780" s="179"/>
      <c r="E780" s="127"/>
      <c r="F780" s="127"/>
      <c r="G780" s="127"/>
      <c r="H780" s="127"/>
      <c r="I780" s="127"/>
    </row>
    <row r="781">
      <c r="A781" s="179"/>
      <c r="B781" s="179"/>
      <c r="C781" s="179"/>
      <c r="D781" s="179"/>
      <c r="E781" s="127"/>
      <c r="F781" s="127"/>
      <c r="G781" s="127"/>
      <c r="H781" s="127"/>
      <c r="I781" s="127"/>
    </row>
    <row r="782">
      <c r="A782" s="179"/>
      <c r="B782" s="179"/>
      <c r="C782" s="179"/>
      <c r="D782" s="179"/>
      <c r="E782" s="127"/>
      <c r="F782" s="127"/>
      <c r="G782" s="127"/>
      <c r="H782" s="127"/>
      <c r="I782" s="127"/>
    </row>
    <row r="783">
      <c r="A783" s="179"/>
      <c r="B783" s="179"/>
      <c r="C783" s="179"/>
      <c r="D783" s="179"/>
      <c r="E783" s="127"/>
      <c r="F783" s="127"/>
      <c r="G783" s="127"/>
      <c r="H783" s="127"/>
      <c r="I783" s="127"/>
    </row>
    <row r="784">
      <c r="A784" s="179"/>
      <c r="B784" s="179"/>
      <c r="C784" s="179"/>
      <c r="D784" s="179"/>
      <c r="E784" s="127"/>
      <c r="F784" s="127"/>
      <c r="G784" s="127"/>
      <c r="H784" s="127"/>
      <c r="I784" s="127"/>
    </row>
    <row r="785">
      <c r="A785" s="179"/>
      <c r="B785" s="179"/>
      <c r="C785" s="179"/>
      <c r="D785" s="179"/>
      <c r="E785" s="127"/>
      <c r="F785" s="127"/>
      <c r="G785" s="127"/>
      <c r="H785" s="127"/>
      <c r="I785" s="127"/>
    </row>
    <row r="786">
      <c r="A786" s="179"/>
      <c r="B786" s="179"/>
      <c r="C786" s="179"/>
      <c r="D786" s="179"/>
      <c r="E786" s="127"/>
      <c r="F786" s="127"/>
      <c r="G786" s="127"/>
      <c r="H786" s="127"/>
      <c r="I786" s="127"/>
    </row>
    <row r="787">
      <c r="A787" s="179"/>
      <c r="B787" s="179"/>
      <c r="C787" s="179"/>
      <c r="D787" s="179"/>
      <c r="E787" s="127"/>
      <c r="F787" s="127"/>
      <c r="G787" s="127"/>
      <c r="H787" s="127"/>
      <c r="I787" s="127"/>
    </row>
    <row r="788">
      <c r="A788" s="179"/>
      <c r="B788" s="179"/>
      <c r="C788" s="179"/>
      <c r="D788" s="179"/>
      <c r="E788" s="127"/>
      <c r="F788" s="127"/>
      <c r="G788" s="127"/>
      <c r="H788" s="127"/>
      <c r="I788" s="127"/>
    </row>
    <row r="789">
      <c r="A789" s="179"/>
      <c r="B789" s="179"/>
      <c r="C789" s="179"/>
      <c r="D789" s="179"/>
      <c r="E789" s="127"/>
      <c r="F789" s="127"/>
      <c r="G789" s="127"/>
      <c r="H789" s="127"/>
      <c r="I789" s="127"/>
    </row>
    <row r="790">
      <c r="A790" s="179"/>
      <c r="B790" s="179"/>
      <c r="C790" s="179"/>
      <c r="D790" s="179"/>
      <c r="E790" s="127"/>
      <c r="F790" s="127"/>
      <c r="G790" s="127"/>
      <c r="H790" s="127"/>
      <c r="I790" s="127"/>
    </row>
    <row r="791">
      <c r="A791" s="179"/>
      <c r="B791" s="179"/>
      <c r="C791" s="179"/>
      <c r="D791" s="179"/>
      <c r="E791" s="127"/>
      <c r="F791" s="127"/>
      <c r="G791" s="127"/>
      <c r="H791" s="127"/>
      <c r="I791" s="127"/>
    </row>
    <row r="792">
      <c r="A792" s="179"/>
      <c r="B792" s="179"/>
      <c r="C792" s="179"/>
      <c r="D792" s="179"/>
      <c r="E792" s="127"/>
      <c r="F792" s="127"/>
      <c r="G792" s="127"/>
      <c r="H792" s="127"/>
      <c r="I792" s="127"/>
    </row>
    <row r="793">
      <c r="A793" s="179"/>
      <c r="B793" s="179"/>
      <c r="C793" s="179"/>
      <c r="D793" s="179"/>
      <c r="E793" s="127"/>
      <c r="F793" s="127"/>
      <c r="G793" s="127"/>
      <c r="H793" s="127"/>
      <c r="I793" s="127"/>
    </row>
    <row r="794">
      <c r="A794" s="179"/>
      <c r="B794" s="179"/>
      <c r="C794" s="179"/>
      <c r="D794" s="179"/>
      <c r="E794" s="127"/>
      <c r="F794" s="127"/>
      <c r="G794" s="127"/>
      <c r="H794" s="127"/>
      <c r="I794" s="127"/>
    </row>
    <row r="795">
      <c r="A795" s="179"/>
      <c r="B795" s="179"/>
      <c r="C795" s="179"/>
      <c r="D795" s="179"/>
      <c r="E795" s="127"/>
      <c r="F795" s="127"/>
      <c r="G795" s="127"/>
      <c r="H795" s="127"/>
      <c r="I795" s="127"/>
    </row>
    <row r="796">
      <c r="A796" s="179"/>
      <c r="B796" s="179"/>
      <c r="C796" s="179"/>
      <c r="D796" s="179"/>
      <c r="E796" s="127"/>
      <c r="F796" s="127"/>
      <c r="G796" s="127"/>
      <c r="H796" s="127"/>
      <c r="I796" s="127"/>
    </row>
    <row r="797">
      <c r="A797" s="179"/>
      <c r="B797" s="179"/>
      <c r="C797" s="179"/>
      <c r="D797" s="179"/>
      <c r="E797" s="127"/>
      <c r="F797" s="127"/>
      <c r="G797" s="127"/>
      <c r="H797" s="127"/>
      <c r="I797" s="127"/>
    </row>
    <row r="798">
      <c r="A798" s="179"/>
      <c r="B798" s="179"/>
      <c r="C798" s="179"/>
      <c r="D798" s="179"/>
      <c r="E798" s="127"/>
      <c r="F798" s="127"/>
      <c r="G798" s="127"/>
      <c r="H798" s="127"/>
      <c r="I798" s="127"/>
    </row>
    <row r="799">
      <c r="A799" s="179"/>
      <c r="B799" s="179"/>
      <c r="C799" s="179"/>
      <c r="D799" s="179"/>
      <c r="E799" s="127"/>
      <c r="F799" s="127"/>
      <c r="G799" s="127"/>
      <c r="H799" s="127"/>
      <c r="I799" s="127"/>
    </row>
    <row r="800">
      <c r="A800" s="179"/>
      <c r="B800" s="179"/>
      <c r="C800" s="179"/>
      <c r="D800" s="179"/>
      <c r="E800" s="127"/>
      <c r="F800" s="127"/>
      <c r="G800" s="127"/>
      <c r="H800" s="127"/>
      <c r="I800" s="127"/>
    </row>
    <row r="801">
      <c r="A801" s="179"/>
      <c r="B801" s="179"/>
      <c r="C801" s="179"/>
      <c r="D801" s="179"/>
      <c r="E801" s="127"/>
      <c r="F801" s="127"/>
      <c r="G801" s="127"/>
      <c r="H801" s="127"/>
      <c r="I801" s="127"/>
    </row>
    <row r="802">
      <c r="A802" s="179"/>
      <c r="B802" s="179"/>
      <c r="C802" s="179"/>
      <c r="D802" s="179"/>
      <c r="E802" s="127"/>
      <c r="F802" s="127"/>
      <c r="G802" s="127"/>
      <c r="H802" s="127"/>
      <c r="I802" s="127"/>
    </row>
    <row r="803">
      <c r="A803" s="179"/>
      <c r="B803" s="179"/>
      <c r="C803" s="179"/>
      <c r="D803" s="179"/>
      <c r="E803" s="127"/>
      <c r="F803" s="127"/>
      <c r="G803" s="127"/>
      <c r="H803" s="127"/>
      <c r="I803" s="127"/>
    </row>
    <row r="804">
      <c r="A804" s="179"/>
      <c r="B804" s="179"/>
      <c r="C804" s="179"/>
      <c r="D804" s="179"/>
      <c r="E804" s="127"/>
      <c r="F804" s="127"/>
      <c r="G804" s="127"/>
      <c r="H804" s="127"/>
      <c r="I804" s="127"/>
    </row>
    <row r="805">
      <c r="A805" s="179"/>
      <c r="B805" s="179"/>
      <c r="C805" s="179"/>
      <c r="D805" s="179"/>
      <c r="E805" s="127"/>
      <c r="F805" s="127"/>
      <c r="G805" s="127"/>
      <c r="H805" s="127"/>
      <c r="I805" s="127"/>
    </row>
    <row r="806">
      <c r="A806" s="179"/>
      <c r="B806" s="179"/>
      <c r="C806" s="179"/>
      <c r="D806" s="179"/>
      <c r="E806" s="127"/>
      <c r="F806" s="127"/>
      <c r="G806" s="127"/>
      <c r="H806" s="127"/>
      <c r="I806" s="127"/>
    </row>
    <row r="807">
      <c r="A807" s="179"/>
      <c r="B807" s="179"/>
      <c r="C807" s="179"/>
      <c r="D807" s="179"/>
      <c r="E807" s="127"/>
      <c r="F807" s="127"/>
      <c r="G807" s="127"/>
      <c r="H807" s="127"/>
      <c r="I807" s="127"/>
    </row>
    <row r="808">
      <c r="A808" s="179"/>
      <c r="B808" s="179"/>
      <c r="C808" s="179"/>
      <c r="D808" s="179"/>
      <c r="E808" s="127"/>
      <c r="F808" s="127"/>
      <c r="G808" s="127"/>
      <c r="H808" s="127"/>
      <c r="I808" s="127"/>
    </row>
    <row r="809">
      <c r="A809" s="179"/>
      <c r="B809" s="179"/>
      <c r="C809" s="179"/>
      <c r="D809" s="179"/>
      <c r="E809" s="127"/>
      <c r="F809" s="127"/>
      <c r="G809" s="127"/>
      <c r="H809" s="127"/>
      <c r="I809" s="127"/>
    </row>
    <row r="810">
      <c r="A810" s="179"/>
      <c r="B810" s="179"/>
      <c r="C810" s="179"/>
      <c r="D810" s="179"/>
      <c r="E810" s="127"/>
      <c r="F810" s="127"/>
      <c r="G810" s="127"/>
      <c r="H810" s="127"/>
      <c r="I810" s="127"/>
    </row>
    <row r="811">
      <c r="A811" s="179"/>
      <c r="B811" s="179"/>
      <c r="C811" s="179"/>
      <c r="D811" s="179"/>
      <c r="E811" s="127"/>
      <c r="F811" s="127"/>
      <c r="G811" s="127"/>
      <c r="H811" s="127"/>
      <c r="I811" s="127"/>
    </row>
    <row r="812">
      <c r="A812" s="179"/>
      <c r="B812" s="179"/>
      <c r="C812" s="179"/>
      <c r="D812" s="179"/>
      <c r="E812" s="127"/>
      <c r="F812" s="127"/>
      <c r="G812" s="127"/>
      <c r="H812" s="127"/>
      <c r="I812" s="127"/>
    </row>
    <row r="813">
      <c r="A813" s="179"/>
      <c r="B813" s="179"/>
      <c r="C813" s="179"/>
      <c r="D813" s="179"/>
      <c r="E813" s="127"/>
      <c r="F813" s="127"/>
      <c r="G813" s="127"/>
      <c r="H813" s="127"/>
      <c r="I813" s="127"/>
    </row>
    <row r="814">
      <c r="A814" s="179"/>
      <c r="B814" s="179"/>
      <c r="C814" s="179"/>
      <c r="D814" s="179"/>
      <c r="E814" s="127"/>
      <c r="F814" s="127"/>
      <c r="G814" s="127"/>
      <c r="H814" s="127"/>
      <c r="I814" s="127"/>
    </row>
    <row r="815">
      <c r="A815" s="179"/>
      <c r="B815" s="179"/>
      <c r="C815" s="179"/>
      <c r="D815" s="179"/>
      <c r="E815" s="127"/>
      <c r="F815" s="127"/>
      <c r="G815" s="127"/>
      <c r="H815" s="127"/>
      <c r="I815" s="127"/>
    </row>
    <row r="816">
      <c r="A816" s="179"/>
      <c r="B816" s="179"/>
      <c r="C816" s="179"/>
      <c r="D816" s="179"/>
      <c r="E816" s="127"/>
      <c r="F816" s="127"/>
      <c r="G816" s="127"/>
      <c r="H816" s="127"/>
      <c r="I816" s="127"/>
    </row>
    <row r="817">
      <c r="A817" s="179"/>
      <c r="B817" s="179"/>
      <c r="C817" s="179"/>
      <c r="D817" s="179"/>
      <c r="E817" s="127"/>
      <c r="F817" s="127"/>
      <c r="G817" s="127"/>
      <c r="H817" s="127"/>
      <c r="I817" s="127"/>
    </row>
    <row r="818">
      <c r="A818" s="179"/>
      <c r="B818" s="179"/>
      <c r="C818" s="179"/>
      <c r="D818" s="179"/>
      <c r="E818" s="127"/>
      <c r="F818" s="127"/>
      <c r="G818" s="127"/>
      <c r="H818" s="127"/>
      <c r="I818" s="127"/>
    </row>
    <row r="819">
      <c r="A819" s="179"/>
      <c r="B819" s="179"/>
      <c r="C819" s="179"/>
      <c r="D819" s="179"/>
      <c r="E819" s="127"/>
      <c r="F819" s="127"/>
      <c r="G819" s="127"/>
      <c r="H819" s="127"/>
      <c r="I819" s="127"/>
    </row>
    <row r="820">
      <c r="A820" s="179"/>
      <c r="B820" s="179"/>
      <c r="C820" s="179"/>
      <c r="D820" s="179"/>
      <c r="E820" s="127"/>
      <c r="F820" s="127"/>
      <c r="G820" s="127"/>
      <c r="H820" s="127"/>
      <c r="I820" s="127"/>
    </row>
    <row r="821">
      <c r="A821" s="179"/>
      <c r="B821" s="179"/>
      <c r="C821" s="179"/>
      <c r="D821" s="179"/>
      <c r="E821" s="127"/>
      <c r="F821" s="127"/>
      <c r="G821" s="127"/>
      <c r="H821" s="127"/>
      <c r="I821" s="127"/>
    </row>
    <row r="822">
      <c r="A822" s="179"/>
      <c r="B822" s="179"/>
      <c r="C822" s="179"/>
      <c r="D822" s="179"/>
      <c r="E822" s="127"/>
      <c r="F822" s="127"/>
      <c r="G822" s="127"/>
      <c r="H822" s="127"/>
      <c r="I822" s="127"/>
    </row>
    <row r="823">
      <c r="A823" s="179"/>
      <c r="B823" s="179"/>
      <c r="C823" s="179"/>
      <c r="D823" s="179"/>
      <c r="E823" s="127"/>
      <c r="F823" s="127"/>
      <c r="G823" s="127"/>
      <c r="H823" s="127"/>
      <c r="I823" s="127"/>
    </row>
    <row r="824">
      <c r="A824" s="179"/>
      <c r="B824" s="179"/>
      <c r="C824" s="179"/>
      <c r="D824" s="179"/>
      <c r="E824" s="127"/>
      <c r="F824" s="127"/>
      <c r="G824" s="127"/>
      <c r="H824" s="127"/>
      <c r="I824" s="127"/>
    </row>
    <row r="825">
      <c r="A825" s="179"/>
      <c r="B825" s="179"/>
      <c r="C825" s="179"/>
      <c r="D825" s="179"/>
      <c r="E825" s="127"/>
      <c r="F825" s="127"/>
      <c r="G825" s="127"/>
      <c r="H825" s="127"/>
      <c r="I825" s="127"/>
    </row>
    <row r="826">
      <c r="A826" s="179"/>
      <c r="B826" s="179"/>
      <c r="C826" s="179"/>
      <c r="D826" s="179"/>
      <c r="E826" s="127"/>
      <c r="F826" s="127"/>
      <c r="G826" s="127"/>
      <c r="H826" s="127"/>
      <c r="I826" s="127"/>
    </row>
    <row r="827">
      <c r="A827" s="179"/>
      <c r="B827" s="179"/>
      <c r="C827" s="179"/>
      <c r="D827" s="179"/>
      <c r="E827" s="127"/>
      <c r="F827" s="127"/>
      <c r="G827" s="127"/>
      <c r="H827" s="127"/>
      <c r="I827" s="127"/>
    </row>
    <row r="828">
      <c r="A828" s="179"/>
      <c r="B828" s="179"/>
      <c r="C828" s="179"/>
      <c r="D828" s="179"/>
      <c r="E828" s="127"/>
      <c r="F828" s="127"/>
      <c r="G828" s="127"/>
      <c r="H828" s="127"/>
      <c r="I828" s="127"/>
    </row>
    <row r="829">
      <c r="A829" s="179"/>
      <c r="B829" s="179"/>
      <c r="C829" s="179"/>
      <c r="D829" s="179"/>
      <c r="E829" s="127"/>
      <c r="F829" s="127"/>
      <c r="G829" s="127"/>
      <c r="H829" s="127"/>
      <c r="I829" s="127"/>
    </row>
    <row r="830">
      <c r="A830" s="179"/>
      <c r="B830" s="179"/>
      <c r="C830" s="179"/>
      <c r="D830" s="179"/>
      <c r="E830" s="127"/>
      <c r="F830" s="127"/>
      <c r="G830" s="127"/>
      <c r="H830" s="127"/>
      <c r="I830" s="127"/>
    </row>
    <row r="831">
      <c r="A831" s="179"/>
      <c r="B831" s="179"/>
      <c r="C831" s="179"/>
      <c r="D831" s="179"/>
      <c r="E831" s="127"/>
      <c r="F831" s="127"/>
      <c r="G831" s="127"/>
      <c r="H831" s="127"/>
      <c r="I831" s="127"/>
    </row>
    <row r="832">
      <c r="A832" s="179"/>
      <c r="B832" s="179"/>
      <c r="C832" s="179"/>
      <c r="D832" s="179"/>
      <c r="E832" s="127"/>
      <c r="F832" s="127"/>
      <c r="G832" s="127"/>
      <c r="H832" s="127"/>
      <c r="I832" s="127"/>
    </row>
    <row r="833">
      <c r="A833" s="179"/>
      <c r="B833" s="179"/>
      <c r="C833" s="179"/>
      <c r="D833" s="179"/>
      <c r="E833" s="127"/>
      <c r="F833" s="127"/>
      <c r="G833" s="127"/>
      <c r="H833" s="127"/>
      <c r="I833" s="127"/>
    </row>
    <row r="834">
      <c r="A834" s="179"/>
      <c r="B834" s="179"/>
      <c r="C834" s="179"/>
      <c r="D834" s="179"/>
      <c r="E834" s="127"/>
      <c r="F834" s="127"/>
      <c r="G834" s="127"/>
      <c r="H834" s="127"/>
      <c r="I834" s="127"/>
    </row>
    <row r="835">
      <c r="A835" s="179"/>
      <c r="B835" s="179"/>
      <c r="C835" s="179"/>
      <c r="D835" s="179"/>
      <c r="E835" s="127"/>
      <c r="F835" s="127"/>
      <c r="G835" s="127"/>
      <c r="H835" s="127"/>
      <c r="I835" s="127"/>
    </row>
    <row r="836">
      <c r="A836" s="179"/>
      <c r="B836" s="179"/>
      <c r="C836" s="179"/>
      <c r="D836" s="179"/>
      <c r="E836" s="127"/>
      <c r="F836" s="127"/>
      <c r="G836" s="127"/>
      <c r="H836" s="127"/>
      <c r="I836" s="127"/>
    </row>
    <row r="837">
      <c r="A837" s="179"/>
      <c r="B837" s="179"/>
      <c r="C837" s="179"/>
      <c r="D837" s="179"/>
      <c r="E837" s="127"/>
      <c r="F837" s="127"/>
      <c r="G837" s="127"/>
      <c r="H837" s="127"/>
      <c r="I837" s="127"/>
    </row>
    <row r="838">
      <c r="A838" s="179"/>
      <c r="B838" s="179"/>
      <c r="C838" s="179"/>
      <c r="D838" s="179"/>
      <c r="E838" s="127"/>
      <c r="F838" s="127"/>
      <c r="G838" s="127"/>
      <c r="H838" s="127"/>
      <c r="I838" s="127"/>
    </row>
    <row r="839">
      <c r="A839" s="179"/>
      <c r="B839" s="179"/>
      <c r="C839" s="179"/>
      <c r="D839" s="179"/>
      <c r="E839" s="127"/>
      <c r="F839" s="127"/>
      <c r="G839" s="127"/>
      <c r="H839" s="127"/>
      <c r="I839" s="127"/>
    </row>
    <row r="840">
      <c r="A840" s="179"/>
      <c r="B840" s="179"/>
      <c r="C840" s="179"/>
      <c r="D840" s="179"/>
      <c r="E840" s="127"/>
      <c r="F840" s="127"/>
      <c r="G840" s="127"/>
      <c r="H840" s="127"/>
      <c r="I840" s="127"/>
    </row>
    <row r="841">
      <c r="A841" s="179"/>
      <c r="B841" s="179"/>
      <c r="C841" s="179"/>
      <c r="D841" s="179"/>
      <c r="E841" s="127"/>
      <c r="F841" s="127"/>
      <c r="G841" s="127"/>
      <c r="H841" s="127"/>
      <c r="I841" s="127"/>
    </row>
    <row r="842">
      <c r="A842" s="179"/>
      <c r="B842" s="179"/>
      <c r="C842" s="179"/>
      <c r="D842" s="179"/>
      <c r="E842" s="127"/>
      <c r="F842" s="127"/>
      <c r="G842" s="127"/>
      <c r="H842" s="127"/>
      <c r="I842" s="127"/>
    </row>
    <row r="843">
      <c r="A843" s="179"/>
      <c r="B843" s="179"/>
      <c r="C843" s="179"/>
      <c r="D843" s="179"/>
      <c r="E843" s="127"/>
      <c r="F843" s="127"/>
      <c r="G843" s="127"/>
      <c r="H843" s="127"/>
      <c r="I843" s="127"/>
    </row>
    <row r="844">
      <c r="A844" s="179"/>
      <c r="B844" s="179"/>
      <c r="C844" s="179"/>
      <c r="D844" s="179"/>
      <c r="E844" s="127"/>
      <c r="F844" s="127"/>
      <c r="G844" s="127"/>
      <c r="H844" s="127"/>
      <c r="I844" s="127"/>
    </row>
    <row r="845">
      <c r="A845" s="179"/>
      <c r="B845" s="179"/>
      <c r="C845" s="179"/>
      <c r="D845" s="179"/>
      <c r="E845" s="127"/>
      <c r="F845" s="127"/>
      <c r="G845" s="127"/>
      <c r="H845" s="127"/>
      <c r="I845" s="127"/>
    </row>
    <row r="846">
      <c r="A846" s="179"/>
      <c r="B846" s="179"/>
      <c r="C846" s="179"/>
      <c r="D846" s="179"/>
      <c r="E846" s="127"/>
      <c r="F846" s="127"/>
      <c r="G846" s="127"/>
      <c r="H846" s="127"/>
      <c r="I846" s="127"/>
    </row>
    <row r="847">
      <c r="A847" s="179"/>
      <c r="B847" s="179"/>
      <c r="C847" s="179"/>
      <c r="D847" s="179"/>
      <c r="E847" s="127"/>
      <c r="F847" s="127"/>
      <c r="G847" s="127"/>
      <c r="H847" s="127"/>
      <c r="I847" s="127"/>
    </row>
    <row r="848">
      <c r="A848" s="179"/>
      <c r="B848" s="179"/>
      <c r="C848" s="179"/>
      <c r="D848" s="179"/>
      <c r="E848" s="127"/>
      <c r="F848" s="127"/>
      <c r="G848" s="127"/>
      <c r="H848" s="127"/>
      <c r="I848" s="127"/>
    </row>
    <row r="849">
      <c r="A849" s="179"/>
      <c r="B849" s="179"/>
      <c r="C849" s="179"/>
      <c r="D849" s="179"/>
      <c r="E849" s="127"/>
      <c r="F849" s="127"/>
      <c r="G849" s="127"/>
      <c r="H849" s="127"/>
      <c r="I849" s="127"/>
    </row>
    <row r="850">
      <c r="A850" s="179"/>
      <c r="B850" s="179"/>
      <c r="C850" s="179"/>
      <c r="D850" s="179"/>
      <c r="E850" s="127"/>
      <c r="F850" s="127"/>
      <c r="G850" s="127"/>
      <c r="H850" s="127"/>
      <c r="I850" s="127"/>
    </row>
    <row r="851">
      <c r="A851" s="179"/>
      <c r="B851" s="179"/>
      <c r="C851" s="179"/>
      <c r="D851" s="179"/>
      <c r="E851" s="127"/>
      <c r="F851" s="127"/>
      <c r="G851" s="127"/>
      <c r="H851" s="127"/>
      <c r="I851" s="127"/>
    </row>
    <row r="852">
      <c r="A852" s="179"/>
      <c r="B852" s="179"/>
      <c r="C852" s="179"/>
      <c r="D852" s="179"/>
      <c r="E852" s="127"/>
      <c r="F852" s="127"/>
      <c r="G852" s="127"/>
      <c r="H852" s="127"/>
      <c r="I852" s="127"/>
    </row>
    <row r="853">
      <c r="A853" s="179"/>
      <c r="B853" s="179"/>
      <c r="C853" s="179"/>
      <c r="D853" s="179"/>
      <c r="E853" s="127"/>
      <c r="F853" s="127"/>
      <c r="G853" s="127"/>
      <c r="H853" s="127"/>
      <c r="I853" s="127"/>
    </row>
    <row r="854">
      <c r="A854" s="179"/>
      <c r="B854" s="179"/>
      <c r="C854" s="179"/>
      <c r="D854" s="179"/>
      <c r="E854" s="127"/>
      <c r="F854" s="127"/>
      <c r="G854" s="127"/>
      <c r="H854" s="127"/>
      <c r="I854" s="127"/>
    </row>
    <row r="855">
      <c r="A855" s="179"/>
      <c r="B855" s="179"/>
      <c r="C855" s="179"/>
      <c r="D855" s="179"/>
      <c r="E855" s="127"/>
      <c r="F855" s="127"/>
      <c r="G855" s="127"/>
      <c r="H855" s="127"/>
      <c r="I855" s="127"/>
    </row>
    <row r="856">
      <c r="A856" s="179"/>
      <c r="B856" s="179"/>
      <c r="C856" s="179"/>
      <c r="D856" s="179"/>
      <c r="E856" s="127"/>
      <c r="F856" s="127"/>
      <c r="G856" s="127"/>
      <c r="H856" s="127"/>
      <c r="I856" s="127"/>
    </row>
    <row r="857">
      <c r="A857" s="179"/>
      <c r="B857" s="179"/>
      <c r="C857" s="179"/>
      <c r="D857" s="179"/>
      <c r="E857" s="127"/>
      <c r="F857" s="127"/>
      <c r="G857" s="127"/>
      <c r="H857" s="127"/>
      <c r="I857" s="127"/>
    </row>
    <row r="858">
      <c r="A858" s="179"/>
      <c r="B858" s="179"/>
      <c r="C858" s="179"/>
      <c r="D858" s="179"/>
      <c r="E858" s="127"/>
      <c r="F858" s="127"/>
      <c r="G858" s="127"/>
      <c r="H858" s="127"/>
      <c r="I858" s="127"/>
    </row>
    <row r="859">
      <c r="A859" s="179"/>
      <c r="B859" s="179"/>
      <c r="C859" s="179"/>
      <c r="D859" s="179"/>
      <c r="E859" s="127"/>
      <c r="F859" s="127"/>
      <c r="G859" s="127"/>
      <c r="H859" s="127"/>
      <c r="I859" s="127"/>
    </row>
    <row r="860">
      <c r="A860" s="179"/>
      <c r="B860" s="179"/>
      <c r="C860" s="179"/>
      <c r="D860" s="179"/>
      <c r="E860" s="127"/>
      <c r="F860" s="127"/>
      <c r="G860" s="127"/>
      <c r="H860" s="127"/>
      <c r="I860" s="127"/>
    </row>
    <row r="861">
      <c r="A861" s="179"/>
      <c r="B861" s="179"/>
      <c r="C861" s="179"/>
      <c r="D861" s="179"/>
      <c r="E861" s="127"/>
      <c r="F861" s="127"/>
      <c r="G861" s="127"/>
      <c r="H861" s="127"/>
      <c r="I861" s="127"/>
    </row>
    <row r="862">
      <c r="A862" s="179"/>
      <c r="B862" s="179"/>
      <c r="C862" s="179"/>
      <c r="D862" s="179"/>
      <c r="E862" s="127"/>
      <c r="F862" s="127"/>
      <c r="G862" s="127"/>
      <c r="H862" s="127"/>
      <c r="I862" s="127"/>
    </row>
    <row r="863">
      <c r="A863" s="179"/>
      <c r="B863" s="179"/>
      <c r="C863" s="179"/>
      <c r="D863" s="179"/>
      <c r="E863" s="127"/>
      <c r="F863" s="127"/>
      <c r="G863" s="127"/>
      <c r="H863" s="127"/>
      <c r="I863" s="127"/>
    </row>
    <row r="864">
      <c r="A864" s="179"/>
      <c r="B864" s="179"/>
      <c r="C864" s="179"/>
      <c r="D864" s="179"/>
      <c r="E864" s="127"/>
      <c r="F864" s="127"/>
      <c r="G864" s="127"/>
      <c r="H864" s="127"/>
      <c r="I864" s="127"/>
    </row>
    <row r="865">
      <c r="A865" s="179"/>
      <c r="B865" s="179"/>
      <c r="C865" s="179"/>
      <c r="D865" s="179"/>
      <c r="E865" s="127"/>
      <c r="F865" s="127"/>
      <c r="G865" s="127"/>
      <c r="H865" s="127"/>
      <c r="I865" s="127"/>
    </row>
    <row r="866">
      <c r="A866" s="179"/>
      <c r="B866" s="179"/>
      <c r="C866" s="179"/>
      <c r="D866" s="179"/>
      <c r="E866" s="127"/>
      <c r="F866" s="127"/>
      <c r="G866" s="127"/>
      <c r="H866" s="127"/>
      <c r="I866" s="127"/>
    </row>
    <row r="867">
      <c r="A867" s="179"/>
      <c r="B867" s="179"/>
      <c r="C867" s="179"/>
      <c r="D867" s="179"/>
      <c r="E867" s="127"/>
      <c r="F867" s="127"/>
      <c r="G867" s="127"/>
      <c r="H867" s="127"/>
      <c r="I867" s="127"/>
    </row>
    <row r="868">
      <c r="A868" s="179"/>
      <c r="B868" s="179"/>
      <c r="C868" s="179"/>
      <c r="D868" s="179"/>
      <c r="E868" s="127"/>
      <c r="F868" s="127"/>
      <c r="G868" s="127"/>
      <c r="H868" s="127"/>
      <c r="I868" s="127"/>
    </row>
    <row r="869">
      <c r="A869" s="179"/>
      <c r="B869" s="179"/>
      <c r="C869" s="179"/>
      <c r="D869" s="179"/>
      <c r="E869" s="127"/>
      <c r="F869" s="127"/>
      <c r="G869" s="127"/>
      <c r="H869" s="127"/>
      <c r="I869" s="127"/>
    </row>
    <row r="870">
      <c r="A870" s="179"/>
      <c r="B870" s="179"/>
      <c r="C870" s="179"/>
      <c r="D870" s="179"/>
      <c r="E870" s="127"/>
      <c r="F870" s="127"/>
      <c r="G870" s="127"/>
      <c r="H870" s="127"/>
      <c r="I870" s="127"/>
    </row>
    <row r="871">
      <c r="A871" s="179"/>
      <c r="B871" s="179"/>
      <c r="C871" s="179"/>
      <c r="D871" s="179"/>
      <c r="E871" s="127"/>
      <c r="F871" s="127"/>
      <c r="G871" s="127"/>
      <c r="H871" s="127"/>
      <c r="I871" s="127"/>
    </row>
    <row r="872">
      <c r="A872" s="179"/>
      <c r="B872" s="179"/>
      <c r="C872" s="179"/>
      <c r="D872" s="179"/>
      <c r="E872" s="127"/>
      <c r="F872" s="127"/>
      <c r="G872" s="127"/>
      <c r="H872" s="127"/>
      <c r="I872" s="127"/>
    </row>
    <row r="873">
      <c r="A873" s="179"/>
      <c r="B873" s="179"/>
      <c r="C873" s="179"/>
      <c r="D873" s="179"/>
      <c r="E873" s="127"/>
      <c r="F873" s="127"/>
      <c r="G873" s="127"/>
      <c r="H873" s="127"/>
      <c r="I873" s="127"/>
    </row>
    <row r="874">
      <c r="A874" s="179"/>
      <c r="B874" s="179"/>
      <c r="C874" s="179"/>
      <c r="D874" s="179"/>
      <c r="E874" s="127"/>
      <c r="F874" s="127"/>
      <c r="G874" s="127"/>
      <c r="H874" s="127"/>
      <c r="I874" s="127"/>
    </row>
    <row r="875">
      <c r="A875" s="179"/>
      <c r="B875" s="179"/>
      <c r="C875" s="179"/>
      <c r="D875" s="179"/>
      <c r="E875" s="127"/>
      <c r="F875" s="127"/>
      <c r="G875" s="127"/>
      <c r="H875" s="127"/>
      <c r="I875" s="127"/>
    </row>
    <row r="876">
      <c r="A876" s="179"/>
      <c r="B876" s="179"/>
      <c r="C876" s="179"/>
      <c r="D876" s="179"/>
      <c r="E876" s="127"/>
      <c r="F876" s="127"/>
      <c r="G876" s="127"/>
      <c r="H876" s="127"/>
      <c r="I876" s="127"/>
    </row>
    <row r="877">
      <c r="A877" s="179"/>
      <c r="B877" s="179"/>
      <c r="C877" s="179"/>
      <c r="D877" s="179"/>
      <c r="E877" s="127"/>
      <c r="F877" s="127"/>
      <c r="G877" s="127"/>
      <c r="H877" s="127"/>
      <c r="I877" s="127"/>
    </row>
    <row r="878">
      <c r="A878" s="179"/>
      <c r="B878" s="179"/>
      <c r="C878" s="179"/>
      <c r="D878" s="179"/>
      <c r="E878" s="127"/>
      <c r="F878" s="127"/>
      <c r="G878" s="127"/>
      <c r="H878" s="127"/>
      <c r="I878" s="127"/>
    </row>
    <row r="879">
      <c r="A879" s="179"/>
      <c r="B879" s="179"/>
      <c r="C879" s="179"/>
      <c r="D879" s="179"/>
      <c r="E879" s="127"/>
      <c r="F879" s="127"/>
      <c r="G879" s="127"/>
      <c r="H879" s="127"/>
      <c r="I879" s="127"/>
    </row>
    <row r="880">
      <c r="A880" s="179"/>
      <c r="B880" s="179"/>
      <c r="C880" s="179"/>
      <c r="D880" s="179"/>
      <c r="E880" s="127"/>
      <c r="F880" s="127"/>
      <c r="G880" s="127"/>
      <c r="H880" s="127"/>
      <c r="I880" s="127"/>
    </row>
    <row r="881">
      <c r="A881" s="179"/>
      <c r="B881" s="179"/>
      <c r="C881" s="179"/>
      <c r="D881" s="179"/>
      <c r="E881" s="127"/>
      <c r="F881" s="127"/>
      <c r="G881" s="127"/>
      <c r="H881" s="127"/>
      <c r="I881" s="127"/>
    </row>
    <row r="882">
      <c r="A882" s="179"/>
      <c r="B882" s="179"/>
      <c r="C882" s="179"/>
      <c r="D882" s="179"/>
      <c r="E882" s="127"/>
      <c r="F882" s="127"/>
      <c r="G882" s="127"/>
      <c r="H882" s="127"/>
      <c r="I882" s="127"/>
    </row>
    <row r="883">
      <c r="A883" s="179"/>
      <c r="B883" s="179"/>
      <c r="C883" s="179"/>
      <c r="D883" s="179"/>
      <c r="E883" s="127"/>
      <c r="F883" s="127"/>
      <c r="G883" s="127"/>
      <c r="H883" s="127"/>
      <c r="I883" s="127"/>
    </row>
    <row r="884">
      <c r="A884" s="179"/>
      <c r="B884" s="179"/>
      <c r="C884" s="179"/>
      <c r="D884" s="179"/>
      <c r="E884" s="127"/>
      <c r="F884" s="127"/>
      <c r="G884" s="127"/>
      <c r="H884" s="127"/>
      <c r="I884" s="127"/>
    </row>
    <row r="885">
      <c r="A885" s="179"/>
      <c r="B885" s="179"/>
      <c r="C885" s="179"/>
      <c r="D885" s="179"/>
      <c r="E885" s="127"/>
      <c r="F885" s="127"/>
      <c r="G885" s="127"/>
      <c r="H885" s="127"/>
      <c r="I885" s="127"/>
    </row>
    <row r="886">
      <c r="A886" s="179"/>
      <c r="B886" s="179"/>
      <c r="C886" s="179"/>
      <c r="D886" s="179"/>
      <c r="E886" s="127"/>
      <c r="F886" s="127"/>
      <c r="G886" s="127"/>
      <c r="H886" s="127"/>
      <c r="I886" s="127"/>
    </row>
    <row r="887">
      <c r="A887" s="179"/>
      <c r="B887" s="179"/>
      <c r="C887" s="179"/>
      <c r="D887" s="179"/>
      <c r="E887" s="127"/>
      <c r="F887" s="127"/>
      <c r="G887" s="127"/>
      <c r="H887" s="127"/>
      <c r="I887" s="127"/>
    </row>
    <row r="888">
      <c r="A888" s="179"/>
      <c r="B888" s="179"/>
      <c r="C888" s="179"/>
      <c r="D888" s="179"/>
      <c r="E888" s="127"/>
      <c r="F888" s="127"/>
      <c r="G888" s="127"/>
      <c r="H888" s="127"/>
      <c r="I888" s="127"/>
    </row>
    <row r="889">
      <c r="A889" s="179"/>
      <c r="B889" s="179"/>
      <c r="C889" s="179"/>
      <c r="D889" s="179"/>
      <c r="E889" s="127"/>
      <c r="F889" s="127"/>
      <c r="G889" s="127"/>
      <c r="H889" s="127"/>
      <c r="I889" s="127"/>
    </row>
    <row r="890">
      <c r="A890" s="179"/>
      <c r="B890" s="179"/>
      <c r="C890" s="179"/>
      <c r="D890" s="179"/>
      <c r="E890" s="127"/>
      <c r="F890" s="127"/>
      <c r="G890" s="127"/>
      <c r="H890" s="127"/>
      <c r="I890" s="127"/>
    </row>
    <row r="891">
      <c r="A891" s="179"/>
      <c r="B891" s="179"/>
      <c r="C891" s="179"/>
      <c r="D891" s="179"/>
      <c r="E891" s="127"/>
      <c r="F891" s="127"/>
      <c r="G891" s="127"/>
      <c r="H891" s="127"/>
      <c r="I891" s="127"/>
    </row>
    <row r="892">
      <c r="A892" s="179"/>
      <c r="B892" s="179"/>
      <c r="C892" s="179"/>
      <c r="D892" s="179"/>
      <c r="E892" s="127"/>
      <c r="F892" s="127"/>
      <c r="G892" s="127"/>
      <c r="H892" s="127"/>
      <c r="I892" s="127"/>
    </row>
    <row r="893">
      <c r="A893" s="179"/>
      <c r="B893" s="179"/>
      <c r="C893" s="179"/>
      <c r="D893" s="179"/>
      <c r="E893" s="127"/>
      <c r="F893" s="127"/>
      <c r="G893" s="127"/>
      <c r="H893" s="127"/>
      <c r="I893" s="127"/>
    </row>
    <row r="894">
      <c r="A894" s="179"/>
      <c r="B894" s="179"/>
      <c r="C894" s="179"/>
      <c r="D894" s="179"/>
      <c r="E894" s="127"/>
      <c r="F894" s="127"/>
      <c r="G894" s="127"/>
      <c r="H894" s="127"/>
      <c r="I894" s="127"/>
    </row>
    <row r="895">
      <c r="A895" s="179"/>
      <c r="B895" s="179"/>
      <c r="C895" s="179"/>
      <c r="D895" s="179"/>
      <c r="E895" s="127"/>
      <c r="F895" s="127"/>
      <c r="G895" s="127"/>
      <c r="H895" s="127"/>
      <c r="I895" s="127"/>
    </row>
    <row r="896">
      <c r="A896" s="179"/>
      <c r="B896" s="179"/>
      <c r="C896" s="179"/>
      <c r="D896" s="179"/>
      <c r="E896" s="127"/>
      <c r="F896" s="127"/>
      <c r="G896" s="127"/>
      <c r="H896" s="127"/>
      <c r="I896" s="127"/>
    </row>
    <row r="897">
      <c r="A897" s="179"/>
      <c r="B897" s="179"/>
      <c r="C897" s="179"/>
      <c r="D897" s="179"/>
      <c r="E897" s="127"/>
      <c r="F897" s="127"/>
      <c r="G897" s="127"/>
      <c r="H897" s="127"/>
      <c r="I897" s="127"/>
    </row>
    <row r="898">
      <c r="A898" s="179"/>
      <c r="B898" s="179"/>
      <c r="C898" s="179"/>
      <c r="D898" s="179"/>
      <c r="E898" s="127"/>
      <c r="F898" s="127"/>
      <c r="G898" s="127"/>
      <c r="H898" s="127"/>
      <c r="I898" s="127"/>
    </row>
    <row r="899">
      <c r="A899" s="179"/>
      <c r="B899" s="179"/>
      <c r="C899" s="179"/>
      <c r="D899" s="179"/>
      <c r="E899" s="127"/>
      <c r="F899" s="127"/>
      <c r="G899" s="127"/>
      <c r="H899" s="127"/>
      <c r="I899" s="127"/>
    </row>
    <row r="900">
      <c r="A900" s="179"/>
      <c r="B900" s="179"/>
      <c r="C900" s="179"/>
      <c r="D900" s="179"/>
      <c r="E900" s="127"/>
      <c r="F900" s="127"/>
      <c r="G900" s="127"/>
      <c r="H900" s="127"/>
      <c r="I900" s="127"/>
    </row>
    <row r="901">
      <c r="A901" s="179"/>
      <c r="B901" s="179"/>
      <c r="C901" s="179"/>
      <c r="D901" s="179"/>
      <c r="E901" s="127"/>
      <c r="F901" s="127"/>
      <c r="G901" s="127"/>
      <c r="H901" s="127"/>
      <c r="I901" s="127"/>
    </row>
    <row r="902">
      <c r="A902" s="179"/>
      <c r="B902" s="179"/>
      <c r="C902" s="179"/>
      <c r="D902" s="179"/>
      <c r="E902" s="127"/>
      <c r="F902" s="127"/>
      <c r="G902" s="127"/>
      <c r="H902" s="127"/>
      <c r="I902" s="127"/>
    </row>
    <row r="903">
      <c r="A903" s="179"/>
      <c r="B903" s="179"/>
      <c r="C903" s="179"/>
      <c r="D903" s="179"/>
      <c r="E903" s="127"/>
      <c r="F903" s="127"/>
      <c r="G903" s="127"/>
      <c r="H903" s="127"/>
      <c r="I903" s="127"/>
    </row>
    <row r="904">
      <c r="A904" s="179"/>
      <c r="B904" s="179"/>
      <c r="C904" s="179"/>
      <c r="D904" s="179"/>
      <c r="E904" s="127"/>
      <c r="F904" s="127"/>
      <c r="G904" s="127"/>
      <c r="H904" s="127"/>
      <c r="I904" s="127"/>
    </row>
    <row r="905">
      <c r="A905" s="179"/>
      <c r="B905" s="179"/>
      <c r="C905" s="179"/>
      <c r="D905" s="179"/>
      <c r="E905" s="127"/>
      <c r="F905" s="127"/>
      <c r="G905" s="127"/>
      <c r="H905" s="127"/>
      <c r="I905" s="127"/>
    </row>
    <row r="906">
      <c r="A906" s="179"/>
      <c r="B906" s="179"/>
      <c r="C906" s="179"/>
      <c r="D906" s="179"/>
      <c r="E906" s="127"/>
      <c r="F906" s="127"/>
      <c r="G906" s="127"/>
      <c r="H906" s="127"/>
      <c r="I906" s="127"/>
    </row>
    <row r="907">
      <c r="A907" s="179"/>
      <c r="B907" s="179"/>
      <c r="C907" s="179"/>
      <c r="D907" s="179"/>
      <c r="E907" s="127"/>
      <c r="F907" s="127"/>
      <c r="G907" s="127"/>
      <c r="H907" s="127"/>
      <c r="I907" s="127"/>
    </row>
    <row r="908">
      <c r="A908" s="179"/>
      <c r="B908" s="179"/>
      <c r="C908" s="179"/>
      <c r="D908" s="179"/>
      <c r="E908" s="127"/>
      <c r="F908" s="127"/>
      <c r="G908" s="127"/>
      <c r="H908" s="127"/>
      <c r="I908" s="127"/>
    </row>
    <row r="909">
      <c r="A909" s="179"/>
      <c r="B909" s="179"/>
      <c r="C909" s="179"/>
      <c r="D909" s="179"/>
      <c r="E909" s="127"/>
      <c r="F909" s="127"/>
      <c r="G909" s="127"/>
      <c r="H909" s="127"/>
      <c r="I909" s="127"/>
    </row>
    <row r="910">
      <c r="A910" s="179"/>
      <c r="B910" s="179"/>
      <c r="C910" s="179"/>
      <c r="D910" s="179"/>
      <c r="E910" s="127"/>
      <c r="F910" s="127"/>
      <c r="G910" s="127"/>
      <c r="H910" s="127"/>
      <c r="I910" s="127"/>
    </row>
    <row r="911">
      <c r="A911" s="179"/>
      <c r="B911" s="179"/>
      <c r="C911" s="179"/>
      <c r="D911" s="179"/>
      <c r="E911" s="127"/>
      <c r="F911" s="127"/>
      <c r="G911" s="127"/>
      <c r="H911" s="127"/>
      <c r="I911" s="127"/>
    </row>
    <row r="912">
      <c r="A912" s="179"/>
      <c r="B912" s="179"/>
      <c r="C912" s="179"/>
      <c r="D912" s="179"/>
      <c r="E912" s="127"/>
      <c r="F912" s="127"/>
      <c r="G912" s="127"/>
      <c r="H912" s="127"/>
      <c r="I912" s="127"/>
    </row>
    <row r="913">
      <c r="A913" s="179"/>
      <c r="B913" s="179"/>
      <c r="C913" s="179"/>
      <c r="D913" s="179"/>
      <c r="E913" s="127"/>
      <c r="F913" s="127"/>
      <c r="G913" s="127"/>
      <c r="H913" s="127"/>
      <c r="I913" s="127"/>
    </row>
    <row r="914">
      <c r="A914" s="179"/>
      <c r="B914" s="179"/>
      <c r="C914" s="179"/>
      <c r="D914" s="179"/>
      <c r="E914" s="127"/>
      <c r="F914" s="127"/>
      <c r="G914" s="127"/>
      <c r="H914" s="127"/>
      <c r="I914" s="127"/>
    </row>
    <row r="915">
      <c r="A915" s="179"/>
      <c r="B915" s="179"/>
      <c r="C915" s="179"/>
      <c r="D915" s="179"/>
      <c r="E915" s="127"/>
      <c r="F915" s="127"/>
      <c r="G915" s="127"/>
      <c r="H915" s="127"/>
      <c r="I915" s="127"/>
    </row>
    <row r="916">
      <c r="A916" s="179"/>
      <c r="B916" s="179"/>
      <c r="C916" s="179"/>
      <c r="D916" s="179"/>
      <c r="E916" s="127"/>
      <c r="F916" s="127"/>
      <c r="G916" s="127"/>
      <c r="H916" s="127"/>
      <c r="I916" s="127"/>
    </row>
    <row r="917">
      <c r="A917" s="179"/>
      <c r="B917" s="179"/>
      <c r="C917" s="179"/>
      <c r="D917" s="179"/>
      <c r="E917" s="127"/>
      <c r="F917" s="127"/>
      <c r="G917" s="127"/>
      <c r="H917" s="127"/>
      <c r="I917" s="127"/>
    </row>
    <row r="918">
      <c r="A918" s="179"/>
      <c r="B918" s="179"/>
      <c r="C918" s="179"/>
      <c r="D918" s="179"/>
      <c r="E918" s="127"/>
      <c r="F918" s="127"/>
      <c r="G918" s="127"/>
      <c r="H918" s="127"/>
      <c r="I918" s="127"/>
    </row>
    <row r="919">
      <c r="A919" s="179"/>
      <c r="B919" s="179"/>
      <c r="C919" s="179"/>
      <c r="D919" s="179"/>
      <c r="E919" s="127"/>
      <c r="F919" s="127"/>
      <c r="G919" s="127"/>
      <c r="H919" s="127"/>
      <c r="I919" s="127"/>
    </row>
    <row r="920">
      <c r="A920" s="179"/>
      <c r="B920" s="179"/>
      <c r="C920" s="179"/>
      <c r="D920" s="179"/>
      <c r="E920" s="127"/>
      <c r="F920" s="127"/>
      <c r="G920" s="127"/>
      <c r="H920" s="127"/>
      <c r="I920" s="127"/>
    </row>
    <row r="921">
      <c r="A921" s="179"/>
      <c r="B921" s="179"/>
      <c r="C921" s="179"/>
      <c r="D921" s="179"/>
      <c r="E921" s="127"/>
      <c r="F921" s="127"/>
      <c r="G921" s="127"/>
      <c r="H921" s="127"/>
      <c r="I921" s="127"/>
    </row>
    <row r="922">
      <c r="A922" s="179"/>
      <c r="B922" s="179"/>
      <c r="C922" s="179"/>
      <c r="D922" s="179"/>
      <c r="E922" s="127"/>
      <c r="F922" s="127"/>
      <c r="G922" s="127"/>
      <c r="H922" s="127"/>
      <c r="I922" s="127"/>
    </row>
    <row r="923">
      <c r="A923" s="179"/>
      <c r="B923" s="179"/>
      <c r="C923" s="179"/>
      <c r="D923" s="179"/>
      <c r="E923" s="127"/>
      <c r="F923" s="127"/>
      <c r="G923" s="127"/>
      <c r="H923" s="127"/>
      <c r="I923" s="127"/>
    </row>
    <row r="924">
      <c r="A924" s="179"/>
      <c r="B924" s="179"/>
      <c r="C924" s="179"/>
      <c r="D924" s="179"/>
      <c r="E924" s="127"/>
      <c r="F924" s="127"/>
      <c r="G924" s="127"/>
      <c r="H924" s="127"/>
      <c r="I924" s="127"/>
    </row>
    <row r="925">
      <c r="A925" s="179"/>
      <c r="B925" s="179"/>
      <c r="C925" s="179"/>
      <c r="D925" s="179"/>
      <c r="E925" s="127"/>
      <c r="F925" s="127"/>
      <c r="G925" s="127"/>
      <c r="H925" s="127"/>
      <c r="I925" s="127"/>
    </row>
    <row r="926">
      <c r="A926" s="179"/>
      <c r="B926" s="179"/>
      <c r="C926" s="179"/>
      <c r="D926" s="179"/>
      <c r="E926" s="127"/>
      <c r="F926" s="127"/>
      <c r="G926" s="127"/>
      <c r="H926" s="127"/>
      <c r="I926" s="127"/>
    </row>
    <row r="927">
      <c r="A927" s="179"/>
      <c r="B927" s="179"/>
      <c r="C927" s="179"/>
      <c r="D927" s="179"/>
      <c r="E927" s="127"/>
      <c r="F927" s="127"/>
      <c r="G927" s="127"/>
      <c r="H927" s="127"/>
      <c r="I927" s="127"/>
    </row>
    <row r="928">
      <c r="A928" s="179"/>
      <c r="B928" s="179"/>
      <c r="C928" s="179"/>
      <c r="D928" s="179"/>
      <c r="E928" s="127"/>
      <c r="F928" s="127"/>
      <c r="G928" s="127"/>
      <c r="H928" s="127"/>
      <c r="I928" s="127"/>
    </row>
    <row r="929">
      <c r="A929" s="179"/>
      <c r="B929" s="179"/>
      <c r="C929" s="179"/>
      <c r="D929" s="179"/>
      <c r="E929" s="127"/>
      <c r="F929" s="127"/>
      <c r="G929" s="127"/>
      <c r="H929" s="127"/>
      <c r="I929" s="127"/>
    </row>
    <row r="930">
      <c r="A930" s="179"/>
      <c r="B930" s="179"/>
      <c r="C930" s="179"/>
      <c r="D930" s="179"/>
      <c r="E930" s="127"/>
      <c r="F930" s="127"/>
      <c r="G930" s="127"/>
      <c r="H930" s="127"/>
      <c r="I930" s="127"/>
    </row>
    <row r="931">
      <c r="A931" s="179"/>
      <c r="B931" s="179"/>
      <c r="C931" s="179"/>
      <c r="D931" s="179"/>
      <c r="E931" s="127"/>
      <c r="F931" s="127"/>
      <c r="G931" s="127"/>
      <c r="H931" s="127"/>
      <c r="I931" s="127"/>
    </row>
    <row r="932">
      <c r="A932" s="179"/>
      <c r="B932" s="179"/>
      <c r="C932" s="179"/>
      <c r="D932" s="179"/>
      <c r="E932" s="127"/>
      <c r="F932" s="127"/>
      <c r="G932" s="127"/>
      <c r="H932" s="127"/>
      <c r="I932" s="127"/>
    </row>
    <row r="933">
      <c r="A933" s="179"/>
      <c r="B933" s="179"/>
      <c r="C933" s="179"/>
      <c r="D933" s="179"/>
      <c r="E933" s="127"/>
      <c r="F933" s="127"/>
      <c r="G933" s="127"/>
      <c r="H933" s="127"/>
      <c r="I933" s="127"/>
    </row>
    <row r="934">
      <c r="A934" s="179"/>
      <c r="B934" s="179"/>
      <c r="C934" s="179"/>
      <c r="D934" s="179"/>
      <c r="E934" s="127"/>
      <c r="F934" s="127"/>
      <c r="G934" s="127"/>
      <c r="H934" s="127"/>
      <c r="I934" s="127"/>
    </row>
    <row r="935">
      <c r="A935" s="179"/>
      <c r="B935" s="179"/>
      <c r="C935" s="179"/>
      <c r="D935" s="179"/>
      <c r="E935" s="127"/>
      <c r="F935" s="127"/>
      <c r="G935" s="127"/>
      <c r="H935" s="127"/>
      <c r="I935" s="127"/>
    </row>
    <row r="936">
      <c r="A936" s="179"/>
      <c r="B936" s="179"/>
      <c r="C936" s="179"/>
      <c r="D936" s="179"/>
      <c r="E936" s="127"/>
      <c r="F936" s="127"/>
      <c r="G936" s="127"/>
      <c r="H936" s="127"/>
      <c r="I936" s="127"/>
    </row>
    <row r="937">
      <c r="A937" s="179"/>
      <c r="B937" s="179"/>
      <c r="C937" s="179"/>
      <c r="D937" s="179"/>
      <c r="E937" s="127"/>
      <c r="F937" s="127"/>
      <c r="G937" s="127"/>
      <c r="H937" s="127"/>
      <c r="I937" s="127"/>
    </row>
    <row r="938">
      <c r="A938" s="179"/>
      <c r="B938" s="179"/>
      <c r="C938" s="179"/>
      <c r="D938" s="179"/>
      <c r="E938" s="127"/>
      <c r="F938" s="127"/>
      <c r="G938" s="127"/>
      <c r="H938" s="127"/>
      <c r="I938" s="127"/>
    </row>
    <row r="939">
      <c r="A939" s="179"/>
      <c r="B939" s="179"/>
      <c r="C939" s="179"/>
      <c r="D939" s="179"/>
      <c r="E939" s="127"/>
      <c r="F939" s="127"/>
      <c r="G939" s="127"/>
      <c r="H939" s="127"/>
      <c r="I939" s="127"/>
    </row>
    <row r="940">
      <c r="A940" s="179"/>
      <c r="B940" s="179"/>
      <c r="C940" s="179"/>
      <c r="D940" s="179"/>
      <c r="E940" s="127"/>
      <c r="F940" s="127"/>
      <c r="G940" s="127"/>
      <c r="H940" s="127"/>
      <c r="I940" s="127"/>
    </row>
    <row r="941">
      <c r="A941" s="179"/>
      <c r="B941" s="179"/>
      <c r="C941" s="179"/>
      <c r="D941" s="179"/>
      <c r="E941" s="127"/>
      <c r="F941" s="127"/>
      <c r="G941" s="127"/>
      <c r="H941" s="127"/>
      <c r="I941" s="127"/>
    </row>
    <row r="942">
      <c r="A942" s="179"/>
      <c r="B942" s="179"/>
      <c r="C942" s="179"/>
      <c r="D942" s="179"/>
      <c r="E942" s="127"/>
      <c r="F942" s="127"/>
      <c r="G942" s="127"/>
      <c r="H942" s="127"/>
      <c r="I942" s="127"/>
    </row>
    <row r="943">
      <c r="A943" s="179"/>
      <c r="B943" s="179"/>
      <c r="C943" s="179"/>
      <c r="D943" s="179"/>
      <c r="E943" s="127"/>
      <c r="F943" s="127"/>
      <c r="G943" s="127"/>
      <c r="H943" s="127"/>
      <c r="I943" s="127"/>
    </row>
    <row r="944">
      <c r="A944" s="179"/>
      <c r="B944" s="179"/>
      <c r="C944" s="179"/>
      <c r="D944" s="179"/>
      <c r="E944" s="127"/>
      <c r="F944" s="127"/>
      <c r="G944" s="127"/>
      <c r="H944" s="127"/>
      <c r="I944" s="127"/>
    </row>
    <row r="945">
      <c r="A945" s="179"/>
      <c r="B945" s="179"/>
      <c r="C945" s="179"/>
      <c r="D945" s="179"/>
      <c r="E945" s="127"/>
      <c r="F945" s="127"/>
      <c r="G945" s="127"/>
      <c r="H945" s="127"/>
      <c r="I945" s="127"/>
    </row>
    <row r="946">
      <c r="A946" s="179"/>
      <c r="B946" s="179"/>
      <c r="C946" s="179"/>
      <c r="D946" s="179"/>
      <c r="E946" s="127"/>
      <c r="F946" s="127"/>
      <c r="G946" s="127"/>
      <c r="H946" s="127"/>
      <c r="I946" s="127"/>
    </row>
    <row r="947">
      <c r="A947" s="179"/>
      <c r="B947" s="179"/>
      <c r="C947" s="179"/>
      <c r="D947" s="179"/>
      <c r="E947" s="127"/>
      <c r="F947" s="127"/>
      <c r="G947" s="127"/>
      <c r="H947" s="127"/>
      <c r="I947" s="127"/>
    </row>
    <row r="948">
      <c r="A948" s="179"/>
      <c r="B948" s="179"/>
      <c r="C948" s="179"/>
      <c r="D948" s="179"/>
      <c r="E948" s="127"/>
      <c r="F948" s="127"/>
      <c r="G948" s="127"/>
      <c r="H948" s="127"/>
      <c r="I948" s="127"/>
    </row>
    <row r="949">
      <c r="A949" s="179"/>
      <c r="B949" s="179"/>
      <c r="C949" s="179"/>
      <c r="D949" s="179"/>
      <c r="E949" s="127"/>
      <c r="F949" s="127"/>
      <c r="G949" s="127"/>
      <c r="H949" s="127"/>
      <c r="I949" s="127"/>
    </row>
    <row r="950">
      <c r="A950" s="179"/>
      <c r="B950" s="179"/>
      <c r="C950" s="179"/>
      <c r="D950" s="179"/>
      <c r="E950" s="127"/>
      <c r="F950" s="127"/>
      <c r="G950" s="127"/>
      <c r="H950" s="127"/>
      <c r="I950" s="127"/>
    </row>
    <row r="951">
      <c r="A951" s="179"/>
      <c r="B951" s="179"/>
      <c r="C951" s="179"/>
      <c r="D951" s="179"/>
      <c r="E951" s="127"/>
      <c r="F951" s="127"/>
      <c r="G951" s="127"/>
      <c r="H951" s="127"/>
      <c r="I951" s="127"/>
    </row>
    <row r="952">
      <c r="A952" s="179"/>
      <c r="B952" s="179"/>
      <c r="C952" s="179"/>
      <c r="D952" s="179"/>
      <c r="E952" s="127"/>
      <c r="F952" s="127"/>
      <c r="G952" s="127"/>
      <c r="H952" s="127"/>
      <c r="I952" s="127"/>
    </row>
    <row r="953">
      <c r="A953" s="179"/>
      <c r="B953" s="179"/>
      <c r="C953" s="179"/>
      <c r="D953" s="179"/>
      <c r="E953" s="127"/>
      <c r="F953" s="127"/>
      <c r="G953" s="127"/>
      <c r="H953" s="127"/>
      <c r="I953" s="127"/>
    </row>
    <row r="954">
      <c r="A954" s="179"/>
      <c r="B954" s="179"/>
      <c r="C954" s="179"/>
      <c r="D954" s="179"/>
      <c r="E954" s="127"/>
      <c r="F954" s="127"/>
      <c r="G954" s="127"/>
      <c r="H954" s="127"/>
      <c r="I954" s="127"/>
    </row>
    <row r="955">
      <c r="A955" s="179"/>
      <c r="B955" s="179"/>
      <c r="C955" s="179"/>
      <c r="D955" s="179"/>
      <c r="E955" s="127"/>
      <c r="F955" s="127"/>
      <c r="G955" s="127"/>
      <c r="H955" s="127"/>
      <c r="I955" s="127"/>
    </row>
    <row r="956">
      <c r="A956" s="179"/>
      <c r="B956" s="179"/>
      <c r="C956" s="179"/>
      <c r="D956" s="179"/>
      <c r="E956" s="127"/>
      <c r="F956" s="127"/>
      <c r="G956" s="127"/>
      <c r="H956" s="127"/>
      <c r="I956" s="127"/>
    </row>
    <row r="957">
      <c r="A957" s="179"/>
      <c r="B957" s="179"/>
      <c r="C957" s="179"/>
      <c r="D957" s="179"/>
      <c r="E957" s="127"/>
      <c r="F957" s="127"/>
      <c r="G957" s="127"/>
      <c r="H957" s="127"/>
      <c r="I957" s="127"/>
    </row>
    <row r="958">
      <c r="A958" s="179"/>
      <c r="B958" s="179"/>
      <c r="C958" s="179"/>
      <c r="D958" s="179"/>
      <c r="E958" s="127"/>
      <c r="F958" s="127"/>
      <c r="G958" s="127"/>
      <c r="H958" s="127"/>
      <c r="I958" s="127"/>
    </row>
    <row r="959">
      <c r="A959" s="179"/>
      <c r="B959" s="179"/>
      <c r="C959" s="179"/>
      <c r="D959" s="179"/>
      <c r="E959" s="127"/>
      <c r="F959" s="127"/>
      <c r="G959" s="127"/>
      <c r="H959" s="127"/>
      <c r="I959" s="127"/>
    </row>
    <row r="960">
      <c r="A960" s="179"/>
      <c r="B960" s="179"/>
      <c r="C960" s="179"/>
      <c r="D960" s="179"/>
      <c r="E960" s="127"/>
      <c r="F960" s="127"/>
      <c r="G960" s="127"/>
      <c r="H960" s="127"/>
      <c r="I960" s="127"/>
    </row>
    <row r="961">
      <c r="A961" s="179"/>
      <c r="B961" s="179"/>
      <c r="C961" s="179"/>
      <c r="D961" s="179"/>
      <c r="E961" s="127"/>
      <c r="F961" s="127"/>
      <c r="G961" s="127"/>
      <c r="H961" s="127"/>
      <c r="I961" s="127"/>
    </row>
    <row r="962">
      <c r="A962" s="179"/>
      <c r="B962" s="179"/>
      <c r="C962" s="179"/>
      <c r="D962" s="179"/>
      <c r="E962" s="127"/>
      <c r="F962" s="127"/>
      <c r="G962" s="127"/>
      <c r="H962" s="127"/>
      <c r="I962" s="127"/>
    </row>
    <row r="963">
      <c r="A963" s="179"/>
      <c r="B963" s="179"/>
      <c r="C963" s="179"/>
      <c r="D963" s="179"/>
      <c r="E963" s="127"/>
      <c r="F963" s="127"/>
      <c r="G963" s="127"/>
      <c r="H963" s="127"/>
      <c r="I963" s="127"/>
    </row>
    <row r="964">
      <c r="A964" s="179"/>
      <c r="B964" s="179"/>
      <c r="C964" s="179"/>
      <c r="D964" s="179"/>
      <c r="E964" s="127"/>
      <c r="F964" s="127"/>
      <c r="G964" s="127"/>
      <c r="H964" s="127"/>
      <c r="I964" s="127"/>
    </row>
    <row r="965">
      <c r="A965" s="179"/>
      <c r="B965" s="179"/>
      <c r="C965" s="179"/>
      <c r="D965" s="179"/>
      <c r="E965" s="127"/>
      <c r="F965" s="127"/>
      <c r="G965" s="127"/>
      <c r="H965" s="127"/>
      <c r="I965" s="127"/>
    </row>
    <row r="966">
      <c r="A966" s="179"/>
      <c r="B966" s="179"/>
      <c r="C966" s="179"/>
      <c r="D966" s="179"/>
      <c r="E966" s="127"/>
      <c r="F966" s="127"/>
      <c r="G966" s="127"/>
      <c r="H966" s="127"/>
      <c r="I966" s="127"/>
    </row>
    <row r="967">
      <c r="A967" s="179"/>
      <c r="B967" s="179"/>
      <c r="C967" s="179"/>
      <c r="D967" s="179"/>
      <c r="E967" s="127"/>
      <c r="F967" s="127"/>
      <c r="G967" s="127"/>
      <c r="H967" s="127"/>
      <c r="I967" s="127"/>
    </row>
    <row r="968">
      <c r="A968" s="179"/>
      <c r="B968" s="179"/>
      <c r="C968" s="179"/>
      <c r="D968" s="179"/>
      <c r="E968" s="127"/>
      <c r="F968" s="127"/>
      <c r="G968" s="127"/>
      <c r="H968" s="127"/>
      <c r="I968" s="127"/>
    </row>
    <row r="969">
      <c r="A969" s="179"/>
      <c r="B969" s="179"/>
      <c r="C969" s="179"/>
      <c r="D969" s="179"/>
      <c r="E969" s="127"/>
      <c r="F969" s="127"/>
      <c r="G969" s="127"/>
      <c r="H969" s="127"/>
      <c r="I969" s="127"/>
    </row>
    <row r="970">
      <c r="A970" s="179"/>
      <c r="B970" s="179"/>
      <c r="C970" s="179"/>
      <c r="D970" s="179"/>
      <c r="E970" s="127"/>
      <c r="F970" s="127"/>
      <c r="G970" s="127"/>
      <c r="H970" s="127"/>
      <c r="I970" s="127"/>
    </row>
    <row r="971">
      <c r="A971" s="179"/>
      <c r="B971" s="179"/>
      <c r="C971" s="179"/>
      <c r="D971" s="179"/>
      <c r="E971" s="127"/>
      <c r="F971" s="127"/>
      <c r="G971" s="127"/>
      <c r="H971" s="127"/>
      <c r="I971" s="127"/>
    </row>
    <row r="972">
      <c r="A972" s="179"/>
      <c r="B972" s="179"/>
      <c r="C972" s="179"/>
      <c r="D972" s="179"/>
      <c r="E972" s="127"/>
      <c r="F972" s="127"/>
      <c r="G972" s="127"/>
      <c r="H972" s="127"/>
      <c r="I972" s="127"/>
    </row>
    <row r="973">
      <c r="A973" s="179"/>
      <c r="B973" s="179"/>
      <c r="C973" s="179"/>
      <c r="D973" s="179"/>
      <c r="E973" s="127"/>
      <c r="F973" s="127"/>
      <c r="G973" s="127"/>
      <c r="H973" s="127"/>
      <c r="I973" s="127"/>
    </row>
    <row r="974">
      <c r="A974" s="179"/>
      <c r="B974" s="179"/>
      <c r="C974" s="179"/>
      <c r="D974" s="179"/>
      <c r="E974" s="127"/>
      <c r="F974" s="127"/>
      <c r="G974" s="127"/>
      <c r="H974" s="127"/>
      <c r="I974" s="127"/>
    </row>
    <row r="975">
      <c r="A975" s="179"/>
      <c r="B975" s="179"/>
      <c r="C975" s="179"/>
      <c r="D975" s="179"/>
      <c r="E975" s="127"/>
      <c r="F975" s="127"/>
      <c r="G975" s="127"/>
      <c r="H975" s="127"/>
      <c r="I975" s="127"/>
    </row>
    <row r="976">
      <c r="A976" s="179"/>
      <c r="B976" s="179"/>
      <c r="C976" s="179"/>
      <c r="D976" s="179"/>
      <c r="E976" s="127"/>
      <c r="F976" s="127"/>
      <c r="G976" s="127"/>
      <c r="H976" s="127"/>
      <c r="I976" s="127"/>
    </row>
    <row r="977">
      <c r="A977" s="179"/>
      <c r="B977" s="179"/>
      <c r="C977" s="179"/>
      <c r="D977" s="179"/>
      <c r="E977" s="127"/>
      <c r="F977" s="127"/>
      <c r="G977" s="127"/>
      <c r="H977" s="127"/>
      <c r="I977" s="127"/>
    </row>
    <row r="978">
      <c r="A978" s="179"/>
      <c r="B978" s="179"/>
      <c r="C978" s="179"/>
      <c r="D978" s="179"/>
      <c r="E978" s="127"/>
      <c r="F978" s="127"/>
      <c r="G978" s="127"/>
      <c r="H978" s="127"/>
      <c r="I978" s="127"/>
    </row>
    <row r="979">
      <c r="A979" s="179"/>
      <c r="B979" s="179"/>
      <c r="C979" s="179"/>
      <c r="D979" s="179"/>
      <c r="E979" s="127"/>
      <c r="F979" s="127"/>
      <c r="G979" s="127"/>
      <c r="H979" s="127"/>
      <c r="I979" s="127"/>
    </row>
    <row r="980">
      <c r="A980" s="179"/>
      <c r="B980" s="179"/>
      <c r="C980" s="179"/>
      <c r="D980" s="179"/>
      <c r="E980" s="127"/>
      <c r="F980" s="127"/>
      <c r="G980" s="127"/>
      <c r="H980" s="127"/>
      <c r="I980" s="127"/>
    </row>
    <row r="981">
      <c r="A981" s="179"/>
      <c r="B981" s="179"/>
      <c r="C981" s="179"/>
      <c r="D981" s="179"/>
      <c r="E981" s="127"/>
      <c r="F981" s="127"/>
      <c r="G981" s="127"/>
      <c r="H981" s="127"/>
      <c r="I981" s="127"/>
    </row>
    <row r="982">
      <c r="A982" s="179"/>
      <c r="B982" s="179"/>
      <c r="C982" s="179"/>
      <c r="D982" s="179"/>
      <c r="E982" s="127"/>
      <c r="F982" s="127"/>
      <c r="G982" s="127"/>
      <c r="H982" s="127"/>
      <c r="I982" s="127"/>
    </row>
    <row r="983">
      <c r="A983" s="179"/>
      <c r="B983" s="179"/>
      <c r="C983" s="179"/>
      <c r="D983" s="179"/>
      <c r="E983" s="127"/>
      <c r="F983" s="127"/>
      <c r="G983" s="127"/>
      <c r="H983" s="127"/>
      <c r="I983" s="127"/>
    </row>
    <row r="984">
      <c r="A984" s="179"/>
      <c r="B984" s="179"/>
      <c r="C984" s="179"/>
      <c r="D984" s="179"/>
      <c r="E984" s="127"/>
      <c r="F984" s="127"/>
      <c r="G984" s="127"/>
      <c r="H984" s="127"/>
      <c r="I984" s="127"/>
    </row>
    <row r="985">
      <c r="A985" s="179"/>
      <c r="B985" s="179"/>
      <c r="C985" s="179"/>
      <c r="D985" s="179"/>
      <c r="E985" s="127"/>
      <c r="F985" s="127"/>
      <c r="G985" s="127"/>
      <c r="H985" s="127"/>
      <c r="I985" s="127"/>
    </row>
    <row r="986">
      <c r="A986" s="179"/>
      <c r="B986" s="179"/>
      <c r="C986" s="179"/>
      <c r="D986" s="179"/>
      <c r="E986" s="127"/>
      <c r="F986" s="127"/>
      <c r="G986" s="127"/>
      <c r="H986" s="127"/>
      <c r="I986" s="127"/>
    </row>
    <row r="987">
      <c r="A987" s="179"/>
      <c r="B987" s="179"/>
      <c r="C987" s="179"/>
      <c r="D987" s="179"/>
      <c r="E987" s="127"/>
      <c r="F987" s="127"/>
      <c r="G987" s="127"/>
      <c r="H987" s="127"/>
      <c r="I987" s="127"/>
    </row>
    <row r="988">
      <c r="A988" s="179"/>
      <c r="B988" s="179"/>
      <c r="C988" s="179"/>
      <c r="D988" s="179"/>
      <c r="E988" s="127"/>
      <c r="F988" s="127"/>
      <c r="G988" s="127"/>
      <c r="H988" s="127"/>
      <c r="I988" s="127"/>
    </row>
    <row r="989">
      <c r="A989" s="179"/>
      <c r="B989" s="179"/>
      <c r="C989" s="179"/>
      <c r="D989" s="179"/>
      <c r="E989" s="127"/>
      <c r="F989" s="127"/>
      <c r="G989" s="127"/>
      <c r="H989" s="127"/>
      <c r="I989" s="127"/>
    </row>
    <row r="990">
      <c r="A990" s="179"/>
      <c r="B990" s="179"/>
      <c r="C990" s="179"/>
      <c r="D990" s="179"/>
      <c r="E990" s="127"/>
      <c r="F990" s="127"/>
      <c r="G990" s="127"/>
      <c r="H990" s="127"/>
      <c r="I990" s="127"/>
    </row>
    <row r="991">
      <c r="A991" s="179"/>
      <c r="B991" s="179"/>
      <c r="C991" s="179"/>
      <c r="D991" s="179"/>
      <c r="E991" s="127"/>
      <c r="F991" s="127"/>
      <c r="G991" s="127"/>
      <c r="H991" s="127"/>
      <c r="I991" s="127"/>
    </row>
    <row r="992">
      <c r="A992" s="179"/>
      <c r="B992" s="179"/>
      <c r="C992" s="179"/>
      <c r="D992" s="179"/>
      <c r="E992" s="127"/>
      <c r="F992" s="127"/>
      <c r="G992" s="127"/>
      <c r="H992" s="127"/>
      <c r="I992" s="127"/>
    </row>
    <row r="993">
      <c r="A993" s="179"/>
      <c r="B993" s="179"/>
      <c r="C993" s="179"/>
      <c r="D993" s="179"/>
      <c r="E993" s="127"/>
      <c r="F993" s="127"/>
      <c r="G993" s="127"/>
      <c r="H993" s="127"/>
      <c r="I993" s="127"/>
    </row>
    <row r="994">
      <c r="A994" s="179"/>
      <c r="B994" s="179"/>
      <c r="C994" s="179"/>
      <c r="D994" s="179"/>
      <c r="E994" s="127"/>
      <c r="F994" s="127"/>
      <c r="G994" s="127"/>
      <c r="H994" s="127"/>
      <c r="I994" s="127"/>
    </row>
    <row r="995">
      <c r="A995" s="179"/>
      <c r="B995" s="179"/>
      <c r="C995" s="179"/>
      <c r="D995" s="179"/>
      <c r="E995" s="127"/>
      <c r="F995" s="127"/>
      <c r="G995" s="127"/>
      <c r="H995" s="127"/>
      <c r="I995" s="127"/>
    </row>
    <row r="996">
      <c r="A996" s="179"/>
      <c r="B996" s="127"/>
      <c r="C996" s="179"/>
      <c r="D996" s="179"/>
      <c r="E996" s="127"/>
      <c r="F996" s="127"/>
      <c r="G996" s="127"/>
      <c r="H996" s="127"/>
      <c r="I996" s="127"/>
    </row>
    <row r="997">
      <c r="A997" s="179"/>
      <c r="B997" s="179"/>
      <c r="C997" s="179"/>
      <c r="D997" s="179"/>
      <c r="E997" s="127"/>
      <c r="F997" s="127"/>
      <c r="G997" s="127"/>
      <c r="H997" s="127"/>
      <c r="I997" s="127"/>
    </row>
    <row r="998">
      <c r="A998" s="179"/>
      <c r="B998" s="179"/>
      <c r="C998" s="179"/>
      <c r="D998" s="179"/>
      <c r="E998" s="127"/>
      <c r="F998" s="127"/>
      <c r="G998" s="127"/>
      <c r="H998" s="127"/>
      <c r="I998" s="127"/>
    </row>
    <row r="999">
      <c r="A999" s="179"/>
      <c r="B999" s="179"/>
      <c r="C999" s="179"/>
      <c r="D999" s="179"/>
      <c r="E999" s="127"/>
      <c r="F999" s="127"/>
      <c r="G999" s="127"/>
      <c r="H999" s="127"/>
      <c r="I999" s="127"/>
    </row>
    <row r="1000">
      <c r="A1000" s="179"/>
      <c r="B1000" s="179"/>
      <c r="C1000" s="179"/>
      <c r="D1000" s="179"/>
      <c r="E1000" s="127"/>
      <c r="F1000" s="127"/>
      <c r="G1000" s="127"/>
      <c r="H1000" s="127"/>
      <c r="I1000" s="127"/>
    </row>
    <row r="1001">
      <c r="A1001" s="179"/>
      <c r="B1001" s="179"/>
      <c r="C1001" s="179"/>
      <c r="D1001" s="179"/>
      <c r="E1001" s="127"/>
      <c r="F1001" s="127"/>
      <c r="G1001" s="127"/>
      <c r="H1001" s="127"/>
      <c r="I1001" s="127"/>
    </row>
    <row r="1002">
      <c r="A1002" s="179"/>
      <c r="B1002" s="179"/>
      <c r="C1002" s="179"/>
      <c r="D1002" s="179"/>
      <c r="E1002" s="127"/>
      <c r="F1002" s="127"/>
      <c r="G1002" s="127"/>
      <c r="H1002" s="127"/>
      <c r="I1002" s="127"/>
    </row>
    <row r="1003">
      <c r="A1003" s="179"/>
      <c r="B1003" s="179"/>
      <c r="C1003" s="179"/>
      <c r="D1003" s="179"/>
      <c r="E1003" s="127"/>
      <c r="F1003" s="127"/>
      <c r="G1003" s="127"/>
      <c r="H1003" s="127"/>
      <c r="I1003" s="127"/>
    </row>
    <row r="1004">
      <c r="A1004" s="179"/>
      <c r="B1004" s="179"/>
      <c r="C1004" s="179"/>
      <c r="D1004" s="179"/>
      <c r="E1004" s="127"/>
      <c r="F1004" s="127"/>
      <c r="G1004" s="127"/>
      <c r="H1004" s="127"/>
      <c r="I1004" s="127"/>
    </row>
    <row r="1005">
      <c r="A1005" s="179"/>
      <c r="B1005" s="179"/>
      <c r="C1005" s="179"/>
      <c r="D1005" s="179"/>
      <c r="E1005" s="127"/>
      <c r="F1005" s="127"/>
      <c r="G1005" s="127"/>
      <c r="H1005" s="127"/>
      <c r="I1005" s="127"/>
    </row>
    <row r="1006">
      <c r="A1006" s="179"/>
      <c r="B1006" s="179"/>
      <c r="C1006" s="179"/>
      <c r="D1006" s="179"/>
      <c r="E1006" s="127"/>
      <c r="F1006" s="127"/>
      <c r="G1006" s="127"/>
      <c r="H1006" s="127"/>
      <c r="I1006" s="127"/>
    </row>
    <row r="1007">
      <c r="A1007" s="179"/>
      <c r="B1007" s="179"/>
      <c r="C1007" s="179"/>
      <c r="D1007" s="179"/>
      <c r="E1007" s="127"/>
      <c r="F1007" s="127"/>
      <c r="G1007" s="127"/>
      <c r="H1007" s="127"/>
      <c r="I1007" s="127"/>
    </row>
    <row r="1008">
      <c r="A1008" s="179"/>
      <c r="B1008" s="179"/>
      <c r="C1008" s="179"/>
      <c r="D1008" s="179"/>
      <c r="E1008" s="127"/>
      <c r="F1008" s="127"/>
      <c r="G1008" s="127"/>
      <c r="H1008" s="127"/>
      <c r="I1008" s="127"/>
    </row>
    <row r="1009">
      <c r="A1009" s="179"/>
      <c r="B1009" s="179"/>
      <c r="C1009" s="179"/>
      <c r="D1009" s="179"/>
      <c r="E1009" s="127"/>
      <c r="F1009" s="127"/>
      <c r="G1009" s="127"/>
      <c r="H1009" s="127"/>
      <c r="I1009" s="127"/>
    </row>
    <row r="1010">
      <c r="A1010" s="179"/>
      <c r="B1010" s="179"/>
      <c r="C1010" s="179"/>
      <c r="D1010" s="179"/>
      <c r="E1010" s="127"/>
      <c r="F1010" s="127"/>
      <c r="G1010" s="127"/>
      <c r="H1010" s="127"/>
      <c r="I1010" s="127"/>
    </row>
    <row r="1011">
      <c r="A1011" s="179"/>
      <c r="B1011" s="179"/>
      <c r="C1011" s="179"/>
      <c r="D1011" s="179"/>
      <c r="E1011" s="127"/>
      <c r="F1011" s="127"/>
      <c r="G1011" s="127"/>
      <c r="H1011" s="127"/>
      <c r="I1011" s="127"/>
    </row>
    <row r="1012">
      <c r="A1012" s="179"/>
      <c r="B1012" s="179"/>
      <c r="C1012" s="179"/>
      <c r="D1012" s="179"/>
      <c r="E1012" s="127"/>
      <c r="F1012" s="127"/>
      <c r="G1012" s="127"/>
      <c r="H1012" s="127"/>
      <c r="I1012" s="127"/>
    </row>
    <row r="1013">
      <c r="A1013" s="179"/>
      <c r="B1013" s="179"/>
      <c r="C1013" s="179"/>
      <c r="D1013" s="179"/>
      <c r="E1013" s="127"/>
      <c r="F1013" s="127"/>
      <c r="G1013" s="127"/>
      <c r="H1013" s="127"/>
      <c r="I1013" s="127"/>
    </row>
    <row r="1014">
      <c r="A1014" s="179"/>
      <c r="B1014" s="179"/>
      <c r="C1014" s="179"/>
      <c r="D1014" s="179"/>
      <c r="E1014" s="127"/>
      <c r="F1014" s="127"/>
      <c r="G1014" s="127"/>
      <c r="H1014" s="127"/>
      <c r="I1014" s="127"/>
    </row>
    <row r="1015">
      <c r="A1015" s="179"/>
      <c r="B1015" s="179"/>
      <c r="C1015" s="179"/>
      <c r="D1015" s="179"/>
      <c r="E1015" s="127"/>
      <c r="F1015" s="127"/>
      <c r="G1015" s="127"/>
      <c r="H1015" s="127"/>
      <c r="I1015" s="127"/>
    </row>
    <row r="1016">
      <c r="A1016" s="179"/>
      <c r="B1016" s="179"/>
      <c r="C1016" s="179"/>
      <c r="D1016" s="179"/>
      <c r="E1016" s="127"/>
      <c r="F1016" s="127"/>
      <c r="G1016" s="127"/>
      <c r="H1016" s="127"/>
      <c r="I1016" s="127"/>
    </row>
    <row r="1017">
      <c r="A1017" s="179"/>
      <c r="B1017" s="179"/>
      <c r="C1017" s="179"/>
      <c r="D1017" s="179"/>
      <c r="E1017" s="127"/>
      <c r="F1017" s="127"/>
      <c r="G1017" s="127"/>
      <c r="H1017" s="127"/>
      <c r="I1017" s="127"/>
    </row>
    <row r="1018">
      <c r="A1018" s="179"/>
      <c r="B1018" s="179"/>
      <c r="C1018" s="179"/>
      <c r="D1018" s="179"/>
      <c r="E1018" s="127"/>
      <c r="F1018" s="127"/>
      <c r="G1018" s="127"/>
      <c r="H1018" s="127"/>
      <c r="I1018" s="127"/>
    </row>
    <row r="1019">
      <c r="A1019" s="179"/>
      <c r="B1019" s="179"/>
      <c r="C1019" s="179"/>
      <c r="D1019" s="179"/>
      <c r="E1019" s="127"/>
      <c r="F1019" s="127"/>
      <c r="G1019" s="127"/>
      <c r="H1019" s="127"/>
      <c r="I1019" s="127"/>
    </row>
    <row r="1020">
      <c r="A1020" s="179"/>
      <c r="B1020" s="179"/>
      <c r="C1020" s="179"/>
      <c r="D1020" s="179"/>
      <c r="E1020" s="127"/>
      <c r="F1020" s="127"/>
      <c r="G1020" s="127"/>
      <c r="H1020" s="127"/>
      <c r="I1020" s="127"/>
    </row>
    <row r="1021">
      <c r="A1021" s="179"/>
      <c r="B1021" s="179"/>
      <c r="C1021" s="179"/>
      <c r="D1021" s="179"/>
      <c r="E1021" s="127"/>
      <c r="F1021" s="127"/>
      <c r="G1021" s="127"/>
      <c r="H1021" s="127"/>
      <c r="I1021" s="127"/>
    </row>
    <row r="1022">
      <c r="A1022" s="179"/>
      <c r="B1022" s="179"/>
      <c r="C1022" s="179"/>
      <c r="D1022" s="179"/>
      <c r="E1022" s="127"/>
      <c r="F1022" s="127"/>
      <c r="G1022" s="127"/>
      <c r="H1022" s="127"/>
      <c r="I1022" s="127"/>
    </row>
    <row r="1023">
      <c r="A1023" s="179"/>
      <c r="B1023" s="179"/>
      <c r="C1023" s="179"/>
      <c r="D1023" s="179"/>
      <c r="E1023" s="127"/>
      <c r="F1023" s="127"/>
      <c r="G1023" s="127"/>
      <c r="H1023" s="127"/>
      <c r="I1023" s="127"/>
    </row>
    <row r="1024">
      <c r="A1024" s="179"/>
      <c r="B1024" s="179"/>
      <c r="C1024" s="179"/>
      <c r="D1024" s="179"/>
      <c r="E1024" s="127"/>
      <c r="F1024" s="127"/>
      <c r="G1024" s="127"/>
      <c r="H1024" s="127"/>
      <c r="I1024" s="127"/>
    </row>
    <row r="1025">
      <c r="A1025" s="179"/>
      <c r="B1025" s="179"/>
      <c r="C1025" s="179"/>
      <c r="D1025" s="179"/>
      <c r="E1025" s="127"/>
      <c r="F1025" s="127"/>
      <c r="G1025" s="127"/>
      <c r="H1025" s="127"/>
      <c r="I1025" s="127"/>
    </row>
    <row r="1026">
      <c r="A1026" s="179"/>
      <c r="B1026" s="179"/>
      <c r="C1026" s="179"/>
      <c r="D1026" s="179"/>
      <c r="E1026" s="127"/>
      <c r="F1026" s="127"/>
      <c r="G1026" s="127"/>
      <c r="H1026" s="127"/>
      <c r="I1026" s="127"/>
    </row>
    <row r="1027">
      <c r="A1027" s="179"/>
      <c r="B1027" s="179"/>
      <c r="C1027" s="179"/>
      <c r="D1027" s="179"/>
      <c r="E1027" s="127"/>
      <c r="F1027" s="127"/>
      <c r="G1027" s="127"/>
      <c r="H1027" s="127"/>
      <c r="I1027" s="127"/>
    </row>
    <row r="1028">
      <c r="A1028" s="179"/>
      <c r="B1028" s="179"/>
      <c r="C1028" s="179"/>
      <c r="D1028" s="179"/>
      <c r="E1028" s="127"/>
      <c r="F1028" s="127"/>
      <c r="G1028" s="127"/>
      <c r="H1028" s="127"/>
      <c r="I1028" s="127"/>
    </row>
    <row r="1029">
      <c r="A1029" s="179"/>
      <c r="B1029" s="179"/>
      <c r="C1029" s="179"/>
      <c r="D1029" s="179"/>
      <c r="E1029" s="127"/>
      <c r="F1029" s="127"/>
      <c r="G1029" s="127"/>
      <c r="H1029" s="127"/>
      <c r="I1029" s="127"/>
    </row>
    <row r="1030">
      <c r="A1030" s="179"/>
      <c r="B1030" s="179"/>
      <c r="C1030" s="179"/>
      <c r="D1030" s="179"/>
      <c r="E1030" s="127"/>
      <c r="F1030" s="127"/>
      <c r="G1030" s="127"/>
      <c r="H1030" s="127"/>
      <c r="I1030" s="127"/>
    </row>
    <row r="1031">
      <c r="A1031" s="179"/>
      <c r="B1031" s="179"/>
      <c r="C1031" s="179"/>
      <c r="D1031" s="179"/>
      <c r="E1031" s="127"/>
      <c r="F1031" s="127"/>
      <c r="G1031" s="127"/>
      <c r="H1031" s="127"/>
      <c r="I1031" s="127"/>
    </row>
    <row r="1032">
      <c r="A1032" s="179"/>
      <c r="B1032" s="179"/>
      <c r="C1032" s="179"/>
      <c r="D1032" s="179"/>
      <c r="E1032" s="127"/>
      <c r="F1032" s="127"/>
      <c r="G1032" s="127"/>
      <c r="H1032" s="127"/>
      <c r="I1032" s="127"/>
    </row>
    <row r="1033">
      <c r="A1033" s="179"/>
      <c r="B1033" s="179"/>
      <c r="C1033" s="179"/>
      <c r="D1033" s="179"/>
      <c r="E1033" s="127"/>
      <c r="F1033" s="127"/>
      <c r="G1033" s="127"/>
      <c r="H1033" s="127"/>
      <c r="I1033" s="127"/>
    </row>
    <row r="1034">
      <c r="A1034" s="179"/>
      <c r="B1034" s="179"/>
      <c r="C1034" s="179"/>
      <c r="D1034" s="179"/>
      <c r="E1034" s="127"/>
      <c r="F1034" s="127"/>
      <c r="G1034" s="127"/>
      <c r="H1034" s="127"/>
      <c r="I1034" s="127"/>
    </row>
    <row r="1035">
      <c r="A1035" s="179"/>
      <c r="B1035" s="179"/>
      <c r="C1035" s="179"/>
      <c r="D1035" s="179"/>
      <c r="E1035" s="127"/>
      <c r="F1035" s="127"/>
      <c r="G1035" s="127"/>
      <c r="H1035" s="127"/>
      <c r="I1035" s="127"/>
    </row>
    <row r="1036">
      <c r="A1036" s="179"/>
      <c r="B1036" s="179"/>
      <c r="C1036" s="179"/>
      <c r="D1036" s="179"/>
      <c r="E1036" s="127"/>
      <c r="F1036" s="127"/>
      <c r="G1036" s="127"/>
      <c r="H1036" s="127"/>
      <c r="I1036" s="127"/>
    </row>
    <row r="1037">
      <c r="A1037" s="179"/>
      <c r="B1037" s="179"/>
      <c r="C1037" s="179"/>
      <c r="D1037" s="179"/>
      <c r="E1037" s="127"/>
      <c r="F1037" s="127"/>
      <c r="G1037" s="127"/>
      <c r="H1037" s="127"/>
      <c r="I1037" s="127"/>
    </row>
    <row r="1038">
      <c r="A1038" s="179"/>
      <c r="B1038" s="179"/>
      <c r="C1038" s="179"/>
      <c r="D1038" s="179"/>
      <c r="E1038" s="127"/>
      <c r="F1038" s="127"/>
      <c r="G1038" s="127"/>
      <c r="H1038" s="127"/>
      <c r="I1038" s="127"/>
    </row>
    <row r="1039">
      <c r="A1039" s="179"/>
      <c r="B1039" s="179"/>
      <c r="C1039" s="179"/>
      <c r="D1039" s="179"/>
      <c r="E1039" s="127"/>
      <c r="F1039" s="127"/>
      <c r="G1039" s="127"/>
      <c r="H1039" s="127"/>
      <c r="I1039" s="127"/>
    </row>
    <row r="1040">
      <c r="A1040" s="179"/>
      <c r="B1040" s="179"/>
      <c r="C1040" s="179"/>
      <c r="D1040" s="179"/>
      <c r="E1040" s="127"/>
      <c r="F1040" s="127"/>
      <c r="G1040" s="127"/>
      <c r="H1040" s="127"/>
      <c r="I1040" s="127"/>
    </row>
    <row r="1041">
      <c r="A1041" s="179"/>
      <c r="B1041" s="179"/>
      <c r="C1041" s="179"/>
      <c r="D1041" s="179"/>
      <c r="E1041" s="127"/>
      <c r="F1041" s="127"/>
      <c r="G1041" s="127"/>
      <c r="H1041" s="127"/>
      <c r="I1041" s="127"/>
    </row>
    <row r="1042">
      <c r="A1042" s="179"/>
      <c r="B1042" s="179"/>
      <c r="C1042" s="179"/>
      <c r="D1042" s="179"/>
      <c r="E1042" s="127"/>
      <c r="F1042" s="127"/>
      <c r="G1042" s="127"/>
      <c r="H1042" s="127"/>
      <c r="I1042" s="127"/>
    </row>
    <row r="1043">
      <c r="A1043" s="179"/>
      <c r="B1043" s="179"/>
      <c r="C1043" s="179"/>
      <c r="D1043" s="179"/>
      <c r="E1043" s="127"/>
      <c r="F1043" s="127"/>
      <c r="G1043" s="127"/>
      <c r="H1043" s="127"/>
      <c r="I1043" s="127"/>
    </row>
    <row r="1044">
      <c r="A1044" s="179"/>
      <c r="B1044" s="179"/>
      <c r="C1044" s="179"/>
      <c r="D1044" s="179"/>
      <c r="E1044" s="127"/>
      <c r="F1044" s="127"/>
      <c r="G1044" s="127"/>
      <c r="H1044" s="127"/>
      <c r="I1044" s="127"/>
    </row>
    <row r="1045">
      <c r="A1045" s="179"/>
      <c r="B1045" s="179"/>
      <c r="C1045" s="179"/>
      <c r="D1045" s="179"/>
      <c r="E1045" s="127"/>
      <c r="F1045" s="127"/>
      <c r="G1045" s="127"/>
      <c r="H1045" s="127"/>
      <c r="I1045" s="127"/>
    </row>
    <row r="1046">
      <c r="A1046" s="179"/>
      <c r="B1046" s="179"/>
      <c r="C1046" s="179"/>
      <c r="D1046" s="179"/>
      <c r="E1046" s="127"/>
      <c r="F1046" s="127"/>
      <c r="G1046" s="127"/>
      <c r="H1046" s="127"/>
      <c r="I1046" s="127"/>
    </row>
    <row r="1047">
      <c r="A1047" s="179"/>
      <c r="B1047" s="179"/>
      <c r="C1047" s="179"/>
      <c r="D1047" s="179"/>
      <c r="E1047" s="127"/>
      <c r="F1047" s="127"/>
      <c r="G1047" s="127"/>
      <c r="H1047" s="127"/>
      <c r="I1047" s="127"/>
    </row>
    <row r="1048">
      <c r="A1048" s="179"/>
      <c r="B1048" s="179"/>
      <c r="C1048" s="179"/>
      <c r="D1048" s="179"/>
      <c r="E1048" s="127"/>
      <c r="F1048" s="127"/>
      <c r="G1048" s="127"/>
      <c r="H1048" s="127"/>
      <c r="I1048" s="127"/>
    </row>
    <row r="1049">
      <c r="A1049" s="179"/>
      <c r="B1049" s="179"/>
      <c r="C1049" s="179"/>
      <c r="D1049" s="179"/>
      <c r="E1049" s="127"/>
      <c r="F1049" s="127"/>
      <c r="G1049" s="127"/>
      <c r="H1049" s="127"/>
      <c r="I1049" s="127"/>
    </row>
    <row r="1050">
      <c r="A1050" s="179"/>
      <c r="B1050" s="179"/>
      <c r="C1050" s="179"/>
      <c r="D1050" s="179"/>
      <c r="E1050" s="127"/>
      <c r="F1050" s="127"/>
      <c r="G1050" s="127"/>
      <c r="H1050" s="127"/>
      <c r="I1050" s="127"/>
    </row>
    <row r="1051">
      <c r="A1051" s="179"/>
      <c r="B1051" s="179"/>
      <c r="C1051" s="179"/>
      <c r="D1051" s="179"/>
      <c r="E1051" s="127"/>
      <c r="F1051" s="127"/>
      <c r="G1051" s="127"/>
      <c r="H1051" s="127"/>
      <c r="I1051" s="127"/>
    </row>
    <row r="1052">
      <c r="A1052" s="179"/>
      <c r="B1052" s="179"/>
      <c r="C1052" s="179"/>
      <c r="D1052" s="179"/>
      <c r="E1052" s="127"/>
      <c r="F1052" s="127"/>
      <c r="G1052" s="127"/>
      <c r="H1052" s="127"/>
      <c r="I1052" s="127"/>
    </row>
    <row r="1053">
      <c r="A1053" s="179"/>
      <c r="B1053" s="179"/>
      <c r="C1053" s="179"/>
      <c r="D1053" s="179"/>
      <c r="E1053" s="127"/>
      <c r="F1053" s="127"/>
      <c r="G1053" s="127"/>
      <c r="H1053" s="127"/>
      <c r="I1053" s="127"/>
    </row>
    <row r="1054">
      <c r="A1054" s="179"/>
      <c r="B1054" s="179"/>
      <c r="C1054" s="179"/>
      <c r="D1054" s="179"/>
      <c r="E1054" s="127"/>
      <c r="F1054" s="127"/>
      <c r="G1054" s="127"/>
      <c r="H1054" s="127"/>
      <c r="I1054" s="127"/>
    </row>
    <row r="1055">
      <c r="A1055" s="179"/>
      <c r="B1055" s="179"/>
      <c r="C1055" s="179"/>
      <c r="D1055" s="179"/>
      <c r="E1055" s="127"/>
      <c r="F1055" s="127"/>
      <c r="G1055" s="127"/>
      <c r="H1055" s="127"/>
      <c r="I1055" s="127"/>
    </row>
    <row r="1056">
      <c r="A1056" s="179"/>
      <c r="B1056" s="179"/>
      <c r="C1056" s="179"/>
      <c r="D1056" s="179"/>
      <c r="E1056" s="127"/>
      <c r="F1056" s="127"/>
      <c r="G1056" s="127"/>
      <c r="H1056" s="127"/>
      <c r="I1056" s="127"/>
    </row>
    <row r="1057">
      <c r="A1057" s="179"/>
      <c r="B1057" s="179"/>
      <c r="C1057" s="179"/>
      <c r="D1057" s="179"/>
      <c r="E1057" s="127"/>
      <c r="F1057" s="127"/>
      <c r="G1057" s="127"/>
      <c r="H1057" s="127"/>
      <c r="I1057" s="127"/>
    </row>
    <row r="1058">
      <c r="A1058" s="179"/>
      <c r="B1058" s="179"/>
      <c r="C1058" s="179"/>
      <c r="D1058" s="179"/>
      <c r="E1058" s="127"/>
      <c r="F1058" s="127"/>
      <c r="G1058" s="127"/>
      <c r="H1058" s="127"/>
      <c r="I1058" s="127"/>
    </row>
    <row r="1059">
      <c r="A1059" s="179"/>
      <c r="B1059" s="179"/>
      <c r="C1059" s="179"/>
      <c r="D1059" s="179"/>
      <c r="E1059" s="127"/>
      <c r="F1059" s="127"/>
      <c r="G1059" s="127"/>
      <c r="H1059" s="127"/>
      <c r="I1059" s="127"/>
    </row>
    <row r="1060">
      <c r="A1060" s="179"/>
      <c r="B1060" s="179"/>
      <c r="C1060" s="179"/>
      <c r="D1060" s="179"/>
      <c r="E1060" s="127"/>
      <c r="F1060" s="127"/>
      <c r="G1060" s="127"/>
      <c r="H1060" s="127"/>
      <c r="I1060" s="127"/>
    </row>
    <row r="1061">
      <c r="A1061" s="179"/>
      <c r="B1061" s="179"/>
      <c r="C1061" s="179"/>
      <c r="D1061" s="179"/>
      <c r="E1061" s="127"/>
      <c r="F1061" s="127"/>
      <c r="G1061" s="127"/>
      <c r="H1061" s="127"/>
      <c r="I1061" s="127"/>
    </row>
    <row r="1062">
      <c r="A1062" s="179"/>
      <c r="B1062" s="179"/>
      <c r="C1062" s="179"/>
      <c r="D1062" s="179"/>
      <c r="E1062" s="127"/>
      <c r="F1062" s="127"/>
      <c r="G1062" s="127"/>
      <c r="H1062" s="127"/>
      <c r="I1062" s="127"/>
    </row>
    <row r="1063">
      <c r="A1063" s="179"/>
      <c r="B1063" s="179"/>
      <c r="C1063" s="179"/>
      <c r="D1063" s="179"/>
      <c r="E1063" s="127"/>
      <c r="F1063" s="127"/>
      <c r="G1063" s="127"/>
      <c r="H1063" s="127"/>
      <c r="I1063" s="127"/>
    </row>
    <row r="1064">
      <c r="A1064" s="179"/>
      <c r="B1064" s="179"/>
      <c r="C1064" s="179"/>
      <c r="D1064" s="179"/>
      <c r="E1064" s="127"/>
      <c r="F1064" s="127"/>
      <c r="G1064" s="127"/>
      <c r="H1064" s="127"/>
      <c r="I1064" s="127"/>
    </row>
    <row r="1065">
      <c r="A1065" s="179"/>
      <c r="B1065" s="179"/>
      <c r="C1065" s="179"/>
      <c r="D1065" s="179"/>
      <c r="E1065" s="127"/>
      <c r="F1065" s="127"/>
      <c r="G1065" s="127"/>
      <c r="H1065" s="127"/>
      <c r="I1065" s="127"/>
    </row>
    <row r="1066">
      <c r="A1066" s="179"/>
      <c r="B1066" s="179"/>
      <c r="C1066" s="179"/>
      <c r="D1066" s="179"/>
      <c r="E1066" s="127"/>
      <c r="F1066" s="127"/>
      <c r="G1066" s="127"/>
      <c r="H1066" s="127"/>
      <c r="I1066" s="127"/>
    </row>
    <row r="1067">
      <c r="A1067" s="179"/>
      <c r="B1067" s="179"/>
      <c r="C1067" s="179"/>
      <c r="D1067" s="179"/>
      <c r="E1067" s="127"/>
      <c r="F1067" s="127"/>
      <c r="G1067" s="127"/>
      <c r="H1067" s="127"/>
      <c r="I1067" s="127"/>
    </row>
    <row r="1068">
      <c r="A1068" s="179"/>
      <c r="B1068" s="179"/>
      <c r="C1068" s="179"/>
      <c r="D1068" s="179"/>
      <c r="E1068" s="127"/>
      <c r="F1068" s="127"/>
      <c r="G1068" s="127"/>
      <c r="H1068" s="127"/>
      <c r="I1068" s="127"/>
    </row>
    <row r="1069">
      <c r="A1069" s="179"/>
      <c r="B1069" s="179"/>
      <c r="C1069" s="179"/>
      <c r="D1069" s="179"/>
      <c r="E1069" s="127"/>
      <c r="F1069" s="127"/>
      <c r="G1069" s="127"/>
      <c r="H1069" s="127"/>
      <c r="I1069" s="127"/>
    </row>
    <row r="1070">
      <c r="A1070" s="179"/>
      <c r="B1070" s="179"/>
      <c r="C1070" s="179"/>
      <c r="D1070" s="179"/>
      <c r="E1070" s="127"/>
      <c r="F1070" s="127"/>
      <c r="G1070" s="127"/>
      <c r="H1070" s="127"/>
      <c r="I1070" s="127"/>
    </row>
    <row r="1071">
      <c r="A1071" s="179"/>
      <c r="B1071" s="179"/>
      <c r="C1071" s="179"/>
      <c r="D1071" s="179"/>
      <c r="E1071" s="127"/>
      <c r="F1071" s="127"/>
      <c r="G1071" s="127"/>
      <c r="H1071" s="127"/>
      <c r="I1071" s="127"/>
    </row>
    <row r="1072">
      <c r="A1072" s="179"/>
      <c r="B1072" s="179"/>
      <c r="C1072" s="179"/>
      <c r="D1072" s="179"/>
      <c r="E1072" s="127"/>
      <c r="F1072" s="127"/>
      <c r="G1072" s="127"/>
      <c r="H1072" s="127"/>
      <c r="I1072" s="127"/>
    </row>
    <row r="1073">
      <c r="A1073" s="179"/>
      <c r="B1073" s="179"/>
      <c r="C1073" s="179"/>
      <c r="D1073" s="179"/>
      <c r="E1073" s="127"/>
      <c r="F1073" s="127"/>
      <c r="G1073" s="127"/>
      <c r="H1073" s="127"/>
      <c r="I1073" s="127"/>
    </row>
    <row r="1074">
      <c r="A1074" s="179"/>
      <c r="B1074" s="179"/>
      <c r="C1074" s="179"/>
      <c r="D1074" s="179"/>
      <c r="E1074" s="127"/>
      <c r="F1074" s="127"/>
      <c r="G1074" s="127"/>
      <c r="H1074" s="127"/>
      <c r="I1074" s="127"/>
    </row>
    <row r="1075">
      <c r="A1075" s="179"/>
      <c r="B1075" s="179"/>
      <c r="C1075" s="179"/>
      <c r="D1075" s="179"/>
      <c r="E1075" s="127"/>
      <c r="F1075" s="127"/>
      <c r="G1075" s="127"/>
      <c r="H1075" s="127"/>
      <c r="I1075" s="127"/>
    </row>
    <row r="1076">
      <c r="A1076" s="179"/>
      <c r="B1076" s="179"/>
      <c r="C1076" s="179"/>
      <c r="D1076" s="179"/>
      <c r="E1076" s="127"/>
      <c r="F1076" s="127"/>
      <c r="G1076" s="127"/>
      <c r="H1076" s="127"/>
      <c r="I1076" s="127"/>
    </row>
    <row r="1077">
      <c r="A1077" s="179"/>
      <c r="B1077" s="179"/>
      <c r="C1077" s="179"/>
      <c r="D1077" s="179"/>
      <c r="E1077" s="127"/>
      <c r="F1077" s="127"/>
      <c r="G1077" s="127"/>
      <c r="H1077" s="127"/>
      <c r="I1077" s="127"/>
    </row>
    <row r="1078">
      <c r="A1078" s="179"/>
      <c r="B1078" s="179"/>
      <c r="C1078" s="179"/>
      <c r="D1078" s="179"/>
      <c r="E1078" s="127"/>
      <c r="F1078" s="127"/>
      <c r="G1078" s="127"/>
      <c r="H1078" s="127"/>
      <c r="I1078" s="127"/>
    </row>
    <row r="1079">
      <c r="A1079" s="179"/>
      <c r="B1079" s="179"/>
      <c r="C1079" s="179"/>
      <c r="D1079" s="179"/>
      <c r="E1079" s="127"/>
      <c r="F1079" s="127"/>
      <c r="G1079" s="127"/>
      <c r="H1079" s="127"/>
      <c r="I1079" s="127"/>
    </row>
    <row r="1080">
      <c r="A1080" s="179"/>
      <c r="B1080" s="179"/>
      <c r="C1080" s="179"/>
      <c r="D1080" s="179"/>
      <c r="E1080" s="127"/>
      <c r="F1080" s="127"/>
      <c r="G1080" s="127"/>
      <c r="H1080" s="127"/>
      <c r="I1080" s="127"/>
    </row>
    <row r="1081">
      <c r="A1081" s="179"/>
      <c r="B1081" s="179"/>
      <c r="C1081" s="179"/>
      <c r="D1081" s="179"/>
      <c r="E1081" s="127"/>
      <c r="F1081" s="127"/>
      <c r="G1081" s="127"/>
      <c r="H1081" s="127"/>
      <c r="I1081" s="127"/>
    </row>
    <row r="1082">
      <c r="A1082" s="179"/>
      <c r="B1082" s="179"/>
      <c r="C1082" s="179"/>
      <c r="D1082" s="179"/>
      <c r="E1082" s="127"/>
      <c r="F1082" s="127"/>
      <c r="G1082" s="127"/>
      <c r="H1082" s="127"/>
      <c r="I1082" s="127"/>
    </row>
    <row r="1083">
      <c r="A1083" s="179"/>
      <c r="B1083" s="179"/>
      <c r="C1083" s="179"/>
      <c r="D1083" s="179"/>
      <c r="E1083" s="127"/>
      <c r="F1083" s="127"/>
      <c r="G1083" s="127"/>
      <c r="H1083" s="127"/>
      <c r="I1083" s="127"/>
    </row>
    <row r="1084">
      <c r="A1084" s="179"/>
      <c r="B1084" s="179"/>
      <c r="C1084" s="179"/>
      <c r="D1084" s="179"/>
      <c r="E1084" s="127"/>
      <c r="F1084" s="127"/>
      <c r="G1084" s="127"/>
      <c r="H1084" s="127"/>
      <c r="I1084" s="127"/>
    </row>
    <row r="1085">
      <c r="A1085" s="179"/>
      <c r="B1085" s="179"/>
      <c r="C1085" s="179"/>
      <c r="D1085" s="179"/>
      <c r="E1085" s="127"/>
      <c r="F1085" s="127"/>
      <c r="G1085" s="127"/>
      <c r="H1085" s="127"/>
      <c r="I1085" s="127"/>
    </row>
    <row r="1086">
      <c r="A1086" s="179"/>
      <c r="B1086" s="179"/>
      <c r="C1086" s="179"/>
      <c r="D1086" s="179"/>
      <c r="E1086" s="127"/>
      <c r="F1086" s="127"/>
      <c r="G1086" s="127"/>
      <c r="H1086" s="127"/>
      <c r="I1086" s="127"/>
    </row>
    <row r="1087">
      <c r="A1087" s="179"/>
      <c r="B1087" s="179"/>
      <c r="C1087" s="179"/>
      <c r="D1087" s="179"/>
      <c r="E1087" s="127"/>
      <c r="F1087" s="127"/>
      <c r="G1087" s="127"/>
      <c r="H1087" s="127"/>
      <c r="I1087" s="127"/>
    </row>
    <row r="1088">
      <c r="A1088" s="179"/>
      <c r="B1088" s="179"/>
      <c r="C1088" s="179"/>
      <c r="D1088" s="179"/>
      <c r="E1088" s="127"/>
      <c r="F1088" s="127"/>
      <c r="G1088" s="127"/>
      <c r="H1088" s="127"/>
      <c r="I1088" s="127"/>
    </row>
    <row r="1089">
      <c r="A1089" s="179"/>
      <c r="B1089" s="179"/>
      <c r="C1089" s="179"/>
      <c r="D1089" s="179"/>
      <c r="E1089" s="127"/>
      <c r="F1089" s="127"/>
      <c r="G1089" s="127"/>
      <c r="H1089" s="127"/>
      <c r="I1089" s="127"/>
    </row>
    <row r="1090">
      <c r="A1090" s="179"/>
      <c r="B1090" s="179"/>
      <c r="C1090" s="179"/>
      <c r="D1090" s="179"/>
      <c r="E1090" s="127"/>
      <c r="F1090" s="127"/>
      <c r="G1090" s="127"/>
      <c r="H1090" s="127"/>
      <c r="I1090" s="127"/>
    </row>
    <row r="1091">
      <c r="A1091" s="179"/>
      <c r="B1091" s="179"/>
      <c r="C1091" s="179"/>
      <c r="D1091" s="179"/>
      <c r="E1091" s="127"/>
      <c r="F1091" s="127"/>
      <c r="G1091" s="127"/>
      <c r="H1091" s="127"/>
      <c r="I1091" s="127"/>
    </row>
    <row r="1092">
      <c r="A1092" s="179"/>
      <c r="B1092" s="179"/>
      <c r="C1092" s="179"/>
      <c r="D1092" s="179"/>
      <c r="E1092" s="127"/>
      <c r="F1092" s="127"/>
      <c r="G1092" s="127"/>
      <c r="H1092" s="127"/>
      <c r="I1092" s="127"/>
    </row>
    <row r="1093">
      <c r="A1093" s="179"/>
      <c r="B1093" s="179"/>
      <c r="C1093" s="179"/>
      <c r="D1093" s="179"/>
      <c r="E1093" s="127"/>
      <c r="F1093" s="127"/>
      <c r="G1093" s="127"/>
      <c r="H1093" s="127"/>
      <c r="I1093" s="127"/>
    </row>
    <row r="1094">
      <c r="A1094" s="179"/>
      <c r="B1094" s="179"/>
      <c r="C1094" s="179"/>
      <c r="D1094" s="179"/>
      <c r="E1094" s="127"/>
      <c r="F1094" s="127"/>
      <c r="G1094" s="127"/>
      <c r="H1094" s="127"/>
      <c r="I1094" s="127"/>
    </row>
    <row r="1095">
      <c r="A1095" s="179"/>
      <c r="B1095" s="179"/>
      <c r="C1095" s="179"/>
      <c r="D1095" s="179"/>
      <c r="E1095" s="127"/>
      <c r="F1095" s="127"/>
      <c r="G1095" s="127"/>
      <c r="H1095" s="127"/>
      <c r="I1095" s="127"/>
    </row>
    <row r="1096">
      <c r="A1096" s="179"/>
      <c r="B1096" s="179"/>
      <c r="C1096" s="179"/>
      <c r="D1096" s="179"/>
      <c r="E1096" s="127"/>
      <c r="F1096" s="127"/>
      <c r="G1096" s="127"/>
      <c r="H1096" s="127"/>
      <c r="I1096" s="127"/>
    </row>
    <row r="1097">
      <c r="A1097" s="179"/>
      <c r="B1097" s="179"/>
      <c r="C1097" s="179"/>
      <c r="D1097" s="179"/>
      <c r="E1097" s="127"/>
      <c r="F1097" s="127"/>
      <c r="G1097" s="127"/>
      <c r="H1097" s="127"/>
      <c r="I1097" s="127"/>
    </row>
    <row r="1098">
      <c r="A1098" s="179"/>
      <c r="B1098" s="179"/>
      <c r="C1098" s="179"/>
      <c r="D1098" s="179"/>
      <c r="E1098" s="127"/>
      <c r="F1098" s="127"/>
      <c r="G1098" s="127"/>
      <c r="H1098" s="127"/>
      <c r="I1098" s="127"/>
    </row>
    <row r="1099">
      <c r="A1099" s="179"/>
      <c r="B1099" s="179"/>
      <c r="C1099" s="179"/>
      <c r="D1099" s="179"/>
      <c r="E1099" s="127"/>
      <c r="F1099" s="127"/>
      <c r="G1099" s="127"/>
      <c r="H1099" s="127"/>
      <c r="I1099" s="127"/>
    </row>
    <row r="1100">
      <c r="A1100" s="179"/>
      <c r="B1100" s="179"/>
      <c r="C1100" s="179"/>
      <c r="D1100" s="179"/>
      <c r="E1100" s="127"/>
      <c r="F1100" s="127"/>
      <c r="G1100" s="127"/>
      <c r="H1100" s="127"/>
      <c r="I1100" s="127"/>
    </row>
    <row r="1101">
      <c r="A1101" s="179"/>
      <c r="B1101" s="179"/>
      <c r="C1101" s="179"/>
      <c r="D1101" s="179"/>
      <c r="E1101" s="127"/>
      <c r="F1101" s="127"/>
      <c r="G1101" s="127"/>
      <c r="H1101" s="127"/>
      <c r="I1101" s="127"/>
    </row>
    <row r="1102">
      <c r="A1102" s="179"/>
      <c r="B1102" s="179"/>
      <c r="C1102" s="179"/>
      <c r="D1102" s="179"/>
      <c r="E1102" s="127"/>
      <c r="F1102" s="127"/>
      <c r="G1102" s="127"/>
      <c r="H1102" s="127"/>
      <c r="I1102" s="127"/>
    </row>
    <row r="1103">
      <c r="A1103" s="179"/>
      <c r="B1103" s="179"/>
      <c r="C1103" s="179"/>
      <c r="D1103" s="179"/>
      <c r="E1103" s="127"/>
      <c r="F1103" s="127"/>
      <c r="G1103" s="127"/>
      <c r="H1103" s="127"/>
      <c r="I1103" s="127"/>
    </row>
    <row r="1104">
      <c r="A1104" s="179"/>
      <c r="B1104" s="179"/>
      <c r="C1104" s="179"/>
      <c r="D1104" s="179"/>
      <c r="E1104" s="127"/>
      <c r="F1104" s="127"/>
      <c r="G1104" s="127"/>
      <c r="H1104" s="127"/>
      <c r="I1104" s="127"/>
    </row>
    <row r="1105">
      <c r="A1105" s="179"/>
      <c r="B1105" s="179"/>
      <c r="C1105" s="179"/>
      <c r="D1105" s="179"/>
      <c r="E1105" s="127"/>
      <c r="F1105" s="127"/>
      <c r="G1105" s="127"/>
      <c r="H1105" s="127"/>
      <c r="I1105" s="127"/>
    </row>
    <row r="1106">
      <c r="A1106" s="179"/>
      <c r="B1106" s="179"/>
      <c r="C1106" s="179"/>
      <c r="D1106" s="179"/>
      <c r="E1106" s="127"/>
      <c r="F1106" s="127"/>
      <c r="G1106" s="127"/>
      <c r="H1106" s="127"/>
      <c r="I1106" s="127"/>
    </row>
    <row r="1107">
      <c r="A1107" s="179"/>
      <c r="B1107" s="179"/>
      <c r="C1107" s="179"/>
      <c r="D1107" s="179"/>
      <c r="E1107" s="127"/>
      <c r="F1107" s="127"/>
      <c r="G1107" s="127"/>
      <c r="H1107" s="127"/>
      <c r="I1107" s="127"/>
    </row>
    <row r="1108">
      <c r="A1108" s="179"/>
      <c r="B1108" s="179"/>
      <c r="C1108" s="179"/>
      <c r="D1108" s="179"/>
      <c r="E1108" s="127"/>
      <c r="F1108" s="127"/>
      <c r="G1108" s="127"/>
      <c r="H1108" s="127"/>
      <c r="I1108" s="127"/>
    </row>
    <row r="1109">
      <c r="A1109" s="179"/>
      <c r="B1109" s="179"/>
      <c r="C1109" s="179"/>
      <c r="D1109" s="179"/>
      <c r="E1109" s="127"/>
      <c r="F1109" s="127"/>
      <c r="G1109" s="127"/>
      <c r="H1109" s="127"/>
      <c r="I1109" s="127"/>
    </row>
    <row r="1110">
      <c r="A1110" s="179"/>
      <c r="B1110" s="179"/>
      <c r="C1110" s="179"/>
      <c r="D1110" s="179"/>
      <c r="E1110" s="127"/>
      <c r="F1110" s="127"/>
      <c r="G1110" s="127"/>
      <c r="H1110" s="127"/>
      <c r="I1110" s="127"/>
    </row>
    <row r="1111">
      <c r="A1111" s="179"/>
      <c r="B1111" s="179"/>
      <c r="C1111" s="179"/>
      <c r="D1111" s="179"/>
      <c r="E1111" s="127"/>
      <c r="F1111" s="127"/>
      <c r="G1111" s="127"/>
      <c r="H1111" s="127"/>
      <c r="I1111" s="127"/>
    </row>
    <row r="1112">
      <c r="A1112" s="179"/>
      <c r="B1112" s="179"/>
      <c r="C1112" s="179"/>
      <c r="D1112" s="179"/>
      <c r="E1112" s="127"/>
      <c r="F1112" s="127"/>
      <c r="G1112" s="127"/>
      <c r="H1112" s="127"/>
      <c r="I1112" s="127"/>
    </row>
    <row r="1113">
      <c r="A1113" s="179"/>
      <c r="B1113" s="179"/>
      <c r="C1113" s="179"/>
      <c r="D1113" s="179"/>
      <c r="E1113" s="127"/>
      <c r="F1113" s="127"/>
      <c r="G1113" s="127"/>
      <c r="H1113" s="127"/>
      <c r="I1113" s="127"/>
    </row>
    <row r="1114">
      <c r="A1114" s="179"/>
      <c r="B1114" s="179"/>
      <c r="C1114" s="179"/>
      <c r="D1114" s="179"/>
      <c r="E1114" s="127"/>
      <c r="F1114" s="127"/>
      <c r="G1114" s="127"/>
      <c r="H1114" s="127"/>
      <c r="I1114" s="127"/>
    </row>
    <row r="1115">
      <c r="A1115" s="179"/>
      <c r="B1115" s="179"/>
      <c r="C1115" s="179"/>
      <c r="D1115" s="179"/>
      <c r="E1115" s="127"/>
      <c r="F1115" s="127"/>
      <c r="G1115" s="127"/>
      <c r="H1115" s="127"/>
      <c r="I1115" s="127"/>
    </row>
    <row r="1116">
      <c r="A1116" s="179"/>
      <c r="B1116" s="179"/>
      <c r="C1116" s="179"/>
      <c r="D1116" s="179"/>
      <c r="E1116" s="127"/>
      <c r="F1116" s="127"/>
      <c r="G1116" s="127"/>
      <c r="H1116" s="127"/>
      <c r="I1116" s="127"/>
    </row>
    <row r="1117">
      <c r="A1117" s="179"/>
      <c r="B1117" s="179"/>
      <c r="C1117" s="179"/>
      <c r="D1117" s="179"/>
      <c r="E1117" s="127"/>
      <c r="F1117" s="127"/>
      <c r="G1117" s="127"/>
      <c r="H1117" s="127"/>
      <c r="I1117" s="127"/>
    </row>
    <row r="1118">
      <c r="A1118" s="179"/>
      <c r="B1118" s="179"/>
      <c r="C1118" s="179"/>
      <c r="D1118" s="179"/>
      <c r="E1118" s="127"/>
      <c r="F1118" s="127"/>
      <c r="G1118" s="127"/>
      <c r="H1118" s="127"/>
      <c r="I1118" s="127"/>
    </row>
    <row r="1119">
      <c r="A1119" s="179"/>
      <c r="B1119" s="179"/>
      <c r="C1119" s="179"/>
      <c r="D1119" s="179"/>
      <c r="E1119" s="127"/>
      <c r="F1119" s="127"/>
      <c r="G1119" s="127"/>
      <c r="H1119" s="127"/>
      <c r="I1119" s="127"/>
    </row>
    <row r="1120">
      <c r="A1120" s="179"/>
      <c r="B1120" s="179"/>
      <c r="C1120" s="179"/>
      <c r="D1120" s="179"/>
      <c r="E1120" s="127"/>
      <c r="F1120" s="127"/>
      <c r="G1120" s="127"/>
      <c r="H1120" s="127"/>
      <c r="I1120" s="127"/>
    </row>
    <row r="1121">
      <c r="A1121" s="179"/>
      <c r="B1121" s="179"/>
      <c r="C1121" s="179"/>
      <c r="D1121" s="179"/>
      <c r="E1121" s="127"/>
      <c r="F1121" s="127"/>
      <c r="G1121" s="127"/>
      <c r="H1121" s="127"/>
      <c r="I1121" s="127"/>
    </row>
    <row r="1122">
      <c r="A1122" s="179"/>
      <c r="B1122" s="179"/>
      <c r="C1122" s="179"/>
      <c r="D1122" s="179"/>
      <c r="E1122" s="127"/>
      <c r="F1122" s="127"/>
      <c r="G1122" s="127"/>
      <c r="H1122" s="127"/>
      <c r="I1122" s="127"/>
    </row>
    <row r="1123">
      <c r="A1123" s="179"/>
      <c r="B1123" s="179"/>
      <c r="C1123" s="179"/>
      <c r="D1123" s="179"/>
      <c r="E1123" s="127"/>
      <c r="F1123" s="127"/>
      <c r="G1123" s="127"/>
      <c r="H1123" s="127"/>
      <c r="I1123" s="127"/>
    </row>
    <row r="1124">
      <c r="A1124" s="179"/>
      <c r="B1124" s="179"/>
      <c r="C1124" s="179"/>
      <c r="D1124" s="179"/>
      <c r="E1124" s="127"/>
      <c r="F1124" s="127"/>
      <c r="G1124" s="127"/>
      <c r="H1124" s="127"/>
      <c r="I1124" s="127"/>
    </row>
    <row r="1125">
      <c r="A1125" s="179"/>
      <c r="B1125" s="179"/>
      <c r="C1125" s="179"/>
      <c r="D1125" s="179"/>
      <c r="E1125" s="127"/>
      <c r="F1125" s="127"/>
      <c r="G1125" s="127"/>
      <c r="H1125" s="127"/>
      <c r="I1125" s="127"/>
    </row>
    <row r="1126">
      <c r="A1126" s="179"/>
      <c r="B1126" s="179"/>
      <c r="C1126" s="179"/>
      <c r="D1126" s="179"/>
      <c r="E1126" s="127"/>
      <c r="F1126" s="127"/>
      <c r="G1126" s="127"/>
      <c r="H1126" s="127"/>
      <c r="I1126" s="127"/>
    </row>
    <row r="1127">
      <c r="A1127" s="179"/>
      <c r="B1127" s="179"/>
      <c r="C1127" s="179"/>
      <c r="D1127" s="179"/>
      <c r="E1127" s="127"/>
      <c r="F1127" s="127"/>
      <c r="G1127" s="127"/>
      <c r="H1127" s="127"/>
      <c r="I1127" s="127"/>
    </row>
    <row r="1128">
      <c r="A1128" s="179"/>
      <c r="B1128" s="179"/>
      <c r="C1128" s="179"/>
      <c r="D1128" s="179"/>
      <c r="E1128" s="127"/>
      <c r="F1128" s="127"/>
      <c r="G1128" s="127"/>
      <c r="H1128" s="127"/>
      <c r="I1128" s="127"/>
    </row>
    <row r="1129">
      <c r="A1129" s="179"/>
      <c r="B1129" s="179"/>
      <c r="C1129" s="179"/>
      <c r="D1129" s="179"/>
      <c r="E1129" s="127"/>
      <c r="F1129" s="127"/>
      <c r="G1129" s="127"/>
      <c r="H1129" s="127"/>
      <c r="I1129" s="127"/>
    </row>
    <row r="1130">
      <c r="A1130" s="179"/>
      <c r="B1130" s="179"/>
      <c r="C1130" s="179"/>
      <c r="D1130" s="179"/>
      <c r="E1130" s="127"/>
      <c r="F1130" s="127"/>
      <c r="G1130" s="127"/>
      <c r="H1130" s="127"/>
      <c r="I1130" s="127"/>
    </row>
    <row r="1131">
      <c r="A1131" s="179"/>
      <c r="B1131" s="179"/>
      <c r="C1131" s="179"/>
      <c r="D1131" s="179"/>
      <c r="E1131" s="127"/>
      <c r="F1131" s="127"/>
      <c r="G1131" s="127"/>
      <c r="H1131" s="127"/>
      <c r="I1131" s="127"/>
    </row>
    <row r="1132">
      <c r="A1132" s="179"/>
      <c r="B1132" s="179"/>
      <c r="C1132" s="179"/>
      <c r="D1132" s="179"/>
      <c r="E1132" s="127"/>
      <c r="F1132" s="127"/>
      <c r="G1132" s="127"/>
      <c r="H1132" s="127"/>
      <c r="I1132" s="127"/>
    </row>
    <row r="1133">
      <c r="A1133" s="179"/>
      <c r="B1133" s="179"/>
      <c r="C1133" s="179"/>
      <c r="D1133" s="179"/>
      <c r="E1133" s="127"/>
      <c r="F1133" s="127"/>
      <c r="G1133" s="127"/>
      <c r="H1133" s="127"/>
      <c r="I1133" s="127"/>
    </row>
    <row r="1134">
      <c r="A1134" s="179"/>
      <c r="B1134" s="179"/>
      <c r="C1134" s="179"/>
      <c r="D1134" s="179"/>
      <c r="E1134" s="127"/>
      <c r="F1134" s="127"/>
      <c r="G1134" s="127"/>
      <c r="H1134" s="127"/>
      <c r="I1134" s="127"/>
    </row>
    <row r="1135">
      <c r="A1135" s="179"/>
      <c r="B1135" s="179"/>
      <c r="C1135" s="179"/>
      <c r="D1135" s="179"/>
      <c r="E1135" s="127"/>
      <c r="F1135" s="127"/>
      <c r="G1135" s="127"/>
      <c r="H1135" s="127"/>
      <c r="I1135" s="127"/>
    </row>
    <row r="1136">
      <c r="A1136" s="179"/>
      <c r="B1136" s="179"/>
      <c r="C1136" s="179"/>
      <c r="D1136" s="179"/>
      <c r="E1136" s="127"/>
      <c r="F1136" s="127"/>
      <c r="G1136" s="127"/>
      <c r="H1136" s="127"/>
      <c r="I1136" s="127"/>
    </row>
    <row r="1137">
      <c r="A1137" s="179"/>
      <c r="B1137" s="179"/>
      <c r="C1137" s="179"/>
      <c r="D1137" s="179"/>
      <c r="E1137" s="127"/>
      <c r="F1137" s="127"/>
      <c r="G1137" s="127"/>
      <c r="H1137" s="127"/>
      <c r="I1137" s="127"/>
    </row>
    <row r="1138">
      <c r="A1138" s="179"/>
      <c r="B1138" s="179"/>
      <c r="C1138" s="179"/>
      <c r="D1138" s="179"/>
      <c r="E1138" s="127"/>
      <c r="F1138" s="127"/>
      <c r="G1138" s="127"/>
      <c r="H1138" s="127"/>
      <c r="I1138" s="127"/>
    </row>
    <row r="1139">
      <c r="A1139" s="179"/>
      <c r="B1139" s="179"/>
      <c r="C1139" s="179"/>
      <c r="D1139" s="179"/>
      <c r="E1139" s="127"/>
      <c r="F1139" s="127"/>
      <c r="G1139" s="127"/>
      <c r="H1139" s="127"/>
      <c r="I1139" s="127"/>
    </row>
    <row r="1140">
      <c r="A1140" s="179"/>
      <c r="B1140" s="179"/>
      <c r="C1140" s="179"/>
      <c r="D1140" s="179"/>
      <c r="E1140" s="127"/>
      <c r="F1140" s="127"/>
      <c r="G1140" s="127"/>
      <c r="H1140" s="127"/>
      <c r="I1140" s="127"/>
    </row>
    <row r="1141">
      <c r="A1141" s="179"/>
      <c r="B1141" s="179"/>
      <c r="C1141" s="179"/>
      <c r="D1141" s="179"/>
      <c r="E1141" s="127"/>
      <c r="F1141" s="127"/>
      <c r="G1141" s="127"/>
      <c r="H1141" s="127"/>
      <c r="I1141" s="127"/>
    </row>
    <row r="1142">
      <c r="A1142" s="179"/>
      <c r="B1142" s="179"/>
      <c r="C1142" s="179"/>
      <c r="D1142" s="179"/>
      <c r="E1142" s="127"/>
      <c r="F1142" s="127"/>
      <c r="G1142" s="127"/>
      <c r="H1142" s="127"/>
      <c r="I1142" s="127"/>
    </row>
    <row r="1143">
      <c r="A1143" s="179"/>
      <c r="B1143" s="179"/>
      <c r="C1143" s="179"/>
      <c r="D1143" s="179"/>
      <c r="E1143" s="127"/>
      <c r="F1143" s="127"/>
      <c r="G1143" s="127"/>
      <c r="H1143" s="127"/>
      <c r="I1143" s="127"/>
    </row>
    <row r="1144">
      <c r="A1144" s="179"/>
      <c r="B1144" s="179"/>
      <c r="C1144" s="179"/>
      <c r="D1144" s="179"/>
      <c r="E1144" s="127"/>
      <c r="F1144" s="127"/>
      <c r="G1144" s="127"/>
      <c r="H1144" s="127"/>
      <c r="I1144" s="127"/>
    </row>
    <row r="1145">
      <c r="A1145" s="179"/>
      <c r="B1145" s="179"/>
      <c r="C1145" s="179"/>
      <c r="D1145" s="179"/>
      <c r="E1145" s="127"/>
      <c r="F1145" s="127"/>
      <c r="G1145" s="127"/>
      <c r="H1145" s="127"/>
      <c r="I1145" s="127"/>
    </row>
    <row r="1146">
      <c r="A1146" s="179"/>
      <c r="B1146" s="179"/>
      <c r="C1146" s="179"/>
      <c r="D1146" s="179"/>
      <c r="E1146" s="127"/>
      <c r="F1146" s="127"/>
      <c r="G1146" s="127"/>
      <c r="H1146" s="127"/>
      <c r="I1146" s="127"/>
    </row>
    <row r="1147">
      <c r="A1147" s="179"/>
      <c r="B1147" s="179"/>
      <c r="C1147" s="179"/>
      <c r="D1147" s="179"/>
      <c r="E1147" s="127"/>
      <c r="F1147" s="127"/>
      <c r="G1147" s="127"/>
      <c r="H1147" s="127"/>
      <c r="I1147" s="127"/>
    </row>
    <row r="1148">
      <c r="A1148" s="179"/>
      <c r="B1148" s="179"/>
      <c r="C1148" s="179"/>
      <c r="D1148" s="179"/>
      <c r="E1148" s="127"/>
      <c r="F1148" s="127"/>
      <c r="G1148" s="127"/>
      <c r="H1148" s="127"/>
      <c r="I1148" s="127"/>
    </row>
    <row r="1149">
      <c r="A1149" s="179"/>
      <c r="B1149" s="179"/>
      <c r="C1149" s="179"/>
      <c r="D1149" s="179"/>
      <c r="E1149" s="127"/>
      <c r="F1149" s="127"/>
      <c r="G1149" s="127"/>
      <c r="H1149" s="127"/>
      <c r="I1149" s="127"/>
    </row>
    <row r="1150">
      <c r="A1150" s="179"/>
      <c r="B1150" s="179"/>
      <c r="C1150" s="179"/>
      <c r="D1150" s="179"/>
      <c r="E1150" s="127"/>
      <c r="F1150" s="127"/>
      <c r="G1150" s="127"/>
      <c r="H1150" s="127"/>
      <c r="I1150" s="127"/>
    </row>
    <row r="1151">
      <c r="A1151" s="179"/>
      <c r="B1151" s="179"/>
      <c r="C1151" s="179"/>
      <c r="D1151" s="179"/>
      <c r="E1151" s="127"/>
      <c r="F1151" s="127"/>
      <c r="G1151" s="127"/>
      <c r="H1151" s="127"/>
      <c r="I1151" s="127"/>
    </row>
    <row r="1152">
      <c r="A1152" s="179"/>
      <c r="B1152" s="179"/>
      <c r="C1152" s="179"/>
      <c r="D1152" s="179"/>
      <c r="E1152" s="127"/>
      <c r="F1152" s="127"/>
      <c r="G1152" s="127"/>
      <c r="H1152" s="127"/>
      <c r="I1152" s="127"/>
    </row>
    <row r="1153">
      <c r="A1153" s="179"/>
      <c r="B1153" s="179"/>
      <c r="C1153" s="179"/>
      <c r="D1153" s="179"/>
      <c r="E1153" s="127"/>
      <c r="F1153" s="127"/>
      <c r="G1153" s="127"/>
      <c r="H1153" s="127"/>
      <c r="I1153" s="127"/>
    </row>
    <row r="1154">
      <c r="A1154" s="179"/>
      <c r="B1154" s="179"/>
      <c r="C1154" s="179"/>
      <c r="D1154" s="179"/>
      <c r="E1154" s="127"/>
      <c r="F1154" s="127"/>
      <c r="G1154" s="127"/>
      <c r="H1154" s="127"/>
      <c r="I1154" s="127"/>
    </row>
    <row r="1155">
      <c r="A1155" s="179"/>
      <c r="B1155" s="179"/>
      <c r="C1155" s="179"/>
      <c r="D1155" s="179"/>
      <c r="E1155" s="127"/>
      <c r="F1155" s="127"/>
      <c r="G1155" s="127"/>
      <c r="H1155" s="127"/>
      <c r="I1155" s="127"/>
    </row>
    <row r="1156">
      <c r="A1156" s="179"/>
      <c r="B1156" s="179"/>
      <c r="C1156" s="179"/>
      <c r="D1156" s="179"/>
      <c r="E1156" s="127"/>
      <c r="F1156" s="127"/>
      <c r="G1156" s="127"/>
      <c r="H1156" s="127"/>
      <c r="I1156" s="127"/>
    </row>
    <row r="1157">
      <c r="A1157" s="179"/>
      <c r="B1157" s="179"/>
      <c r="C1157" s="179"/>
      <c r="D1157" s="179"/>
      <c r="E1157" s="127"/>
      <c r="F1157" s="127"/>
      <c r="G1157" s="127"/>
      <c r="H1157" s="127"/>
      <c r="I1157" s="127"/>
    </row>
    <row r="1158">
      <c r="A1158" s="179"/>
      <c r="B1158" s="179"/>
      <c r="C1158" s="179"/>
      <c r="D1158" s="179"/>
      <c r="E1158" s="127"/>
      <c r="F1158" s="127"/>
      <c r="G1158" s="127"/>
      <c r="H1158" s="127"/>
      <c r="I1158" s="127"/>
    </row>
    <row r="1159">
      <c r="A1159" s="179"/>
      <c r="B1159" s="179"/>
      <c r="C1159" s="179"/>
      <c r="D1159" s="179"/>
      <c r="E1159" s="127"/>
      <c r="F1159" s="127"/>
      <c r="G1159" s="127"/>
      <c r="H1159" s="127"/>
      <c r="I1159" s="127"/>
    </row>
    <row r="1160">
      <c r="A1160" s="179"/>
      <c r="B1160" s="179"/>
      <c r="C1160" s="179"/>
      <c r="D1160" s="179"/>
      <c r="E1160" s="127"/>
      <c r="F1160" s="127"/>
      <c r="G1160" s="127"/>
      <c r="H1160" s="127"/>
      <c r="I1160" s="127"/>
    </row>
    <row r="1161">
      <c r="A1161" s="179"/>
      <c r="B1161" s="179"/>
      <c r="C1161" s="179"/>
      <c r="D1161" s="179"/>
      <c r="E1161" s="127"/>
      <c r="F1161" s="127"/>
      <c r="G1161" s="127"/>
      <c r="H1161" s="127"/>
      <c r="I1161" s="127"/>
    </row>
    <row r="1162">
      <c r="A1162" s="179"/>
      <c r="B1162" s="179"/>
      <c r="C1162" s="179"/>
      <c r="D1162" s="179"/>
      <c r="E1162" s="127"/>
      <c r="F1162" s="127"/>
      <c r="G1162" s="127"/>
      <c r="H1162" s="127"/>
      <c r="I1162" s="127"/>
    </row>
    <row r="1163">
      <c r="A1163" s="179"/>
      <c r="B1163" s="179"/>
      <c r="C1163" s="179"/>
      <c r="D1163" s="179"/>
      <c r="E1163" s="127"/>
      <c r="F1163" s="127"/>
      <c r="G1163" s="127"/>
      <c r="H1163" s="127"/>
      <c r="I1163" s="127"/>
    </row>
    <row r="1164">
      <c r="A1164" s="179"/>
      <c r="B1164" s="179"/>
      <c r="C1164" s="179"/>
      <c r="D1164" s="179"/>
      <c r="E1164" s="127"/>
      <c r="F1164" s="127"/>
      <c r="G1164" s="127"/>
      <c r="H1164" s="127"/>
      <c r="I1164" s="127"/>
    </row>
    <row r="1165">
      <c r="A1165" s="179"/>
      <c r="B1165" s="179"/>
      <c r="C1165" s="179"/>
      <c r="D1165" s="179"/>
      <c r="E1165" s="127"/>
      <c r="F1165" s="127"/>
      <c r="G1165" s="127"/>
      <c r="H1165" s="127"/>
      <c r="I1165" s="127"/>
    </row>
    <row r="1166">
      <c r="A1166" s="179"/>
      <c r="B1166" s="179"/>
      <c r="C1166" s="179"/>
      <c r="D1166" s="179"/>
      <c r="E1166" s="127"/>
      <c r="F1166" s="127"/>
      <c r="G1166" s="127"/>
      <c r="H1166" s="127"/>
      <c r="I1166" s="127"/>
    </row>
    <row r="1167">
      <c r="A1167" s="179"/>
      <c r="B1167" s="127"/>
      <c r="C1167" s="179"/>
      <c r="D1167" s="179"/>
      <c r="E1167" s="127"/>
      <c r="F1167" s="127"/>
      <c r="G1167" s="127"/>
      <c r="H1167" s="127"/>
      <c r="I1167" s="127"/>
    </row>
    <row r="1168">
      <c r="A1168" s="179"/>
      <c r="B1168" s="179"/>
      <c r="C1168" s="179"/>
      <c r="D1168" s="179"/>
      <c r="E1168" s="127"/>
      <c r="F1168" s="127"/>
      <c r="G1168" s="127"/>
      <c r="H1168" s="127"/>
      <c r="I1168" s="127"/>
    </row>
    <row r="1169">
      <c r="A1169" s="179"/>
      <c r="B1169" s="179"/>
      <c r="C1169" s="179"/>
      <c r="D1169" s="179"/>
      <c r="E1169" s="127"/>
      <c r="F1169" s="127"/>
      <c r="G1169" s="127"/>
      <c r="H1169" s="127"/>
      <c r="I1169" s="127"/>
    </row>
    <row r="1170">
      <c r="A1170" s="179"/>
      <c r="B1170" s="179"/>
      <c r="C1170" s="179"/>
      <c r="D1170" s="179"/>
      <c r="E1170" s="127"/>
      <c r="F1170" s="127"/>
      <c r="G1170" s="127"/>
      <c r="H1170" s="127"/>
      <c r="I1170" s="127"/>
    </row>
    <row r="1171">
      <c r="A1171" s="179"/>
      <c r="B1171" s="179"/>
      <c r="C1171" s="179"/>
      <c r="D1171" s="179"/>
      <c r="E1171" s="127"/>
      <c r="F1171" s="127"/>
      <c r="G1171" s="127"/>
      <c r="H1171" s="127"/>
      <c r="I1171" s="127"/>
    </row>
    <row r="1172">
      <c r="A1172" s="179"/>
      <c r="B1172" s="179"/>
      <c r="C1172" s="179"/>
      <c r="D1172" s="179"/>
      <c r="E1172" s="127"/>
      <c r="F1172" s="127"/>
      <c r="G1172" s="127"/>
      <c r="H1172" s="127"/>
      <c r="I1172" s="127"/>
    </row>
    <row r="1173">
      <c r="A1173" s="179"/>
      <c r="B1173" s="179"/>
      <c r="C1173" s="179"/>
      <c r="D1173" s="179"/>
      <c r="E1173" s="127"/>
      <c r="F1173" s="127"/>
      <c r="G1173" s="127"/>
      <c r="H1173" s="127"/>
      <c r="I1173" s="127"/>
    </row>
    <row r="1174">
      <c r="A1174" s="179"/>
      <c r="B1174" s="179"/>
      <c r="C1174" s="179"/>
      <c r="D1174" s="179"/>
      <c r="E1174" s="127"/>
      <c r="F1174" s="127"/>
      <c r="G1174" s="127"/>
      <c r="H1174" s="127"/>
      <c r="I1174" s="127"/>
    </row>
    <row r="1175">
      <c r="A1175" s="179"/>
      <c r="B1175" s="179"/>
      <c r="C1175" s="179"/>
      <c r="D1175" s="179"/>
      <c r="E1175" s="127"/>
      <c r="F1175" s="127"/>
      <c r="G1175" s="127"/>
      <c r="H1175" s="127"/>
      <c r="I1175" s="127"/>
    </row>
    <row r="1176">
      <c r="A1176" s="179"/>
      <c r="B1176" s="179"/>
      <c r="C1176" s="179"/>
      <c r="D1176" s="179"/>
      <c r="E1176" s="127"/>
      <c r="F1176" s="127"/>
      <c r="G1176" s="127"/>
      <c r="H1176" s="127"/>
      <c r="I1176" s="127"/>
    </row>
    <row r="1177">
      <c r="A1177" s="179"/>
      <c r="B1177" s="127"/>
      <c r="C1177" s="179"/>
      <c r="D1177" s="179"/>
      <c r="E1177" s="127"/>
      <c r="F1177" s="127"/>
      <c r="G1177" s="127"/>
      <c r="H1177" s="127"/>
      <c r="I1177" s="127"/>
    </row>
    <row r="1178">
      <c r="A1178" s="179"/>
      <c r="B1178" s="179"/>
      <c r="C1178" s="179"/>
      <c r="D1178" s="179"/>
      <c r="E1178" s="127"/>
      <c r="F1178" s="127"/>
      <c r="G1178" s="127"/>
      <c r="H1178" s="127"/>
      <c r="I1178" s="127"/>
    </row>
    <row r="1179">
      <c r="A1179" s="179"/>
      <c r="B1179" s="179"/>
      <c r="C1179" s="179"/>
      <c r="D1179" s="179"/>
      <c r="E1179" s="127"/>
      <c r="F1179" s="127"/>
      <c r="G1179" s="127"/>
      <c r="H1179" s="127"/>
      <c r="I1179" s="127"/>
    </row>
    <row r="1180">
      <c r="A1180" s="179"/>
      <c r="B1180" s="179"/>
      <c r="C1180" s="179"/>
      <c r="D1180" s="179"/>
      <c r="E1180" s="127"/>
      <c r="F1180" s="127"/>
      <c r="G1180" s="127"/>
      <c r="H1180" s="127"/>
      <c r="I1180" s="127"/>
    </row>
    <row r="1181">
      <c r="A1181" s="179"/>
      <c r="B1181" s="179"/>
      <c r="C1181" s="179"/>
      <c r="D1181" s="179"/>
      <c r="E1181" s="127"/>
      <c r="F1181" s="127"/>
      <c r="G1181" s="127"/>
      <c r="H1181" s="127"/>
      <c r="I1181" s="127"/>
    </row>
    <row r="1182">
      <c r="A1182" s="179"/>
      <c r="B1182" s="179"/>
      <c r="C1182" s="179"/>
      <c r="D1182" s="179"/>
      <c r="E1182" s="127"/>
      <c r="F1182" s="127"/>
      <c r="G1182" s="127"/>
      <c r="H1182" s="127"/>
      <c r="I1182" s="127"/>
    </row>
    <row r="1183">
      <c r="A1183" s="179"/>
      <c r="B1183" s="179"/>
      <c r="C1183" s="179"/>
      <c r="D1183" s="179"/>
      <c r="E1183" s="127"/>
      <c r="F1183" s="127"/>
      <c r="G1183" s="127"/>
      <c r="H1183" s="127"/>
      <c r="I1183" s="127"/>
    </row>
    <row r="1184">
      <c r="A1184" s="179"/>
      <c r="B1184" s="179"/>
      <c r="C1184" s="179"/>
      <c r="D1184" s="179"/>
      <c r="E1184" s="127"/>
      <c r="F1184" s="127"/>
      <c r="G1184" s="127"/>
      <c r="H1184" s="127"/>
      <c r="I1184" s="127"/>
    </row>
    <row r="1185">
      <c r="A1185" s="179"/>
      <c r="B1185" s="179"/>
      <c r="C1185" s="179"/>
      <c r="D1185" s="179"/>
      <c r="E1185" s="127"/>
      <c r="F1185" s="127"/>
      <c r="G1185" s="127"/>
      <c r="H1185" s="127"/>
      <c r="I1185" s="127"/>
    </row>
    <row r="1186">
      <c r="A1186" s="179"/>
      <c r="B1186" s="179"/>
      <c r="C1186" s="179"/>
      <c r="D1186" s="179"/>
      <c r="E1186" s="127"/>
      <c r="F1186" s="127"/>
      <c r="G1186" s="127"/>
      <c r="H1186" s="127"/>
      <c r="I1186" s="127"/>
    </row>
    <row r="1187">
      <c r="A1187" s="179"/>
      <c r="B1187" s="179"/>
      <c r="C1187" s="179"/>
      <c r="D1187" s="179"/>
      <c r="E1187" s="127"/>
      <c r="F1187" s="127"/>
      <c r="G1187" s="127"/>
      <c r="H1187" s="127"/>
      <c r="I1187" s="127"/>
    </row>
    <row r="1188">
      <c r="A1188" s="179"/>
      <c r="B1188" s="179"/>
      <c r="C1188" s="179"/>
      <c r="D1188" s="179"/>
      <c r="E1188" s="127"/>
      <c r="F1188" s="127"/>
      <c r="G1188" s="127"/>
      <c r="H1188" s="127"/>
      <c r="I1188" s="127"/>
    </row>
    <row r="1189">
      <c r="A1189" s="179"/>
      <c r="B1189" s="179"/>
      <c r="C1189" s="179"/>
      <c r="D1189" s="179"/>
      <c r="E1189" s="127"/>
      <c r="F1189" s="127"/>
      <c r="G1189" s="127"/>
      <c r="H1189" s="127"/>
      <c r="I1189" s="127"/>
    </row>
    <row r="1190">
      <c r="A1190" s="179"/>
      <c r="B1190" s="179"/>
      <c r="C1190" s="179"/>
      <c r="D1190" s="179"/>
      <c r="E1190" s="127"/>
      <c r="F1190" s="127"/>
      <c r="G1190" s="127"/>
      <c r="H1190" s="127"/>
      <c r="I1190" s="127"/>
    </row>
    <row r="1191">
      <c r="A1191" s="179"/>
      <c r="B1191" s="179"/>
      <c r="C1191" s="179"/>
      <c r="D1191" s="179"/>
      <c r="E1191" s="127"/>
      <c r="F1191" s="127"/>
      <c r="G1191" s="127"/>
      <c r="H1191" s="127"/>
      <c r="I1191" s="127"/>
    </row>
    <row r="1192">
      <c r="A1192" s="179"/>
      <c r="B1192" s="179"/>
      <c r="C1192" s="179"/>
      <c r="D1192" s="179"/>
      <c r="E1192" s="127"/>
      <c r="F1192" s="127"/>
      <c r="G1192" s="127"/>
      <c r="H1192" s="127"/>
      <c r="I1192" s="127"/>
    </row>
    <row r="1193">
      <c r="A1193" s="179"/>
      <c r="B1193" s="179"/>
      <c r="C1193" s="179"/>
      <c r="D1193" s="179"/>
      <c r="E1193" s="127"/>
      <c r="F1193" s="127"/>
      <c r="G1193" s="127"/>
      <c r="H1193" s="127"/>
      <c r="I1193" s="127"/>
    </row>
    <row r="1194">
      <c r="A1194" s="179"/>
      <c r="B1194" s="179"/>
      <c r="C1194" s="179"/>
      <c r="D1194" s="179"/>
      <c r="E1194" s="127"/>
      <c r="F1194" s="127"/>
      <c r="G1194" s="127"/>
      <c r="H1194" s="127"/>
      <c r="I1194" s="127"/>
    </row>
    <row r="1195">
      <c r="A1195" s="179"/>
      <c r="B1195" s="179"/>
      <c r="C1195" s="179"/>
      <c r="D1195" s="179"/>
      <c r="E1195" s="127"/>
      <c r="F1195" s="127"/>
      <c r="G1195" s="127"/>
      <c r="H1195" s="127"/>
      <c r="I1195" s="127"/>
    </row>
    <row r="1196">
      <c r="A1196" s="179"/>
      <c r="B1196" s="179"/>
      <c r="C1196" s="179"/>
      <c r="D1196" s="179"/>
      <c r="E1196" s="127"/>
      <c r="F1196" s="127"/>
      <c r="G1196" s="127"/>
      <c r="H1196" s="127"/>
      <c r="I1196" s="127"/>
    </row>
    <row r="1197">
      <c r="A1197" s="179"/>
      <c r="B1197" s="179"/>
      <c r="C1197" s="179"/>
      <c r="D1197" s="179"/>
      <c r="E1197" s="127"/>
      <c r="F1197" s="127"/>
      <c r="G1197" s="127"/>
      <c r="H1197" s="127"/>
      <c r="I1197" s="127"/>
    </row>
    <row r="1198">
      <c r="A1198" s="179"/>
      <c r="B1198" s="179"/>
      <c r="C1198" s="179"/>
      <c r="D1198" s="179"/>
      <c r="E1198" s="127"/>
      <c r="F1198" s="127"/>
      <c r="G1198" s="127"/>
      <c r="H1198" s="127"/>
      <c r="I1198" s="127"/>
    </row>
    <row r="1199">
      <c r="A1199" s="179"/>
      <c r="B1199" s="179"/>
      <c r="C1199" s="179"/>
      <c r="D1199" s="179"/>
      <c r="E1199" s="127"/>
      <c r="F1199" s="127"/>
      <c r="G1199" s="127"/>
      <c r="H1199" s="127"/>
      <c r="I1199" s="127"/>
    </row>
    <row r="1200">
      <c r="A1200" s="179"/>
      <c r="B1200" s="179"/>
      <c r="C1200" s="179"/>
      <c r="D1200" s="179"/>
      <c r="E1200" s="127"/>
      <c r="F1200" s="127"/>
      <c r="G1200" s="127"/>
      <c r="H1200" s="127"/>
      <c r="I1200" s="127"/>
    </row>
    <row r="1201">
      <c r="A1201" s="179"/>
      <c r="B1201" s="179"/>
      <c r="C1201" s="179"/>
      <c r="D1201" s="179"/>
      <c r="E1201" s="127"/>
      <c r="F1201" s="127"/>
      <c r="G1201" s="127"/>
      <c r="H1201" s="127"/>
      <c r="I1201" s="127"/>
    </row>
    <row r="1202">
      <c r="A1202" s="179"/>
      <c r="B1202" s="179"/>
      <c r="C1202" s="179"/>
      <c r="D1202" s="179"/>
      <c r="E1202" s="127"/>
      <c r="F1202" s="127"/>
      <c r="G1202" s="127"/>
      <c r="H1202" s="127"/>
      <c r="I1202" s="127"/>
    </row>
    <row r="1203">
      <c r="A1203" s="179"/>
      <c r="B1203" s="179"/>
      <c r="C1203" s="179"/>
      <c r="D1203" s="179"/>
      <c r="E1203" s="127"/>
      <c r="F1203" s="127"/>
      <c r="G1203" s="127"/>
      <c r="H1203" s="127"/>
      <c r="I1203" s="127"/>
    </row>
    <row r="1204">
      <c r="A1204" s="179"/>
      <c r="B1204" s="179"/>
      <c r="C1204" s="179"/>
      <c r="D1204" s="179"/>
      <c r="E1204" s="127"/>
      <c r="F1204" s="127"/>
      <c r="G1204" s="127"/>
      <c r="H1204" s="127"/>
      <c r="I1204" s="127"/>
    </row>
    <row r="1205">
      <c r="A1205" s="179"/>
      <c r="B1205" s="179"/>
      <c r="C1205" s="179"/>
      <c r="D1205" s="179"/>
      <c r="E1205" s="127"/>
      <c r="F1205" s="127"/>
      <c r="G1205" s="127"/>
      <c r="H1205" s="127"/>
      <c r="I1205" s="127"/>
    </row>
    <row r="1206">
      <c r="A1206" s="179"/>
      <c r="B1206" s="179"/>
      <c r="C1206" s="179"/>
      <c r="D1206" s="179"/>
      <c r="E1206" s="127"/>
      <c r="F1206" s="127"/>
      <c r="G1206" s="127"/>
      <c r="H1206" s="127"/>
      <c r="I1206" s="127"/>
    </row>
    <row r="1207">
      <c r="A1207" s="179"/>
      <c r="B1207" s="179"/>
      <c r="C1207" s="179"/>
      <c r="D1207" s="179"/>
      <c r="E1207" s="127"/>
      <c r="F1207" s="127"/>
      <c r="G1207" s="127"/>
      <c r="H1207" s="127"/>
      <c r="I1207" s="127"/>
    </row>
    <row r="1208">
      <c r="A1208" s="179"/>
      <c r="B1208" s="179"/>
      <c r="C1208" s="179"/>
      <c r="D1208" s="179"/>
      <c r="E1208" s="127"/>
      <c r="F1208" s="127"/>
      <c r="G1208" s="127"/>
      <c r="H1208" s="127"/>
      <c r="I1208" s="127"/>
    </row>
    <row r="1209">
      <c r="A1209" s="179"/>
      <c r="B1209" s="179"/>
      <c r="C1209" s="179"/>
      <c r="D1209" s="179"/>
      <c r="E1209" s="127"/>
      <c r="F1209" s="127"/>
      <c r="G1209" s="127"/>
      <c r="H1209" s="127"/>
      <c r="I1209" s="127"/>
    </row>
    <row r="1210">
      <c r="A1210" s="179"/>
      <c r="B1210" s="179"/>
      <c r="C1210" s="179"/>
      <c r="D1210" s="179"/>
      <c r="E1210" s="127"/>
      <c r="F1210" s="127"/>
      <c r="G1210" s="127"/>
      <c r="H1210" s="127"/>
      <c r="I1210" s="127"/>
    </row>
    <row r="1211">
      <c r="A1211" s="179"/>
      <c r="B1211" s="179"/>
      <c r="C1211" s="179"/>
      <c r="D1211" s="179"/>
      <c r="E1211" s="127"/>
      <c r="F1211" s="127"/>
      <c r="G1211" s="127"/>
      <c r="H1211" s="127"/>
      <c r="I1211" s="127"/>
    </row>
    <row r="1212">
      <c r="A1212" s="179"/>
      <c r="B1212" s="179"/>
      <c r="C1212" s="179"/>
      <c r="D1212" s="179"/>
      <c r="E1212" s="127"/>
      <c r="F1212" s="127"/>
      <c r="G1212" s="127"/>
      <c r="H1212" s="127"/>
      <c r="I1212" s="127"/>
    </row>
    <row r="1213">
      <c r="A1213" s="179"/>
      <c r="B1213" s="179"/>
      <c r="C1213" s="179"/>
      <c r="D1213" s="179"/>
      <c r="E1213" s="127"/>
      <c r="F1213" s="127"/>
      <c r="G1213" s="127"/>
      <c r="H1213" s="127"/>
      <c r="I1213" s="127"/>
    </row>
    <row r="1214">
      <c r="A1214" s="179"/>
      <c r="B1214" s="179"/>
      <c r="C1214" s="179"/>
      <c r="D1214" s="179"/>
      <c r="E1214" s="127"/>
      <c r="F1214" s="127"/>
      <c r="G1214" s="127"/>
      <c r="H1214" s="127"/>
      <c r="I1214" s="127"/>
    </row>
    <row r="1215">
      <c r="A1215" s="179"/>
      <c r="B1215" s="179"/>
      <c r="C1215" s="179"/>
      <c r="D1215" s="179"/>
      <c r="E1215" s="127"/>
      <c r="F1215" s="127"/>
      <c r="G1215" s="127"/>
      <c r="H1215" s="127"/>
      <c r="I1215" s="127"/>
    </row>
    <row r="1216">
      <c r="A1216" s="179"/>
      <c r="B1216" s="179"/>
      <c r="C1216" s="179"/>
      <c r="D1216" s="179"/>
      <c r="E1216" s="127"/>
      <c r="F1216" s="127"/>
      <c r="G1216" s="127"/>
      <c r="H1216" s="127"/>
      <c r="I1216" s="127"/>
    </row>
    <row r="1217">
      <c r="A1217" s="179"/>
      <c r="B1217" s="179"/>
      <c r="C1217" s="179"/>
      <c r="D1217" s="179"/>
      <c r="E1217" s="127"/>
      <c r="F1217" s="127"/>
      <c r="G1217" s="127"/>
      <c r="H1217" s="127"/>
      <c r="I1217" s="127"/>
    </row>
    <row r="1218">
      <c r="A1218" s="179"/>
      <c r="B1218" s="179"/>
      <c r="C1218" s="179"/>
      <c r="D1218" s="179"/>
      <c r="E1218" s="127"/>
      <c r="F1218" s="127"/>
      <c r="G1218" s="127"/>
      <c r="H1218" s="127"/>
      <c r="I1218" s="127"/>
    </row>
    <row r="1219">
      <c r="A1219" s="179"/>
      <c r="B1219" s="179"/>
      <c r="C1219" s="179"/>
      <c r="D1219" s="179"/>
      <c r="E1219" s="127"/>
      <c r="F1219" s="127"/>
      <c r="G1219" s="127"/>
      <c r="H1219" s="127"/>
      <c r="I1219" s="127"/>
    </row>
    <row r="1220">
      <c r="A1220" s="179"/>
      <c r="B1220" s="179"/>
      <c r="C1220" s="179"/>
      <c r="D1220" s="179"/>
      <c r="E1220" s="127"/>
      <c r="F1220" s="127"/>
      <c r="G1220" s="127"/>
      <c r="H1220" s="127"/>
      <c r="I1220" s="127"/>
    </row>
    <row r="1221">
      <c r="A1221" s="179"/>
      <c r="B1221" s="179"/>
      <c r="C1221" s="179"/>
      <c r="D1221" s="179"/>
      <c r="E1221" s="127"/>
      <c r="F1221" s="127"/>
      <c r="G1221" s="127"/>
      <c r="H1221" s="127"/>
      <c r="I1221" s="127"/>
    </row>
    <row r="1222">
      <c r="A1222" s="179"/>
      <c r="B1222" s="179"/>
      <c r="C1222" s="179"/>
      <c r="D1222" s="179"/>
      <c r="E1222" s="127"/>
      <c r="F1222" s="127"/>
      <c r="G1222" s="127"/>
      <c r="H1222" s="127"/>
      <c r="I1222" s="127"/>
    </row>
    <row r="1223">
      <c r="A1223" s="179"/>
      <c r="B1223" s="179"/>
      <c r="C1223" s="179"/>
      <c r="D1223" s="179"/>
      <c r="E1223" s="127"/>
      <c r="F1223" s="127"/>
      <c r="G1223" s="127"/>
      <c r="H1223" s="127"/>
      <c r="I1223" s="127"/>
    </row>
    <row r="1224">
      <c r="A1224" s="179"/>
      <c r="B1224" s="179"/>
      <c r="C1224" s="179"/>
      <c r="D1224" s="179"/>
      <c r="E1224" s="127"/>
      <c r="F1224" s="127"/>
      <c r="G1224" s="127"/>
      <c r="H1224" s="127"/>
      <c r="I1224" s="127"/>
    </row>
    <row r="1225">
      <c r="A1225" s="179"/>
      <c r="B1225" s="179"/>
      <c r="C1225" s="179"/>
      <c r="D1225" s="179"/>
      <c r="E1225" s="127"/>
      <c r="F1225" s="127"/>
      <c r="G1225" s="127"/>
      <c r="H1225" s="127"/>
      <c r="I1225" s="127"/>
    </row>
    <row r="1226">
      <c r="A1226" s="179"/>
      <c r="B1226" s="179"/>
      <c r="C1226" s="179"/>
      <c r="D1226" s="179"/>
      <c r="E1226" s="127"/>
      <c r="F1226" s="127"/>
      <c r="G1226" s="127"/>
      <c r="H1226" s="127"/>
      <c r="I1226" s="127"/>
    </row>
    <row r="1227">
      <c r="A1227" s="179"/>
      <c r="B1227" s="179"/>
      <c r="C1227" s="179"/>
      <c r="D1227" s="179"/>
      <c r="E1227" s="127"/>
      <c r="F1227" s="127"/>
      <c r="G1227" s="127"/>
      <c r="H1227" s="127"/>
      <c r="I1227" s="127"/>
    </row>
    <row r="1228">
      <c r="A1228" s="179"/>
      <c r="B1228" s="179"/>
      <c r="C1228" s="179"/>
      <c r="D1228" s="179"/>
      <c r="E1228" s="127"/>
      <c r="F1228" s="127"/>
      <c r="G1228" s="127"/>
      <c r="H1228" s="127"/>
      <c r="I1228" s="127"/>
    </row>
    <row r="1229">
      <c r="A1229" s="179"/>
      <c r="B1229" s="179"/>
      <c r="C1229" s="179"/>
      <c r="D1229" s="179"/>
      <c r="E1229" s="127"/>
      <c r="F1229" s="127"/>
      <c r="G1229" s="127"/>
      <c r="H1229" s="127"/>
      <c r="I1229" s="127"/>
    </row>
    <row r="1230">
      <c r="A1230" s="179"/>
      <c r="B1230" s="179"/>
      <c r="C1230" s="179"/>
      <c r="D1230" s="179"/>
      <c r="E1230" s="127"/>
      <c r="F1230" s="127"/>
      <c r="G1230" s="127"/>
      <c r="H1230" s="127"/>
      <c r="I1230" s="127"/>
    </row>
    <row r="1231">
      <c r="A1231" s="179"/>
      <c r="B1231" s="179"/>
      <c r="C1231" s="179"/>
      <c r="D1231" s="179"/>
      <c r="E1231" s="127"/>
      <c r="F1231" s="127"/>
      <c r="G1231" s="127"/>
      <c r="H1231" s="127"/>
      <c r="I1231" s="127"/>
    </row>
    <row r="1232">
      <c r="A1232" s="179"/>
      <c r="B1232" s="179"/>
      <c r="C1232" s="179"/>
      <c r="D1232" s="179"/>
      <c r="E1232" s="127"/>
      <c r="F1232" s="127"/>
      <c r="G1232" s="127"/>
      <c r="H1232" s="127"/>
      <c r="I1232" s="127"/>
    </row>
    <row r="1233">
      <c r="A1233" s="179"/>
      <c r="B1233" s="179"/>
      <c r="C1233" s="179"/>
      <c r="D1233" s="179"/>
      <c r="E1233" s="127"/>
      <c r="F1233" s="127"/>
      <c r="G1233" s="127"/>
      <c r="H1233" s="127"/>
      <c r="I1233" s="127"/>
    </row>
    <row r="1234">
      <c r="A1234" s="179"/>
      <c r="B1234" s="179"/>
      <c r="C1234" s="179"/>
      <c r="D1234" s="179"/>
      <c r="E1234" s="127"/>
      <c r="F1234" s="127"/>
      <c r="G1234" s="127"/>
      <c r="H1234" s="127"/>
      <c r="I1234" s="127"/>
    </row>
    <row r="1235">
      <c r="A1235" s="179"/>
      <c r="B1235" s="179"/>
      <c r="C1235" s="179"/>
      <c r="D1235" s="179"/>
      <c r="E1235" s="127"/>
      <c r="F1235" s="127"/>
      <c r="G1235" s="127"/>
      <c r="H1235" s="127"/>
      <c r="I1235" s="127"/>
    </row>
    <row r="1236">
      <c r="A1236" s="179"/>
      <c r="B1236" s="179"/>
      <c r="C1236" s="179"/>
      <c r="D1236" s="179"/>
      <c r="E1236" s="127"/>
      <c r="F1236" s="127"/>
      <c r="G1236" s="127"/>
      <c r="H1236" s="127"/>
      <c r="I1236" s="127"/>
    </row>
    <row r="1237">
      <c r="A1237" s="179"/>
      <c r="B1237" s="179"/>
      <c r="C1237" s="179"/>
      <c r="D1237" s="179"/>
      <c r="E1237" s="127"/>
      <c r="F1237" s="127"/>
      <c r="G1237" s="127"/>
      <c r="H1237" s="127"/>
      <c r="I1237" s="127"/>
    </row>
    <row r="1238">
      <c r="A1238" s="179"/>
      <c r="B1238" s="179"/>
      <c r="C1238" s="179"/>
      <c r="D1238" s="179"/>
      <c r="E1238" s="127"/>
      <c r="F1238" s="127"/>
      <c r="G1238" s="127"/>
      <c r="H1238" s="127"/>
      <c r="I1238" s="127"/>
    </row>
    <row r="1239">
      <c r="A1239" s="179"/>
      <c r="B1239" s="179"/>
      <c r="C1239" s="179"/>
      <c r="D1239" s="179"/>
      <c r="E1239" s="127"/>
      <c r="F1239" s="127"/>
      <c r="G1239" s="127"/>
      <c r="H1239" s="127"/>
      <c r="I1239" s="127"/>
    </row>
    <row r="1240">
      <c r="A1240" s="179"/>
      <c r="B1240" s="179"/>
      <c r="C1240" s="179"/>
      <c r="D1240" s="179"/>
      <c r="E1240" s="127"/>
      <c r="F1240" s="127"/>
      <c r="G1240" s="127"/>
      <c r="H1240" s="127"/>
      <c r="I1240" s="127"/>
    </row>
    <row r="1241">
      <c r="A1241" s="179"/>
      <c r="B1241" s="179"/>
      <c r="C1241" s="179"/>
      <c r="D1241" s="179"/>
      <c r="E1241" s="127"/>
      <c r="F1241" s="127"/>
      <c r="G1241" s="127"/>
      <c r="H1241" s="127"/>
      <c r="I1241" s="127"/>
    </row>
    <row r="1242">
      <c r="A1242" s="179"/>
      <c r="B1242" s="179"/>
      <c r="C1242" s="179"/>
      <c r="D1242" s="179"/>
      <c r="E1242" s="127"/>
      <c r="F1242" s="127"/>
      <c r="G1242" s="127"/>
      <c r="H1242" s="127"/>
      <c r="I1242" s="127"/>
    </row>
    <row r="1243">
      <c r="A1243" s="179"/>
      <c r="B1243" s="179"/>
      <c r="C1243" s="179"/>
      <c r="D1243" s="179"/>
      <c r="E1243" s="127"/>
      <c r="F1243" s="127"/>
      <c r="G1243" s="127"/>
      <c r="H1243" s="127"/>
      <c r="I1243" s="127"/>
    </row>
    <row r="1244">
      <c r="A1244" s="179"/>
      <c r="B1244" s="179"/>
      <c r="C1244" s="179"/>
      <c r="D1244" s="179"/>
      <c r="E1244" s="127"/>
      <c r="F1244" s="127"/>
      <c r="G1244" s="127"/>
      <c r="H1244" s="127"/>
      <c r="I1244" s="127"/>
    </row>
    <row r="1245">
      <c r="A1245" s="179"/>
      <c r="B1245" s="179"/>
      <c r="C1245" s="179"/>
      <c r="D1245" s="179"/>
      <c r="E1245" s="127"/>
      <c r="F1245" s="127"/>
      <c r="G1245" s="127"/>
      <c r="H1245" s="127"/>
      <c r="I1245" s="127"/>
    </row>
    <row r="1246">
      <c r="A1246" s="179"/>
      <c r="B1246" s="179"/>
      <c r="C1246" s="179"/>
      <c r="D1246" s="179"/>
      <c r="E1246" s="127"/>
      <c r="F1246" s="127"/>
      <c r="G1246" s="127"/>
      <c r="H1246" s="127"/>
      <c r="I1246" s="127"/>
    </row>
    <row r="1247">
      <c r="A1247" s="179"/>
      <c r="B1247" s="179"/>
      <c r="C1247" s="179"/>
      <c r="D1247" s="179"/>
      <c r="E1247" s="127"/>
      <c r="F1247" s="127"/>
      <c r="G1247" s="127"/>
      <c r="H1247" s="127"/>
      <c r="I1247" s="127"/>
    </row>
    <row r="1248">
      <c r="A1248" s="179"/>
      <c r="B1248" s="179"/>
      <c r="C1248" s="179"/>
      <c r="D1248" s="179"/>
      <c r="E1248" s="127"/>
      <c r="F1248" s="127"/>
      <c r="G1248" s="127"/>
      <c r="H1248" s="127"/>
      <c r="I1248" s="127"/>
    </row>
    <row r="1249">
      <c r="A1249" s="179"/>
      <c r="B1249" s="179"/>
      <c r="C1249" s="179"/>
      <c r="D1249" s="179"/>
      <c r="E1249" s="127"/>
      <c r="F1249" s="127"/>
      <c r="G1249" s="127"/>
      <c r="H1249" s="127"/>
      <c r="I1249" s="127"/>
    </row>
    <row r="1250">
      <c r="A1250" s="179"/>
      <c r="B1250" s="179"/>
      <c r="C1250" s="179"/>
      <c r="D1250" s="179"/>
      <c r="E1250" s="127"/>
      <c r="F1250" s="127"/>
      <c r="G1250" s="127"/>
      <c r="H1250" s="127"/>
      <c r="I1250" s="127"/>
    </row>
    <row r="1251">
      <c r="A1251" s="179"/>
      <c r="B1251" s="179"/>
      <c r="C1251" s="179"/>
      <c r="D1251" s="179"/>
      <c r="E1251" s="127"/>
      <c r="F1251" s="127"/>
      <c r="G1251" s="127"/>
      <c r="H1251" s="127"/>
      <c r="I1251" s="127"/>
    </row>
    <row r="1252">
      <c r="A1252" s="179"/>
      <c r="B1252" s="179"/>
      <c r="C1252" s="179"/>
      <c r="D1252" s="179"/>
      <c r="E1252" s="127"/>
      <c r="F1252" s="127"/>
      <c r="G1252" s="127"/>
      <c r="H1252" s="127"/>
      <c r="I1252" s="127"/>
    </row>
    <row r="1253">
      <c r="A1253" s="179"/>
      <c r="B1253" s="179"/>
      <c r="C1253" s="179"/>
      <c r="D1253" s="179"/>
      <c r="E1253" s="127"/>
      <c r="F1253" s="127"/>
      <c r="G1253" s="127"/>
      <c r="H1253" s="127"/>
      <c r="I1253" s="127"/>
    </row>
    <row r="1254">
      <c r="A1254" s="179"/>
      <c r="B1254" s="179"/>
      <c r="C1254" s="179"/>
      <c r="D1254" s="179"/>
      <c r="E1254" s="127"/>
      <c r="F1254" s="127"/>
      <c r="G1254" s="127"/>
      <c r="H1254" s="127"/>
      <c r="I1254" s="127"/>
    </row>
    <row r="1255">
      <c r="A1255" s="179"/>
      <c r="B1255" s="179"/>
      <c r="C1255" s="179"/>
      <c r="D1255" s="179"/>
      <c r="E1255" s="127"/>
      <c r="F1255" s="127"/>
      <c r="G1255" s="127"/>
      <c r="H1255" s="127"/>
      <c r="I1255" s="127"/>
    </row>
    <row r="1256">
      <c r="A1256" s="179"/>
      <c r="B1256" s="179"/>
      <c r="C1256" s="179"/>
      <c r="D1256" s="179"/>
      <c r="E1256" s="127"/>
      <c r="F1256" s="127"/>
      <c r="G1256" s="127"/>
      <c r="H1256" s="127"/>
      <c r="I1256" s="127"/>
    </row>
    <row r="1257">
      <c r="A1257" s="179"/>
      <c r="B1257" s="179"/>
      <c r="C1257" s="179"/>
      <c r="D1257" s="179"/>
      <c r="E1257" s="127"/>
      <c r="F1257" s="127"/>
      <c r="G1257" s="127"/>
      <c r="H1257" s="127"/>
      <c r="I1257" s="127"/>
    </row>
    <row r="1258">
      <c r="A1258" s="179"/>
      <c r="B1258" s="179"/>
      <c r="C1258" s="179"/>
      <c r="D1258" s="179"/>
      <c r="E1258" s="127"/>
      <c r="F1258" s="127"/>
      <c r="G1258" s="127"/>
      <c r="H1258" s="127"/>
      <c r="I1258" s="127"/>
    </row>
    <row r="1259">
      <c r="A1259" s="179"/>
      <c r="B1259" s="179"/>
      <c r="C1259" s="179"/>
      <c r="D1259" s="179"/>
      <c r="E1259" s="127"/>
      <c r="F1259" s="127"/>
      <c r="G1259" s="127"/>
      <c r="H1259" s="127"/>
      <c r="I1259" s="127"/>
    </row>
    <row r="1260">
      <c r="A1260" s="179"/>
      <c r="B1260" s="179"/>
      <c r="C1260" s="179"/>
      <c r="D1260" s="179"/>
      <c r="E1260" s="127"/>
      <c r="F1260" s="127"/>
      <c r="G1260" s="127"/>
      <c r="H1260" s="127"/>
      <c r="I1260" s="127"/>
    </row>
    <row r="1261">
      <c r="A1261" s="179"/>
      <c r="B1261" s="179"/>
      <c r="C1261" s="179"/>
      <c r="D1261" s="179"/>
      <c r="E1261" s="127"/>
      <c r="F1261" s="127"/>
      <c r="G1261" s="127"/>
      <c r="H1261" s="127"/>
      <c r="I1261" s="127"/>
    </row>
    <row r="1262">
      <c r="A1262" s="179"/>
      <c r="B1262" s="179"/>
      <c r="C1262" s="179"/>
      <c r="D1262" s="179"/>
      <c r="E1262" s="127"/>
      <c r="F1262" s="127"/>
      <c r="G1262" s="127"/>
      <c r="H1262" s="127"/>
      <c r="I1262" s="127"/>
    </row>
    <row r="1263">
      <c r="A1263" s="179"/>
      <c r="B1263" s="179"/>
      <c r="C1263" s="179"/>
      <c r="D1263" s="179"/>
      <c r="E1263" s="127"/>
      <c r="F1263" s="127"/>
      <c r="G1263" s="127"/>
      <c r="H1263" s="127"/>
      <c r="I1263" s="127"/>
    </row>
    <row r="1264">
      <c r="A1264" s="179"/>
      <c r="B1264" s="179"/>
      <c r="C1264" s="179"/>
      <c r="D1264" s="179"/>
      <c r="E1264" s="127"/>
      <c r="F1264" s="127"/>
      <c r="G1264" s="127"/>
      <c r="H1264" s="127"/>
      <c r="I1264" s="127"/>
    </row>
    <row r="1265">
      <c r="A1265" s="179"/>
      <c r="B1265" s="179"/>
      <c r="C1265" s="179"/>
      <c r="D1265" s="179"/>
      <c r="E1265" s="127"/>
      <c r="F1265" s="127"/>
      <c r="G1265" s="127"/>
      <c r="H1265" s="127"/>
      <c r="I1265" s="127"/>
    </row>
    <row r="1266">
      <c r="A1266" s="179"/>
      <c r="B1266" s="179"/>
      <c r="C1266" s="179"/>
      <c r="D1266" s="179"/>
      <c r="E1266" s="127"/>
      <c r="F1266" s="127"/>
      <c r="G1266" s="127"/>
      <c r="H1266" s="127"/>
      <c r="I1266" s="127"/>
    </row>
    <row r="1267">
      <c r="A1267" s="179"/>
      <c r="B1267" s="179"/>
      <c r="C1267" s="179"/>
      <c r="D1267" s="179"/>
      <c r="E1267" s="127"/>
      <c r="F1267" s="127"/>
      <c r="G1267" s="127"/>
      <c r="H1267" s="127"/>
      <c r="I1267" s="127"/>
    </row>
    <row r="1268">
      <c r="A1268" s="179"/>
      <c r="B1268" s="179"/>
      <c r="C1268" s="179"/>
      <c r="D1268" s="179"/>
      <c r="E1268" s="127"/>
      <c r="F1268" s="127"/>
      <c r="G1268" s="127"/>
      <c r="H1268" s="127"/>
      <c r="I1268" s="127"/>
    </row>
    <row r="1269">
      <c r="A1269" s="179"/>
      <c r="B1269" s="179"/>
      <c r="C1269" s="179"/>
      <c r="D1269" s="179"/>
      <c r="E1269" s="127"/>
      <c r="F1269" s="127"/>
      <c r="G1269" s="127"/>
      <c r="H1269" s="127"/>
      <c r="I1269" s="127"/>
    </row>
    <row r="1270">
      <c r="A1270" s="179"/>
      <c r="B1270" s="179"/>
      <c r="C1270" s="179"/>
      <c r="D1270" s="179"/>
      <c r="E1270" s="127"/>
      <c r="F1270" s="127"/>
      <c r="G1270" s="127"/>
      <c r="H1270" s="127"/>
      <c r="I1270" s="127"/>
    </row>
    <row r="1271">
      <c r="A1271" s="179"/>
      <c r="B1271" s="179"/>
      <c r="C1271" s="179"/>
      <c r="D1271" s="179"/>
      <c r="E1271" s="127"/>
      <c r="F1271" s="127"/>
      <c r="G1271" s="127"/>
      <c r="H1271" s="127"/>
      <c r="I1271" s="127"/>
    </row>
    <row r="1272">
      <c r="A1272" s="179"/>
      <c r="B1272" s="179"/>
      <c r="C1272" s="179"/>
      <c r="D1272" s="179"/>
      <c r="E1272" s="127"/>
      <c r="F1272" s="127"/>
      <c r="G1272" s="127"/>
      <c r="H1272" s="127"/>
      <c r="I1272" s="127"/>
    </row>
    <row r="1273">
      <c r="A1273" s="179"/>
      <c r="B1273" s="179"/>
      <c r="C1273" s="179"/>
      <c r="D1273" s="179"/>
      <c r="E1273" s="127"/>
      <c r="F1273" s="127"/>
      <c r="G1273" s="127"/>
      <c r="H1273" s="127"/>
      <c r="I1273" s="127"/>
    </row>
    <row r="1274">
      <c r="A1274" s="179"/>
      <c r="B1274" s="179"/>
      <c r="C1274" s="179"/>
      <c r="D1274" s="179"/>
      <c r="E1274" s="127"/>
      <c r="F1274" s="127"/>
      <c r="G1274" s="127"/>
      <c r="H1274" s="127"/>
      <c r="I1274" s="127"/>
    </row>
    <row r="1275">
      <c r="A1275" s="179"/>
      <c r="B1275" s="179"/>
      <c r="C1275" s="179"/>
      <c r="D1275" s="179"/>
      <c r="E1275" s="127"/>
      <c r="F1275" s="127"/>
      <c r="G1275" s="127"/>
      <c r="H1275" s="127"/>
      <c r="I1275" s="127"/>
    </row>
    <row r="1276">
      <c r="A1276" s="179"/>
      <c r="B1276" s="179"/>
      <c r="C1276" s="179"/>
      <c r="D1276" s="179"/>
      <c r="E1276" s="127"/>
      <c r="F1276" s="127"/>
      <c r="G1276" s="127"/>
      <c r="H1276" s="127"/>
      <c r="I1276" s="127"/>
    </row>
    <row r="1277">
      <c r="A1277" s="179"/>
      <c r="B1277" s="179"/>
      <c r="C1277" s="179"/>
      <c r="D1277" s="179"/>
      <c r="E1277" s="127"/>
      <c r="F1277" s="127"/>
      <c r="G1277" s="127"/>
      <c r="H1277" s="127"/>
      <c r="I1277" s="127"/>
    </row>
    <row r="1278">
      <c r="A1278" s="179"/>
      <c r="B1278" s="179"/>
      <c r="C1278" s="179"/>
      <c r="D1278" s="179"/>
      <c r="E1278" s="127"/>
      <c r="F1278" s="127"/>
      <c r="G1278" s="127"/>
      <c r="H1278" s="127"/>
      <c r="I1278" s="127"/>
    </row>
    <row r="1279">
      <c r="A1279" s="179"/>
      <c r="B1279" s="179"/>
      <c r="C1279" s="179"/>
      <c r="D1279" s="179"/>
      <c r="E1279" s="127"/>
      <c r="F1279" s="127"/>
      <c r="G1279" s="127"/>
      <c r="H1279" s="127"/>
      <c r="I1279" s="127"/>
    </row>
    <row r="1280">
      <c r="A1280" s="179"/>
      <c r="B1280" s="179"/>
      <c r="C1280" s="179"/>
      <c r="D1280" s="179"/>
      <c r="E1280" s="127"/>
      <c r="F1280" s="127"/>
      <c r="G1280" s="127"/>
      <c r="H1280" s="127"/>
      <c r="I1280" s="127"/>
    </row>
    <row r="1281">
      <c r="A1281" s="179"/>
      <c r="B1281" s="179"/>
      <c r="C1281" s="179"/>
      <c r="D1281" s="179"/>
      <c r="E1281" s="127"/>
      <c r="F1281" s="127"/>
      <c r="G1281" s="127"/>
      <c r="H1281" s="127"/>
      <c r="I1281" s="127"/>
    </row>
    <row r="1282">
      <c r="A1282" s="179"/>
      <c r="B1282" s="179"/>
      <c r="C1282" s="179"/>
      <c r="D1282" s="179"/>
      <c r="E1282" s="127"/>
      <c r="F1282" s="127"/>
      <c r="G1282" s="127"/>
      <c r="H1282" s="127"/>
      <c r="I1282" s="127"/>
    </row>
    <row r="1283">
      <c r="A1283" s="179"/>
      <c r="B1283" s="179"/>
      <c r="C1283" s="179"/>
      <c r="D1283" s="179"/>
      <c r="E1283" s="127"/>
      <c r="F1283" s="127"/>
      <c r="G1283" s="127"/>
      <c r="H1283" s="127"/>
      <c r="I1283" s="127"/>
    </row>
    <row r="1284">
      <c r="A1284" s="179"/>
      <c r="B1284" s="179"/>
      <c r="C1284" s="179"/>
      <c r="D1284" s="179"/>
      <c r="E1284" s="127"/>
      <c r="F1284" s="127"/>
      <c r="G1284" s="127"/>
      <c r="H1284" s="127"/>
      <c r="I1284" s="127"/>
    </row>
    <row r="1285">
      <c r="A1285" s="179"/>
      <c r="B1285" s="179"/>
      <c r="C1285" s="179"/>
      <c r="D1285" s="179"/>
      <c r="E1285" s="127"/>
      <c r="F1285" s="127"/>
      <c r="G1285" s="127"/>
      <c r="H1285" s="127"/>
      <c r="I1285" s="127"/>
    </row>
    <row r="1286">
      <c r="A1286" s="179"/>
      <c r="B1286" s="179"/>
      <c r="C1286" s="179"/>
      <c r="D1286" s="179"/>
      <c r="E1286" s="127"/>
      <c r="F1286" s="127"/>
      <c r="G1286" s="127"/>
      <c r="H1286" s="127"/>
      <c r="I1286" s="127"/>
    </row>
    <row r="1287">
      <c r="A1287" s="179"/>
      <c r="B1287" s="179"/>
      <c r="C1287" s="179"/>
      <c r="D1287" s="179"/>
      <c r="E1287" s="127"/>
      <c r="F1287" s="127"/>
      <c r="G1287" s="127"/>
      <c r="H1287" s="127"/>
      <c r="I1287" s="127"/>
    </row>
    <row r="1288">
      <c r="A1288" s="179"/>
      <c r="B1288" s="179"/>
      <c r="C1288" s="179"/>
      <c r="D1288" s="179"/>
      <c r="E1288" s="127"/>
      <c r="F1288" s="127"/>
      <c r="G1288" s="127"/>
      <c r="H1288" s="127"/>
      <c r="I1288" s="127"/>
    </row>
    <row r="1289">
      <c r="A1289" s="179"/>
      <c r="B1289" s="179"/>
      <c r="C1289" s="179"/>
      <c r="D1289" s="179"/>
      <c r="E1289" s="127"/>
      <c r="F1289" s="127"/>
      <c r="G1289" s="127"/>
      <c r="H1289" s="127"/>
      <c r="I1289" s="127"/>
    </row>
    <row r="1290">
      <c r="A1290" s="179"/>
      <c r="B1290" s="179"/>
      <c r="C1290" s="179"/>
      <c r="D1290" s="179"/>
      <c r="E1290" s="127"/>
      <c r="F1290" s="127"/>
      <c r="G1290" s="127"/>
      <c r="H1290" s="127"/>
      <c r="I1290" s="127"/>
    </row>
    <row r="1291">
      <c r="A1291" s="179"/>
      <c r="B1291" s="179"/>
      <c r="C1291" s="179"/>
      <c r="D1291" s="179"/>
      <c r="E1291" s="127"/>
      <c r="F1291" s="127"/>
      <c r="G1291" s="127"/>
      <c r="H1291" s="127"/>
      <c r="I1291" s="127"/>
    </row>
    <row r="1292">
      <c r="A1292" s="179"/>
      <c r="B1292" s="179"/>
      <c r="C1292" s="179"/>
      <c r="D1292" s="179"/>
      <c r="E1292" s="127"/>
      <c r="F1292" s="127"/>
      <c r="G1292" s="127"/>
      <c r="H1292" s="127"/>
      <c r="I1292" s="127"/>
    </row>
    <row r="1293">
      <c r="A1293" s="179"/>
      <c r="B1293" s="179"/>
      <c r="C1293" s="179"/>
      <c r="D1293" s="179"/>
      <c r="E1293" s="127"/>
      <c r="F1293" s="127"/>
      <c r="G1293" s="127"/>
      <c r="H1293" s="127"/>
      <c r="I1293" s="127"/>
    </row>
    <row r="1294">
      <c r="A1294" s="179"/>
      <c r="B1294" s="179"/>
      <c r="C1294" s="179"/>
      <c r="D1294" s="179"/>
      <c r="E1294" s="127"/>
      <c r="F1294" s="127"/>
      <c r="G1294" s="127"/>
      <c r="H1294" s="127"/>
      <c r="I1294" s="127"/>
    </row>
    <row r="1295">
      <c r="A1295" s="179"/>
      <c r="B1295" s="179"/>
      <c r="C1295" s="179"/>
      <c r="D1295" s="179"/>
      <c r="E1295" s="127"/>
      <c r="F1295" s="127"/>
      <c r="G1295" s="127"/>
      <c r="H1295" s="127"/>
      <c r="I1295" s="127"/>
    </row>
    <row r="1296">
      <c r="A1296" s="179"/>
      <c r="B1296" s="179"/>
      <c r="C1296" s="179"/>
      <c r="D1296" s="179"/>
      <c r="E1296" s="127"/>
      <c r="F1296" s="127"/>
      <c r="G1296" s="127"/>
      <c r="H1296" s="127"/>
      <c r="I1296" s="127"/>
    </row>
    <row r="1297">
      <c r="A1297" s="179"/>
      <c r="B1297" s="179"/>
      <c r="C1297" s="179"/>
      <c r="D1297" s="179"/>
      <c r="E1297" s="127"/>
      <c r="F1297" s="127"/>
      <c r="G1297" s="127"/>
      <c r="H1297" s="127"/>
      <c r="I1297" s="127"/>
    </row>
    <row r="1298">
      <c r="A1298" s="179"/>
      <c r="B1298" s="179"/>
      <c r="C1298" s="179"/>
      <c r="D1298" s="179"/>
      <c r="E1298" s="127"/>
      <c r="F1298" s="127"/>
      <c r="G1298" s="127"/>
      <c r="H1298" s="127"/>
      <c r="I1298" s="127"/>
    </row>
    <row r="1299">
      <c r="A1299" s="179"/>
      <c r="B1299" s="179"/>
      <c r="C1299" s="179"/>
      <c r="D1299" s="179"/>
      <c r="E1299" s="127"/>
      <c r="F1299" s="127"/>
      <c r="G1299" s="127"/>
      <c r="H1299" s="127"/>
      <c r="I1299" s="127"/>
    </row>
    <row r="1300">
      <c r="A1300" s="179"/>
      <c r="B1300" s="179"/>
      <c r="C1300" s="179"/>
      <c r="D1300" s="179"/>
      <c r="E1300" s="127"/>
      <c r="F1300" s="127"/>
      <c r="G1300" s="127"/>
      <c r="H1300" s="127"/>
      <c r="I1300" s="127"/>
    </row>
    <row r="1301">
      <c r="A1301" s="179"/>
      <c r="B1301" s="179"/>
      <c r="C1301" s="179"/>
      <c r="D1301" s="179"/>
      <c r="E1301" s="127"/>
      <c r="F1301" s="127"/>
      <c r="G1301" s="127"/>
      <c r="H1301" s="127"/>
      <c r="I1301" s="127"/>
    </row>
    <row r="1302">
      <c r="A1302" s="179"/>
      <c r="B1302" s="179"/>
      <c r="C1302" s="179"/>
      <c r="D1302" s="179"/>
      <c r="E1302" s="127"/>
      <c r="F1302" s="127"/>
      <c r="G1302" s="127"/>
      <c r="H1302" s="127"/>
      <c r="I1302" s="127"/>
    </row>
    <row r="1303">
      <c r="A1303" s="179"/>
      <c r="B1303" s="179"/>
      <c r="C1303" s="179"/>
      <c r="D1303" s="179"/>
      <c r="E1303" s="127"/>
      <c r="F1303" s="127"/>
      <c r="G1303" s="127"/>
      <c r="H1303" s="127"/>
      <c r="I1303" s="127"/>
    </row>
    <row r="1304">
      <c r="A1304" s="179"/>
      <c r="B1304" s="179"/>
      <c r="C1304" s="179"/>
      <c r="D1304" s="179"/>
      <c r="E1304" s="127"/>
      <c r="F1304" s="127"/>
      <c r="G1304" s="127"/>
      <c r="H1304" s="127"/>
      <c r="I1304" s="127"/>
    </row>
    <row r="1305">
      <c r="A1305" s="179"/>
      <c r="B1305" s="179"/>
      <c r="C1305" s="179"/>
      <c r="D1305" s="179"/>
      <c r="E1305" s="127"/>
      <c r="F1305" s="127"/>
      <c r="G1305" s="127"/>
      <c r="H1305" s="127"/>
      <c r="I1305" s="127"/>
    </row>
    <row r="1306">
      <c r="A1306" s="179"/>
      <c r="B1306" s="179"/>
      <c r="C1306" s="179"/>
      <c r="D1306" s="179"/>
      <c r="E1306" s="127"/>
      <c r="F1306" s="127"/>
      <c r="G1306" s="127"/>
      <c r="H1306" s="127"/>
      <c r="I1306" s="127"/>
    </row>
    <row r="1307">
      <c r="A1307" s="179"/>
      <c r="B1307" s="179"/>
      <c r="C1307" s="179"/>
      <c r="D1307" s="179"/>
      <c r="E1307" s="127"/>
      <c r="F1307" s="127"/>
      <c r="G1307" s="127"/>
      <c r="H1307" s="127"/>
      <c r="I1307" s="127"/>
    </row>
    <row r="1308">
      <c r="A1308" s="179"/>
      <c r="B1308" s="179"/>
      <c r="C1308" s="179"/>
      <c r="D1308" s="179"/>
      <c r="E1308" s="127"/>
      <c r="F1308" s="127"/>
      <c r="G1308" s="127"/>
      <c r="H1308" s="127"/>
      <c r="I1308" s="127"/>
    </row>
    <row r="1309">
      <c r="A1309" s="179"/>
      <c r="B1309" s="179"/>
      <c r="C1309" s="179"/>
      <c r="D1309" s="179"/>
      <c r="E1309" s="127"/>
      <c r="F1309" s="127"/>
      <c r="G1309" s="127"/>
      <c r="H1309" s="127"/>
      <c r="I1309" s="127"/>
    </row>
    <row r="1310">
      <c r="A1310" s="179"/>
      <c r="B1310" s="179"/>
      <c r="C1310" s="179"/>
      <c r="D1310" s="179"/>
      <c r="E1310" s="127"/>
      <c r="F1310" s="127"/>
      <c r="G1310" s="127"/>
      <c r="H1310" s="127"/>
      <c r="I1310" s="127"/>
    </row>
    <row r="1311">
      <c r="A1311" s="179"/>
      <c r="B1311" s="179"/>
      <c r="C1311" s="179"/>
      <c r="D1311" s="179"/>
      <c r="E1311" s="127"/>
      <c r="F1311" s="127"/>
      <c r="G1311" s="127"/>
      <c r="H1311" s="127"/>
      <c r="I1311" s="127"/>
    </row>
    <row r="1312">
      <c r="A1312" s="179"/>
      <c r="B1312" s="179"/>
      <c r="C1312" s="179"/>
      <c r="D1312" s="179"/>
      <c r="E1312" s="127"/>
      <c r="F1312" s="127"/>
      <c r="G1312" s="127"/>
      <c r="H1312" s="127"/>
      <c r="I1312" s="127"/>
    </row>
    <row r="1313">
      <c r="A1313" s="179"/>
      <c r="B1313" s="179"/>
      <c r="C1313" s="179"/>
      <c r="D1313" s="179"/>
      <c r="E1313" s="127"/>
      <c r="F1313" s="127"/>
      <c r="G1313" s="127"/>
      <c r="H1313" s="127"/>
      <c r="I1313" s="127"/>
    </row>
    <row r="1314">
      <c r="A1314" s="179"/>
      <c r="B1314" s="179"/>
      <c r="C1314" s="179"/>
      <c r="D1314" s="179"/>
      <c r="E1314" s="127"/>
      <c r="F1314" s="127"/>
      <c r="G1314" s="127"/>
      <c r="H1314" s="127"/>
      <c r="I1314" s="127"/>
    </row>
    <row r="1315">
      <c r="A1315" s="179"/>
      <c r="B1315" s="179"/>
      <c r="C1315" s="179"/>
      <c r="D1315" s="179"/>
      <c r="E1315" s="127"/>
      <c r="F1315" s="127"/>
      <c r="G1315" s="127"/>
      <c r="H1315" s="127"/>
      <c r="I1315" s="127"/>
    </row>
    <row r="1316">
      <c r="A1316" s="179"/>
      <c r="B1316" s="179"/>
      <c r="C1316" s="179"/>
      <c r="D1316" s="179"/>
      <c r="E1316" s="127"/>
      <c r="F1316" s="127"/>
      <c r="G1316" s="127"/>
      <c r="H1316" s="127"/>
      <c r="I1316" s="127"/>
    </row>
    <row r="1317">
      <c r="A1317" s="179"/>
      <c r="B1317" s="179"/>
      <c r="C1317" s="179"/>
      <c r="D1317" s="179"/>
      <c r="E1317" s="127"/>
      <c r="F1317" s="127"/>
      <c r="G1317" s="127"/>
      <c r="H1317" s="127"/>
      <c r="I1317" s="127"/>
    </row>
    <row r="1318">
      <c r="A1318" s="179"/>
      <c r="B1318" s="179"/>
      <c r="C1318" s="179"/>
      <c r="D1318" s="179"/>
      <c r="E1318" s="127"/>
      <c r="F1318" s="127"/>
      <c r="G1318" s="127"/>
      <c r="H1318" s="127"/>
      <c r="I1318" s="127"/>
    </row>
    <row r="1319">
      <c r="A1319" s="179"/>
      <c r="B1319" s="179"/>
      <c r="C1319" s="179"/>
      <c r="D1319" s="179"/>
      <c r="E1319" s="127"/>
      <c r="F1319" s="127"/>
      <c r="G1319" s="127"/>
      <c r="H1319" s="127"/>
      <c r="I1319" s="127"/>
    </row>
    <row r="1320">
      <c r="A1320" s="179"/>
      <c r="B1320" s="179"/>
      <c r="C1320" s="179"/>
      <c r="D1320" s="179"/>
      <c r="E1320" s="127"/>
      <c r="F1320" s="127"/>
      <c r="G1320" s="127"/>
      <c r="H1320" s="127"/>
      <c r="I1320" s="127"/>
    </row>
    <row r="1321">
      <c r="A1321" s="179"/>
      <c r="B1321" s="179"/>
      <c r="C1321" s="179"/>
      <c r="D1321" s="179"/>
      <c r="E1321" s="127"/>
      <c r="F1321" s="127"/>
      <c r="G1321" s="127"/>
      <c r="H1321" s="127"/>
      <c r="I1321" s="127"/>
    </row>
    <row r="1322">
      <c r="A1322" s="179"/>
      <c r="B1322" s="179"/>
      <c r="C1322" s="179"/>
      <c r="D1322" s="179"/>
      <c r="E1322" s="127"/>
      <c r="F1322" s="127"/>
      <c r="G1322" s="127"/>
      <c r="H1322" s="127"/>
      <c r="I1322" s="127"/>
    </row>
    <row r="1323">
      <c r="A1323" s="179"/>
      <c r="B1323" s="179"/>
      <c r="C1323" s="179"/>
      <c r="D1323" s="179"/>
      <c r="E1323" s="127"/>
      <c r="F1323" s="127"/>
      <c r="G1323" s="127"/>
      <c r="H1323" s="127"/>
      <c r="I1323" s="127"/>
    </row>
    <row r="1324">
      <c r="A1324" s="179"/>
      <c r="B1324" s="179"/>
      <c r="C1324" s="179"/>
      <c r="D1324" s="179"/>
      <c r="E1324" s="127"/>
      <c r="F1324" s="127"/>
      <c r="G1324" s="127"/>
      <c r="H1324" s="127"/>
      <c r="I1324" s="127"/>
    </row>
    <row r="1325">
      <c r="A1325" s="179"/>
      <c r="B1325" s="179"/>
      <c r="C1325" s="179"/>
      <c r="D1325" s="179"/>
      <c r="E1325" s="127"/>
      <c r="F1325" s="127"/>
      <c r="G1325" s="127"/>
      <c r="H1325" s="127"/>
      <c r="I1325" s="127"/>
    </row>
    <row r="1326">
      <c r="A1326" s="179"/>
      <c r="B1326" s="179"/>
      <c r="C1326" s="179"/>
      <c r="D1326" s="179"/>
      <c r="E1326" s="127"/>
      <c r="F1326" s="127"/>
      <c r="G1326" s="127"/>
      <c r="H1326" s="127"/>
      <c r="I1326" s="127"/>
    </row>
    <row r="1327">
      <c r="A1327" s="179"/>
      <c r="B1327" s="179"/>
      <c r="C1327" s="179"/>
      <c r="D1327" s="179"/>
      <c r="E1327" s="127"/>
      <c r="F1327" s="127"/>
      <c r="G1327" s="127"/>
      <c r="H1327" s="127"/>
      <c r="I1327" s="127"/>
    </row>
    <row r="1328">
      <c r="A1328" s="179"/>
      <c r="B1328" s="179"/>
      <c r="C1328" s="179"/>
      <c r="D1328" s="179"/>
      <c r="E1328" s="127"/>
      <c r="F1328" s="127"/>
      <c r="G1328" s="127"/>
      <c r="H1328" s="127"/>
      <c r="I1328" s="127"/>
    </row>
    <row r="1329">
      <c r="A1329" s="179"/>
      <c r="B1329" s="179"/>
      <c r="C1329" s="179"/>
      <c r="D1329" s="179"/>
      <c r="E1329" s="127"/>
      <c r="F1329" s="127"/>
      <c r="G1329" s="127"/>
      <c r="H1329" s="127"/>
      <c r="I1329" s="127"/>
    </row>
    <row r="1330">
      <c r="A1330" s="179"/>
      <c r="B1330" s="179"/>
      <c r="C1330" s="179"/>
      <c r="D1330" s="179"/>
      <c r="E1330" s="127"/>
      <c r="F1330" s="127"/>
      <c r="G1330" s="127"/>
      <c r="H1330" s="127"/>
      <c r="I1330" s="127"/>
    </row>
    <row r="1331">
      <c r="A1331" s="179"/>
      <c r="B1331" s="179"/>
      <c r="C1331" s="179"/>
      <c r="D1331" s="179"/>
      <c r="E1331" s="127"/>
      <c r="F1331" s="127"/>
      <c r="G1331" s="127"/>
      <c r="H1331" s="127"/>
      <c r="I1331" s="127"/>
    </row>
    <row r="1332">
      <c r="A1332" s="179"/>
      <c r="B1332" s="179"/>
      <c r="C1332" s="179"/>
      <c r="D1332" s="179"/>
      <c r="E1332" s="127"/>
      <c r="F1332" s="127"/>
      <c r="G1332" s="127"/>
      <c r="H1332" s="127"/>
      <c r="I1332" s="127"/>
    </row>
    <row r="1333">
      <c r="A1333" s="179"/>
      <c r="B1333" s="179"/>
      <c r="C1333" s="179"/>
      <c r="D1333" s="179"/>
      <c r="E1333" s="127"/>
      <c r="F1333" s="127"/>
      <c r="G1333" s="127"/>
      <c r="H1333" s="127"/>
      <c r="I1333" s="127"/>
    </row>
    <row r="1334">
      <c r="A1334" s="179"/>
      <c r="B1334" s="179"/>
      <c r="C1334" s="179"/>
      <c r="D1334" s="179"/>
      <c r="E1334" s="127"/>
      <c r="F1334" s="127"/>
      <c r="G1334" s="127"/>
      <c r="H1334" s="127"/>
      <c r="I1334" s="127"/>
    </row>
    <row r="1335">
      <c r="A1335" s="179"/>
      <c r="B1335" s="179"/>
      <c r="C1335" s="179"/>
      <c r="D1335" s="179"/>
      <c r="E1335" s="127"/>
      <c r="F1335" s="127"/>
      <c r="G1335" s="127"/>
      <c r="H1335" s="127"/>
      <c r="I1335" s="127"/>
    </row>
    <row r="1336">
      <c r="A1336" s="179"/>
      <c r="B1336" s="179"/>
      <c r="C1336" s="179"/>
      <c r="D1336" s="179"/>
      <c r="E1336" s="127"/>
      <c r="F1336" s="127"/>
      <c r="G1336" s="127"/>
      <c r="H1336" s="127"/>
      <c r="I1336" s="127"/>
    </row>
    <row r="1337">
      <c r="A1337" s="179"/>
      <c r="B1337" s="179"/>
      <c r="C1337" s="179"/>
      <c r="D1337" s="179"/>
      <c r="E1337" s="127"/>
      <c r="F1337" s="127"/>
      <c r="G1337" s="127"/>
      <c r="H1337" s="127"/>
      <c r="I1337" s="127"/>
    </row>
    <row r="1338">
      <c r="A1338" s="179"/>
      <c r="B1338" s="179"/>
      <c r="C1338" s="179"/>
      <c r="D1338" s="179"/>
      <c r="E1338" s="127"/>
      <c r="F1338" s="127"/>
      <c r="G1338" s="127"/>
      <c r="H1338" s="127"/>
      <c r="I1338" s="127"/>
    </row>
    <row r="1339">
      <c r="A1339" s="179"/>
      <c r="B1339" s="179"/>
      <c r="C1339" s="179"/>
      <c r="D1339" s="179"/>
      <c r="E1339" s="127"/>
      <c r="F1339" s="127"/>
      <c r="G1339" s="127"/>
      <c r="H1339" s="127"/>
      <c r="I1339" s="127"/>
    </row>
    <row r="1340">
      <c r="A1340" s="179"/>
      <c r="B1340" s="179"/>
      <c r="C1340" s="179"/>
      <c r="D1340" s="179"/>
      <c r="E1340" s="127"/>
      <c r="F1340" s="127"/>
      <c r="G1340" s="127"/>
      <c r="H1340" s="127"/>
      <c r="I1340" s="127"/>
    </row>
    <row r="1341">
      <c r="A1341" s="179"/>
      <c r="B1341" s="179"/>
      <c r="C1341" s="179"/>
      <c r="D1341" s="179"/>
      <c r="E1341" s="127"/>
      <c r="F1341" s="127"/>
      <c r="G1341" s="127"/>
      <c r="H1341" s="127"/>
      <c r="I1341" s="127"/>
    </row>
    <row r="1342">
      <c r="A1342" s="179"/>
      <c r="B1342" s="179"/>
      <c r="C1342" s="179"/>
      <c r="D1342" s="179"/>
      <c r="E1342" s="127"/>
      <c r="F1342" s="127"/>
      <c r="G1342" s="127"/>
      <c r="H1342" s="127"/>
      <c r="I1342" s="127"/>
    </row>
    <row r="1343">
      <c r="A1343" s="179"/>
      <c r="B1343" s="127"/>
      <c r="C1343" s="179"/>
      <c r="D1343" s="179"/>
      <c r="E1343" s="127"/>
      <c r="F1343" s="127"/>
      <c r="G1343" s="127"/>
      <c r="H1343" s="127"/>
      <c r="I1343" s="127"/>
    </row>
    <row r="1344">
      <c r="A1344" s="179"/>
      <c r="B1344" s="179"/>
      <c r="C1344" s="179"/>
      <c r="D1344" s="179"/>
      <c r="E1344" s="127"/>
      <c r="F1344" s="127"/>
      <c r="G1344" s="127"/>
      <c r="H1344" s="127"/>
      <c r="I1344" s="127"/>
    </row>
    <row r="1345">
      <c r="A1345" s="179"/>
      <c r="B1345" s="179"/>
      <c r="C1345" s="179"/>
      <c r="D1345" s="179"/>
      <c r="E1345" s="127"/>
      <c r="F1345" s="127"/>
      <c r="G1345" s="127"/>
      <c r="H1345" s="127"/>
      <c r="I1345" s="127"/>
    </row>
    <row r="1346">
      <c r="A1346" s="179"/>
      <c r="B1346" s="179"/>
      <c r="C1346" s="179"/>
      <c r="D1346" s="179"/>
      <c r="E1346" s="127"/>
      <c r="F1346" s="127"/>
      <c r="G1346" s="127"/>
      <c r="H1346" s="127"/>
      <c r="I1346" s="127"/>
    </row>
    <row r="1347">
      <c r="A1347" s="179"/>
      <c r="B1347" s="179"/>
      <c r="C1347" s="179"/>
      <c r="D1347" s="179"/>
      <c r="E1347" s="127"/>
      <c r="F1347" s="127"/>
      <c r="G1347" s="127"/>
      <c r="H1347" s="127"/>
      <c r="I1347" s="127"/>
    </row>
    <row r="1348">
      <c r="A1348" s="179"/>
      <c r="B1348" s="179"/>
      <c r="C1348" s="179"/>
      <c r="D1348" s="179"/>
      <c r="E1348" s="127"/>
      <c r="F1348" s="127"/>
      <c r="G1348" s="127"/>
      <c r="H1348" s="127"/>
      <c r="I1348" s="127"/>
    </row>
    <row r="1349">
      <c r="A1349" s="179"/>
      <c r="B1349" s="179"/>
      <c r="C1349" s="179"/>
      <c r="D1349" s="179"/>
      <c r="E1349" s="127"/>
      <c r="F1349" s="127"/>
      <c r="G1349" s="127"/>
      <c r="H1349" s="127"/>
      <c r="I1349" s="127"/>
    </row>
    <row r="1350">
      <c r="A1350" s="179"/>
      <c r="B1350" s="179"/>
      <c r="C1350" s="179"/>
      <c r="D1350" s="179"/>
      <c r="E1350" s="127"/>
      <c r="F1350" s="127"/>
      <c r="G1350" s="127"/>
      <c r="H1350" s="127"/>
      <c r="I1350" s="127"/>
    </row>
    <row r="1351">
      <c r="A1351" s="179"/>
      <c r="B1351" s="179"/>
      <c r="C1351" s="179"/>
      <c r="D1351" s="179"/>
      <c r="E1351" s="127"/>
      <c r="F1351" s="127"/>
      <c r="G1351" s="127"/>
      <c r="H1351" s="127"/>
      <c r="I1351" s="127"/>
    </row>
    <row r="1352">
      <c r="A1352" s="179"/>
      <c r="B1352" s="179"/>
      <c r="C1352" s="179"/>
      <c r="D1352" s="179"/>
      <c r="E1352" s="127"/>
      <c r="F1352" s="127"/>
      <c r="G1352" s="127"/>
      <c r="H1352" s="127"/>
      <c r="I1352" s="127"/>
    </row>
    <row r="1353">
      <c r="A1353" s="179"/>
      <c r="B1353" s="179"/>
      <c r="C1353" s="179"/>
      <c r="D1353" s="179"/>
      <c r="E1353" s="127"/>
      <c r="F1353" s="127"/>
      <c r="G1353" s="127"/>
      <c r="H1353" s="127"/>
      <c r="I1353" s="127"/>
    </row>
    <row r="1354">
      <c r="A1354" s="179"/>
      <c r="B1354" s="179"/>
      <c r="C1354" s="179"/>
      <c r="D1354" s="179"/>
      <c r="E1354" s="127"/>
      <c r="F1354" s="127"/>
      <c r="G1354" s="127"/>
      <c r="H1354" s="127"/>
      <c r="I1354" s="127"/>
    </row>
    <row r="1355">
      <c r="A1355" s="179"/>
      <c r="B1355" s="179"/>
      <c r="C1355" s="179"/>
      <c r="D1355" s="179"/>
      <c r="E1355" s="127"/>
      <c r="F1355" s="127"/>
      <c r="G1355" s="127"/>
      <c r="H1355" s="127"/>
      <c r="I1355" s="127"/>
    </row>
    <row r="1356">
      <c r="A1356" s="179"/>
      <c r="B1356" s="179"/>
      <c r="C1356" s="179"/>
      <c r="D1356" s="179"/>
      <c r="E1356" s="127"/>
      <c r="F1356" s="127"/>
      <c r="G1356" s="127"/>
      <c r="H1356" s="127"/>
      <c r="I1356" s="127"/>
    </row>
    <row r="1357">
      <c r="A1357" s="179"/>
      <c r="B1357" s="179"/>
      <c r="C1357" s="179"/>
      <c r="D1357" s="179"/>
      <c r="E1357" s="127"/>
      <c r="F1357" s="127"/>
      <c r="G1357" s="127"/>
      <c r="H1357" s="127"/>
      <c r="I1357" s="127"/>
    </row>
    <row r="1358">
      <c r="A1358" s="179"/>
      <c r="B1358" s="179"/>
      <c r="C1358" s="179"/>
      <c r="D1358" s="179"/>
      <c r="E1358" s="127"/>
      <c r="F1358" s="127"/>
      <c r="G1358" s="127"/>
      <c r="H1358" s="127"/>
      <c r="I1358" s="127"/>
    </row>
    <row r="1359">
      <c r="A1359" s="179"/>
      <c r="B1359" s="179"/>
      <c r="C1359" s="179"/>
      <c r="D1359" s="179"/>
      <c r="E1359" s="127"/>
      <c r="F1359" s="127"/>
      <c r="G1359" s="127"/>
      <c r="H1359" s="127"/>
      <c r="I1359" s="127"/>
    </row>
    <row r="1360">
      <c r="A1360" s="179"/>
      <c r="B1360" s="179"/>
      <c r="C1360" s="179"/>
      <c r="D1360" s="179"/>
      <c r="E1360" s="127"/>
      <c r="F1360" s="127"/>
      <c r="G1360" s="127"/>
      <c r="H1360" s="127"/>
      <c r="I1360" s="127"/>
    </row>
    <row r="1361">
      <c r="A1361" s="179"/>
      <c r="B1361" s="179"/>
      <c r="C1361" s="179"/>
      <c r="D1361" s="179"/>
      <c r="E1361" s="127"/>
      <c r="F1361" s="127"/>
      <c r="G1361" s="127"/>
      <c r="H1361" s="127"/>
      <c r="I1361" s="127"/>
    </row>
    <row r="1362">
      <c r="A1362" s="179"/>
      <c r="B1362" s="179"/>
      <c r="C1362" s="179"/>
      <c r="D1362" s="179"/>
      <c r="E1362" s="127"/>
      <c r="F1362" s="127"/>
      <c r="G1362" s="127"/>
      <c r="H1362" s="127"/>
      <c r="I1362" s="127"/>
    </row>
    <row r="1363">
      <c r="A1363" s="179"/>
      <c r="B1363" s="179"/>
      <c r="C1363" s="179"/>
      <c r="D1363" s="179"/>
      <c r="E1363" s="127"/>
      <c r="F1363" s="127"/>
      <c r="G1363" s="127"/>
      <c r="H1363" s="127"/>
      <c r="I1363" s="127"/>
    </row>
    <row r="1364">
      <c r="A1364" s="179"/>
      <c r="B1364" s="179"/>
      <c r="C1364" s="179"/>
      <c r="D1364" s="179"/>
      <c r="E1364" s="127"/>
      <c r="F1364" s="127"/>
      <c r="G1364" s="127"/>
      <c r="H1364" s="127"/>
      <c r="I1364" s="127"/>
    </row>
    <row r="1365">
      <c r="A1365" s="179"/>
      <c r="B1365" s="127"/>
      <c r="C1365" s="179"/>
      <c r="D1365" s="179"/>
      <c r="E1365" s="127"/>
      <c r="F1365" s="127"/>
      <c r="G1365" s="127"/>
      <c r="H1365" s="127"/>
      <c r="I1365" s="127"/>
    </row>
    <row r="1366">
      <c r="A1366" s="179"/>
      <c r="B1366" s="179"/>
      <c r="C1366" s="179"/>
      <c r="D1366" s="179"/>
      <c r="E1366" s="127"/>
      <c r="F1366" s="127"/>
      <c r="G1366" s="127"/>
      <c r="H1366" s="127"/>
      <c r="I1366" s="127"/>
    </row>
    <row r="1367">
      <c r="A1367" s="179"/>
      <c r="B1367" s="179"/>
      <c r="C1367" s="179"/>
      <c r="D1367" s="179"/>
      <c r="E1367" s="127"/>
      <c r="F1367" s="127"/>
      <c r="G1367" s="127"/>
      <c r="H1367" s="127"/>
      <c r="I1367" s="127"/>
    </row>
    <row r="1368">
      <c r="A1368" s="179"/>
      <c r="B1368" s="179"/>
      <c r="C1368" s="179"/>
      <c r="D1368" s="179"/>
      <c r="E1368" s="127"/>
      <c r="F1368" s="127"/>
      <c r="G1368" s="127"/>
      <c r="H1368" s="127"/>
      <c r="I1368" s="127"/>
    </row>
    <row r="1369">
      <c r="A1369" s="179"/>
      <c r="B1369" s="179"/>
      <c r="C1369" s="179"/>
      <c r="D1369" s="179"/>
      <c r="E1369" s="127"/>
      <c r="F1369" s="127"/>
      <c r="G1369" s="127"/>
      <c r="H1369" s="127"/>
      <c r="I1369" s="127"/>
    </row>
    <row r="1370">
      <c r="A1370" s="179"/>
      <c r="B1370" s="127"/>
      <c r="C1370" s="179"/>
      <c r="D1370" s="179"/>
      <c r="E1370" s="127"/>
      <c r="F1370" s="127"/>
      <c r="G1370" s="127"/>
      <c r="H1370" s="127"/>
      <c r="I1370" s="127"/>
    </row>
    <row r="1371">
      <c r="A1371" s="179"/>
      <c r="B1371" s="179"/>
      <c r="C1371" s="179"/>
      <c r="D1371" s="179"/>
      <c r="E1371" s="127"/>
      <c r="F1371" s="127"/>
      <c r="G1371" s="127"/>
      <c r="H1371" s="127"/>
      <c r="I1371" s="127"/>
    </row>
    <row r="1372">
      <c r="A1372" s="179"/>
      <c r="B1372" s="179"/>
      <c r="C1372" s="179"/>
      <c r="D1372" s="179"/>
      <c r="E1372" s="127"/>
      <c r="F1372" s="127"/>
      <c r="G1372" s="127"/>
      <c r="H1372" s="127"/>
      <c r="I1372" s="127"/>
    </row>
    <row r="1373">
      <c r="A1373" s="179"/>
      <c r="B1373" s="179"/>
      <c r="C1373" s="179"/>
      <c r="D1373" s="179"/>
      <c r="E1373" s="127"/>
      <c r="F1373" s="127"/>
      <c r="G1373" s="127"/>
      <c r="H1373" s="127"/>
      <c r="I1373" s="127"/>
    </row>
    <row r="1374">
      <c r="A1374" s="179"/>
      <c r="B1374" s="179"/>
      <c r="C1374" s="179"/>
      <c r="D1374" s="179"/>
      <c r="E1374" s="127"/>
      <c r="F1374" s="127"/>
      <c r="G1374" s="127"/>
      <c r="H1374" s="127"/>
      <c r="I1374" s="127"/>
    </row>
    <row r="1375">
      <c r="A1375" s="179"/>
      <c r="B1375" s="179"/>
      <c r="C1375" s="179"/>
      <c r="D1375" s="179"/>
      <c r="E1375" s="127"/>
      <c r="F1375" s="127"/>
      <c r="G1375" s="127"/>
      <c r="H1375" s="127"/>
      <c r="I1375" s="127"/>
    </row>
    <row r="1376">
      <c r="A1376" s="179"/>
      <c r="B1376" s="179"/>
      <c r="C1376" s="179"/>
      <c r="D1376" s="179"/>
      <c r="E1376" s="127"/>
      <c r="F1376" s="127"/>
      <c r="G1376" s="127"/>
      <c r="H1376" s="127"/>
      <c r="I1376" s="127"/>
    </row>
    <row r="1377">
      <c r="A1377" s="179"/>
      <c r="B1377" s="179"/>
      <c r="C1377" s="179"/>
      <c r="D1377" s="179"/>
      <c r="E1377" s="127"/>
      <c r="F1377" s="127"/>
      <c r="G1377" s="127"/>
      <c r="H1377" s="127"/>
      <c r="I1377" s="127"/>
    </row>
    <row r="1378">
      <c r="A1378" s="179"/>
      <c r="B1378" s="179"/>
      <c r="C1378" s="179"/>
      <c r="D1378" s="179"/>
      <c r="E1378" s="127"/>
      <c r="F1378" s="127"/>
      <c r="G1378" s="127"/>
      <c r="H1378" s="127"/>
      <c r="I1378" s="127"/>
    </row>
    <row r="1379">
      <c r="A1379" s="179"/>
      <c r="B1379" s="179"/>
      <c r="C1379" s="179"/>
      <c r="D1379" s="179"/>
      <c r="E1379" s="127"/>
      <c r="F1379" s="127"/>
      <c r="G1379" s="127"/>
      <c r="H1379" s="127"/>
      <c r="I1379" s="127"/>
    </row>
    <row r="1380">
      <c r="A1380" s="179"/>
      <c r="B1380" s="179"/>
      <c r="C1380" s="179"/>
      <c r="D1380" s="179"/>
      <c r="E1380" s="127"/>
      <c r="F1380" s="127"/>
      <c r="G1380" s="127"/>
      <c r="H1380" s="127"/>
      <c r="I1380" s="127"/>
    </row>
    <row r="1381">
      <c r="A1381" s="179"/>
      <c r="B1381" s="179"/>
      <c r="C1381" s="179"/>
      <c r="D1381" s="179"/>
      <c r="E1381" s="127"/>
      <c r="F1381" s="127"/>
      <c r="G1381" s="127"/>
      <c r="H1381" s="127"/>
      <c r="I1381" s="127"/>
    </row>
    <row r="1382">
      <c r="A1382" s="179"/>
      <c r="B1382" s="179"/>
      <c r="C1382" s="179"/>
      <c r="D1382" s="179"/>
      <c r="E1382" s="127"/>
      <c r="F1382" s="127"/>
      <c r="G1382" s="127"/>
      <c r="H1382" s="127"/>
      <c r="I1382" s="127"/>
    </row>
    <row r="1383">
      <c r="A1383" s="179"/>
      <c r="B1383" s="179"/>
      <c r="C1383" s="179"/>
      <c r="D1383" s="179"/>
      <c r="E1383" s="127"/>
      <c r="F1383" s="127"/>
      <c r="G1383" s="127"/>
      <c r="H1383" s="127"/>
      <c r="I1383" s="127"/>
    </row>
    <row r="1384">
      <c r="A1384" s="179"/>
      <c r="B1384" s="179"/>
      <c r="C1384" s="179"/>
      <c r="D1384" s="179"/>
      <c r="E1384" s="127"/>
      <c r="F1384" s="127"/>
      <c r="G1384" s="127"/>
      <c r="H1384" s="127"/>
      <c r="I1384" s="127"/>
    </row>
    <row r="1385">
      <c r="A1385" s="179"/>
      <c r="B1385" s="179"/>
      <c r="C1385" s="179"/>
      <c r="D1385" s="179"/>
      <c r="E1385" s="127"/>
      <c r="F1385" s="127"/>
      <c r="G1385" s="127"/>
      <c r="H1385" s="127"/>
      <c r="I1385" s="127"/>
    </row>
    <row r="1386">
      <c r="A1386" s="179"/>
      <c r="B1386" s="179"/>
      <c r="C1386" s="179"/>
      <c r="D1386" s="179"/>
      <c r="E1386" s="127"/>
      <c r="F1386" s="127"/>
      <c r="G1386" s="127"/>
      <c r="H1386" s="127"/>
      <c r="I1386" s="127"/>
    </row>
    <row r="1387">
      <c r="A1387" s="179"/>
      <c r="B1387" s="179"/>
      <c r="C1387" s="179"/>
      <c r="D1387" s="179"/>
      <c r="E1387" s="127"/>
      <c r="F1387" s="127"/>
      <c r="G1387" s="127"/>
      <c r="H1387" s="127"/>
      <c r="I1387" s="127"/>
    </row>
    <row r="1388">
      <c r="A1388" s="179"/>
      <c r="B1388" s="179"/>
      <c r="C1388" s="179"/>
      <c r="D1388" s="179"/>
      <c r="E1388" s="127"/>
      <c r="F1388" s="127"/>
      <c r="G1388" s="127"/>
      <c r="H1388" s="127"/>
      <c r="I1388" s="127"/>
    </row>
    <row r="1389">
      <c r="A1389" s="179"/>
      <c r="B1389" s="179"/>
      <c r="C1389" s="179"/>
      <c r="D1389" s="179"/>
      <c r="E1389" s="127"/>
      <c r="F1389" s="127"/>
      <c r="G1389" s="127"/>
      <c r="H1389" s="127"/>
      <c r="I1389" s="127"/>
    </row>
    <row r="1390">
      <c r="A1390" s="179"/>
      <c r="B1390" s="179"/>
      <c r="C1390" s="179"/>
      <c r="D1390" s="179"/>
      <c r="E1390" s="127"/>
      <c r="F1390" s="127"/>
      <c r="G1390" s="127"/>
      <c r="H1390" s="127"/>
      <c r="I1390" s="127"/>
    </row>
    <row r="1391">
      <c r="A1391" s="179"/>
      <c r="B1391" s="179"/>
      <c r="C1391" s="179"/>
      <c r="D1391" s="179"/>
      <c r="E1391" s="127"/>
      <c r="F1391" s="127"/>
      <c r="G1391" s="127"/>
      <c r="H1391" s="127"/>
      <c r="I1391" s="127"/>
    </row>
    <row r="1392">
      <c r="A1392" s="179"/>
      <c r="B1392" s="179"/>
      <c r="C1392" s="179"/>
      <c r="D1392" s="179"/>
      <c r="E1392" s="127"/>
      <c r="F1392" s="127"/>
      <c r="G1392" s="127"/>
      <c r="H1392" s="127"/>
      <c r="I1392" s="127"/>
    </row>
    <row r="1393">
      <c r="A1393" s="179"/>
      <c r="B1393" s="179"/>
      <c r="C1393" s="179"/>
      <c r="D1393" s="179"/>
      <c r="E1393" s="127"/>
      <c r="F1393" s="127"/>
      <c r="G1393" s="127"/>
      <c r="H1393" s="127"/>
      <c r="I1393" s="127"/>
    </row>
    <row r="1394">
      <c r="A1394" s="179"/>
      <c r="B1394" s="179"/>
      <c r="C1394" s="179"/>
      <c r="D1394" s="179"/>
      <c r="E1394" s="127"/>
      <c r="F1394" s="127"/>
      <c r="G1394" s="127"/>
      <c r="H1394" s="127"/>
      <c r="I1394" s="127"/>
    </row>
    <row r="1395">
      <c r="A1395" s="179"/>
      <c r="B1395" s="179"/>
      <c r="C1395" s="179"/>
      <c r="D1395" s="179"/>
      <c r="E1395" s="127"/>
      <c r="F1395" s="127"/>
      <c r="G1395" s="127"/>
      <c r="H1395" s="127"/>
      <c r="I1395" s="127"/>
    </row>
    <row r="1396">
      <c r="A1396" s="179"/>
      <c r="B1396" s="179"/>
      <c r="C1396" s="179"/>
      <c r="D1396" s="179"/>
      <c r="E1396" s="127"/>
      <c r="F1396" s="127"/>
      <c r="G1396" s="127"/>
      <c r="H1396" s="127"/>
      <c r="I1396" s="127"/>
    </row>
    <row r="1397">
      <c r="A1397" s="179"/>
      <c r="B1397" s="179"/>
      <c r="C1397" s="179"/>
      <c r="D1397" s="179"/>
      <c r="E1397" s="127"/>
      <c r="F1397" s="127"/>
      <c r="G1397" s="127"/>
      <c r="H1397" s="127"/>
      <c r="I1397" s="127"/>
    </row>
    <row r="1398">
      <c r="A1398" s="179"/>
      <c r="B1398" s="179"/>
      <c r="C1398" s="179"/>
      <c r="D1398" s="179"/>
      <c r="E1398" s="127"/>
      <c r="F1398" s="127"/>
      <c r="G1398" s="127"/>
      <c r="H1398" s="127"/>
      <c r="I1398" s="127"/>
    </row>
    <row r="1399">
      <c r="A1399" s="179"/>
      <c r="B1399" s="179"/>
      <c r="C1399" s="179"/>
      <c r="D1399" s="179"/>
      <c r="E1399" s="127"/>
      <c r="F1399" s="127"/>
      <c r="G1399" s="127"/>
      <c r="H1399" s="127"/>
      <c r="I1399" s="127"/>
    </row>
    <row r="1400">
      <c r="A1400" s="179"/>
      <c r="B1400" s="179"/>
      <c r="C1400" s="179"/>
      <c r="D1400" s="179"/>
      <c r="E1400" s="127"/>
      <c r="F1400" s="127"/>
      <c r="G1400" s="127"/>
      <c r="H1400" s="127"/>
      <c r="I1400" s="127"/>
    </row>
    <row r="1401">
      <c r="A1401" s="179"/>
      <c r="B1401" s="179"/>
      <c r="C1401" s="179"/>
      <c r="D1401" s="179"/>
      <c r="E1401" s="127"/>
      <c r="F1401" s="127"/>
      <c r="G1401" s="127"/>
      <c r="H1401" s="127"/>
      <c r="I1401" s="127"/>
    </row>
    <row r="1402">
      <c r="A1402" s="179"/>
      <c r="B1402" s="179"/>
      <c r="C1402" s="179"/>
      <c r="D1402" s="179"/>
      <c r="E1402" s="127"/>
      <c r="F1402" s="127"/>
      <c r="G1402" s="127"/>
      <c r="H1402" s="127"/>
      <c r="I1402" s="127"/>
    </row>
    <row r="1403">
      <c r="A1403" s="179"/>
      <c r="B1403" s="179"/>
      <c r="C1403" s="179"/>
      <c r="D1403" s="179"/>
      <c r="E1403" s="127"/>
      <c r="F1403" s="127"/>
      <c r="G1403" s="127"/>
      <c r="H1403" s="127"/>
      <c r="I1403" s="127"/>
    </row>
    <row r="1404">
      <c r="A1404" s="179"/>
      <c r="B1404" s="179"/>
      <c r="C1404" s="179"/>
      <c r="D1404" s="179"/>
      <c r="E1404" s="127"/>
      <c r="F1404" s="127"/>
      <c r="G1404" s="127"/>
      <c r="H1404" s="127"/>
      <c r="I1404" s="127"/>
    </row>
    <row r="1405">
      <c r="A1405" s="179"/>
      <c r="B1405" s="179"/>
      <c r="C1405" s="179"/>
      <c r="D1405" s="179"/>
      <c r="E1405" s="127"/>
      <c r="F1405" s="127"/>
      <c r="G1405" s="127"/>
      <c r="H1405" s="127"/>
      <c r="I1405" s="127"/>
    </row>
    <row r="1406">
      <c r="A1406" s="179"/>
      <c r="B1406" s="179"/>
      <c r="C1406" s="179"/>
      <c r="D1406" s="179"/>
      <c r="E1406" s="127"/>
      <c r="F1406" s="127"/>
      <c r="G1406" s="127"/>
      <c r="H1406" s="127"/>
      <c r="I1406" s="127"/>
    </row>
    <row r="1407">
      <c r="A1407" s="179"/>
      <c r="B1407" s="179"/>
      <c r="C1407" s="179"/>
      <c r="D1407" s="179"/>
      <c r="E1407" s="127"/>
      <c r="F1407" s="127"/>
      <c r="G1407" s="127"/>
      <c r="H1407" s="127"/>
      <c r="I1407" s="127"/>
    </row>
    <row r="1408">
      <c r="A1408" s="179"/>
      <c r="B1408" s="179"/>
      <c r="C1408" s="179"/>
      <c r="D1408" s="179"/>
      <c r="E1408" s="127"/>
      <c r="F1408" s="127"/>
      <c r="G1408" s="127"/>
      <c r="H1408" s="127"/>
      <c r="I1408" s="127"/>
    </row>
    <row r="1409">
      <c r="A1409" s="179"/>
      <c r="B1409" s="179"/>
      <c r="C1409" s="179"/>
      <c r="D1409" s="179"/>
      <c r="E1409" s="127"/>
      <c r="F1409" s="127"/>
      <c r="G1409" s="127"/>
      <c r="H1409" s="127"/>
      <c r="I1409" s="127"/>
    </row>
    <row r="1410">
      <c r="A1410" s="179"/>
      <c r="B1410" s="179"/>
      <c r="C1410" s="179"/>
      <c r="D1410" s="179"/>
      <c r="E1410" s="127"/>
      <c r="F1410" s="127"/>
      <c r="G1410" s="127"/>
      <c r="H1410" s="127"/>
      <c r="I1410" s="127"/>
    </row>
    <row r="1411">
      <c r="A1411" s="179"/>
      <c r="B1411" s="179"/>
      <c r="C1411" s="179"/>
      <c r="D1411" s="179"/>
      <c r="E1411" s="127"/>
      <c r="F1411" s="127"/>
      <c r="G1411" s="127"/>
      <c r="H1411" s="127"/>
      <c r="I1411" s="127"/>
    </row>
    <row r="1412">
      <c r="A1412" s="179"/>
      <c r="B1412" s="179"/>
      <c r="C1412" s="179"/>
      <c r="D1412" s="179"/>
      <c r="E1412" s="127"/>
      <c r="F1412" s="127"/>
      <c r="G1412" s="127"/>
      <c r="H1412" s="127"/>
      <c r="I1412" s="127"/>
    </row>
    <row r="1413">
      <c r="A1413" s="179"/>
      <c r="B1413" s="179"/>
      <c r="C1413" s="179"/>
      <c r="D1413" s="179"/>
      <c r="E1413" s="127"/>
      <c r="F1413" s="127"/>
      <c r="G1413" s="127"/>
      <c r="H1413" s="127"/>
      <c r="I1413" s="127"/>
    </row>
    <row r="1414">
      <c r="A1414" s="179"/>
      <c r="B1414" s="179"/>
      <c r="C1414" s="179"/>
      <c r="D1414" s="179"/>
      <c r="E1414" s="127"/>
      <c r="F1414" s="127"/>
      <c r="G1414" s="127"/>
      <c r="H1414" s="127"/>
      <c r="I1414" s="127"/>
    </row>
    <row r="1415">
      <c r="A1415" s="179"/>
      <c r="B1415" s="179"/>
      <c r="C1415" s="179"/>
      <c r="D1415" s="179"/>
      <c r="E1415" s="127"/>
      <c r="F1415" s="127"/>
      <c r="G1415" s="127"/>
      <c r="H1415" s="127"/>
      <c r="I1415" s="127"/>
    </row>
    <row r="1416">
      <c r="A1416" s="179"/>
      <c r="B1416" s="179"/>
      <c r="C1416" s="179"/>
      <c r="D1416" s="179"/>
      <c r="E1416" s="127"/>
      <c r="F1416" s="127"/>
      <c r="G1416" s="127"/>
      <c r="H1416" s="127"/>
      <c r="I1416" s="127"/>
    </row>
    <row r="1417">
      <c r="A1417" s="179"/>
      <c r="B1417" s="179"/>
      <c r="C1417" s="179"/>
      <c r="D1417" s="179"/>
      <c r="E1417" s="127"/>
      <c r="F1417" s="127"/>
      <c r="G1417" s="127"/>
      <c r="H1417" s="127"/>
      <c r="I1417" s="127"/>
    </row>
    <row r="1418">
      <c r="A1418" s="179"/>
      <c r="B1418" s="179"/>
      <c r="C1418" s="179"/>
      <c r="D1418" s="179"/>
      <c r="E1418" s="127"/>
      <c r="F1418" s="127"/>
      <c r="G1418" s="127"/>
      <c r="H1418" s="127"/>
      <c r="I1418" s="127"/>
    </row>
    <row r="1419">
      <c r="A1419" s="179"/>
      <c r="B1419" s="179"/>
      <c r="C1419" s="179"/>
      <c r="D1419" s="179"/>
      <c r="E1419" s="127"/>
      <c r="F1419" s="127"/>
      <c r="G1419" s="127"/>
      <c r="H1419" s="127"/>
      <c r="I1419" s="127"/>
    </row>
    <row r="1420">
      <c r="A1420" s="179"/>
      <c r="B1420" s="179"/>
      <c r="C1420" s="179"/>
      <c r="D1420" s="179"/>
      <c r="E1420" s="127"/>
      <c r="F1420" s="127"/>
      <c r="G1420" s="127"/>
      <c r="H1420" s="127"/>
      <c r="I1420" s="127"/>
    </row>
    <row r="1421">
      <c r="A1421" s="179"/>
      <c r="B1421" s="179"/>
      <c r="C1421" s="179"/>
      <c r="D1421" s="179"/>
      <c r="E1421" s="127"/>
      <c r="F1421" s="127"/>
      <c r="G1421" s="127"/>
      <c r="H1421" s="127"/>
      <c r="I1421" s="127"/>
    </row>
    <row r="1422">
      <c r="A1422" s="179"/>
      <c r="B1422" s="179"/>
      <c r="C1422" s="179"/>
      <c r="D1422" s="179"/>
      <c r="E1422" s="127"/>
      <c r="F1422" s="127"/>
      <c r="G1422" s="127"/>
      <c r="H1422" s="127"/>
      <c r="I1422" s="127"/>
    </row>
    <row r="1423">
      <c r="A1423" s="180"/>
      <c r="B1423" s="180"/>
      <c r="C1423" s="180"/>
      <c r="D1423" s="180"/>
      <c r="E1423" s="181"/>
      <c r="F1423" s="127"/>
      <c r="G1423" s="127"/>
      <c r="H1423" s="127"/>
      <c r="I1423" s="127"/>
    </row>
    <row r="1424">
      <c r="A1424" s="182"/>
      <c r="B1424" s="182"/>
      <c r="C1424" s="182"/>
      <c r="D1424" s="182"/>
      <c r="E1424" s="183"/>
      <c r="F1424" s="127"/>
      <c r="G1424" s="127"/>
      <c r="H1424" s="127"/>
      <c r="I1424" s="127"/>
    </row>
    <row r="1425">
      <c r="A1425" s="182"/>
      <c r="B1425" s="182"/>
      <c r="C1425" s="182"/>
      <c r="D1425" s="182"/>
      <c r="E1425" s="183"/>
      <c r="F1425" s="127"/>
      <c r="G1425" s="127"/>
      <c r="H1425" s="127"/>
      <c r="I1425" s="127"/>
    </row>
    <row r="1426">
      <c r="A1426" s="182"/>
      <c r="B1426" s="182"/>
      <c r="C1426" s="182"/>
      <c r="D1426" s="182"/>
      <c r="E1426" s="183"/>
      <c r="F1426" s="127"/>
      <c r="G1426" s="127"/>
      <c r="H1426" s="127"/>
      <c r="I1426" s="127"/>
    </row>
    <row r="1427">
      <c r="A1427" s="182"/>
      <c r="B1427" s="182"/>
      <c r="C1427" s="182"/>
      <c r="D1427" s="182"/>
      <c r="E1427" s="183"/>
      <c r="F1427" s="127"/>
      <c r="G1427" s="127"/>
      <c r="H1427" s="127"/>
      <c r="I1427" s="127"/>
    </row>
    <row r="1428">
      <c r="A1428" s="182"/>
      <c r="B1428" s="182"/>
      <c r="C1428" s="182"/>
      <c r="D1428" s="182"/>
      <c r="E1428" s="183"/>
      <c r="F1428" s="127"/>
      <c r="G1428" s="127"/>
      <c r="H1428" s="127"/>
      <c r="I1428" s="127"/>
    </row>
    <row r="1429">
      <c r="A1429" s="182"/>
      <c r="B1429" s="182"/>
      <c r="C1429" s="182"/>
      <c r="D1429" s="182"/>
      <c r="E1429" s="183"/>
      <c r="F1429" s="127"/>
      <c r="G1429" s="127"/>
      <c r="H1429" s="127"/>
      <c r="I1429" s="127"/>
    </row>
    <row r="1430">
      <c r="A1430" s="182"/>
      <c r="B1430" s="182"/>
      <c r="C1430" s="182"/>
      <c r="D1430" s="182"/>
      <c r="E1430" s="183"/>
      <c r="F1430" s="127"/>
      <c r="G1430" s="127"/>
      <c r="H1430" s="127"/>
      <c r="I1430" s="127"/>
    </row>
    <row r="1431">
      <c r="A1431" s="182"/>
      <c r="B1431" s="182"/>
      <c r="C1431" s="182"/>
      <c r="D1431" s="182"/>
      <c r="E1431" s="183"/>
      <c r="F1431" s="127"/>
      <c r="G1431" s="127"/>
      <c r="H1431" s="127"/>
      <c r="I1431" s="127"/>
    </row>
    <row r="1432">
      <c r="A1432" s="182"/>
      <c r="B1432" s="182"/>
      <c r="C1432" s="182"/>
      <c r="D1432" s="182"/>
      <c r="E1432" s="183"/>
      <c r="F1432" s="127"/>
      <c r="G1432" s="127"/>
      <c r="H1432" s="127"/>
      <c r="I1432" s="127"/>
    </row>
    <row r="1433">
      <c r="A1433" s="182"/>
      <c r="B1433" s="182"/>
      <c r="C1433" s="182"/>
      <c r="D1433" s="182"/>
      <c r="E1433" s="183"/>
      <c r="F1433" s="127"/>
      <c r="G1433" s="127"/>
      <c r="H1433" s="127"/>
      <c r="I1433" s="127"/>
    </row>
    <row r="1434">
      <c r="A1434" s="182"/>
      <c r="B1434" s="182"/>
      <c r="C1434" s="182"/>
      <c r="D1434" s="182"/>
      <c r="E1434" s="183"/>
      <c r="F1434" s="127"/>
      <c r="G1434" s="127"/>
      <c r="H1434" s="127"/>
      <c r="I1434" s="127"/>
    </row>
    <row r="1435">
      <c r="A1435" s="182"/>
      <c r="B1435" s="182"/>
      <c r="C1435" s="182"/>
      <c r="D1435" s="182"/>
      <c r="E1435" s="183"/>
      <c r="F1435" s="127"/>
      <c r="G1435" s="127"/>
      <c r="H1435" s="127"/>
      <c r="I1435" s="127"/>
    </row>
    <row r="1436">
      <c r="A1436" s="182"/>
      <c r="B1436" s="182"/>
      <c r="C1436" s="182"/>
      <c r="D1436" s="182"/>
      <c r="E1436" s="183"/>
      <c r="F1436" s="127"/>
      <c r="G1436" s="127"/>
      <c r="H1436" s="127"/>
      <c r="I1436" s="127"/>
    </row>
    <row r="1437">
      <c r="A1437" s="182"/>
      <c r="B1437" s="182"/>
      <c r="C1437" s="182"/>
      <c r="D1437" s="182"/>
      <c r="E1437" s="183"/>
      <c r="F1437" s="127"/>
      <c r="G1437" s="127"/>
      <c r="H1437" s="127"/>
      <c r="I1437" s="127"/>
    </row>
    <row r="1438">
      <c r="A1438" s="182"/>
      <c r="B1438" s="182"/>
      <c r="C1438" s="182"/>
      <c r="D1438" s="182"/>
      <c r="E1438" s="183"/>
      <c r="F1438" s="127"/>
      <c r="G1438" s="127"/>
      <c r="H1438" s="127"/>
      <c r="I1438" s="127"/>
    </row>
    <row r="1439">
      <c r="A1439" s="182"/>
      <c r="B1439" s="182"/>
      <c r="C1439" s="182"/>
      <c r="D1439" s="182"/>
      <c r="E1439" s="183"/>
      <c r="F1439" s="127"/>
      <c r="G1439" s="127"/>
      <c r="H1439" s="127"/>
      <c r="I1439" s="127"/>
    </row>
    <row r="1440">
      <c r="A1440" s="182"/>
      <c r="B1440" s="182"/>
      <c r="C1440" s="182"/>
      <c r="D1440" s="182"/>
      <c r="E1440" s="183"/>
      <c r="F1440" s="127"/>
      <c r="G1440" s="127"/>
      <c r="H1440" s="127"/>
      <c r="I1440" s="127"/>
    </row>
    <row r="1441">
      <c r="A1441" s="182"/>
      <c r="B1441" s="182"/>
      <c r="C1441" s="182"/>
      <c r="D1441" s="182"/>
      <c r="E1441" s="183"/>
      <c r="F1441" s="127"/>
      <c r="G1441" s="127"/>
      <c r="H1441" s="127"/>
      <c r="I1441" s="127"/>
    </row>
    <row r="1442">
      <c r="A1442" s="182"/>
      <c r="B1442" s="182"/>
      <c r="C1442" s="182"/>
      <c r="D1442" s="182"/>
      <c r="E1442" s="183"/>
      <c r="F1442" s="127"/>
      <c r="G1442" s="127"/>
      <c r="H1442" s="127"/>
      <c r="I1442" s="127"/>
    </row>
    <row r="1443">
      <c r="A1443" s="182"/>
      <c r="B1443" s="182"/>
      <c r="C1443" s="182"/>
      <c r="D1443" s="182"/>
      <c r="E1443" s="183"/>
      <c r="F1443" s="127"/>
      <c r="G1443" s="127"/>
      <c r="H1443" s="127"/>
      <c r="I1443" s="127"/>
    </row>
    <row r="1444">
      <c r="A1444" s="182"/>
      <c r="B1444" s="182"/>
      <c r="C1444" s="182"/>
      <c r="D1444" s="182"/>
      <c r="E1444" s="183"/>
      <c r="F1444" s="127"/>
      <c r="G1444" s="127"/>
      <c r="H1444" s="127"/>
      <c r="I1444" s="127"/>
    </row>
    <row r="1445">
      <c r="A1445" s="182"/>
      <c r="B1445" s="182"/>
      <c r="C1445" s="182"/>
      <c r="D1445" s="182"/>
      <c r="E1445" s="183"/>
      <c r="F1445" s="127"/>
      <c r="G1445" s="127"/>
      <c r="H1445" s="127"/>
      <c r="I1445" s="127"/>
    </row>
    <row r="1446">
      <c r="A1446" s="182"/>
      <c r="B1446" s="182"/>
      <c r="C1446" s="182"/>
      <c r="D1446" s="182"/>
      <c r="E1446" s="183"/>
      <c r="F1446" s="127"/>
      <c r="G1446" s="127"/>
      <c r="H1446" s="127"/>
      <c r="I1446" s="127"/>
    </row>
    <row r="1447">
      <c r="A1447" s="182"/>
      <c r="B1447" s="182"/>
      <c r="C1447" s="182"/>
      <c r="D1447" s="182"/>
      <c r="E1447" s="183"/>
      <c r="F1447" s="127"/>
      <c r="G1447" s="127"/>
      <c r="H1447" s="127"/>
      <c r="I1447" s="127"/>
    </row>
    <row r="1448">
      <c r="A1448" s="182"/>
      <c r="B1448" s="182"/>
      <c r="C1448" s="182"/>
      <c r="D1448" s="182"/>
      <c r="E1448" s="183"/>
      <c r="F1448" s="127"/>
      <c r="G1448" s="127"/>
      <c r="H1448" s="127"/>
      <c r="I1448" s="127"/>
    </row>
    <row r="1449">
      <c r="A1449" s="182"/>
      <c r="B1449" s="182"/>
      <c r="C1449" s="182"/>
      <c r="D1449" s="182"/>
      <c r="E1449" s="183"/>
      <c r="F1449" s="127"/>
      <c r="G1449" s="127"/>
      <c r="H1449" s="127"/>
      <c r="I1449" s="127"/>
    </row>
    <row r="1450">
      <c r="A1450" s="182"/>
      <c r="B1450" s="182"/>
      <c r="C1450" s="182"/>
      <c r="D1450" s="182"/>
      <c r="E1450" s="183"/>
      <c r="F1450" s="127"/>
      <c r="G1450" s="127"/>
      <c r="H1450" s="127"/>
      <c r="I1450" s="127"/>
    </row>
    <row r="1451">
      <c r="A1451" s="182"/>
      <c r="B1451" s="182"/>
      <c r="C1451" s="182"/>
      <c r="D1451" s="182"/>
      <c r="E1451" s="183"/>
      <c r="F1451" s="127"/>
      <c r="G1451" s="127"/>
      <c r="H1451" s="127"/>
      <c r="I1451" s="127"/>
    </row>
    <row r="1452">
      <c r="A1452" s="182"/>
      <c r="B1452" s="182"/>
      <c r="C1452" s="182"/>
      <c r="D1452" s="182"/>
      <c r="E1452" s="183"/>
      <c r="F1452" s="127"/>
      <c r="G1452" s="127"/>
      <c r="H1452" s="127"/>
      <c r="I1452" s="127"/>
    </row>
    <row r="1453">
      <c r="A1453" s="182"/>
      <c r="B1453" s="182"/>
      <c r="C1453" s="182"/>
      <c r="D1453" s="182"/>
      <c r="E1453" s="183"/>
      <c r="F1453" s="127"/>
      <c r="G1453" s="127"/>
      <c r="H1453" s="127"/>
      <c r="I1453" s="127"/>
    </row>
    <row r="1454">
      <c r="A1454" s="182"/>
      <c r="B1454" s="182"/>
      <c r="C1454" s="182"/>
      <c r="D1454" s="182"/>
      <c r="E1454" s="183"/>
      <c r="F1454" s="127"/>
      <c r="G1454" s="127"/>
      <c r="H1454" s="127"/>
      <c r="I1454" s="127"/>
    </row>
    <row r="1455">
      <c r="A1455" s="182"/>
      <c r="B1455" s="182"/>
      <c r="C1455" s="182"/>
      <c r="D1455" s="182"/>
      <c r="E1455" s="183"/>
      <c r="F1455" s="127"/>
      <c r="G1455" s="127"/>
      <c r="H1455" s="127"/>
      <c r="I1455" s="127"/>
    </row>
    <row r="1456">
      <c r="A1456" s="182"/>
      <c r="B1456" s="182"/>
      <c r="C1456" s="182"/>
      <c r="D1456" s="182"/>
      <c r="E1456" s="183"/>
      <c r="F1456" s="127"/>
      <c r="G1456" s="127"/>
      <c r="H1456" s="127"/>
      <c r="I1456" s="127"/>
    </row>
    <row r="1457">
      <c r="A1457" s="182"/>
      <c r="B1457" s="182"/>
      <c r="C1457" s="182"/>
      <c r="D1457" s="182"/>
      <c r="E1457" s="183"/>
      <c r="F1457" s="127"/>
      <c r="G1457" s="127"/>
      <c r="H1457" s="127"/>
      <c r="I1457" s="127"/>
    </row>
    <row r="1458">
      <c r="A1458" s="182"/>
      <c r="B1458" s="182"/>
      <c r="C1458" s="182"/>
      <c r="D1458" s="182"/>
      <c r="E1458" s="183"/>
      <c r="F1458" s="127"/>
      <c r="G1458" s="127"/>
      <c r="H1458" s="127"/>
      <c r="I1458" s="127"/>
    </row>
    <row r="1459">
      <c r="A1459" s="182"/>
      <c r="B1459" s="182"/>
      <c r="C1459" s="182"/>
      <c r="D1459" s="182"/>
      <c r="E1459" s="183"/>
      <c r="F1459" s="127"/>
      <c r="G1459" s="127"/>
      <c r="H1459" s="127"/>
      <c r="I1459" s="127"/>
    </row>
    <row r="1460">
      <c r="A1460" s="182"/>
      <c r="B1460" s="182"/>
      <c r="C1460" s="182"/>
      <c r="D1460" s="182"/>
      <c r="E1460" s="183"/>
      <c r="F1460" s="127"/>
      <c r="G1460" s="127"/>
      <c r="H1460" s="127"/>
      <c r="I1460" s="127"/>
    </row>
    <row r="1461">
      <c r="A1461" s="182"/>
      <c r="B1461" s="182"/>
      <c r="C1461" s="182"/>
      <c r="D1461" s="182"/>
      <c r="E1461" s="183"/>
      <c r="F1461" s="127"/>
      <c r="G1461" s="127"/>
      <c r="H1461" s="127"/>
      <c r="I1461" s="127"/>
    </row>
    <row r="1462">
      <c r="A1462" s="182"/>
      <c r="B1462" s="182"/>
      <c r="C1462" s="182"/>
      <c r="D1462" s="182"/>
      <c r="E1462" s="183"/>
      <c r="F1462" s="127"/>
      <c r="G1462" s="127"/>
      <c r="H1462" s="127"/>
      <c r="I1462" s="127"/>
    </row>
    <row r="1463">
      <c r="A1463" s="182"/>
      <c r="B1463" s="182"/>
      <c r="C1463" s="182"/>
      <c r="D1463" s="182"/>
      <c r="E1463" s="183"/>
      <c r="F1463" s="127"/>
      <c r="G1463" s="127"/>
      <c r="H1463" s="127"/>
      <c r="I1463" s="127"/>
    </row>
    <row r="1464">
      <c r="A1464" s="182"/>
      <c r="B1464" s="182"/>
      <c r="C1464" s="182"/>
      <c r="D1464" s="182"/>
      <c r="E1464" s="183"/>
      <c r="F1464" s="127"/>
      <c r="G1464" s="127"/>
      <c r="H1464" s="127"/>
      <c r="I1464" s="127"/>
    </row>
    <row r="1465">
      <c r="A1465" s="182"/>
      <c r="B1465" s="182"/>
      <c r="C1465" s="182"/>
      <c r="D1465" s="182"/>
      <c r="E1465" s="183"/>
      <c r="F1465" s="127"/>
      <c r="G1465" s="127"/>
      <c r="H1465" s="127"/>
      <c r="I1465" s="127"/>
    </row>
    <row r="1466">
      <c r="A1466" s="182"/>
      <c r="B1466" s="182"/>
      <c r="C1466" s="182"/>
      <c r="D1466" s="182"/>
      <c r="E1466" s="183"/>
      <c r="F1466" s="127"/>
      <c r="G1466" s="127"/>
      <c r="H1466" s="127"/>
      <c r="I1466" s="127"/>
    </row>
    <row r="1467">
      <c r="A1467" s="182"/>
      <c r="B1467" s="182"/>
      <c r="C1467" s="182"/>
      <c r="D1467" s="182"/>
      <c r="E1467" s="183"/>
      <c r="F1467" s="127"/>
      <c r="G1467" s="127"/>
      <c r="H1467" s="127"/>
      <c r="I1467" s="127"/>
    </row>
    <row r="1468">
      <c r="A1468" s="182"/>
      <c r="B1468" s="182"/>
      <c r="C1468" s="182"/>
      <c r="D1468" s="182"/>
      <c r="E1468" s="183"/>
      <c r="F1468" s="127"/>
      <c r="G1468" s="127"/>
      <c r="H1468" s="127"/>
      <c r="I1468" s="127"/>
    </row>
    <row r="1469">
      <c r="A1469" s="182"/>
      <c r="B1469" s="182"/>
      <c r="C1469" s="182"/>
      <c r="D1469" s="182"/>
      <c r="E1469" s="183"/>
      <c r="F1469" s="127"/>
      <c r="G1469" s="127"/>
      <c r="H1469" s="127"/>
      <c r="I1469" s="127"/>
    </row>
    <row r="1470">
      <c r="A1470" s="182"/>
      <c r="B1470" s="182"/>
      <c r="C1470" s="182"/>
      <c r="D1470" s="182"/>
      <c r="E1470" s="183"/>
      <c r="F1470" s="127"/>
      <c r="G1470" s="127"/>
      <c r="H1470" s="127"/>
      <c r="I1470" s="127"/>
    </row>
    <row r="1471">
      <c r="A1471" s="182"/>
      <c r="B1471" s="182"/>
      <c r="C1471" s="182"/>
      <c r="D1471" s="182"/>
      <c r="E1471" s="183"/>
      <c r="F1471" s="127"/>
      <c r="G1471" s="127"/>
      <c r="H1471" s="127"/>
      <c r="I1471" s="127"/>
    </row>
    <row r="1472">
      <c r="A1472" s="182"/>
      <c r="B1472" s="182"/>
      <c r="C1472" s="182"/>
      <c r="D1472" s="182"/>
      <c r="E1472" s="183"/>
      <c r="F1472" s="127"/>
      <c r="G1472" s="127"/>
      <c r="H1472" s="127"/>
      <c r="I1472" s="127"/>
    </row>
    <row r="1473">
      <c r="A1473" s="182"/>
      <c r="B1473" s="182"/>
      <c r="C1473" s="182"/>
      <c r="D1473" s="182"/>
      <c r="E1473" s="183"/>
      <c r="F1473" s="127"/>
      <c r="G1473" s="127"/>
      <c r="H1473" s="127"/>
      <c r="I1473" s="127"/>
    </row>
    <row r="1474">
      <c r="A1474" s="182"/>
      <c r="B1474" s="182"/>
      <c r="C1474" s="182"/>
      <c r="D1474" s="182"/>
      <c r="E1474" s="183"/>
      <c r="F1474" s="127"/>
      <c r="G1474" s="127"/>
      <c r="H1474" s="127"/>
      <c r="I1474" s="127"/>
    </row>
    <row r="1475">
      <c r="A1475" s="182"/>
      <c r="B1475" s="182"/>
      <c r="C1475" s="182"/>
      <c r="D1475" s="182"/>
      <c r="E1475" s="183"/>
      <c r="F1475" s="127"/>
      <c r="G1475" s="127"/>
      <c r="H1475" s="127"/>
      <c r="I1475" s="127"/>
    </row>
    <row r="1476">
      <c r="A1476" s="182"/>
      <c r="B1476" s="182"/>
      <c r="C1476" s="182"/>
      <c r="D1476" s="182"/>
      <c r="E1476" s="183"/>
      <c r="F1476" s="127"/>
      <c r="G1476" s="127"/>
      <c r="H1476" s="127"/>
      <c r="I1476" s="127"/>
    </row>
    <row r="1477">
      <c r="A1477" s="182"/>
      <c r="B1477" s="182"/>
      <c r="C1477" s="182"/>
      <c r="D1477" s="182"/>
      <c r="E1477" s="183"/>
      <c r="F1477" s="127"/>
      <c r="G1477" s="127"/>
      <c r="H1477" s="127"/>
      <c r="I1477" s="127"/>
    </row>
    <row r="1478">
      <c r="A1478" s="182"/>
      <c r="B1478" s="182"/>
      <c r="C1478" s="182"/>
      <c r="D1478" s="182"/>
      <c r="E1478" s="183"/>
      <c r="F1478" s="127"/>
      <c r="G1478" s="127"/>
      <c r="H1478" s="127"/>
      <c r="I1478" s="127"/>
    </row>
    <row r="1479">
      <c r="A1479" s="182"/>
      <c r="B1479" s="182"/>
      <c r="C1479" s="182"/>
      <c r="D1479" s="182"/>
      <c r="E1479" s="183"/>
      <c r="F1479" s="127"/>
      <c r="G1479" s="127"/>
      <c r="H1479" s="127"/>
      <c r="I1479" s="127"/>
    </row>
    <row r="1480">
      <c r="A1480" s="182"/>
      <c r="B1480" s="182"/>
      <c r="C1480" s="182"/>
      <c r="D1480" s="182"/>
      <c r="E1480" s="183"/>
      <c r="F1480" s="127"/>
      <c r="G1480" s="127"/>
      <c r="H1480" s="127"/>
      <c r="I1480" s="127"/>
    </row>
    <row r="1481">
      <c r="A1481" s="182"/>
      <c r="B1481" s="182"/>
      <c r="C1481" s="182"/>
      <c r="D1481" s="182"/>
      <c r="E1481" s="183"/>
      <c r="F1481" s="127"/>
      <c r="G1481" s="127"/>
      <c r="H1481" s="127"/>
      <c r="I1481" s="127"/>
    </row>
    <row r="1482">
      <c r="A1482" s="182"/>
      <c r="B1482" s="182"/>
      <c r="C1482" s="182"/>
      <c r="D1482" s="182"/>
      <c r="E1482" s="183"/>
      <c r="F1482" s="127"/>
      <c r="G1482" s="127"/>
      <c r="H1482" s="127"/>
      <c r="I1482" s="127"/>
    </row>
    <row r="1483">
      <c r="A1483" s="182"/>
      <c r="B1483" s="182"/>
      <c r="C1483" s="182"/>
      <c r="D1483" s="182"/>
      <c r="E1483" s="183"/>
      <c r="F1483" s="127"/>
      <c r="G1483" s="127"/>
      <c r="H1483" s="127"/>
      <c r="I1483" s="127"/>
    </row>
    <row r="1484">
      <c r="A1484" s="182"/>
      <c r="B1484" s="182"/>
      <c r="C1484" s="182"/>
      <c r="D1484" s="182"/>
      <c r="E1484" s="183"/>
      <c r="F1484" s="127"/>
      <c r="G1484" s="127"/>
      <c r="H1484" s="127"/>
      <c r="I1484" s="127"/>
    </row>
    <row r="1485">
      <c r="A1485" s="182"/>
      <c r="B1485" s="182"/>
      <c r="C1485" s="182"/>
      <c r="D1485" s="182"/>
      <c r="E1485" s="183"/>
      <c r="F1485" s="127"/>
      <c r="G1485" s="127"/>
      <c r="H1485" s="127"/>
      <c r="I1485" s="127"/>
    </row>
    <row r="1486">
      <c r="A1486" s="182"/>
      <c r="B1486" s="182"/>
      <c r="C1486" s="182"/>
      <c r="D1486" s="182"/>
      <c r="E1486" s="183"/>
      <c r="F1486" s="127"/>
      <c r="G1486" s="127"/>
      <c r="H1486" s="127"/>
      <c r="I1486" s="127"/>
    </row>
    <row r="1487">
      <c r="A1487" s="182"/>
      <c r="B1487" s="182"/>
      <c r="C1487" s="182"/>
      <c r="D1487" s="182"/>
      <c r="E1487" s="183"/>
      <c r="F1487" s="127"/>
      <c r="G1487" s="127"/>
      <c r="H1487" s="127"/>
      <c r="I1487" s="127"/>
    </row>
    <row r="1488">
      <c r="A1488" s="182"/>
      <c r="B1488" s="182"/>
      <c r="C1488" s="182"/>
      <c r="D1488" s="182"/>
      <c r="E1488" s="183"/>
      <c r="F1488" s="127"/>
      <c r="G1488" s="127"/>
      <c r="H1488" s="127"/>
      <c r="I1488" s="127"/>
    </row>
    <row r="1489">
      <c r="A1489" s="182"/>
      <c r="B1489" s="182"/>
      <c r="C1489" s="182"/>
      <c r="D1489" s="182"/>
      <c r="E1489" s="183"/>
      <c r="F1489" s="127"/>
      <c r="G1489" s="127"/>
      <c r="H1489" s="127"/>
      <c r="I1489" s="127"/>
    </row>
    <row r="1490">
      <c r="A1490" s="182"/>
      <c r="B1490" s="182"/>
      <c r="C1490" s="182"/>
      <c r="D1490" s="182"/>
      <c r="E1490" s="183"/>
      <c r="F1490" s="127"/>
      <c r="G1490" s="127"/>
      <c r="H1490" s="127"/>
      <c r="I1490" s="127"/>
    </row>
    <row r="1491">
      <c r="A1491" s="182"/>
      <c r="B1491" s="182"/>
      <c r="C1491" s="182"/>
      <c r="D1491" s="182"/>
      <c r="E1491" s="183"/>
      <c r="F1491" s="127"/>
      <c r="G1491" s="127"/>
      <c r="H1491" s="127"/>
      <c r="I1491" s="127"/>
    </row>
    <row r="1492">
      <c r="A1492" s="182"/>
      <c r="B1492" s="182"/>
      <c r="C1492" s="182"/>
      <c r="D1492" s="182"/>
      <c r="E1492" s="183"/>
      <c r="F1492" s="127"/>
      <c r="G1492" s="127"/>
      <c r="H1492" s="127"/>
      <c r="I1492" s="127"/>
    </row>
    <row r="1493">
      <c r="A1493" s="182"/>
      <c r="B1493" s="182"/>
      <c r="C1493" s="182"/>
      <c r="D1493" s="182"/>
      <c r="E1493" s="183"/>
      <c r="F1493" s="127"/>
      <c r="G1493" s="127"/>
      <c r="H1493" s="127"/>
      <c r="I1493" s="127"/>
    </row>
    <row r="1494">
      <c r="A1494" s="182"/>
      <c r="B1494" s="182"/>
      <c r="C1494" s="182"/>
      <c r="D1494" s="182"/>
      <c r="E1494" s="183"/>
      <c r="F1494" s="127"/>
      <c r="G1494" s="127"/>
      <c r="H1494" s="127"/>
      <c r="I1494" s="127"/>
    </row>
    <row r="1495">
      <c r="A1495" s="182"/>
      <c r="B1495" s="182"/>
      <c r="C1495" s="182"/>
      <c r="D1495" s="182"/>
      <c r="E1495" s="183"/>
      <c r="F1495" s="127"/>
      <c r="G1495" s="127"/>
      <c r="H1495" s="127"/>
      <c r="I1495" s="127"/>
    </row>
    <row r="1496">
      <c r="A1496" s="182"/>
      <c r="B1496" s="182"/>
      <c r="C1496" s="182"/>
      <c r="D1496" s="182"/>
      <c r="E1496" s="183"/>
      <c r="F1496" s="127"/>
      <c r="G1496" s="127"/>
      <c r="H1496" s="127"/>
      <c r="I1496" s="127"/>
    </row>
    <row r="1497">
      <c r="A1497" s="182"/>
      <c r="B1497" s="182"/>
      <c r="C1497" s="182"/>
      <c r="D1497" s="182"/>
      <c r="E1497" s="183"/>
      <c r="F1497" s="127"/>
      <c r="G1497" s="127"/>
      <c r="H1497" s="127"/>
      <c r="I1497" s="127"/>
    </row>
    <row r="1498">
      <c r="A1498" s="182"/>
      <c r="B1498" s="182"/>
      <c r="C1498" s="182"/>
      <c r="D1498" s="182"/>
      <c r="E1498" s="183"/>
      <c r="F1498" s="127"/>
      <c r="G1498" s="127"/>
      <c r="H1498" s="127"/>
      <c r="I1498" s="127"/>
    </row>
    <row r="1499">
      <c r="A1499" s="182"/>
      <c r="B1499" s="182"/>
      <c r="C1499" s="182"/>
      <c r="D1499" s="182"/>
      <c r="E1499" s="183"/>
      <c r="F1499" s="127"/>
      <c r="G1499" s="127"/>
      <c r="H1499" s="127"/>
      <c r="I1499" s="127"/>
    </row>
    <row r="1500">
      <c r="A1500" s="182"/>
      <c r="B1500" s="182"/>
      <c r="C1500" s="182"/>
      <c r="D1500" s="182"/>
      <c r="E1500" s="183"/>
      <c r="F1500" s="127"/>
      <c r="G1500" s="127"/>
      <c r="H1500" s="127"/>
      <c r="I1500" s="127"/>
    </row>
    <row r="1501">
      <c r="A1501" s="182"/>
      <c r="B1501" s="182"/>
      <c r="C1501" s="182"/>
      <c r="D1501" s="182"/>
      <c r="E1501" s="183"/>
      <c r="F1501" s="127"/>
      <c r="G1501" s="127"/>
      <c r="H1501" s="127"/>
      <c r="I1501" s="127"/>
    </row>
    <row r="1502">
      <c r="A1502" s="182"/>
      <c r="B1502" s="182"/>
      <c r="C1502" s="182"/>
      <c r="D1502" s="182"/>
      <c r="E1502" s="183"/>
      <c r="F1502" s="127"/>
      <c r="G1502" s="127"/>
      <c r="H1502" s="127"/>
      <c r="I1502" s="127"/>
    </row>
    <row r="1503">
      <c r="A1503" s="182"/>
      <c r="B1503" s="182"/>
      <c r="C1503" s="182"/>
      <c r="D1503" s="182"/>
      <c r="E1503" s="183"/>
      <c r="F1503" s="127"/>
      <c r="G1503" s="127"/>
      <c r="H1503" s="127"/>
      <c r="I1503" s="127"/>
    </row>
    <row r="1504">
      <c r="A1504" s="182"/>
      <c r="B1504" s="182"/>
      <c r="C1504" s="182"/>
      <c r="D1504" s="182"/>
      <c r="E1504" s="183"/>
      <c r="F1504" s="127"/>
      <c r="G1504" s="127"/>
      <c r="H1504" s="127"/>
      <c r="I1504" s="127"/>
    </row>
    <row r="1505">
      <c r="A1505" s="182"/>
      <c r="B1505" s="182"/>
      <c r="C1505" s="182"/>
      <c r="D1505" s="182"/>
      <c r="E1505" s="183"/>
      <c r="F1505" s="127"/>
      <c r="G1505" s="127"/>
      <c r="H1505" s="127"/>
      <c r="I1505" s="127"/>
    </row>
    <row r="1506">
      <c r="A1506" s="182"/>
      <c r="B1506" s="182"/>
      <c r="C1506" s="182"/>
      <c r="D1506" s="182"/>
      <c r="E1506" s="183"/>
      <c r="F1506" s="127"/>
      <c r="G1506" s="127"/>
      <c r="H1506" s="127"/>
      <c r="I1506" s="127"/>
    </row>
    <row r="1507">
      <c r="A1507" s="182"/>
      <c r="B1507" s="182"/>
      <c r="C1507" s="182"/>
      <c r="D1507" s="182"/>
      <c r="E1507" s="183"/>
      <c r="F1507" s="127"/>
      <c r="G1507" s="127"/>
      <c r="H1507" s="127"/>
      <c r="I1507" s="127"/>
    </row>
    <row r="1508">
      <c r="A1508" s="182"/>
      <c r="B1508" s="182"/>
      <c r="C1508" s="182"/>
      <c r="D1508" s="182"/>
      <c r="E1508" s="183"/>
      <c r="F1508" s="127"/>
      <c r="G1508" s="127"/>
      <c r="H1508" s="127"/>
      <c r="I1508" s="127"/>
    </row>
    <row r="1509">
      <c r="A1509" s="182"/>
      <c r="B1509" s="182"/>
      <c r="C1509" s="182"/>
      <c r="D1509" s="182"/>
      <c r="E1509" s="183"/>
      <c r="F1509" s="127"/>
      <c r="G1509" s="127"/>
      <c r="H1509" s="127"/>
      <c r="I1509" s="127"/>
    </row>
    <row r="1510">
      <c r="A1510" s="182"/>
      <c r="B1510" s="182"/>
      <c r="C1510" s="182"/>
      <c r="D1510" s="182"/>
      <c r="E1510" s="183"/>
      <c r="F1510" s="127"/>
      <c r="G1510" s="127"/>
      <c r="H1510" s="127"/>
      <c r="I1510" s="127"/>
    </row>
    <row r="1511">
      <c r="A1511" s="182"/>
      <c r="B1511" s="182"/>
      <c r="C1511" s="182"/>
      <c r="D1511" s="182"/>
      <c r="E1511" s="183"/>
      <c r="F1511" s="127"/>
      <c r="G1511" s="127"/>
      <c r="H1511" s="127"/>
      <c r="I1511" s="127"/>
    </row>
    <row r="1512">
      <c r="A1512" s="182"/>
      <c r="B1512" s="182"/>
      <c r="C1512" s="182"/>
      <c r="D1512" s="182"/>
      <c r="E1512" s="183"/>
      <c r="F1512" s="127"/>
      <c r="G1512" s="127"/>
      <c r="H1512" s="127"/>
      <c r="I1512" s="127"/>
    </row>
    <row r="1513">
      <c r="A1513" s="182"/>
      <c r="B1513" s="182"/>
      <c r="C1513" s="182"/>
      <c r="D1513" s="182"/>
      <c r="E1513" s="183"/>
      <c r="F1513" s="127"/>
      <c r="G1513" s="127"/>
      <c r="H1513" s="127"/>
      <c r="I1513" s="127"/>
    </row>
    <row r="1514">
      <c r="A1514" s="182"/>
      <c r="B1514" s="182"/>
      <c r="C1514" s="182"/>
      <c r="D1514" s="182"/>
      <c r="E1514" s="183"/>
      <c r="F1514" s="127"/>
      <c r="G1514" s="127"/>
      <c r="H1514" s="127"/>
      <c r="I1514" s="127"/>
    </row>
    <row r="1515">
      <c r="A1515" s="182"/>
      <c r="B1515" s="182"/>
      <c r="C1515" s="182"/>
      <c r="D1515" s="182"/>
      <c r="E1515" s="183"/>
      <c r="F1515" s="127"/>
      <c r="G1515" s="127"/>
      <c r="H1515" s="127"/>
      <c r="I1515" s="127"/>
    </row>
    <row r="1516">
      <c r="A1516" s="182"/>
      <c r="B1516" s="182"/>
      <c r="C1516" s="182"/>
      <c r="D1516" s="182"/>
      <c r="E1516" s="183"/>
      <c r="F1516" s="127"/>
      <c r="G1516" s="127"/>
      <c r="H1516" s="127"/>
      <c r="I1516" s="127"/>
    </row>
    <row r="1517">
      <c r="A1517" s="182"/>
      <c r="B1517" s="182"/>
      <c r="C1517" s="182"/>
      <c r="D1517" s="182"/>
      <c r="E1517" s="183"/>
      <c r="F1517" s="127"/>
      <c r="G1517" s="127"/>
      <c r="H1517" s="127"/>
      <c r="I1517" s="127"/>
    </row>
    <row r="1518">
      <c r="A1518" s="182"/>
      <c r="B1518" s="182"/>
      <c r="C1518" s="182"/>
      <c r="D1518" s="182"/>
      <c r="E1518" s="183"/>
      <c r="F1518" s="127"/>
      <c r="G1518" s="127"/>
      <c r="H1518" s="127"/>
      <c r="I1518" s="127"/>
    </row>
    <row r="1519">
      <c r="A1519" s="182"/>
      <c r="B1519" s="182"/>
      <c r="C1519" s="182"/>
      <c r="D1519" s="182"/>
      <c r="E1519" s="183"/>
      <c r="F1519" s="127"/>
      <c r="G1519" s="127"/>
      <c r="H1519" s="127"/>
      <c r="I1519" s="127"/>
    </row>
    <row r="1520">
      <c r="A1520" s="182"/>
      <c r="B1520" s="182"/>
      <c r="C1520" s="182"/>
      <c r="D1520" s="182"/>
      <c r="E1520" s="183"/>
      <c r="F1520" s="127"/>
      <c r="G1520" s="127"/>
      <c r="H1520" s="127"/>
      <c r="I1520" s="127"/>
    </row>
    <row r="1521">
      <c r="A1521" s="182"/>
      <c r="B1521" s="182"/>
      <c r="C1521" s="182"/>
      <c r="D1521" s="182"/>
      <c r="E1521" s="183"/>
      <c r="F1521" s="127"/>
      <c r="G1521" s="127"/>
      <c r="H1521" s="127"/>
      <c r="I1521" s="127"/>
    </row>
    <row r="1522">
      <c r="A1522" s="182"/>
      <c r="B1522" s="182"/>
      <c r="C1522" s="182"/>
      <c r="D1522" s="182"/>
      <c r="E1522" s="183"/>
      <c r="F1522" s="127"/>
      <c r="G1522" s="127"/>
      <c r="H1522" s="127"/>
      <c r="I1522" s="127"/>
    </row>
    <row r="1523">
      <c r="A1523" s="182"/>
      <c r="B1523" s="182"/>
      <c r="C1523" s="182"/>
      <c r="D1523" s="182"/>
      <c r="E1523" s="183"/>
      <c r="F1523" s="127"/>
      <c r="G1523" s="127"/>
      <c r="H1523" s="127"/>
      <c r="I1523" s="127"/>
    </row>
    <row r="1524">
      <c r="A1524" s="182"/>
      <c r="B1524" s="182"/>
      <c r="C1524" s="182"/>
      <c r="D1524" s="182"/>
      <c r="E1524" s="183"/>
      <c r="F1524" s="127"/>
      <c r="G1524" s="127"/>
      <c r="H1524" s="127"/>
      <c r="I1524" s="127"/>
    </row>
    <row r="1525">
      <c r="A1525" s="182"/>
      <c r="B1525" s="182"/>
      <c r="C1525" s="182"/>
      <c r="D1525" s="182"/>
      <c r="E1525" s="183"/>
      <c r="F1525" s="127"/>
      <c r="G1525" s="127"/>
      <c r="H1525" s="127"/>
      <c r="I1525" s="127"/>
    </row>
    <row r="1526">
      <c r="A1526" s="182"/>
      <c r="B1526" s="182"/>
      <c r="C1526" s="182"/>
      <c r="D1526" s="182"/>
      <c r="E1526" s="183"/>
      <c r="F1526" s="127"/>
      <c r="G1526" s="127"/>
      <c r="H1526" s="127"/>
      <c r="I1526" s="127"/>
    </row>
    <row r="1527">
      <c r="A1527" s="182"/>
      <c r="B1527" s="182"/>
      <c r="C1527" s="182"/>
      <c r="D1527" s="182"/>
      <c r="E1527" s="183"/>
      <c r="F1527" s="127"/>
      <c r="G1527" s="127"/>
      <c r="H1527" s="127"/>
      <c r="I1527" s="127"/>
    </row>
    <row r="1528">
      <c r="A1528" s="182"/>
      <c r="B1528" s="182"/>
      <c r="C1528" s="182"/>
      <c r="D1528" s="182"/>
      <c r="E1528" s="183"/>
      <c r="F1528" s="127"/>
      <c r="G1528" s="127"/>
      <c r="H1528" s="127"/>
      <c r="I1528" s="127"/>
    </row>
    <row r="1529">
      <c r="A1529" s="182"/>
      <c r="B1529" s="182"/>
      <c r="C1529" s="182"/>
      <c r="D1529" s="182"/>
      <c r="E1529" s="183"/>
      <c r="F1529" s="127"/>
      <c r="G1529" s="127"/>
      <c r="H1529" s="127"/>
      <c r="I1529" s="127"/>
    </row>
    <row r="1530">
      <c r="A1530" s="182"/>
      <c r="B1530" s="182"/>
      <c r="C1530" s="182"/>
      <c r="D1530" s="182"/>
      <c r="E1530" s="183"/>
      <c r="F1530" s="127"/>
      <c r="G1530" s="127"/>
      <c r="H1530" s="127"/>
      <c r="I1530" s="127"/>
    </row>
    <row r="1531">
      <c r="A1531" s="182"/>
      <c r="B1531" s="182"/>
      <c r="C1531" s="182"/>
      <c r="D1531" s="182"/>
      <c r="E1531" s="183"/>
      <c r="F1531" s="127"/>
      <c r="G1531" s="127"/>
      <c r="H1531" s="127"/>
      <c r="I1531" s="127"/>
    </row>
    <row r="1532">
      <c r="A1532" s="182"/>
      <c r="B1532" s="182"/>
      <c r="C1532" s="182"/>
      <c r="D1532" s="182"/>
      <c r="E1532" s="183"/>
      <c r="F1532" s="127"/>
      <c r="G1532" s="127"/>
      <c r="H1532" s="127"/>
      <c r="I1532" s="127"/>
    </row>
    <row r="1533">
      <c r="A1533" s="182"/>
      <c r="B1533" s="182"/>
      <c r="C1533" s="182"/>
      <c r="D1533" s="182"/>
      <c r="E1533" s="183"/>
      <c r="F1533" s="127"/>
      <c r="G1533" s="127"/>
      <c r="H1533" s="127"/>
      <c r="I1533" s="127"/>
    </row>
    <row r="1534">
      <c r="A1534" s="182"/>
      <c r="B1534" s="182"/>
      <c r="C1534" s="182"/>
      <c r="D1534" s="182"/>
      <c r="E1534" s="183"/>
      <c r="F1534" s="127"/>
      <c r="G1534" s="127"/>
      <c r="H1534" s="127"/>
      <c r="I1534" s="127"/>
    </row>
    <row r="1535">
      <c r="A1535" s="182"/>
      <c r="B1535" s="182"/>
      <c r="C1535" s="182"/>
      <c r="D1535" s="182"/>
      <c r="E1535" s="183"/>
      <c r="F1535" s="127"/>
      <c r="G1535" s="127"/>
      <c r="H1535" s="127"/>
      <c r="I1535" s="127"/>
    </row>
    <row r="1536">
      <c r="A1536" s="182"/>
      <c r="B1536" s="182"/>
      <c r="C1536" s="182"/>
      <c r="D1536" s="182"/>
      <c r="E1536" s="183"/>
      <c r="F1536" s="127"/>
      <c r="G1536" s="127"/>
      <c r="H1536" s="127"/>
      <c r="I1536" s="127"/>
    </row>
    <row r="1537">
      <c r="A1537" s="182"/>
      <c r="B1537" s="183"/>
      <c r="C1537" s="182"/>
      <c r="D1537" s="182"/>
      <c r="E1537" s="183"/>
      <c r="F1537" s="127"/>
      <c r="G1537" s="127"/>
      <c r="H1537" s="127"/>
      <c r="I1537" s="127"/>
    </row>
    <row r="1538">
      <c r="A1538" s="182"/>
      <c r="B1538" s="182"/>
      <c r="C1538" s="182"/>
      <c r="D1538" s="182"/>
      <c r="E1538" s="183"/>
      <c r="F1538" s="127"/>
      <c r="G1538" s="127"/>
      <c r="H1538" s="127"/>
      <c r="I1538" s="127"/>
    </row>
    <row r="1539">
      <c r="A1539" s="182"/>
      <c r="B1539" s="182"/>
      <c r="C1539" s="182"/>
      <c r="D1539" s="182"/>
      <c r="E1539" s="183"/>
      <c r="F1539" s="127"/>
      <c r="G1539" s="127"/>
      <c r="H1539" s="127"/>
      <c r="I1539" s="127"/>
    </row>
    <row r="1540">
      <c r="A1540" s="182"/>
      <c r="B1540" s="182"/>
      <c r="C1540" s="182"/>
      <c r="D1540" s="182"/>
      <c r="E1540" s="183"/>
      <c r="F1540" s="127"/>
      <c r="G1540" s="127"/>
      <c r="H1540" s="127"/>
      <c r="I1540" s="127"/>
    </row>
    <row r="1541">
      <c r="A1541" s="182"/>
      <c r="B1541" s="182"/>
      <c r="C1541" s="182"/>
      <c r="D1541" s="182"/>
      <c r="E1541" s="183"/>
      <c r="F1541" s="127"/>
      <c r="G1541" s="127"/>
      <c r="H1541" s="127"/>
      <c r="I1541" s="127"/>
    </row>
    <row r="1542">
      <c r="A1542" s="182"/>
      <c r="B1542" s="182"/>
      <c r="C1542" s="182"/>
      <c r="D1542" s="182"/>
      <c r="E1542" s="183"/>
      <c r="F1542" s="127"/>
      <c r="G1542" s="127"/>
      <c r="H1542" s="127"/>
      <c r="I1542" s="127"/>
    </row>
    <row r="1543">
      <c r="A1543" s="182"/>
      <c r="B1543" s="182"/>
      <c r="C1543" s="182"/>
      <c r="D1543" s="182"/>
      <c r="E1543" s="183"/>
      <c r="F1543" s="127"/>
      <c r="G1543" s="127"/>
      <c r="H1543" s="127"/>
      <c r="I1543" s="127"/>
    </row>
    <row r="1544">
      <c r="A1544" s="182"/>
      <c r="B1544" s="182"/>
      <c r="C1544" s="182"/>
      <c r="D1544" s="182"/>
      <c r="E1544" s="183"/>
      <c r="F1544" s="127"/>
      <c r="G1544" s="127"/>
      <c r="H1544" s="127"/>
      <c r="I1544" s="127"/>
    </row>
    <row r="1545">
      <c r="A1545" s="182"/>
      <c r="B1545" s="182"/>
      <c r="C1545" s="182"/>
      <c r="D1545" s="182"/>
      <c r="E1545" s="183"/>
      <c r="F1545" s="127"/>
      <c r="G1545" s="127"/>
      <c r="H1545" s="127"/>
      <c r="I1545" s="127"/>
    </row>
    <row r="1546">
      <c r="A1546" s="182"/>
      <c r="B1546" s="182"/>
      <c r="C1546" s="182"/>
      <c r="D1546" s="182"/>
      <c r="E1546" s="183"/>
      <c r="F1546" s="127"/>
      <c r="G1546" s="127"/>
      <c r="H1546" s="127"/>
      <c r="I1546" s="127"/>
    </row>
    <row r="1547">
      <c r="A1547" s="182"/>
      <c r="B1547" s="182"/>
      <c r="C1547" s="182"/>
      <c r="D1547" s="182"/>
      <c r="E1547" s="183"/>
      <c r="F1547" s="127"/>
      <c r="G1547" s="127"/>
      <c r="H1547" s="127"/>
      <c r="I1547" s="127"/>
    </row>
    <row r="1548">
      <c r="A1548" s="182"/>
      <c r="B1548" s="182"/>
      <c r="C1548" s="182"/>
      <c r="D1548" s="182"/>
      <c r="E1548" s="183"/>
      <c r="F1548" s="127"/>
      <c r="G1548" s="127"/>
      <c r="H1548" s="127"/>
      <c r="I1548" s="127"/>
    </row>
    <row r="1549">
      <c r="A1549" s="182"/>
      <c r="B1549" s="182"/>
      <c r="C1549" s="182"/>
      <c r="D1549" s="182"/>
      <c r="E1549" s="183"/>
      <c r="F1549" s="127"/>
      <c r="G1549" s="127"/>
      <c r="H1549" s="127"/>
      <c r="I1549" s="127"/>
    </row>
    <row r="1550">
      <c r="A1550" s="182"/>
      <c r="B1550" s="182"/>
      <c r="C1550" s="182"/>
      <c r="D1550" s="182"/>
      <c r="E1550" s="183"/>
      <c r="F1550" s="127"/>
      <c r="G1550" s="127"/>
      <c r="H1550" s="127"/>
      <c r="I1550" s="127"/>
    </row>
    <row r="1551">
      <c r="A1551" s="182"/>
      <c r="B1551" s="182"/>
      <c r="C1551" s="182"/>
      <c r="D1551" s="182"/>
      <c r="E1551" s="183"/>
      <c r="F1551" s="127"/>
      <c r="G1551" s="127"/>
      <c r="H1551" s="127"/>
      <c r="I1551" s="127"/>
    </row>
    <row r="1552">
      <c r="A1552" s="182"/>
      <c r="B1552" s="182"/>
      <c r="C1552" s="182"/>
      <c r="D1552" s="182"/>
      <c r="E1552" s="183"/>
      <c r="F1552" s="127"/>
      <c r="G1552" s="127"/>
      <c r="H1552" s="127"/>
      <c r="I1552" s="127"/>
    </row>
    <row r="1553">
      <c r="A1553" s="182"/>
      <c r="B1553" s="182"/>
      <c r="C1553" s="182"/>
      <c r="D1553" s="182"/>
      <c r="E1553" s="183"/>
      <c r="F1553" s="127"/>
      <c r="G1553" s="127"/>
      <c r="H1553" s="127"/>
      <c r="I1553" s="127"/>
    </row>
    <row r="1554">
      <c r="A1554" s="182"/>
      <c r="B1554" s="182"/>
      <c r="C1554" s="182"/>
      <c r="D1554" s="182"/>
      <c r="E1554" s="183"/>
      <c r="F1554" s="127"/>
      <c r="G1554" s="127"/>
      <c r="H1554" s="127"/>
      <c r="I1554" s="127"/>
    </row>
    <row r="1555">
      <c r="A1555" s="182"/>
      <c r="B1555" s="182"/>
      <c r="C1555" s="182"/>
      <c r="D1555" s="182"/>
      <c r="E1555" s="183"/>
      <c r="F1555" s="127"/>
      <c r="G1555" s="127"/>
      <c r="H1555" s="127"/>
      <c r="I1555" s="127"/>
    </row>
    <row r="1556">
      <c r="A1556" s="182"/>
      <c r="B1556" s="182"/>
      <c r="C1556" s="182"/>
      <c r="D1556" s="182"/>
      <c r="E1556" s="183"/>
      <c r="F1556" s="127"/>
      <c r="G1556" s="127"/>
      <c r="H1556" s="127"/>
      <c r="I1556" s="127"/>
    </row>
    <row r="1557">
      <c r="A1557" s="182"/>
      <c r="B1557" s="182"/>
      <c r="C1557" s="182"/>
      <c r="D1557" s="182"/>
      <c r="E1557" s="183"/>
      <c r="F1557" s="127"/>
      <c r="G1557" s="127"/>
      <c r="H1557" s="127"/>
      <c r="I1557" s="127"/>
    </row>
    <row r="1558">
      <c r="A1558" s="182"/>
      <c r="B1558" s="182"/>
      <c r="C1558" s="182"/>
      <c r="D1558" s="182"/>
      <c r="E1558" s="183"/>
      <c r="F1558" s="127"/>
      <c r="G1558" s="127"/>
      <c r="H1558" s="127"/>
      <c r="I1558" s="127"/>
    </row>
    <row r="1559">
      <c r="A1559" s="182"/>
      <c r="B1559" s="182"/>
      <c r="C1559" s="182"/>
      <c r="D1559" s="182"/>
      <c r="E1559" s="183"/>
      <c r="F1559" s="127"/>
      <c r="G1559" s="127"/>
      <c r="H1559" s="127"/>
      <c r="I1559" s="127"/>
    </row>
    <row r="1560">
      <c r="A1560" s="182"/>
      <c r="B1560" s="182"/>
      <c r="C1560" s="182"/>
      <c r="D1560" s="182"/>
      <c r="E1560" s="183"/>
      <c r="F1560" s="127"/>
      <c r="G1560" s="127"/>
      <c r="H1560" s="127"/>
      <c r="I1560" s="127"/>
    </row>
    <row r="1561">
      <c r="A1561" s="182"/>
      <c r="B1561" s="182"/>
      <c r="C1561" s="182"/>
      <c r="D1561" s="182"/>
      <c r="E1561" s="183"/>
      <c r="F1561" s="127"/>
      <c r="G1561" s="127"/>
      <c r="H1561" s="127"/>
      <c r="I1561" s="127"/>
    </row>
    <row r="1562">
      <c r="A1562" s="182"/>
      <c r="B1562" s="182"/>
      <c r="C1562" s="182"/>
      <c r="D1562" s="182"/>
      <c r="E1562" s="183"/>
      <c r="F1562" s="127"/>
      <c r="G1562" s="127"/>
      <c r="H1562" s="127"/>
      <c r="I1562" s="127"/>
    </row>
    <row r="1563">
      <c r="A1563" s="182"/>
      <c r="B1563" s="182"/>
      <c r="C1563" s="182"/>
      <c r="D1563" s="182"/>
      <c r="E1563" s="183"/>
      <c r="F1563" s="127"/>
      <c r="G1563" s="127"/>
      <c r="H1563" s="127"/>
      <c r="I1563" s="127"/>
    </row>
    <row r="1564">
      <c r="A1564" s="182"/>
      <c r="B1564" s="182"/>
      <c r="C1564" s="182"/>
      <c r="D1564" s="182"/>
      <c r="E1564" s="183"/>
      <c r="F1564" s="127"/>
      <c r="G1564" s="127"/>
      <c r="H1564" s="127"/>
      <c r="I1564" s="127"/>
    </row>
    <row r="1565">
      <c r="A1565" s="182"/>
      <c r="B1565" s="183"/>
      <c r="C1565" s="182"/>
      <c r="D1565" s="182"/>
      <c r="E1565" s="183"/>
      <c r="F1565" s="127"/>
      <c r="G1565" s="127"/>
      <c r="H1565" s="127"/>
      <c r="I1565" s="127"/>
    </row>
    <row r="1566">
      <c r="A1566" s="182"/>
      <c r="B1566" s="182"/>
      <c r="C1566" s="182"/>
      <c r="D1566" s="182"/>
      <c r="E1566" s="183"/>
      <c r="F1566" s="127"/>
      <c r="G1566" s="127"/>
      <c r="H1566" s="127"/>
      <c r="I1566" s="127"/>
    </row>
    <row r="1567">
      <c r="A1567" s="182"/>
      <c r="B1567" s="182"/>
      <c r="C1567" s="182"/>
      <c r="D1567" s="182"/>
      <c r="E1567" s="183"/>
      <c r="F1567" s="127"/>
      <c r="G1567" s="127"/>
      <c r="H1567" s="127"/>
      <c r="I1567" s="127"/>
    </row>
    <row r="1568">
      <c r="A1568" s="182"/>
      <c r="B1568" s="182"/>
      <c r="C1568" s="182"/>
      <c r="D1568" s="182"/>
      <c r="E1568" s="183"/>
      <c r="F1568" s="127"/>
      <c r="G1568" s="127"/>
      <c r="H1568" s="127"/>
      <c r="I1568" s="127"/>
    </row>
    <row r="1569">
      <c r="A1569" s="182"/>
      <c r="B1569" s="182"/>
      <c r="C1569" s="182"/>
      <c r="D1569" s="182"/>
      <c r="E1569" s="183"/>
      <c r="F1569" s="127"/>
      <c r="G1569" s="127"/>
      <c r="H1569" s="127"/>
      <c r="I1569" s="127"/>
    </row>
    <row r="1570">
      <c r="A1570" s="182"/>
      <c r="B1570" s="182"/>
      <c r="C1570" s="182"/>
      <c r="D1570" s="182"/>
      <c r="E1570" s="183"/>
      <c r="F1570" s="127"/>
      <c r="G1570" s="127"/>
      <c r="H1570" s="127"/>
      <c r="I1570" s="127"/>
    </row>
    <row r="1571">
      <c r="A1571" s="182"/>
      <c r="B1571" s="182"/>
      <c r="C1571" s="182"/>
      <c r="D1571" s="182"/>
      <c r="E1571" s="183"/>
      <c r="F1571" s="127"/>
      <c r="G1571" s="127"/>
      <c r="H1571" s="127"/>
      <c r="I1571" s="127"/>
    </row>
    <row r="1572">
      <c r="A1572" s="182"/>
      <c r="B1572" s="182"/>
      <c r="C1572" s="182"/>
      <c r="D1572" s="182"/>
      <c r="E1572" s="183"/>
      <c r="F1572" s="127"/>
      <c r="G1572" s="127"/>
      <c r="H1572" s="127"/>
      <c r="I1572" s="127"/>
    </row>
    <row r="1573">
      <c r="A1573" s="182"/>
      <c r="B1573" s="182"/>
      <c r="C1573" s="182"/>
      <c r="D1573" s="182"/>
      <c r="E1573" s="183"/>
      <c r="F1573" s="127"/>
      <c r="G1573" s="127"/>
      <c r="H1573" s="127"/>
      <c r="I1573" s="127"/>
    </row>
    <row r="1574">
      <c r="A1574" s="182"/>
      <c r="B1574" s="182"/>
      <c r="C1574" s="182"/>
      <c r="D1574" s="182"/>
      <c r="E1574" s="183"/>
      <c r="F1574" s="127"/>
      <c r="G1574" s="127"/>
      <c r="H1574" s="127"/>
      <c r="I1574" s="127"/>
    </row>
    <row r="1575">
      <c r="A1575" s="182"/>
      <c r="B1575" s="182"/>
      <c r="C1575" s="182"/>
      <c r="D1575" s="182"/>
      <c r="E1575" s="183"/>
      <c r="F1575" s="127"/>
      <c r="G1575" s="127"/>
      <c r="H1575" s="127"/>
      <c r="I1575" s="127"/>
    </row>
    <row r="1576">
      <c r="A1576" s="182"/>
      <c r="B1576" s="182"/>
      <c r="C1576" s="182"/>
      <c r="D1576" s="182"/>
      <c r="E1576" s="183"/>
      <c r="F1576" s="127"/>
      <c r="G1576" s="127"/>
      <c r="H1576" s="127"/>
      <c r="I1576" s="127"/>
    </row>
    <row r="1577">
      <c r="A1577" s="182"/>
      <c r="B1577" s="182"/>
      <c r="C1577" s="182"/>
      <c r="D1577" s="182"/>
      <c r="E1577" s="183"/>
      <c r="F1577" s="127"/>
      <c r="G1577" s="127"/>
      <c r="H1577" s="127"/>
      <c r="I1577" s="127"/>
    </row>
    <row r="1578">
      <c r="A1578" s="182"/>
      <c r="B1578" s="182"/>
      <c r="C1578" s="182"/>
      <c r="D1578" s="182"/>
      <c r="E1578" s="183"/>
      <c r="F1578" s="127"/>
      <c r="G1578" s="127"/>
      <c r="H1578" s="127"/>
      <c r="I1578" s="127"/>
    </row>
    <row r="1579">
      <c r="A1579" s="182"/>
      <c r="B1579" s="182"/>
      <c r="C1579" s="182"/>
      <c r="D1579" s="182"/>
      <c r="E1579" s="183"/>
      <c r="F1579" s="127"/>
      <c r="G1579" s="127"/>
      <c r="H1579" s="127"/>
      <c r="I1579" s="127"/>
    </row>
    <row r="1580">
      <c r="A1580" s="182"/>
      <c r="B1580" s="182"/>
      <c r="C1580" s="182"/>
      <c r="D1580" s="182"/>
      <c r="E1580" s="183"/>
      <c r="F1580" s="127"/>
      <c r="G1580" s="127"/>
      <c r="H1580" s="127"/>
      <c r="I1580" s="127"/>
    </row>
    <row r="1581">
      <c r="A1581" s="182"/>
      <c r="B1581" s="182"/>
      <c r="C1581" s="182"/>
      <c r="D1581" s="182"/>
      <c r="E1581" s="183"/>
      <c r="F1581" s="127"/>
      <c r="G1581" s="127"/>
      <c r="H1581" s="127"/>
      <c r="I1581" s="127"/>
    </row>
    <row r="1582">
      <c r="A1582" s="182"/>
      <c r="B1582" s="182"/>
      <c r="C1582" s="182"/>
      <c r="D1582" s="182"/>
      <c r="E1582" s="183"/>
      <c r="F1582" s="127"/>
      <c r="G1582" s="127"/>
      <c r="H1582" s="127"/>
      <c r="I1582" s="127"/>
    </row>
    <row r="1583">
      <c r="A1583" s="182"/>
      <c r="B1583" s="182"/>
      <c r="C1583" s="182"/>
      <c r="D1583" s="182"/>
      <c r="E1583" s="183"/>
      <c r="F1583" s="127"/>
      <c r="G1583" s="127"/>
      <c r="H1583" s="127"/>
      <c r="I1583" s="127"/>
    </row>
    <row r="1584">
      <c r="A1584" s="182"/>
      <c r="B1584" s="182"/>
      <c r="C1584" s="182"/>
      <c r="D1584" s="182"/>
      <c r="E1584" s="183"/>
      <c r="F1584" s="127"/>
      <c r="G1584" s="127"/>
      <c r="H1584" s="127"/>
      <c r="I1584" s="127"/>
    </row>
    <row r="1585">
      <c r="A1585" s="182"/>
      <c r="B1585" s="182"/>
      <c r="C1585" s="182"/>
      <c r="D1585" s="182"/>
      <c r="E1585" s="183"/>
      <c r="F1585" s="127"/>
      <c r="G1585" s="127"/>
      <c r="H1585" s="127"/>
      <c r="I1585" s="127"/>
    </row>
    <row r="1586">
      <c r="A1586" s="182"/>
      <c r="B1586" s="182"/>
      <c r="C1586" s="182"/>
      <c r="D1586" s="182"/>
      <c r="E1586" s="183"/>
      <c r="F1586" s="127"/>
      <c r="G1586" s="127"/>
      <c r="H1586" s="127"/>
      <c r="I1586" s="127"/>
    </row>
    <row r="1587">
      <c r="A1587" s="182"/>
      <c r="B1587" s="182"/>
      <c r="C1587" s="182"/>
      <c r="D1587" s="182"/>
      <c r="E1587" s="183"/>
      <c r="F1587" s="127"/>
      <c r="G1587" s="127"/>
      <c r="H1587" s="127"/>
      <c r="I1587" s="127"/>
    </row>
    <row r="1588">
      <c r="A1588" s="182"/>
      <c r="B1588" s="182"/>
      <c r="C1588" s="182"/>
      <c r="D1588" s="182"/>
      <c r="E1588" s="183"/>
      <c r="F1588" s="127"/>
      <c r="G1588" s="127"/>
      <c r="H1588" s="127"/>
      <c r="I1588" s="127"/>
    </row>
    <row r="1589">
      <c r="A1589" s="182"/>
      <c r="B1589" s="182"/>
      <c r="C1589" s="182"/>
      <c r="D1589" s="182"/>
      <c r="E1589" s="183"/>
      <c r="F1589" s="127"/>
      <c r="G1589" s="127"/>
      <c r="H1589" s="127"/>
      <c r="I1589" s="127"/>
    </row>
    <row r="1590">
      <c r="A1590" s="182"/>
      <c r="B1590" s="182"/>
      <c r="C1590" s="182"/>
      <c r="D1590" s="182"/>
      <c r="E1590" s="183"/>
      <c r="F1590" s="127"/>
      <c r="G1590" s="127"/>
      <c r="H1590" s="127"/>
      <c r="I1590" s="127"/>
    </row>
    <row r="1591">
      <c r="A1591" s="182"/>
      <c r="B1591" s="182"/>
      <c r="C1591" s="182"/>
      <c r="D1591" s="182"/>
      <c r="E1591" s="183"/>
      <c r="F1591" s="127"/>
      <c r="G1591" s="127"/>
      <c r="H1591" s="127"/>
      <c r="I1591" s="127"/>
    </row>
    <row r="1592">
      <c r="A1592" s="182"/>
      <c r="B1592" s="182"/>
      <c r="C1592" s="182"/>
      <c r="D1592" s="182"/>
      <c r="E1592" s="183"/>
      <c r="F1592" s="127"/>
      <c r="G1592" s="127"/>
      <c r="H1592" s="127"/>
      <c r="I1592" s="127"/>
    </row>
    <row r="1593">
      <c r="A1593" s="182"/>
      <c r="B1593" s="182"/>
      <c r="C1593" s="182"/>
      <c r="D1593" s="182"/>
      <c r="E1593" s="183"/>
      <c r="F1593" s="127"/>
      <c r="G1593" s="127"/>
      <c r="H1593" s="127"/>
      <c r="I1593" s="127"/>
    </row>
    <row r="1594">
      <c r="A1594" s="182"/>
      <c r="B1594" s="182"/>
      <c r="C1594" s="182"/>
      <c r="D1594" s="182"/>
      <c r="E1594" s="183"/>
      <c r="F1594" s="127"/>
      <c r="G1594" s="127"/>
      <c r="H1594" s="127"/>
      <c r="I1594" s="127"/>
    </row>
    <row r="1595">
      <c r="A1595" s="182"/>
      <c r="B1595" s="182"/>
      <c r="C1595" s="182"/>
      <c r="D1595" s="182"/>
      <c r="E1595" s="183"/>
      <c r="F1595" s="127"/>
      <c r="G1595" s="127"/>
      <c r="H1595" s="127"/>
      <c r="I1595" s="127"/>
    </row>
    <row r="1596">
      <c r="A1596" s="182"/>
      <c r="B1596" s="182"/>
      <c r="C1596" s="182"/>
      <c r="D1596" s="182"/>
      <c r="E1596" s="183"/>
      <c r="F1596" s="127"/>
      <c r="G1596" s="127"/>
      <c r="H1596" s="127"/>
      <c r="I1596" s="127"/>
    </row>
    <row r="1597">
      <c r="A1597" s="182"/>
      <c r="B1597" s="182"/>
      <c r="C1597" s="182"/>
      <c r="D1597" s="182"/>
      <c r="E1597" s="183"/>
      <c r="F1597" s="127"/>
      <c r="G1597" s="127"/>
      <c r="H1597" s="127"/>
      <c r="I1597" s="127"/>
    </row>
    <row r="1598">
      <c r="A1598" s="182"/>
      <c r="B1598" s="182"/>
      <c r="C1598" s="182"/>
      <c r="D1598" s="182"/>
      <c r="E1598" s="183"/>
      <c r="F1598" s="127"/>
      <c r="G1598" s="127"/>
      <c r="H1598" s="127"/>
      <c r="I1598" s="127"/>
    </row>
    <row r="1599">
      <c r="A1599" s="182"/>
      <c r="B1599" s="182"/>
      <c r="C1599" s="182"/>
      <c r="D1599" s="182"/>
      <c r="E1599" s="183"/>
      <c r="F1599" s="127"/>
      <c r="G1599" s="127"/>
      <c r="H1599" s="127"/>
      <c r="I1599" s="127"/>
    </row>
    <row r="1600">
      <c r="A1600" s="182"/>
      <c r="B1600" s="182"/>
      <c r="C1600" s="182"/>
      <c r="D1600" s="182"/>
      <c r="E1600" s="183"/>
      <c r="F1600" s="127"/>
      <c r="G1600" s="127"/>
      <c r="H1600" s="127"/>
      <c r="I1600" s="127"/>
    </row>
    <row r="1601">
      <c r="A1601" s="182"/>
      <c r="B1601" s="182"/>
      <c r="C1601" s="182"/>
      <c r="D1601" s="182"/>
      <c r="E1601" s="183"/>
      <c r="F1601" s="127"/>
      <c r="G1601" s="127"/>
      <c r="H1601" s="127"/>
      <c r="I1601" s="127"/>
    </row>
    <row r="1602">
      <c r="A1602" s="182"/>
      <c r="B1602" s="182"/>
      <c r="C1602" s="182"/>
      <c r="D1602" s="182"/>
      <c r="E1602" s="183"/>
      <c r="F1602" s="127"/>
      <c r="G1602" s="127"/>
      <c r="H1602" s="127"/>
      <c r="I1602" s="127"/>
    </row>
    <row r="1603">
      <c r="A1603" s="182"/>
      <c r="B1603" s="182"/>
      <c r="C1603" s="182"/>
      <c r="D1603" s="182"/>
      <c r="E1603" s="183"/>
      <c r="F1603" s="127"/>
      <c r="G1603" s="127"/>
      <c r="H1603" s="127"/>
      <c r="I1603" s="127"/>
    </row>
    <row r="1604">
      <c r="A1604" s="182"/>
      <c r="B1604" s="182"/>
      <c r="C1604" s="182"/>
      <c r="D1604" s="182"/>
      <c r="E1604" s="183"/>
      <c r="F1604" s="127"/>
      <c r="G1604" s="127"/>
      <c r="H1604" s="127"/>
      <c r="I1604" s="127"/>
    </row>
    <row r="1605">
      <c r="A1605" s="182"/>
      <c r="B1605" s="183"/>
      <c r="C1605" s="182"/>
      <c r="D1605" s="182"/>
      <c r="E1605" s="183"/>
      <c r="F1605" s="127"/>
      <c r="G1605" s="127"/>
      <c r="H1605" s="127"/>
      <c r="I1605" s="127"/>
    </row>
    <row r="1606">
      <c r="A1606" s="182"/>
      <c r="B1606" s="182"/>
      <c r="C1606" s="182"/>
      <c r="D1606" s="182"/>
      <c r="E1606" s="183"/>
      <c r="F1606" s="127"/>
      <c r="G1606" s="127"/>
      <c r="H1606" s="127"/>
      <c r="I1606" s="127"/>
    </row>
    <row r="1607">
      <c r="A1607" s="182"/>
      <c r="B1607" s="182"/>
      <c r="C1607" s="182"/>
      <c r="D1607" s="182"/>
      <c r="E1607" s="183"/>
      <c r="F1607" s="127"/>
      <c r="G1607" s="127"/>
      <c r="H1607" s="127"/>
      <c r="I1607" s="127"/>
    </row>
    <row r="1608">
      <c r="A1608" s="182"/>
      <c r="B1608" s="182"/>
      <c r="C1608" s="182"/>
      <c r="D1608" s="182"/>
      <c r="E1608" s="183"/>
      <c r="F1608" s="127"/>
      <c r="G1608" s="127"/>
      <c r="H1608" s="127"/>
      <c r="I1608" s="127"/>
    </row>
    <row r="1609">
      <c r="A1609" s="182"/>
      <c r="B1609" s="182"/>
      <c r="C1609" s="182"/>
      <c r="D1609" s="182"/>
      <c r="E1609" s="183"/>
      <c r="F1609" s="127"/>
      <c r="G1609" s="127"/>
      <c r="H1609" s="127"/>
      <c r="I1609" s="127"/>
    </row>
    <row r="1610">
      <c r="A1610" s="182"/>
      <c r="B1610" s="182"/>
      <c r="C1610" s="182"/>
      <c r="D1610" s="182"/>
      <c r="E1610" s="183"/>
      <c r="F1610" s="127"/>
      <c r="G1610" s="127"/>
      <c r="H1610" s="127"/>
      <c r="I1610" s="127"/>
    </row>
    <row r="1611">
      <c r="A1611" s="182"/>
      <c r="B1611" s="182"/>
      <c r="C1611" s="182"/>
      <c r="D1611" s="182"/>
      <c r="E1611" s="183"/>
      <c r="F1611" s="127"/>
      <c r="G1611" s="127"/>
      <c r="H1611" s="127"/>
      <c r="I1611" s="127"/>
    </row>
    <row r="1612">
      <c r="A1612" s="182"/>
      <c r="B1612" s="182"/>
      <c r="C1612" s="182"/>
      <c r="D1612" s="182"/>
      <c r="E1612" s="183"/>
      <c r="F1612" s="127"/>
      <c r="G1612" s="127"/>
      <c r="H1612" s="127"/>
      <c r="I1612" s="127"/>
    </row>
    <row r="1613">
      <c r="A1613" s="182"/>
      <c r="B1613" s="182"/>
      <c r="C1613" s="182"/>
      <c r="D1613" s="182"/>
      <c r="E1613" s="183"/>
      <c r="F1613" s="127"/>
      <c r="G1613" s="127"/>
      <c r="H1613" s="127"/>
      <c r="I1613" s="127"/>
    </row>
    <row r="1614">
      <c r="A1614" s="182"/>
      <c r="B1614" s="182"/>
      <c r="C1614" s="182"/>
      <c r="D1614" s="182"/>
      <c r="E1614" s="183"/>
      <c r="F1614" s="127"/>
      <c r="G1614" s="127"/>
      <c r="H1614" s="127"/>
      <c r="I1614" s="127"/>
    </row>
    <row r="1615">
      <c r="A1615" s="182"/>
      <c r="B1615" s="182"/>
      <c r="C1615" s="182"/>
      <c r="D1615" s="182"/>
      <c r="E1615" s="183"/>
      <c r="F1615" s="127"/>
      <c r="G1615" s="127"/>
      <c r="H1615" s="127"/>
      <c r="I1615" s="127"/>
    </row>
    <row r="1616">
      <c r="A1616" s="182"/>
      <c r="B1616" s="182"/>
      <c r="C1616" s="182"/>
      <c r="D1616" s="182"/>
      <c r="E1616" s="183"/>
      <c r="F1616" s="127"/>
      <c r="G1616" s="127"/>
      <c r="H1616" s="127"/>
      <c r="I1616" s="127"/>
    </row>
    <row r="1617">
      <c r="A1617" s="182"/>
      <c r="B1617" s="182"/>
      <c r="C1617" s="182"/>
      <c r="D1617" s="182"/>
      <c r="E1617" s="183"/>
      <c r="F1617" s="127"/>
      <c r="G1617" s="127"/>
      <c r="H1617" s="127"/>
      <c r="I1617" s="127"/>
    </row>
    <row r="1618">
      <c r="A1618" s="182"/>
      <c r="B1618" s="182"/>
      <c r="C1618" s="182"/>
      <c r="D1618" s="182"/>
      <c r="E1618" s="183"/>
      <c r="F1618" s="127"/>
      <c r="G1618" s="127"/>
      <c r="H1618" s="127"/>
      <c r="I1618" s="127"/>
    </row>
    <row r="1619">
      <c r="A1619" s="182"/>
      <c r="B1619" s="182"/>
      <c r="C1619" s="182"/>
      <c r="D1619" s="182"/>
      <c r="E1619" s="183"/>
      <c r="F1619" s="127"/>
      <c r="G1619" s="127"/>
      <c r="H1619" s="127"/>
      <c r="I1619" s="127"/>
    </row>
    <row r="1620">
      <c r="A1620" s="182"/>
      <c r="B1620" s="182"/>
      <c r="C1620" s="182"/>
      <c r="D1620" s="182"/>
      <c r="E1620" s="183"/>
      <c r="F1620" s="127"/>
      <c r="G1620" s="127"/>
      <c r="H1620" s="127"/>
      <c r="I1620" s="127"/>
    </row>
    <row r="1621">
      <c r="A1621" s="182"/>
      <c r="B1621" s="183"/>
      <c r="C1621" s="182"/>
      <c r="D1621" s="182"/>
      <c r="E1621" s="183"/>
      <c r="F1621" s="127"/>
      <c r="G1621" s="127"/>
      <c r="H1621" s="127"/>
      <c r="I1621" s="127"/>
    </row>
    <row r="1622">
      <c r="A1622" s="182"/>
      <c r="B1622" s="182"/>
      <c r="C1622" s="182"/>
      <c r="D1622" s="182"/>
      <c r="E1622" s="183"/>
      <c r="F1622" s="127"/>
      <c r="G1622" s="127"/>
      <c r="H1622" s="127"/>
      <c r="I1622" s="127"/>
    </row>
    <row r="1623">
      <c r="A1623" s="182"/>
      <c r="B1623" s="182"/>
      <c r="C1623" s="182"/>
      <c r="D1623" s="182"/>
      <c r="E1623" s="183"/>
      <c r="F1623" s="127"/>
      <c r="G1623" s="127"/>
      <c r="H1623" s="127"/>
      <c r="I1623" s="127"/>
    </row>
    <row r="1624">
      <c r="A1624" s="182"/>
      <c r="B1624" s="182"/>
      <c r="C1624" s="182"/>
      <c r="D1624" s="182"/>
      <c r="E1624" s="183"/>
      <c r="F1624" s="127"/>
      <c r="G1624" s="127"/>
      <c r="H1624" s="127"/>
      <c r="I1624" s="127"/>
    </row>
    <row r="1625">
      <c r="A1625" s="182"/>
      <c r="B1625" s="182"/>
      <c r="C1625" s="182"/>
      <c r="D1625" s="182"/>
      <c r="E1625" s="183"/>
      <c r="F1625" s="127"/>
      <c r="G1625" s="127"/>
      <c r="H1625" s="127"/>
      <c r="I1625" s="127"/>
    </row>
    <row r="1626">
      <c r="A1626" s="182"/>
      <c r="B1626" s="182"/>
      <c r="C1626" s="182"/>
      <c r="D1626" s="182"/>
      <c r="E1626" s="183"/>
      <c r="F1626" s="127"/>
      <c r="G1626" s="127"/>
      <c r="H1626" s="127"/>
      <c r="I1626" s="127"/>
    </row>
    <row r="1627">
      <c r="A1627" s="182"/>
      <c r="B1627" s="182"/>
      <c r="C1627" s="182"/>
      <c r="D1627" s="182"/>
      <c r="E1627" s="183"/>
      <c r="F1627" s="127"/>
      <c r="G1627" s="127"/>
      <c r="H1627" s="127"/>
      <c r="I1627" s="127"/>
    </row>
    <row r="1628">
      <c r="A1628" s="182"/>
      <c r="B1628" s="182"/>
      <c r="C1628" s="182"/>
      <c r="D1628" s="182"/>
      <c r="E1628" s="183"/>
      <c r="F1628" s="127"/>
      <c r="G1628" s="127"/>
      <c r="H1628" s="127"/>
      <c r="I1628" s="127"/>
    </row>
    <row r="1629">
      <c r="A1629" s="182"/>
      <c r="B1629" s="182"/>
      <c r="C1629" s="182"/>
      <c r="D1629" s="182"/>
      <c r="E1629" s="183"/>
      <c r="F1629" s="127"/>
      <c r="G1629" s="127"/>
      <c r="H1629" s="127"/>
      <c r="I1629" s="127"/>
    </row>
    <row r="1630">
      <c r="A1630" s="182"/>
      <c r="B1630" s="182"/>
      <c r="C1630" s="182"/>
      <c r="D1630" s="182"/>
      <c r="E1630" s="183"/>
      <c r="F1630" s="127"/>
      <c r="G1630" s="127"/>
      <c r="H1630" s="127"/>
      <c r="I1630" s="127"/>
    </row>
    <row r="1631">
      <c r="A1631" s="182"/>
      <c r="B1631" s="182"/>
      <c r="C1631" s="182"/>
      <c r="D1631" s="182"/>
      <c r="E1631" s="183"/>
      <c r="F1631" s="127"/>
      <c r="G1631" s="127"/>
      <c r="H1631" s="127"/>
      <c r="I1631" s="127"/>
    </row>
    <row r="1632">
      <c r="A1632" s="182"/>
      <c r="B1632" s="182"/>
      <c r="C1632" s="182"/>
      <c r="D1632" s="182"/>
      <c r="E1632" s="183"/>
      <c r="F1632" s="127"/>
      <c r="G1632" s="127"/>
      <c r="H1632" s="127"/>
      <c r="I1632" s="127"/>
    </row>
    <row r="1633">
      <c r="A1633" s="182"/>
      <c r="B1633" s="182"/>
      <c r="C1633" s="182"/>
      <c r="D1633" s="182"/>
      <c r="E1633" s="183"/>
      <c r="F1633" s="127"/>
      <c r="G1633" s="127"/>
      <c r="H1633" s="127"/>
      <c r="I1633" s="127"/>
    </row>
    <row r="1634">
      <c r="A1634" s="182"/>
      <c r="B1634" s="182"/>
      <c r="C1634" s="182"/>
      <c r="D1634" s="182"/>
      <c r="E1634" s="183"/>
      <c r="F1634" s="127"/>
      <c r="G1634" s="127"/>
      <c r="H1634" s="127"/>
      <c r="I1634" s="127"/>
    </row>
    <row r="1635">
      <c r="A1635" s="182"/>
      <c r="B1635" s="182"/>
      <c r="C1635" s="182"/>
      <c r="D1635" s="182"/>
      <c r="E1635" s="183"/>
      <c r="F1635" s="127"/>
      <c r="G1635" s="127"/>
      <c r="H1635" s="127"/>
      <c r="I1635" s="127"/>
    </row>
    <row r="1636">
      <c r="A1636" s="182"/>
      <c r="B1636" s="182"/>
      <c r="C1636" s="182"/>
      <c r="D1636" s="182"/>
      <c r="E1636" s="183"/>
      <c r="F1636" s="127"/>
      <c r="G1636" s="127"/>
      <c r="H1636" s="127"/>
      <c r="I1636" s="127"/>
    </row>
    <row r="1637">
      <c r="A1637" s="182"/>
      <c r="B1637" s="182"/>
      <c r="C1637" s="182"/>
      <c r="D1637" s="182"/>
      <c r="E1637" s="183"/>
      <c r="F1637" s="127"/>
      <c r="G1637" s="127"/>
      <c r="H1637" s="127"/>
      <c r="I1637" s="127"/>
    </row>
    <row r="1638">
      <c r="A1638" s="182"/>
      <c r="B1638" s="182"/>
      <c r="C1638" s="182"/>
      <c r="D1638" s="182"/>
      <c r="E1638" s="183"/>
      <c r="F1638" s="127"/>
      <c r="G1638" s="127"/>
      <c r="H1638" s="127"/>
      <c r="I1638" s="127"/>
    </row>
    <row r="1639">
      <c r="A1639" s="182"/>
      <c r="B1639" s="182"/>
      <c r="C1639" s="182"/>
      <c r="D1639" s="182"/>
      <c r="E1639" s="183"/>
      <c r="F1639" s="127"/>
      <c r="G1639" s="127"/>
      <c r="H1639" s="127"/>
      <c r="I1639" s="127"/>
    </row>
    <row r="1640">
      <c r="A1640" s="182"/>
      <c r="B1640" s="182"/>
      <c r="C1640" s="182"/>
      <c r="D1640" s="182"/>
      <c r="E1640" s="183"/>
      <c r="F1640" s="127"/>
      <c r="G1640" s="127"/>
      <c r="H1640" s="127"/>
      <c r="I1640" s="127"/>
    </row>
    <row r="1641">
      <c r="A1641" s="182"/>
      <c r="B1641" s="182"/>
      <c r="C1641" s="182"/>
      <c r="D1641" s="182"/>
      <c r="E1641" s="183"/>
      <c r="F1641" s="127"/>
      <c r="G1641" s="127"/>
      <c r="H1641" s="127"/>
      <c r="I1641" s="127"/>
    </row>
    <row r="1642">
      <c r="A1642" s="182"/>
      <c r="B1642" s="182"/>
      <c r="C1642" s="182"/>
      <c r="D1642" s="182"/>
      <c r="E1642" s="183"/>
      <c r="F1642" s="127"/>
      <c r="G1642" s="127"/>
      <c r="H1642" s="127"/>
      <c r="I1642" s="127"/>
    </row>
    <row r="1643">
      <c r="A1643" s="182"/>
      <c r="B1643" s="182"/>
      <c r="C1643" s="182"/>
      <c r="D1643" s="182"/>
      <c r="E1643" s="183"/>
      <c r="F1643" s="127"/>
      <c r="G1643" s="127"/>
      <c r="H1643" s="127"/>
      <c r="I1643" s="127"/>
    </row>
    <row r="1644">
      <c r="A1644" s="182"/>
      <c r="B1644" s="182"/>
      <c r="C1644" s="182"/>
      <c r="D1644" s="182"/>
      <c r="E1644" s="183"/>
      <c r="F1644" s="127"/>
      <c r="G1644" s="127"/>
      <c r="H1644" s="127"/>
      <c r="I1644" s="127"/>
    </row>
    <row r="1645">
      <c r="A1645" s="182"/>
      <c r="B1645" s="182"/>
      <c r="C1645" s="182"/>
      <c r="D1645" s="182"/>
      <c r="E1645" s="183"/>
      <c r="F1645" s="127"/>
      <c r="G1645" s="127"/>
      <c r="H1645" s="127"/>
      <c r="I1645" s="127"/>
    </row>
    <row r="1646">
      <c r="A1646" s="182"/>
      <c r="B1646" s="182"/>
      <c r="C1646" s="182"/>
      <c r="D1646" s="182"/>
      <c r="E1646" s="183"/>
      <c r="F1646" s="127"/>
      <c r="G1646" s="127"/>
      <c r="H1646" s="127"/>
      <c r="I1646" s="127"/>
    </row>
    <row r="1647">
      <c r="A1647" s="182"/>
      <c r="B1647" s="182"/>
      <c r="C1647" s="182"/>
      <c r="D1647" s="182"/>
      <c r="E1647" s="183"/>
      <c r="F1647" s="127"/>
      <c r="G1647" s="127"/>
      <c r="H1647" s="127"/>
      <c r="I1647" s="127"/>
    </row>
    <row r="1648">
      <c r="A1648" s="182"/>
      <c r="B1648" s="182"/>
      <c r="C1648" s="182"/>
      <c r="D1648" s="182"/>
      <c r="E1648" s="183"/>
      <c r="F1648" s="127"/>
      <c r="G1648" s="127"/>
      <c r="H1648" s="127"/>
      <c r="I1648" s="127"/>
    </row>
    <row r="1649">
      <c r="A1649" s="182"/>
      <c r="B1649" s="182"/>
      <c r="C1649" s="182"/>
      <c r="D1649" s="182"/>
      <c r="E1649" s="183"/>
      <c r="F1649" s="127"/>
      <c r="G1649" s="127"/>
      <c r="H1649" s="127"/>
      <c r="I1649" s="127"/>
    </row>
    <row r="1650">
      <c r="A1650" s="182"/>
      <c r="B1650" s="182"/>
      <c r="C1650" s="182"/>
      <c r="D1650" s="182"/>
      <c r="E1650" s="183"/>
      <c r="F1650" s="127"/>
      <c r="G1650" s="127"/>
      <c r="H1650" s="127"/>
      <c r="I1650" s="127"/>
    </row>
    <row r="1651">
      <c r="A1651" s="182"/>
      <c r="B1651" s="182"/>
      <c r="C1651" s="182"/>
      <c r="D1651" s="182"/>
      <c r="E1651" s="183"/>
      <c r="F1651" s="127"/>
      <c r="G1651" s="127"/>
      <c r="H1651" s="127"/>
      <c r="I1651" s="127"/>
    </row>
    <row r="1652">
      <c r="A1652" s="182"/>
      <c r="B1652" s="182"/>
      <c r="C1652" s="182"/>
      <c r="D1652" s="182"/>
      <c r="E1652" s="183"/>
      <c r="F1652" s="127"/>
      <c r="G1652" s="127"/>
      <c r="H1652" s="127"/>
      <c r="I1652" s="127"/>
    </row>
    <row r="1653">
      <c r="A1653" s="182"/>
      <c r="B1653" s="182"/>
      <c r="C1653" s="182"/>
      <c r="D1653" s="182"/>
      <c r="E1653" s="183"/>
      <c r="F1653" s="127"/>
      <c r="G1653" s="127"/>
      <c r="H1653" s="127"/>
      <c r="I1653" s="127"/>
    </row>
    <row r="1654">
      <c r="A1654" s="182"/>
      <c r="B1654" s="182"/>
      <c r="C1654" s="182"/>
      <c r="D1654" s="182"/>
      <c r="E1654" s="183"/>
      <c r="F1654" s="127"/>
      <c r="G1654" s="127"/>
      <c r="H1654" s="127"/>
      <c r="I1654" s="127"/>
    </row>
    <row r="1655">
      <c r="A1655" s="182"/>
      <c r="B1655" s="182"/>
      <c r="C1655" s="182"/>
      <c r="D1655" s="182"/>
      <c r="E1655" s="183"/>
      <c r="F1655" s="127"/>
      <c r="G1655" s="127"/>
      <c r="H1655" s="127"/>
      <c r="I1655" s="127"/>
    </row>
    <row r="1656">
      <c r="A1656" s="182"/>
      <c r="B1656" s="182"/>
      <c r="C1656" s="182"/>
      <c r="D1656" s="182"/>
      <c r="E1656" s="183"/>
      <c r="F1656" s="127"/>
      <c r="G1656" s="127"/>
      <c r="H1656" s="127"/>
      <c r="I1656" s="127"/>
    </row>
    <row r="1657">
      <c r="A1657" s="182"/>
      <c r="B1657" s="182"/>
      <c r="C1657" s="182"/>
      <c r="D1657" s="182"/>
      <c r="E1657" s="183"/>
      <c r="F1657" s="127"/>
      <c r="G1657" s="127"/>
      <c r="H1657" s="127"/>
      <c r="I1657" s="127"/>
    </row>
    <row r="1658">
      <c r="A1658" s="182"/>
      <c r="B1658" s="182"/>
      <c r="C1658" s="182"/>
      <c r="D1658" s="182"/>
      <c r="E1658" s="183"/>
      <c r="F1658" s="127"/>
      <c r="G1658" s="127"/>
      <c r="H1658" s="127"/>
      <c r="I1658" s="127"/>
    </row>
    <row r="1659">
      <c r="A1659" s="182"/>
      <c r="B1659" s="182"/>
      <c r="C1659" s="182"/>
      <c r="D1659" s="182"/>
      <c r="E1659" s="183"/>
      <c r="F1659" s="127"/>
      <c r="G1659" s="127"/>
      <c r="H1659" s="127"/>
      <c r="I1659" s="127"/>
    </row>
    <row r="1660">
      <c r="A1660" s="182"/>
      <c r="B1660" s="182"/>
      <c r="C1660" s="182"/>
      <c r="D1660" s="182"/>
      <c r="E1660" s="183"/>
      <c r="F1660" s="127"/>
      <c r="G1660" s="127"/>
      <c r="H1660" s="127"/>
      <c r="I1660" s="127"/>
    </row>
    <row r="1661">
      <c r="A1661" s="182"/>
      <c r="B1661" s="182"/>
      <c r="C1661" s="182"/>
      <c r="D1661" s="182"/>
      <c r="E1661" s="183"/>
      <c r="F1661" s="127"/>
      <c r="G1661" s="127"/>
      <c r="H1661" s="127"/>
      <c r="I1661" s="127"/>
    </row>
    <row r="1662">
      <c r="A1662" s="182"/>
      <c r="B1662" s="182"/>
      <c r="C1662" s="182"/>
      <c r="D1662" s="182"/>
      <c r="E1662" s="183"/>
      <c r="F1662" s="127"/>
      <c r="G1662" s="127"/>
      <c r="H1662" s="127"/>
      <c r="I1662" s="127"/>
    </row>
    <row r="1663">
      <c r="A1663" s="182"/>
      <c r="B1663" s="182"/>
      <c r="C1663" s="182"/>
      <c r="D1663" s="182"/>
      <c r="E1663" s="183"/>
      <c r="F1663" s="127"/>
      <c r="G1663" s="127"/>
      <c r="H1663" s="127"/>
      <c r="I1663" s="127"/>
    </row>
    <row r="1664">
      <c r="A1664" s="182"/>
      <c r="B1664" s="182"/>
      <c r="C1664" s="182"/>
      <c r="D1664" s="182"/>
      <c r="E1664" s="183"/>
      <c r="F1664" s="127"/>
      <c r="G1664" s="127"/>
      <c r="H1664" s="127"/>
      <c r="I1664" s="127"/>
    </row>
    <row r="1665">
      <c r="A1665" s="182"/>
      <c r="B1665" s="182"/>
      <c r="C1665" s="182"/>
      <c r="D1665" s="182"/>
      <c r="E1665" s="183"/>
      <c r="F1665" s="127"/>
      <c r="G1665" s="127"/>
      <c r="H1665" s="127"/>
      <c r="I1665" s="127"/>
    </row>
    <row r="1666">
      <c r="A1666" s="182"/>
      <c r="B1666" s="182"/>
      <c r="C1666" s="182"/>
      <c r="D1666" s="182"/>
      <c r="E1666" s="183"/>
      <c r="F1666" s="127"/>
      <c r="G1666" s="127"/>
      <c r="H1666" s="127"/>
      <c r="I1666" s="127"/>
    </row>
    <row r="1667">
      <c r="A1667" s="182"/>
      <c r="B1667" s="182"/>
      <c r="C1667" s="182"/>
      <c r="D1667" s="182"/>
      <c r="E1667" s="183"/>
      <c r="F1667" s="127"/>
      <c r="G1667" s="127"/>
      <c r="H1667" s="127"/>
      <c r="I1667" s="127"/>
    </row>
    <row r="1668">
      <c r="A1668" s="182"/>
      <c r="B1668" s="182"/>
      <c r="C1668" s="182"/>
      <c r="D1668" s="182"/>
      <c r="E1668" s="183"/>
      <c r="F1668" s="127"/>
      <c r="G1668" s="127"/>
      <c r="H1668" s="127"/>
      <c r="I1668" s="127"/>
    </row>
    <row r="1669">
      <c r="A1669" s="182"/>
      <c r="B1669" s="182"/>
      <c r="C1669" s="182"/>
      <c r="D1669" s="182"/>
      <c r="E1669" s="183"/>
      <c r="F1669" s="127"/>
      <c r="G1669" s="127"/>
      <c r="H1669" s="127"/>
      <c r="I1669" s="127"/>
    </row>
    <row r="1670">
      <c r="A1670" s="182"/>
      <c r="B1670" s="182"/>
      <c r="C1670" s="182"/>
      <c r="D1670" s="182"/>
      <c r="E1670" s="183"/>
      <c r="F1670" s="127"/>
      <c r="G1670" s="127"/>
      <c r="H1670" s="127"/>
      <c r="I1670" s="127"/>
    </row>
    <row r="1671">
      <c r="A1671" s="182"/>
      <c r="B1671" s="182"/>
      <c r="C1671" s="182"/>
      <c r="D1671" s="182"/>
      <c r="E1671" s="183"/>
      <c r="F1671" s="127"/>
      <c r="G1671" s="127"/>
      <c r="H1671" s="127"/>
      <c r="I1671" s="127"/>
    </row>
    <row r="1672">
      <c r="A1672" s="182"/>
      <c r="B1672" s="182"/>
      <c r="C1672" s="182"/>
      <c r="D1672" s="182"/>
      <c r="E1672" s="183"/>
      <c r="F1672" s="127"/>
      <c r="G1672" s="127"/>
      <c r="H1672" s="127"/>
      <c r="I1672" s="127"/>
    </row>
    <row r="1673">
      <c r="A1673" s="182"/>
      <c r="B1673" s="182"/>
      <c r="C1673" s="182"/>
      <c r="D1673" s="182"/>
      <c r="E1673" s="183"/>
      <c r="F1673" s="127"/>
      <c r="G1673" s="127"/>
      <c r="H1673" s="127"/>
      <c r="I1673" s="127"/>
    </row>
    <row r="1674">
      <c r="A1674" s="182"/>
      <c r="B1674" s="182"/>
      <c r="C1674" s="182"/>
      <c r="D1674" s="182"/>
      <c r="E1674" s="183"/>
      <c r="F1674" s="127"/>
      <c r="G1674" s="127"/>
      <c r="H1674" s="127"/>
      <c r="I1674" s="127"/>
    </row>
    <row r="1675">
      <c r="A1675" s="182"/>
      <c r="B1675" s="182"/>
      <c r="C1675" s="182"/>
      <c r="D1675" s="182"/>
      <c r="E1675" s="183"/>
      <c r="F1675" s="127"/>
      <c r="G1675" s="127"/>
      <c r="H1675" s="127"/>
      <c r="I1675" s="127"/>
    </row>
    <row r="1676">
      <c r="A1676" s="182"/>
      <c r="B1676" s="182"/>
      <c r="C1676" s="182"/>
      <c r="D1676" s="182"/>
      <c r="E1676" s="183"/>
      <c r="F1676" s="127"/>
      <c r="G1676" s="127"/>
      <c r="H1676" s="127"/>
      <c r="I1676" s="127"/>
    </row>
    <row r="1677">
      <c r="A1677" s="182"/>
      <c r="B1677" s="182"/>
      <c r="C1677" s="182"/>
      <c r="D1677" s="182"/>
      <c r="E1677" s="183"/>
      <c r="F1677" s="127"/>
      <c r="G1677" s="127"/>
      <c r="H1677" s="127"/>
      <c r="I1677" s="127"/>
    </row>
    <row r="1678">
      <c r="A1678" s="182"/>
      <c r="B1678" s="182"/>
      <c r="C1678" s="182"/>
      <c r="D1678" s="182"/>
      <c r="E1678" s="183"/>
      <c r="F1678" s="127"/>
      <c r="G1678" s="127"/>
      <c r="H1678" s="127"/>
      <c r="I1678" s="127"/>
    </row>
    <row r="1679">
      <c r="A1679" s="182"/>
      <c r="B1679" s="182"/>
      <c r="C1679" s="182"/>
      <c r="D1679" s="182"/>
      <c r="E1679" s="183"/>
      <c r="F1679" s="127"/>
      <c r="G1679" s="127"/>
      <c r="H1679" s="127"/>
      <c r="I1679" s="127"/>
    </row>
    <row r="1680">
      <c r="A1680" s="182"/>
      <c r="B1680" s="182"/>
      <c r="C1680" s="182"/>
      <c r="D1680" s="182"/>
      <c r="E1680" s="183"/>
      <c r="F1680" s="127"/>
      <c r="G1680" s="127"/>
      <c r="H1680" s="127"/>
      <c r="I1680" s="127"/>
    </row>
    <row r="1681">
      <c r="A1681" s="182"/>
      <c r="B1681" s="182"/>
      <c r="C1681" s="182"/>
      <c r="D1681" s="182"/>
      <c r="E1681" s="183"/>
      <c r="F1681" s="127"/>
      <c r="G1681" s="127"/>
      <c r="H1681" s="127"/>
      <c r="I1681" s="127"/>
    </row>
    <row r="1682">
      <c r="A1682" s="182"/>
      <c r="B1682" s="182"/>
      <c r="C1682" s="182"/>
      <c r="D1682" s="182"/>
      <c r="E1682" s="183"/>
      <c r="F1682" s="127"/>
      <c r="G1682" s="127"/>
      <c r="H1682" s="127"/>
      <c r="I1682" s="127"/>
    </row>
    <row r="1683">
      <c r="A1683" s="182"/>
      <c r="B1683" s="182"/>
      <c r="C1683" s="182"/>
      <c r="D1683" s="182"/>
      <c r="E1683" s="183"/>
      <c r="F1683" s="127"/>
      <c r="G1683" s="127"/>
      <c r="H1683" s="127"/>
      <c r="I1683" s="127"/>
    </row>
    <row r="1684">
      <c r="A1684" s="182"/>
      <c r="B1684" s="182"/>
      <c r="C1684" s="182"/>
      <c r="D1684" s="182"/>
      <c r="E1684" s="183"/>
      <c r="F1684" s="127"/>
      <c r="G1684" s="127"/>
      <c r="H1684" s="127"/>
      <c r="I1684" s="127"/>
    </row>
    <row r="1685">
      <c r="A1685" s="182"/>
      <c r="B1685" s="182"/>
      <c r="C1685" s="182"/>
      <c r="D1685" s="182"/>
      <c r="E1685" s="183"/>
      <c r="F1685" s="127"/>
      <c r="G1685" s="127"/>
      <c r="H1685" s="127"/>
      <c r="I1685" s="127"/>
    </row>
    <row r="1686">
      <c r="A1686" s="182"/>
      <c r="B1686" s="182"/>
      <c r="C1686" s="182"/>
      <c r="D1686" s="182"/>
      <c r="E1686" s="183"/>
      <c r="F1686" s="127"/>
      <c r="G1686" s="127"/>
      <c r="H1686" s="127"/>
      <c r="I1686" s="127"/>
    </row>
    <row r="1687">
      <c r="A1687" s="182"/>
      <c r="B1687" s="182"/>
      <c r="C1687" s="182"/>
      <c r="D1687" s="182"/>
      <c r="E1687" s="183"/>
      <c r="F1687" s="127"/>
      <c r="G1687" s="127"/>
      <c r="H1687" s="127"/>
      <c r="I1687" s="127"/>
    </row>
    <row r="1688">
      <c r="A1688" s="182"/>
      <c r="B1688" s="182"/>
      <c r="C1688" s="182"/>
      <c r="D1688" s="182"/>
      <c r="E1688" s="183"/>
      <c r="F1688" s="127"/>
      <c r="G1688" s="127"/>
      <c r="H1688" s="127"/>
      <c r="I1688" s="127"/>
    </row>
    <row r="1689">
      <c r="A1689" s="182"/>
      <c r="B1689" s="182"/>
      <c r="C1689" s="182"/>
      <c r="D1689" s="182"/>
      <c r="E1689" s="183"/>
      <c r="F1689" s="127"/>
      <c r="G1689" s="127"/>
      <c r="H1689" s="127"/>
      <c r="I1689" s="127"/>
    </row>
    <row r="1690">
      <c r="A1690" s="182"/>
      <c r="B1690" s="182"/>
      <c r="C1690" s="182"/>
      <c r="D1690" s="182"/>
      <c r="E1690" s="183"/>
      <c r="F1690" s="127"/>
      <c r="G1690" s="127"/>
      <c r="H1690" s="127"/>
      <c r="I1690" s="127"/>
    </row>
    <row r="1691">
      <c r="A1691" s="182"/>
      <c r="B1691" s="182"/>
      <c r="C1691" s="182"/>
      <c r="D1691" s="182"/>
      <c r="E1691" s="183"/>
      <c r="F1691" s="127"/>
      <c r="G1691" s="127"/>
      <c r="H1691" s="127"/>
      <c r="I1691" s="127"/>
    </row>
    <row r="1692">
      <c r="A1692" s="182"/>
      <c r="B1692" s="182"/>
      <c r="C1692" s="182"/>
      <c r="D1692" s="182"/>
      <c r="E1692" s="183"/>
      <c r="F1692" s="127"/>
      <c r="G1692" s="127"/>
      <c r="H1692" s="127"/>
      <c r="I1692" s="127"/>
    </row>
    <row r="1693">
      <c r="A1693" s="182"/>
      <c r="B1693" s="182"/>
      <c r="C1693" s="182"/>
      <c r="D1693" s="182"/>
      <c r="E1693" s="183"/>
      <c r="F1693" s="127"/>
      <c r="G1693" s="127"/>
      <c r="H1693" s="127"/>
      <c r="I1693" s="127"/>
    </row>
    <row r="1694">
      <c r="A1694" s="182"/>
      <c r="B1694" s="182"/>
      <c r="C1694" s="182"/>
      <c r="D1694" s="182"/>
      <c r="E1694" s="183"/>
      <c r="F1694" s="127"/>
      <c r="G1694" s="127"/>
      <c r="H1694" s="127"/>
      <c r="I1694" s="127"/>
    </row>
    <row r="1695">
      <c r="A1695" s="182"/>
      <c r="B1695" s="182"/>
      <c r="C1695" s="182"/>
      <c r="D1695" s="182"/>
      <c r="E1695" s="183"/>
      <c r="F1695" s="127"/>
      <c r="G1695" s="127"/>
      <c r="H1695" s="127"/>
      <c r="I1695" s="127"/>
    </row>
    <row r="1696">
      <c r="A1696" s="182"/>
      <c r="B1696" s="182"/>
      <c r="C1696" s="182"/>
      <c r="D1696" s="182"/>
      <c r="E1696" s="183"/>
      <c r="F1696" s="127"/>
      <c r="G1696" s="127"/>
      <c r="H1696" s="127"/>
      <c r="I1696" s="127"/>
    </row>
    <row r="1697">
      <c r="A1697" s="182"/>
      <c r="B1697" s="182"/>
      <c r="C1697" s="182"/>
      <c r="D1697" s="182"/>
      <c r="E1697" s="183"/>
      <c r="F1697" s="127"/>
      <c r="G1697" s="127"/>
      <c r="H1697" s="127"/>
      <c r="I1697" s="127"/>
    </row>
    <row r="1698">
      <c r="A1698" s="182"/>
      <c r="B1698" s="182"/>
      <c r="C1698" s="182"/>
      <c r="D1698" s="182"/>
      <c r="E1698" s="183"/>
      <c r="F1698" s="127"/>
      <c r="G1698" s="127"/>
      <c r="H1698" s="127"/>
      <c r="I1698" s="127"/>
    </row>
    <row r="1699">
      <c r="A1699" s="182"/>
      <c r="B1699" s="182"/>
      <c r="C1699" s="182"/>
      <c r="D1699" s="182"/>
      <c r="E1699" s="183"/>
      <c r="F1699" s="127"/>
      <c r="G1699" s="127"/>
      <c r="H1699" s="127"/>
      <c r="I1699" s="127"/>
    </row>
    <row r="1700">
      <c r="A1700" s="182"/>
      <c r="B1700" s="182"/>
      <c r="C1700" s="182"/>
      <c r="D1700" s="182"/>
      <c r="E1700" s="183"/>
      <c r="F1700" s="127"/>
      <c r="G1700" s="127"/>
      <c r="H1700" s="127"/>
      <c r="I1700" s="127"/>
    </row>
    <row r="1701">
      <c r="A1701" s="182"/>
      <c r="B1701" s="182"/>
      <c r="C1701" s="182"/>
      <c r="D1701" s="182"/>
      <c r="E1701" s="183"/>
      <c r="F1701" s="127"/>
      <c r="G1701" s="127"/>
      <c r="H1701" s="127"/>
      <c r="I1701" s="127"/>
    </row>
    <row r="1702">
      <c r="A1702" s="182"/>
      <c r="B1702" s="182"/>
      <c r="C1702" s="182"/>
      <c r="D1702" s="182"/>
      <c r="E1702" s="183"/>
      <c r="F1702" s="127"/>
      <c r="G1702" s="127"/>
      <c r="H1702" s="127"/>
      <c r="I1702" s="127"/>
    </row>
    <row r="1703">
      <c r="A1703" s="182"/>
      <c r="B1703" s="182"/>
      <c r="C1703" s="182"/>
      <c r="D1703" s="182"/>
      <c r="E1703" s="183"/>
      <c r="F1703" s="127"/>
      <c r="G1703" s="127"/>
      <c r="H1703" s="127"/>
      <c r="I1703" s="127"/>
    </row>
    <row r="1704">
      <c r="A1704" s="182"/>
      <c r="B1704" s="183"/>
      <c r="C1704" s="182"/>
      <c r="D1704" s="182"/>
      <c r="E1704" s="183"/>
      <c r="F1704" s="127"/>
      <c r="G1704" s="127"/>
      <c r="H1704" s="127"/>
      <c r="I1704" s="127"/>
    </row>
    <row r="1705">
      <c r="A1705" s="182"/>
      <c r="B1705" s="182"/>
      <c r="C1705" s="182"/>
      <c r="D1705" s="182"/>
      <c r="E1705" s="183"/>
      <c r="F1705" s="127"/>
      <c r="G1705" s="127"/>
      <c r="H1705" s="127"/>
      <c r="I1705" s="127"/>
    </row>
    <row r="1706">
      <c r="A1706" s="182"/>
      <c r="B1706" s="182"/>
      <c r="C1706" s="182"/>
      <c r="D1706" s="182"/>
      <c r="E1706" s="183"/>
      <c r="F1706" s="127"/>
      <c r="G1706" s="127"/>
      <c r="H1706" s="127"/>
      <c r="I1706" s="127"/>
    </row>
    <row r="1707">
      <c r="A1707" s="182"/>
      <c r="B1707" s="182"/>
      <c r="C1707" s="182"/>
      <c r="D1707" s="182"/>
      <c r="E1707" s="183"/>
      <c r="F1707" s="127"/>
      <c r="G1707" s="127"/>
      <c r="H1707" s="127"/>
      <c r="I1707" s="127"/>
    </row>
    <row r="1708">
      <c r="A1708" s="182"/>
      <c r="B1708" s="182"/>
      <c r="C1708" s="182"/>
      <c r="D1708" s="182"/>
      <c r="E1708" s="183"/>
      <c r="F1708" s="127"/>
      <c r="G1708" s="127"/>
      <c r="H1708" s="127"/>
      <c r="I1708" s="127"/>
    </row>
    <row r="1709">
      <c r="A1709" s="182"/>
      <c r="B1709" s="182"/>
      <c r="C1709" s="182"/>
      <c r="D1709" s="182"/>
      <c r="E1709" s="183"/>
      <c r="F1709" s="127"/>
      <c r="G1709" s="127"/>
      <c r="H1709" s="127"/>
      <c r="I1709" s="127"/>
    </row>
    <row r="1710">
      <c r="A1710" s="182"/>
      <c r="B1710" s="182"/>
      <c r="C1710" s="182"/>
      <c r="D1710" s="182"/>
      <c r="E1710" s="183"/>
      <c r="F1710" s="127"/>
      <c r="G1710" s="127"/>
      <c r="H1710" s="127"/>
      <c r="I1710" s="127"/>
    </row>
    <row r="1711">
      <c r="A1711" s="182"/>
      <c r="B1711" s="182"/>
      <c r="C1711" s="182"/>
      <c r="D1711" s="182"/>
      <c r="E1711" s="183"/>
      <c r="F1711" s="127"/>
      <c r="G1711" s="127"/>
      <c r="H1711" s="127"/>
      <c r="I1711" s="127"/>
    </row>
    <row r="1712">
      <c r="A1712" s="182"/>
      <c r="B1712" s="182"/>
      <c r="C1712" s="182"/>
      <c r="D1712" s="182"/>
      <c r="E1712" s="183"/>
      <c r="F1712" s="127"/>
      <c r="G1712" s="127"/>
      <c r="H1712" s="127"/>
      <c r="I1712" s="127"/>
    </row>
    <row r="1713">
      <c r="A1713" s="182"/>
      <c r="B1713" s="182"/>
      <c r="C1713" s="182"/>
      <c r="D1713" s="182"/>
      <c r="E1713" s="183"/>
      <c r="F1713" s="127"/>
      <c r="G1713" s="127"/>
      <c r="H1713" s="127"/>
      <c r="I1713" s="127"/>
    </row>
    <row r="1714">
      <c r="A1714" s="182"/>
      <c r="B1714" s="182"/>
      <c r="C1714" s="182"/>
      <c r="D1714" s="182"/>
      <c r="E1714" s="183"/>
      <c r="F1714" s="127"/>
      <c r="G1714" s="127"/>
      <c r="H1714" s="127"/>
      <c r="I1714" s="127"/>
    </row>
    <row r="1715">
      <c r="A1715" s="182"/>
      <c r="B1715" s="182"/>
      <c r="C1715" s="182"/>
      <c r="D1715" s="182"/>
      <c r="E1715" s="183"/>
      <c r="F1715" s="127"/>
      <c r="G1715" s="127"/>
      <c r="H1715" s="127"/>
      <c r="I1715" s="127"/>
    </row>
    <row r="1716">
      <c r="A1716" s="182"/>
      <c r="B1716" s="182"/>
      <c r="C1716" s="182"/>
      <c r="D1716" s="182"/>
      <c r="E1716" s="183"/>
      <c r="F1716" s="127"/>
      <c r="G1716" s="127"/>
      <c r="H1716" s="127"/>
      <c r="I1716" s="127"/>
    </row>
    <row r="1717">
      <c r="A1717" s="182"/>
      <c r="B1717" s="182"/>
      <c r="C1717" s="182"/>
      <c r="D1717" s="182"/>
      <c r="E1717" s="183"/>
      <c r="F1717" s="127"/>
      <c r="G1717" s="127"/>
      <c r="H1717" s="127"/>
      <c r="I1717" s="127"/>
    </row>
    <row r="1718">
      <c r="A1718" s="182"/>
      <c r="B1718" s="182"/>
      <c r="C1718" s="182"/>
      <c r="D1718" s="182"/>
      <c r="E1718" s="183"/>
      <c r="F1718" s="127"/>
      <c r="G1718" s="127"/>
      <c r="H1718" s="127"/>
      <c r="I1718" s="127"/>
    </row>
    <row r="1719">
      <c r="A1719" s="182"/>
      <c r="B1719" s="182"/>
      <c r="C1719" s="182"/>
      <c r="D1719" s="182"/>
      <c r="E1719" s="183"/>
      <c r="F1719" s="127"/>
      <c r="G1719" s="127"/>
      <c r="H1719" s="127"/>
      <c r="I1719" s="127"/>
    </row>
    <row r="1720">
      <c r="A1720" s="182"/>
      <c r="B1720" s="182"/>
      <c r="C1720" s="182"/>
      <c r="D1720" s="182"/>
      <c r="E1720" s="183"/>
      <c r="F1720" s="127"/>
      <c r="G1720" s="127"/>
      <c r="H1720" s="127"/>
      <c r="I1720" s="127"/>
    </row>
    <row r="1721">
      <c r="A1721" s="182"/>
      <c r="B1721" s="182"/>
      <c r="C1721" s="182"/>
      <c r="D1721" s="182"/>
      <c r="E1721" s="183"/>
      <c r="F1721" s="127"/>
      <c r="G1721" s="127"/>
      <c r="H1721" s="127"/>
      <c r="I1721" s="127"/>
    </row>
    <row r="1722">
      <c r="A1722" s="182"/>
      <c r="B1722" s="182"/>
      <c r="C1722" s="182"/>
      <c r="D1722" s="182"/>
      <c r="E1722" s="183"/>
      <c r="F1722" s="127"/>
      <c r="G1722" s="127"/>
      <c r="H1722" s="127"/>
      <c r="I1722" s="127"/>
    </row>
    <row r="1723">
      <c r="A1723" s="182"/>
      <c r="B1723" s="182"/>
      <c r="C1723" s="182"/>
      <c r="D1723" s="182"/>
      <c r="E1723" s="183"/>
      <c r="F1723" s="127"/>
      <c r="G1723" s="127"/>
      <c r="H1723" s="127"/>
      <c r="I1723" s="127"/>
    </row>
    <row r="1724">
      <c r="A1724" s="182"/>
      <c r="B1724" s="182"/>
      <c r="C1724" s="182"/>
      <c r="D1724" s="182"/>
      <c r="E1724" s="183"/>
      <c r="F1724" s="127"/>
      <c r="G1724" s="127"/>
      <c r="H1724" s="127"/>
      <c r="I1724" s="127"/>
    </row>
    <row r="1725">
      <c r="A1725" s="182"/>
      <c r="B1725" s="182"/>
      <c r="C1725" s="182"/>
      <c r="D1725" s="182"/>
      <c r="E1725" s="183"/>
      <c r="F1725" s="127"/>
      <c r="G1725" s="127"/>
      <c r="H1725" s="127"/>
      <c r="I1725" s="127"/>
    </row>
    <row r="1726">
      <c r="A1726" s="182"/>
      <c r="B1726" s="182"/>
      <c r="C1726" s="182"/>
      <c r="D1726" s="182"/>
      <c r="E1726" s="183"/>
      <c r="F1726" s="127"/>
      <c r="G1726" s="127"/>
      <c r="H1726" s="127"/>
      <c r="I1726" s="127"/>
    </row>
    <row r="1727">
      <c r="A1727" s="182"/>
      <c r="B1727" s="182"/>
      <c r="C1727" s="182"/>
      <c r="D1727" s="182"/>
      <c r="E1727" s="183"/>
      <c r="F1727" s="127"/>
      <c r="G1727" s="127"/>
      <c r="H1727" s="127"/>
      <c r="I1727" s="127"/>
    </row>
    <row r="1728">
      <c r="A1728" s="182"/>
      <c r="B1728" s="182"/>
      <c r="C1728" s="182"/>
      <c r="D1728" s="182"/>
      <c r="E1728" s="183"/>
      <c r="F1728" s="127"/>
      <c r="G1728" s="127"/>
      <c r="H1728" s="127"/>
      <c r="I1728" s="127"/>
    </row>
    <row r="1729">
      <c r="A1729" s="182"/>
      <c r="B1729" s="182"/>
      <c r="C1729" s="182"/>
      <c r="D1729" s="182"/>
      <c r="E1729" s="183"/>
      <c r="F1729" s="127"/>
      <c r="G1729" s="127"/>
      <c r="H1729" s="127"/>
      <c r="I1729" s="127"/>
    </row>
    <row r="1730">
      <c r="A1730" s="182"/>
      <c r="B1730" s="182"/>
      <c r="C1730" s="182"/>
      <c r="D1730" s="182"/>
      <c r="E1730" s="183"/>
      <c r="F1730" s="127"/>
      <c r="G1730" s="127"/>
      <c r="H1730" s="127"/>
      <c r="I1730" s="127"/>
    </row>
    <row r="1731">
      <c r="A1731" s="182"/>
      <c r="B1731" s="182"/>
      <c r="C1731" s="182"/>
      <c r="D1731" s="182"/>
      <c r="E1731" s="183"/>
      <c r="F1731" s="127"/>
      <c r="G1731" s="127"/>
      <c r="H1731" s="127"/>
      <c r="I1731" s="127"/>
    </row>
    <row r="1732">
      <c r="A1732" s="182"/>
      <c r="B1732" s="182"/>
      <c r="C1732" s="182"/>
      <c r="D1732" s="182"/>
      <c r="E1732" s="183"/>
      <c r="F1732" s="127"/>
      <c r="G1732" s="127"/>
      <c r="H1732" s="127"/>
      <c r="I1732" s="127"/>
    </row>
    <row r="1733">
      <c r="A1733" s="182"/>
      <c r="B1733" s="182"/>
      <c r="C1733" s="182"/>
      <c r="D1733" s="182"/>
      <c r="E1733" s="183"/>
      <c r="F1733" s="127"/>
      <c r="G1733" s="127"/>
      <c r="H1733" s="127"/>
      <c r="I1733" s="127"/>
    </row>
    <row r="1734">
      <c r="A1734" s="182"/>
      <c r="B1734" s="182"/>
      <c r="C1734" s="182"/>
      <c r="D1734" s="182"/>
      <c r="E1734" s="183"/>
      <c r="F1734" s="127"/>
      <c r="G1734" s="127"/>
      <c r="H1734" s="127"/>
      <c r="I1734" s="127"/>
    </row>
    <row r="1735">
      <c r="A1735" s="182"/>
      <c r="B1735" s="182"/>
      <c r="C1735" s="182"/>
      <c r="D1735" s="182"/>
      <c r="E1735" s="183"/>
      <c r="F1735" s="127"/>
      <c r="G1735" s="127"/>
      <c r="H1735" s="127"/>
      <c r="I1735" s="127"/>
    </row>
    <row r="1736">
      <c r="A1736" s="182"/>
      <c r="B1736" s="182"/>
      <c r="C1736" s="182"/>
      <c r="D1736" s="182"/>
      <c r="E1736" s="183"/>
      <c r="F1736" s="127"/>
      <c r="G1736" s="127"/>
      <c r="H1736" s="127"/>
      <c r="I1736" s="127"/>
    </row>
    <row r="1737">
      <c r="A1737" s="182"/>
      <c r="B1737" s="182"/>
      <c r="C1737" s="182"/>
      <c r="D1737" s="182"/>
      <c r="E1737" s="183"/>
      <c r="F1737" s="127"/>
      <c r="G1737" s="127"/>
      <c r="H1737" s="127"/>
      <c r="I1737" s="127"/>
    </row>
    <row r="1738">
      <c r="A1738" s="182"/>
      <c r="B1738" s="182"/>
      <c r="C1738" s="182"/>
      <c r="D1738" s="182"/>
      <c r="E1738" s="183"/>
      <c r="F1738" s="127"/>
      <c r="G1738" s="127"/>
      <c r="H1738" s="127"/>
      <c r="I1738" s="127"/>
    </row>
    <row r="1739">
      <c r="A1739" s="182"/>
      <c r="B1739" s="182"/>
      <c r="C1739" s="182"/>
      <c r="D1739" s="182"/>
      <c r="E1739" s="183"/>
      <c r="F1739" s="127"/>
      <c r="G1739" s="127"/>
      <c r="H1739" s="127"/>
      <c r="I1739" s="127"/>
    </row>
    <row r="1740">
      <c r="A1740" s="182"/>
      <c r="B1740" s="182"/>
      <c r="C1740" s="182"/>
      <c r="D1740" s="182"/>
      <c r="E1740" s="183"/>
      <c r="F1740" s="127"/>
      <c r="G1740" s="127"/>
      <c r="H1740" s="127"/>
      <c r="I1740" s="127"/>
    </row>
    <row r="1741">
      <c r="A1741" s="182"/>
      <c r="B1741" s="182"/>
      <c r="C1741" s="182"/>
      <c r="D1741" s="182"/>
      <c r="E1741" s="183"/>
      <c r="F1741" s="127"/>
      <c r="G1741" s="127"/>
      <c r="H1741" s="127"/>
      <c r="I1741" s="127"/>
    </row>
    <row r="1742">
      <c r="A1742" s="182"/>
      <c r="B1742" s="182"/>
      <c r="C1742" s="182"/>
      <c r="D1742" s="182"/>
      <c r="E1742" s="183"/>
      <c r="F1742" s="127"/>
      <c r="G1742" s="127"/>
      <c r="H1742" s="127"/>
      <c r="I1742" s="127"/>
    </row>
    <row r="1743">
      <c r="A1743" s="182"/>
      <c r="B1743" s="182"/>
      <c r="C1743" s="182"/>
      <c r="D1743" s="182"/>
      <c r="E1743" s="183"/>
      <c r="F1743" s="127"/>
      <c r="G1743" s="127"/>
      <c r="H1743" s="127"/>
      <c r="I1743" s="127"/>
    </row>
    <row r="1744">
      <c r="A1744" s="182"/>
      <c r="B1744" s="182"/>
      <c r="C1744" s="182"/>
      <c r="D1744" s="182"/>
      <c r="E1744" s="183"/>
      <c r="F1744" s="127"/>
      <c r="G1744" s="127"/>
      <c r="H1744" s="127"/>
      <c r="I1744" s="127"/>
    </row>
    <row r="1745">
      <c r="A1745" s="182"/>
      <c r="B1745" s="182"/>
      <c r="C1745" s="182"/>
      <c r="D1745" s="182"/>
      <c r="E1745" s="183"/>
      <c r="F1745" s="127"/>
      <c r="G1745" s="127"/>
      <c r="H1745" s="127"/>
      <c r="I1745" s="127"/>
    </row>
    <row r="1746">
      <c r="A1746" s="182"/>
      <c r="B1746" s="182"/>
      <c r="C1746" s="182"/>
      <c r="D1746" s="182"/>
      <c r="E1746" s="183"/>
      <c r="F1746" s="127"/>
      <c r="G1746" s="127"/>
      <c r="H1746" s="127"/>
      <c r="I1746" s="127"/>
    </row>
    <row r="1747">
      <c r="A1747" s="182"/>
      <c r="B1747" s="182"/>
      <c r="C1747" s="182"/>
      <c r="D1747" s="182"/>
      <c r="E1747" s="183"/>
      <c r="F1747" s="127"/>
      <c r="G1747" s="127"/>
      <c r="H1747" s="127"/>
      <c r="I1747" s="127"/>
    </row>
    <row r="1748">
      <c r="A1748" s="182"/>
      <c r="B1748" s="182"/>
      <c r="C1748" s="182"/>
      <c r="D1748" s="182"/>
      <c r="E1748" s="183"/>
      <c r="F1748" s="127"/>
      <c r="G1748" s="127"/>
      <c r="H1748" s="127"/>
      <c r="I1748" s="127"/>
    </row>
    <row r="1749">
      <c r="A1749" s="182"/>
      <c r="B1749" s="182"/>
      <c r="C1749" s="182"/>
      <c r="D1749" s="182"/>
      <c r="E1749" s="183"/>
      <c r="F1749" s="127"/>
      <c r="G1749" s="127"/>
      <c r="H1749" s="127"/>
      <c r="I1749" s="127"/>
    </row>
    <row r="1750">
      <c r="A1750" s="182"/>
      <c r="B1750" s="182"/>
      <c r="C1750" s="182"/>
      <c r="D1750" s="182"/>
      <c r="E1750" s="183"/>
      <c r="F1750" s="127"/>
      <c r="G1750" s="127"/>
      <c r="H1750" s="127"/>
      <c r="I1750" s="127"/>
    </row>
    <row r="1751">
      <c r="A1751" s="182"/>
      <c r="B1751" s="182"/>
      <c r="C1751" s="182"/>
      <c r="D1751" s="182"/>
      <c r="E1751" s="183"/>
      <c r="F1751" s="127"/>
      <c r="G1751" s="127"/>
      <c r="H1751" s="127"/>
      <c r="I1751" s="127"/>
    </row>
    <row r="1752">
      <c r="A1752" s="182"/>
      <c r="B1752" s="182"/>
      <c r="C1752" s="182"/>
      <c r="D1752" s="182"/>
      <c r="E1752" s="183"/>
      <c r="F1752" s="127"/>
      <c r="G1752" s="127"/>
      <c r="H1752" s="127"/>
      <c r="I1752" s="127"/>
    </row>
    <row r="1753">
      <c r="A1753" s="182"/>
      <c r="B1753" s="182"/>
      <c r="C1753" s="182"/>
      <c r="D1753" s="182"/>
      <c r="E1753" s="183"/>
      <c r="F1753" s="127"/>
      <c r="G1753" s="127"/>
      <c r="H1753" s="127"/>
      <c r="I1753" s="127"/>
    </row>
    <row r="1754">
      <c r="A1754" s="182"/>
      <c r="B1754" s="182"/>
      <c r="C1754" s="182"/>
      <c r="D1754" s="182"/>
      <c r="E1754" s="183"/>
      <c r="F1754" s="127"/>
      <c r="G1754" s="127"/>
      <c r="H1754" s="127"/>
      <c r="I1754" s="127"/>
    </row>
    <row r="1755">
      <c r="A1755" s="182"/>
      <c r="B1755" s="182"/>
      <c r="C1755" s="182"/>
      <c r="D1755" s="182"/>
      <c r="E1755" s="183"/>
      <c r="F1755" s="127"/>
      <c r="G1755" s="127"/>
      <c r="H1755" s="127"/>
      <c r="I1755" s="127"/>
    </row>
    <row r="1756">
      <c r="A1756" s="182"/>
      <c r="B1756" s="182"/>
      <c r="C1756" s="182"/>
      <c r="D1756" s="182"/>
      <c r="E1756" s="183"/>
      <c r="F1756" s="127"/>
      <c r="G1756" s="127"/>
      <c r="H1756" s="127"/>
      <c r="I1756" s="127"/>
    </row>
    <row r="1757">
      <c r="A1757" s="182"/>
      <c r="B1757" s="182"/>
      <c r="C1757" s="182"/>
      <c r="D1757" s="182"/>
      <c r="E1757" s="183"/>
      <c r="F1757" s="127"/>
      <c r="G1757" s="127"/>
      <c r="H1757" s="127"/>
      <c r="I1757" s="127"/>
    </row>
    <row r="1758">
      <c r="A1758" s="182"/>
      <c r="B1758" s="182"/>
      <c r="C1758" s="182"/>
      <c r="D1758" s="182"/>
      <c r="E1758" s="183"/>
      <c r="F1758" s="127"/>
      <c r="G1758" s="127"/>
      <c r="H1758" s="127"/>
      <c r="I1758" s="127"/>
    </row>
    <row r="1759">
      <c r="A1759" s="182"/>
      <c r="B1759" s="182"/>
      <c r="C1759" s="182"/>
      <c r="D1759" s="182"/>
      <c r="E1759" s="183"/>
      <c r="F1759" s="127"/>
      <c r="G1759" s="127"/>
      <c r="H1759" s="127"/>
      <c r="I1759" s="127"/>
    </row>
    <row r="1760">
      <c r="A1760" s="182"/>
      <c r="B1760" s="182"/>
      <c r="C1760" s="182"/>
      <c r="D1760" s="182"/>
      <c r="E1760" s="183"/>
      <c r="F1760" s="127"/>
      <c r="G1760" s="127"/>
      <c r="H1760" s="127"/>
      <c r="I1760" s="127"/>
    </row>
    <row r="1761">
      <c r="A1761" s="182"/>
      <c r="B1761" s="182"/>
      <c r="C1761" s="182"/>
      <c r="D1761" s="182"/>
      <c r="E1761" s="183"/>
      <c r="F1761" s="127"/>
      <c r="G1761" s="127"/>
      <c r="H1761" s="127"/>
      <c r="I1761" s="127"/>
    </row>
    <row r="1762">
      <c r="A1762" s="182"/>
      <c r="B1762" s="182"/>
      <c r="C1762" s="182"/>
      <c r="D1762" s="182"/>
      <c r="E1762" s="183"/>
      <c r="F1762" s="127"/>
      <c r="G1762" s="127"/>
      <c r="H1762" s="127"/>
      <c r="I1762" s="127"/>
    </row>
    <row r="1763">
      <c r="A1763" s="182"/>
      <c r="B1763" s="182"/>
      <c r="C1763" s="182"/>
      <c r="D1763" s="182"/>
      <c r="E1763" s="183"/>
      <c r="F1763" s="127"/>
      <c r="G1763" s="127"/>
      <c r="H1763" s="127"/>
      <c r="I1763" s="127"/>
    </row>
    <row r="1764">
      <c r="A1764" s="182"/>
      <c r="B1764" s="182"/>
      <c r="C1764" s="182"/>
      <c r="D1764" s="182"/>
      <c r="E1764" s="183"/>
      <c r="F1764" s="127"/>
      <c r="G1764" s="127"/>
      <c r="H1764" s="127"/>
      <c r="I1764" s="127"/>
    </row>
    <row r="1765">
      <c r="A1765" s="182"/>
      <c r="B1765" s="182"/>
      <c r="C1765" s="182"/>
      <c r="D1765" s="182"/>
      <c r="E1765" s="183"/>
      <c r="F1765" s="127"/>
      <c r="G1765" s="127"/>
      <c r="H1765" s="127"/>
      <c r="I1765" s="127"/>
    </row>
    <row r="1766">
      <c r="A1766" s="182"/>
      <c r="B1766" s="182"/>
      <c r="C1766" s="182"/>
      <c r="D1766" s="182"/>
      <c r="E1766" s="183"/>
      <c r="F1766" s="127"/>
      <c r="G1766" s="127"/>
      <c r="H1766" s="127"/>
      <c r="I1766" s="127"/>
    </row>
    <row r="1767">
      <c r="A1767" s="182"/>
      <c r="B1767" s="182"/>
      <c r="C1767" s="182"/>
      <c r="D1767" s="182"/>
      <c r="E1767" s="183"/>
      <c r="F1767" s="127"/>
      <c r="G1767" s="127"/>
      <c r="H1767" s="127"/>
      <c r="I1767" s="127"/>
    </row>
    <row r="1768">
      <c r="A1768" s="182"/>
      <c r="B1768" s="182"/>
      <c r="C1768" s="182"/>
      <c r="D1768" s="182"/>
      <c r="E1768" s="183"/>
      <c r="F1768" s="127"/>
      <c r="G1768" s="127"/>
      <c r="H1768" s="127"/>
      <c r="I1768" s="127"/>
    </row>
    <row r="1769">
      <c r="A1769" s="182"/>
      <c r="B1769" s="182"/>
      <c r="C1769" s="182"/>
      <c r="D1769" s="182"/>
      <c r="E1769" s="183"/>
      <c r="F1769" s="127"/>
      <c r="G1769" s="127"/>
      <c r="H1769" s="127"/>
      <c r="I1769" s="127"/>
    </row>
    <row r="1770">
      <c r="A1770" s="182"/>
      <c r="B1770" s="182"/>
      <c r="C1770" s="182"/>
      <c r="D1770" s="182"/>
      <c r="E1770" s="183"/>
      <c r="F1770" s="127"/>
      <c r="G1770" s="127"/>
      <c r="H1770" s="127"/>
      <c r="I1770" s="127"/>
    </row>
    <row r="1771">
      <c r="A1771" s="182"/>
      <c r="B1771" s="182"/>
      <c r="C1771" s="182"/>
      <c r="D1771" s="182"/>
      <c r="E1771" s="183"/>
      <c r="F1771" s="127"/>
      <c r="G1771" s="127"/>
      <c r="H1771" s="127"/>
      <c r="I1771" s="127"/>
    </row>
    <row r="1772">
      <c r="A1772" s="182"/>
      <c r="B1772" s="182"/>
      <c r="C1772" s="182"/>
      <c r="D1772" s="182"/>
      <c r="E1772" s="183"/>
      <c r="F1772" s="127"/>
      <c r="G1772" s="127"/>
      <c r="H1772" s="127"/>
      <c r="I1772" s="127"/>
    </row>
    <row r="1773">
      <c r="A1773" s="182"/>
      <c r="B1773" s="182"/>
      <c r="C1773" s="182"/>
      <c r="D1773" s="182"/>
      <c r="E1773" s="183"/>
      <c r="F1773" s="127"/>
      <c r="G1773" s="127"/>
      <c r="H1773" s="127"/>
      <c r="I1773" s="127"/>
    </row>
    <row r="1774">
      <c r="A1774" s="182"/>
      <c r="B1774" s="182"/>
      <c r="C1774" s="182"/>
      <c r="D1774" s="182"/>
      <c r="E1774" s="183"/>
      <c r="F1774" s="127"/>
      <c r="G1774" s="127"/>
      <c r="H1774" s="127"/>
      <c r="I1774" s="127"/>
    </row>
    <row r="1775">
      <c r="A1775" s="182"/>
      <c r="B1775" s="182"/>
      <c r="C1775" s="182"/>
      <c r="D1775" s="182"/>
      <c r="E1775" s="183"/>
      <c r="F1775" s="127"/>
      <c r="G1775" s="127"/>
      <c r="H1775" s="127"/>
      <c r="I1775" s="127"/>
    </row>
    <row r="1776">
      <c r="A1776" s="182"/>
      <c r="B1776" s="182"/>
      <c r="C1776" s="182"/>
      <c r="D1776" s="182"/>
      <c r="E1776" s="183"/>
      <c r="F1776" s="127"/>
      <c r="G1776" s="127"/>
      <c r="H1776" s="127"/>
      <c r="I1776" s="127"/>
    </row>
    <row r="1777">
      <c r="A1777" s="182"/>
      <c r="B1777" s="182"/>
      <c r="C1777" s="182"/>
      <c r="D1777" s="182"/>
      <c r="E1777" s="183"/>
      <c r="F1777" s="127"/>
      <c r="G1777" s="127"/>
      <c r="H1777" s="127"/>
      <c r="I1777" s="127"/>
    </row>
    <row r="1778">
      <c r="A1778" s="182"/>
      <c r="B1778" s="182"/>
      <c r="C1778" s="182"/>
      <c r="D1778" s="182"/>
      <c r="E1778" s="183"/>
      <c r="F1778" s="127"/>
      <c r="G1778" s="127"/>
      <c r="H1778" s="127"/>
      <c r="I1778" s="127"/>
    </row>
    <row r="1779">
      <c r="A1779" s="182"/>
      <c r="B1779" s="182"/>
      <c r="C1779" s="182"/>
      <c r="D1779" s="182"/>
      <c r="E1779" s="183"/>
      <c r="F1779" s="127"/>
      <c r="G1779" s="127"/>
      <c r="H1779" s="127"/>
      <c r="I1779" s="127"/>
    </row>
    <row r="1780">
      <c r="A1780" s="182"/>
      <c r="B1780" s="182"/>
      <c r="C1780" s="182"/>
      <c r="D1780" s="182"/>
      <c r="E1780" s="183"/>
      <c r="F1780" s="127"/>
      <c r="G1780" s="127"/>
      <c r="H1780" s="127"/>
      <c r="I1780" s="127"/>
    </row>
    <row r="1781">
      <c r="A1781" s="182"/>
      <c r="B1781" s="182"/>
      <c r="C1781" s="182"/>
      <c r="D1781" s="182"/>
      <c r="E1781" s="183"/>
      <c r="F1781" s="127"/>
      <c r="G1781" s="127"/>
      <c r="H1781" s="127"/>
      <c r="I1781" s="127"/>
    </row>
    <row r="1782">
      <c r="A1782" s="182"/>
      <c r="B1782" s="182"/>
      <c r="C1782" s="182"/>
      <c r="D1782" s="182"/>
      <c r="E1782" s="183"/>
      <c r="F1782" s="127"/>
      <c r="G1782" s="127"/>
      <c r="H1782" s="127"/>
      <c r="I1782" s="127"/>
    </row>
    <row r="1783">
      <c r="A1783" s="182"/>
      <c r="B1783" s="182"/>
      <c r="C1783" s="182"/>
      <c r="D1783" s="182"/>
      <c r="E1783" s="183"/>
      <c r="F1783" s="127"/>
      <c r="G1783" s="127"/>
      <c r="H1783" s="127"/>
      <c r="I1783" s="127"/>
    </row>
    <row r="1784">
      <c r="A1784" s="182"/>
      <c r="B1784" s="182"/>
      <c r="C1784" s="182"/>
      <c r="D1784" s="182"/>
      <c r="E1784" s="183"/>
      <c r="F1784" s="127"/>
      <c r="G1784" s="127"/>
      <c r="H1784" s="127"/>
      <c r="I1784" s="127"/>
    </row>
    <row r="1785">
      <c r="A1785" s="182"/>
      <c r="B1785" s="182"/>
      <c r="C1785" s="182"/>
      <c r="D1785" s="182"/>
      <c r="E1785" s="183"/>
      <c r="F1785" s="127"/>
      <c r="G1785" s="127"/>
      <c r="H1785" s="127"/>
      <c r="I1785" s="127"/>
    </row>
    <row r="1786">
      <c r="A1786" s="182"/>
      <c r="B1786" s="182"/>
      <c r="C1786" s="182"/>
      <c r="D1786" s="182"/>
      <c r="E1786" s="183"/>
      <c r="F1786" s="127"/>
      <c r="G1786" s="127"/>
      <c r="H1786" s="127"/>
      <c r="I1786" s="127"/>
    </row>
    <row r="1787">
      <c r="A1787" s="182"/>
      <c r="B1787" s="182"/>
      <c r="C1787" s="182"/>
      <c r="D1787" s="182"/>
      <c r="E1787" s="183"/>
      <c r="F1787" s="127"/>
      <c r="G1787" s="127"/>
      <c r="H1787" s="127"/>
      <c r="I1787" s="127"/>
    </row>
    <row r="1788">
      <c r="A1788" s="182"/>
      <c r="B1788" s="182"/>
      <c r="C1788" s="182"/>
      <c r="D1788" s="182"/>
      <c r="E1788" s="183"/>
      <c r="F1788" s="127"/>
      <c r="G1788" s="127"/>
      <c r="H1788" s="127"/>
      <c r="I1788" s="127"/>
    </row>
    <row r="1789">
      <c r="A1789" s="182"/>
      <c r="B1789" s="182"/>
      <c r="C1789" s="182"/>
      <c r="D1789" s="182"/>
      <c r="E1789" s="183"/>
      <c r="F1789" s="127"/>
      <c r="G1789" s="127"/>
      <c r="H1789" s="127"/>
      <c r="I1789" s="127"/>
    </row>
    <row r="1790">
      <c r="A1790" s="182"/>
      <c r="B1790" s="182"/>
      <c r="C1790" s="182"/>
      <c r="D1790" s="182"/>
      <c r="E1790" s="183"/>
      <c r="F1790" s="127"/>
      <c r="G1790" s="127"/>
      <c r="H1790" s="127"/>
      <c r="I1790" s="127"/>
    </row>
    <row r="1791">
      <c r="A1791" s="182"/>
      <c r="B1791" s="182"/>
      <c r="C1791" s="182"/>
      <c r="D1791" s="182"/>
      <c r="E1791" s="183"/>
      <c r="F1791" s="127"/>
      <c r="G1791" s="127"/>
      <c r="H1791" s="127"/>
      <c r="I1791" s="127"/>
    </row>
    <row r="1792">
      <c r="A1792" s="182"/>
      <c r="B1792" s="182"/>
      <c r="C1792" s="182"/>
      <c r="D1792" s="182"/>
      <c r="E1792" s="183"/>
      <c r="F1792" s="127"/>
      <c r="G1792" s="127"/>
      <c r="H1792" s="127"/>
      <c r="I1792" s="127"/>
    </row>
    <row r="1793">
      <c r="A1793" s="182"/>
      <c r="B1793" s="182"/>
      <c r="C1793" s="182"/>
      <c r="D1793" s="182"/>
      <c r="E1793" s="183"/>
      <c r="F1793" s="127"/>
      <c r="G1793" s="127"/>
      <c r="H1793" s="127"/>
      <c r="I1793" s="127"/>
    </row>
    <row r="1794">
      <c r="A1794" s="182"/>
      <c r="B1794" s="182"/>
      <c r="C1794" s="182"/>
      <c r="D1794" s="182"/>
      <c r="E1794" s="183"/>
      <c r="F1794" s="127"/>
      <c r="G1794" s="127"/>
      <c r="H1794" s="127"/>
      <c r="I1794" s="127"/>
    </row>
    <row r="1795">
      <c r="A1795" s="182"/>
      <c r="B1795" s="182"/>
      <c r="C1795" s="182"/>
      <c r="D1795" s="182"/>
      <c r="E1795" s="183"/>
      <c r="F1795" s="127"/>
      <c r="G1795" s="127"/>
      <c r="H1795" s="127"/>
      <c r="I1795" s="127"/>
    </row>
    <row r="1796">
      <c r="A1796" s="182"/>
      <c r="B1796" s="182"/>
      <c r="C1796" s="182"/>
      <c r="D1796" s="182"/>
      <c r="E1796" s="183"/>
      <c r="F1796" s="127"/>
      <c r="G1796" s="127"/>
      <c r="H1796" s="127"/>
      <c r="I1796" s="127"/>
    </row>
    <row r="1797">
      <c r="A1797" s="182"/>
      <c r="B1797" s="182"/>
      <c r="C1797" s="182"/>
      <c r="D1797" s="182"/>
      <c r="E1797" s="183"/>
      <c r="F1797" s="127"/>
      <c r="G1797" s="127"/>
      <c r="H1797" s="127"/>
      <c r="I1797" s="127"/>
    </row>
    <row r="1798">
      <c r="A1798" s="182"/>
      <c r="B1798" s="182"/>
      <c r="C1798" s="182"/>
      <c r="D1798" s="182"/>
      <c r="E1798" s="183"/>
      <c r="F1798" s="127"/>
      <c r="G1798" s="127"/>
      <c r="H1798" s="127"/>
      <c r="I1798" s="127"/>
    </row>
    <row r="1799">
      <c r="A1799" s="182"/>
      <c r="B1799" s="182"/>
      <c r="C1799" s="182"/>
      <c r="D1799" s="182"/>
      <c r="E1799" s="183"/>
      <c r="F1799" s="127"/>
      <c r="G1799" s="127"/>
      <c r="H1799" s="127"/>
      <c r="I1799" s="127"/>
    </row>
    <row r="1800">
      <c r="A1800" s="182"/>
      <c r="B1800" s="182"/>
      <c r="C1800" s="182"/>
      <c r="D1800" s="182"/>
      <c r="E1800" s="183"/>
      <c r="F1800" s="127"/>
      <c r="G1800" s="127"/>
      <c r="H1800" s="127"/>
      <c r="I1800" s="127"/>
    </row>
    <row r="1801">
      <c r="A1801" s="182"/>
      <c r="B1801" s="182"/>
      <c r="C1801" s="182"/>
      <c r="D1801" s="182"/>
      <c r="E1801" s="183"/>
      <c r="F1801" s="127"/>
      <c r="G1801" s="127"/>
      <c r="H1801" s="127"/>
      <c r="I1801" s="127"/>
    </row>
    <row r="1802">
      <c r="A1802" s="182"/>
      <c r="B1802" s="182"/>
      <c r="C1802" s="182"/>
      <c r="D1802" s="182"/>
      <c r="E1802" s="183"/>
      <c r="F1802" s="127"/>
      <c r="G1802" s="127"/>
      <c r="H1802" s="127"/>
      <c r="I1802" s="127"/>
    </row>
    <row r="1803">
      <c r="A1803" s="182"/>
      <c r="B1803" s="182"/>
      <c r="C1803" s="182"/>
      <c r="D1803" s="182"/>
      <c r="E1803" s="183"/>
      <c r="F1803" s="127"/>
      <c r="G1803" s="127"/>
      <c r="H1803" s="127"/>
      <c r="I1803" s="127"/>
    </row>
    <row r="1804">
      <c r="A1804" s="182"/>
      <c r="B1804" s="182"/>
      <c r="C1804" s="182"/>
      <c r="D1804" s="182"/>
      <c r="E1804" s="183"/>
      <c r="F1804" s="127"/>
      <c r="G1804" s="127"/>
      <c r="H1804" s="127"/>
      <c r="I1804" s="127"/>
    </row>
    <row r="1805">
      <c r="A1805" s="182"/>
      <c r="B1805" s="182"/>
      <c r="C1805" s="182"/>
      <c r="D1805" s="182"/>
      <c r="E1805" s="183"/>
      <c r="F1805" s="127"/>
      <c r="G1805" s="127"/>
      <c r="H1805" s="127"/>
      <c r="I1805" s="127"/>
    </row>
    <row r="1806">
      <c r="A1806" s="182"/>
      <c r="B1806" s="182"/>
      <c r="C1806" s="182"/>
      <c r="D1806" s="182"/>
      <c r="E1806" s="183"/>
      <c r="F1806" s="127"/>
      <c r="G1806" s="127"/>
      <c r="H1806" s="127"/>
      <c r="I1806" s="127"/>
    </row>
    <row r="1807">
      <c r="A1807" s="182"/>
      <c r="B1807" s="182"/>
      <c r="C1807" s="182"/>
      <c r="D1807" s="182"/>
      <c r="E1807" s="183"/>
      <c r="F1807" s="127"/>
      <c r="G1807" s="127"/>
      <c r="H1807" s="127"/>
      <c r="I1807" s="127"/>
    </row>
    <row r="1808">
      <c r="A1808" s="182"/>
      <c r="B1808" s="182"/>
      <c r="C1808" s="182"/>
      <c r="D1808" s="182"/>
      <c r="E1808" s="183"/>
      <c r="F1808" s="127"/>
      <c r="G1808" s="127"/>
      <c r="H1808" s="127"/>
      <c r="I1808" s="127"/>
    </row>
    <row r="1809">
      <c r="A1809" s="182"/>
      <c r="B1809" s="182"/>
      <c r="C1809" s="182"/>
      <c r="D1809" s="182"/>
      <c r="E1809" s="183"/>
      <c r="F1809" s="127"/>
      <c r="G1809" s="127"/>
      <c r="H1809" s="127"/>
      <c r="I1809" s="127"/>
    </row>
    <row r="1810">
      <c r="A1810" s="182"/>
      <c r="B1810" s="182"/>
      <c r="C1810" s="182"/>
      <c r="D1810" s="182"/>
      <c r="E1810" s="183"/>
      <c r="F1810" s="127"/>
      <c r="G1810" s="127"/>
      <c r="H1810" s="127"/>
      <c r="I1810" s="127"/>
    </row>
    <row r="1811">
      <c r="A1811" s="182"/>
      <c r="B1811" s="182"/>
      <c r="C1811" s="182"/>
      <c r="D1811" s="182"/>
      <c r="E1811" s="183"/>
      <c r="F1811" s="127"/>
      <c r="G1811" s="127"/>
      <c r="H1811" s="127"/>
      <c r="I1811" s="127"/>
    </row>
    <row r="1812">
      <c r="A1812" s="182"/>
      <c r="B1812" s="182"/>
      <c r="C1812" s="182"/>
      <c r="D1812" s="182"/>
      <c r="E1812" s="183"/>
      <c r="F1812" s="127"/>
      <c r="G1812" s="127"/>
      <c r="H1812" s="127"/>
      <c r="I1812" s="127"/>
    </row>
    <row r="1813">
      <c r="A1813" s="182"/>
      <c r="B1813" s="182"/>
      <c r="C1813" s="182"/>
      <c r="D1813" s="182"/>
      <c r="E1813" s="183"/>
      <c r="F1813" s="127"/>
      <c r="G1813" s="127"/>
      <c r="H1813" s="127"/>
      <c r="I1813" s="127"/>
    </row>
    <row r="1814">
      <c r="A1814" s="182"/>
      <c r="B1814" s="182"/>
      <c r="C1814" s="182"/>
      <c r="D1814" s="182"/>
      <c r="E1814" s="183"/>
      <c r="F1814" s="127"/>
      <c r="G1814" s="127"/>
      <c r="H1814" s="127"/>
      <c r="I1814" s="127"/>
    </row>
    <row r="1815">
      <c r="A1815" s="182"/>
      <c r="B1815" s="182"/>
      <c r="C1815" s="182"/>
      <c r="D1815" s="182"/>
      <c r="E1815" s="183"/>
      <c r="F1815" s="127"/>
      <c r="G1815" s="127"/>
      <c r="H1815" s="127"/>
      <c r="I1815" s="127"/>
    </row>
    <row r="1816">
      <c r="A1816" s="182"/>
      <c r="B1816" s="182"/>
      <c r="C1816" s="182"/>
      <c r="D1816" s="182"/>
      <c r="E1816" s="183"/>
      <c r="F1816" s="127"/>
      <c r="G1816" s="127"/>
      <c r="H1816" s="127"/>
      <c r="I1816" s="127"/>
    </row>
    <row r="1817">
      <c r="A1817" s="182"/>
      <c r="B1817" s="182"/>
      <c r="C1817" s="182"/>
      <c r="D1817" s="182"/>
      <c r="E1817" s="183"/>
      <c r="F1817" s="127"/>
      <c r="G1817" s="127"/>
      <c r="H1817" s="127"/>
      <c r="I1817" s="127"/>
    </row>
    <row r="1818">
      <c r="A1818" s="182"/>
      <c r="B1818" s="182"/>
      <c r="C1818" s="182"/>
      <c r="D1818" s="182"/>
      <c r="E1818" s="183"/>
      <c r="F1818" s="127"/>
      <c r="G1818" s="127"/>
      <c r="H1818" s="127"/>
      <c r="I1818" s="127"/>
    </row>
    <row r="1819">
      <c r="A1819" s="182"/>
      <c r="B1819" s="182"/>
      <c r="C1819" s="182"/>
      <c r="D1819" s="182"/>
      <c r="E1819" s="183"/>
      <c r="F1819" s="127"/>
      <c r="G1819" s="127"/>
      <c r="H1819" s="127"/>
      <c r="I1819" s="127"/>
    </row>
    <row r="1820">
      <c r="A1820" s="182"/>
      <c r="B1820" s="182"/>
      <c r="C1820" s="182"/>
      <c r="D1820" s="182"/>
      <c r="E1820" s="183"/>
      <c r="F1820" s="127"/>
      <c r="G1820" s="127"/>
      <c r="H1820" s="127"/>
      <c r="I1820" s="127"/>
    </row>
    <row r="1821">
      <c r="A1821" s="182"/>
      <c r="B1821" s="182"/>
      <c r="C1821" s="182"/>
      <c r="D1821" s="182"/>
      <c r="E1821" s="183"/>
      <c r="F1821" s="127"/>
      <c r="G1821" s="127"/>
      <c r="H1821" s="127"/>
      <c r="I1821" s="127"/>
    </row>
    <row r="1822">
      <c r="A1822" s="182"/>
      <c r="B1822" s="182"/>
      <c r="C1822" s="182"/>
      <c r="D1822" s="182"/>
      <c r="E1822" s="183"/>
      <c r="F1822" s="127"/>
      <c r="G1822" s="127"/>
      <c r="H1822" s="127"/>
      <c r="I1822" s="127"/>
    </row>
    <row r="1823">
      <c r="A1823" s="182"/>
      <c r="B1823" s="182"/>
      <c r="C1823" s="182"/>
      <c r="D1823" s="182"/>
      <c r="E1823" s="183"/>
      <c r="F1823" s="127"/>
      <c r="G1823" s="127"/>
      <c r="H1823" s="127"/>
      <c r="I1823" s="127"/>
    </row>
    <row r="1824">
      <c r="A1824" s="182"/>
      <c r="B1824" s="182"/>
      <c r="C1824" s="182"/>
      <c r="D1824" s="182"/>
      <c r="E1824" s="183"/>
      <c r="F1824" s="127"/>
      <c r="G1824" s="127"/>
      <c r="H1824" s="127"/>
      <c r="I1824" s="127"/>
    </row>
    <row r="1825">
      <c r="A1825" s="182"/>
      <c r="B1825" s="182"/>
      <c r="C1825" s="182"/>
      <c r="D1825" s="182"/>
      <c r="E1825" s="183"/>
      <c r="F1825" s="127"/>
      <c r="G1825" s="127"/>
      <c r="H1825" s="127"/>
      <c r="I1825" s="127"/>
    </row>
    <row r="1826">
      <c r="A1826" s="182"/>
      <c r="B1826" s="182"/>
      <c r="C1826" s="182"/>
      <c r="D1826" s="182"/>
      <c r="E1826" s="183"/>
      <c r="F1826" s="127"/>
      <c r="G1826" s="127"/>
      <c r="H1826" s="127"/>
      <c r="I1826" s="127"/>
    </row>
    <row r="1827">
      <c r="A1827" s="182"/>
      <c r="B1827" s="182"/>
      <c r="C1827" s="182"/>
      <c r="D1827" s="182"/>
      <c r="E1827" s="183"/>
      <c r="F1827" s="127"/>
      <c r="G1827" s="127"/>
      <c r="H1827" s="127"/>
      <c r="I1827" s="127"/>
    </row>
    <row r="1828">
      <c r="A1828" s="182"/>
      <c r="B1828" s="182"/>
      <c r="C1828" s="182"/>
      <c r="D1828" s="182"/>
      <c r="E1828" s="183"/>
      <c r="F1828" s="127"/>
      <c r="G1828" s="127"/>
      <c r="H1828" s="127"/>
      <c r="I1828" s="127"/>
    </row>
    <row r="1829">
      <c r="A1829" s="182"/>
      <c r="B1829" s="182"/>
      <c r="C1829" s="182"/>
      <c r="D1829" s="182"/>
      <c r="E1829" s="183"/>
      <c r="F1829" s="127"/>
      <c r="G1829" s="127"/>
      <c r="H1829" s="127"/>
      <c r="I1829" s="127"/>
    </row>
    <row r="1830">
      <c r="A1830" s="182"/>
      <c r="B1830" s="182"/>
      <c r="C1830" s="182"/>
      <c r="D1830" s="182"/>
      <c r="E1830" s="183"/>
      <c r="F1830" s="127"/>
      <c r="G1830" s="127"/>
      <c r="H1830" s="127"/>
      <c r="I1830" s="127"/>
    </row>
    <row r="1831">
      <c r="A1831" s="182"/>
      <c r="B1831" s="182"/>
      <c r="C1831" s="182"/>
      <c r="D1831" s="182"/>
      <c r="E1831" s="183"/>
      <c r="F1831" s="127"/>
      <c r="G1831" s="127"/>
      <c r="H1831" s="127"/>
      <c r="I1831" s="127"/>
    </row>
    <row r="1832">
      <c r="A1832" s="182"/>
      <c r="B1832" s="182"/>
      <c r="C1832" s="182"/>
      <c r="D1832" s="182"/>
      <c r="E1832" s="183"/>
      <c r="F1832" s="127"/>
      <c r="G1832" s="127"/>
      <c r="H1832" s="127"/>
      <c r="I1832" s="127"/>
    </row>
    <row r="1833">
      <c r="A1833" s="182"/>
      <c r="B1833" s="182"/>
      <c r="C1833" s="182"/>
      <c r="D1833" s="182"/>
      <c r="E1833" s="183"/>
      <c r="F1833" s="127"/>
      <c r="G1833" s="127"/>
      <c r="H1833" s="127"/>
      <c r="I1833" s="127"/>
    </row>
    <row r="1834">
      <c r="A1834" s="182"/>
      <c r="B1834" s="182"/>
      <c r="C1834" s="182"/>
      <c r="D1834" s="182"/>
      <c r="E1834" s="183"/>
      <c r="F1834" s="127"/>
      <c r="G1834" s="127"/>
      <c r="H1834" s="127"/>
      <c r="I1834" s="127"/>
    </row>
    <row r="1835">
      <c r="A1835" s="182"/>
      <c r="B1835" s="182"/>
      <c r="C1835" s="182"/>
      <c r="D1835" s="182"/>
      <c r="E1835" s="183"/>
      <c r="F1835" s="127"/>
      <c r="G1835" s="127"/>
      <c r="H1835" s="127"/>
      <c r="I1835" s="127"/>
    </row>
    <row r="1836">
      <c r="A1836" s="182"/>
      <c r="B1836" s="182"/>
      <c r="C1836" s="182"/>
      <c r="D1836" s="182"/>
      <c r="E1836" s="183"/>
      <c r="F1836" s="127"/>
      <c r="G1836" s="127"/>
      <c r="H1836" s="127"/>
      <c r="I1836" s="127"/>
    </row>
    <row r="1837">
      <c r="A1837" s="182"/>
      <c r="B1837" s="182"/>
      <c r="C1837" s="182"/>
      <c r="D1837" s="182"/>
      <c r="E1837" s="183"/>
      <c r="F1837" s="127"/>
      <c r="G1837" s="127"/>
      <c r="H1837" s="127"/>
      <c r="I1837" s="127"/>
    </row>
    <row r="1838">
      <c r="A1838" s="182"/>
      <c r="B1838" s="182"/>
      <c r="C1838" s="182"/>
      <c r="D1838" s="182"/>
      <c r="E1838" s="183"/>
      <c r="F1838" s="127"/>
      <c r="G1838" s="127"/>
      <c r="H1838" s="127"/>
      <c r="I1838" s="127"/>
    </row>
    <row r="1839">
      <c r="A1839" s="182"/>
      <c r="B1839" s="182"/>
      <c r="C1839" s="182"/>
      <c r="D1839" s="182"/>
      <c r="E1839" s="183"/>
      <c r="F1839" s="127"/>
      <c r="G1839" s="127"/>
      <c r="H1839" s="127"/>
      <c r="I1839" s="127"/>
    </row>
    <row r="1840">
      <c r="A1840" s="182"/>
      <c r="B1840" s="182"/>
      <c r="C1840" s="182"/>
      <c r="D1840" s="182"/>
      <c r="E1840" s="183"/>
      <c r="F1840" s="127"/>
      <c r="G1840" s="127"/>
      <c r="H1840" s="127"/>
      <c r="I1840" s="127"/>
    </row>
    <row r="1841">
      <c r="A1841" s="182"/>
      <c r="B1841" s="182"/>
      <c r="C1841" s="182"/>
      <c r="D1841" s="182"/>
      <c r="E1841" s="183"/>
      <c r="F1841" s="127"/>
      <c r="G1841" s="127"/>
      <c r="H1841" s="127"/>
      <c r="I1841" s="127"/>
    </row>
    <row r="1842">
      <c r="A1842" s="182"/>
      <c r="B1842" s="182"/>
      <c r="C1842" s="182"/>
      <c r="D1842" s="182"/>
      <c r="E1842" s="183"/>
      <c r="F1842" s="127"/>
      <c r="G1842" s="127"/>
      <c r="H1842" s="127"/>
      <c r="I1842" s="127"/>
    </row>
    <row r="1843">
      <c r="A1843" s="182"/>
      <c r="B1843" s="182"/>
      <c r="C1843" s="182"/>
      <c r="D1843" s="182"/>
      <c r="E1843" s="183"/>
      <c r="F1843" s="127"/>
      <c r="G1843" s="127"/>
      <c r="H1843" s="127"/>
      <c r="I1843" s="127"/>
    </row>
    <row r="1844">
      <c r="A1844" s="182"/>
      <c r="B1844" s="182"/>
      <c r="C1844" s="182"/>
      <c r="D1844" s="182"/>
      <c r="E1844" s="183"/>
      <c r="F1844" s="127"/>
      <c r="G1844" s="127"/>
      <c r="H1844" s="127"/>
      <c r="I1844" s="127"/>
    </row>
    <row r="1845">
      <c r="A1845" s="182"/>
      <c r="B1845" s="182"/>
      <c r="C1845" s="182"/>
      <c r="D1845" s="182"/>
      <c r="E1845" s="183"/>
      <c r="F1845" s="127"/>
      <c r="G1845" s="127"/>
      <c r="H1845" s="127"/>
      <c r="I1845" s="127"/>
    </row>
    <row r="1846">
      <c r="A1846" s="182"/>
      <c r="B1846" s="182"/>
      <c r="C1846" s="182"/>
      <c r="D1846" s="182"/>
      <c r="E1846" s="183"/>
      <c r="F1846" s="127"/>
      <c r="G1846" s="127"/>
      <c r="H1846" s="127"/>
      <c r="I1846" s="127"/>
    </row>
    <row r="1847">
      <c r="A1847" s="182"/>
      <c r="B1847" s="182"/>
      <c r="C1847" s="182"/>
      <c r="D1847" s="182"/>
      <c r="E1847" s="183"/>
      <c r="F1847" s="127"/>
      <c r="G1847" s="127"/>
      <c r="H1847" s="127"/>
      <c r="I1847" s="127"/>
    </row>
    <row r="1848">
      <c r="A1848" s="182"/>
      <c r="B1848" s="182"/>
      <c r="C1848" s="182"/>
      <c r="D1848" s="182"/>
      <c r="E1848" s="183"/>
      <c r="F1848" s="127"/>
      <c r="G1848" s="127"/>
      <c r="H1848" s="127"/>
      <c r="I1848" s="127"/>
    </row>
    <row r="1849">
      <c r="A1849" s="182"/>
      <c r="B1849" s="182"/>
      <c r="C1849" s="182"/>
      <c r="D1849" s="182"/>
      <c r="E1849" s="183"/>
      <c r="F1849" s="127"/>
      <c r="G1849" s="127"/>
      <c r="H1849" s="127"/>
      <c r="I1849" s="127"/>
    </row>
    <row r="1850">
      <c r="A1850" s="182"/>
      <c r="B1850" s="182"/>
      <c r="C1850" s="182"/>
      <c r="D1850" s="182"/>
      <c r="E1850" s="183"/>
      <c r="F1850" s="127"/>
      <c r="G1850" s="127"/>
      <c r="H1850" s="127"/>
      <c r="I1850" s="127"/>
    </row>
    <row r="1851">
      <c r="A1851" s="182"/>
      <c r="B1851" s="182"/>
      <c r="C1851" s="182"/>
      <c r="D1851" s="182"/>
      <c r="E1851" s="183"/>
      <c r="F1851" s="127"/>
      <c r="G1851" s="127"/>
      <c r="H1851" s="127"/>
      <c r="I1851" s="127"/>
    </row>
    <row r="1852">
      <c r="A1852" s="182"/>
      <c r="B1852" s="182"/>
      <c r="C1852" s="182"/>
      <c r="D1852" s="182"/>
      <c r="E1852" s="183"/>
      <c r="F1852" s="127"/>
      <c r="G1852" s="127"/>
      <c r="H1852" s="127"/>
      <c r="I1852" s="127"/>
    </row>
    <row r="1853">
      <c r="A1853" s="182"/>
      <c r="B1853" s="182"/>
      <c r="C1853" s="182"/>
      <c r="D1853" s="182"/>
      <c r="E1853" s="183"/>
      <c r="F1853" s="127"/>
      <c r="G1853" s="127"/>
      <c r="H1853" s="127"/>
      <c r="I1853" s="127"/>
    </row>
    <row r="1854">
      <c r="A1854" s="182"/>
      <c r="B1854" s="182"/>
      <c r="C1854" s="182"/>
      <c r="D1854" s="182"/>
      <c r="E1854" s="183"/>
      <c r="F1854" s="127"/>
      <c r="G1854" s="127"/>
      <c r="H1854" s="127"/>
      <c r="I1854" s="127"/>
    </row>
    <row r="1855">
      <c r="A1855" s="182"/>
      <c r="B1855" s="182"/>
      <c r="C1855" s="182"/>
      <c r="D1855" s="182"/>
      <c r="E1855" s="183"/>
      <c r="F1855" s="127"/>
      <c r="G1855" s="127"/>
      <c r="H1855" s="127"/>
      <c r="I1855" s="127"/>
    </row>
    <row r="1856">
      <c r="A1856" s="182"/>
      <c r="B1856" s="182"/>
      <c r="C1856" s="182"/>
      <c r="D1856" s="182"/>
      <c r="E1856" s="183"/>
      <c r="F1856" s="127"/>
      <c r="G1856" s="127"/>
      <c r="H1856" s="127"/>
      <c r="I1856" s="127"/>
    </row>
    <row r="1857">
      <c r="A1857" s="182"/>
      <c r="B1857" s="182"/>
      <c r="C1857" s="182"/>
      <c r="D1857" s="182"/>
      <c r="E1857" s="183"/>
      <c r="F1857" s="127"/>
      <c r="G1857" s="127"/>
      <c r="H1857" s="127"/>
      <c r="I1857" s="127"/>
    </row>
    <row r="1858">
      <c r="A1858" s="182"/>
      <c r="B1858" s="182"/>
      <c r="C1858" s="182"/>
      <c r="D1858" s="182"/>
      <c r="E1858" s="183"/>
      <c r="F1858" s="127"/>
      <c r="G1858" s="127"/>
      <c r="H1858" s="127"/>
      <c r="I1858" s="127"/>
    </row>
    <row r="1859">
      <c r="A1859" s="182"/>
      <c r="B1859" s="182"/>
      <c r="C1859" s="182"/>
      <c r="D1859" s="182"/>
      <c r="E1859" s="183"/>
      <c r="F1859" s="127"/>
      <c r="G1859" s="127"/>
      <c r="H1859" s="127"/>
      <c r="I1859" s="127"/>
    </row>
    <row r="1860">
      <c r="A1860" s="182"/>
      <c r="B1860" s="182"/>
      <c r="C1860" s="182"/>
      <c r="D1860" s="182"/>
      <c r="E1860" s="183"/>
      <c r="F1860" s="127"/>
      <c r="G1860" s="127"/>
      <c r="H1860" s="127"/>
      <c r="I1860" s="127"/>
    </row>
    <row r="1861">
      <c r="A1861" s="182"/>
      <c r="B1861" s="182"/>
      <c r="C1861" s="182"/>
      <c r="D1861" s="182"/>
      <c r="E1861" s="183"/>
      <c r="F1861" s="127"/>
      <c r="G1861" s="127"/>
      <c r="H1861" s="127"/>
      <c r="I1861" s="127"/>
    </row>
    <row r="1862">
      <c r="A1862" s="182"/>
      <c r="B1862" s="182"/>
      <c r="C1862" s="182"/>
      <c r="D1862" s="182"/>
      <c r="E1862" s="183"/>
      <c r="F1862" s="127"/>
      <c r="G1862" s="127"/>
      <c r="H1862" s="127"/>
      <c r="I1862" s="127"/>
    </row>
    <row r="1863">
      <c r="A1863" s="182"/>
      <c r="B1863" s="182"/>
      <c r="C1863" s="182"/>
      <c r="D1863" s="182"/>
      <c r="E1863" s="183"/>
      <c r="F1863" s="127"/>
      <c r="G1863" s="127"/>
      <c r="H1863" s="127"/>
      <c r="I1863" s="127"/>
    </row>
    <row r="1864">
      <c r="A1864" s="182"/>
      <c r="B1864" s="182"/>
      <c r="C1864" s="182"/>
      <c r="D1864" s="182"/>
      <c r="E1864" s="183"/>
      <c r="F1864" s="127"/>
      <c r="G1864" s="127"/>
      <c r="H1864" s="127"/>
      <c r="I1864" s="127"/>
    </row>
    <row r="1865">
      <c r="A1865" s="182"/>
      <c r="B1865" s="182"/>
      <c r="C1865" s="182"/>
      <c r="D1865" s="182"/>
      <c r="E1865" s="183"/>
      <c r="F1865" s="127"/>
      <c r="G1865" s="127"/>
      <c r="H1865" s="127"/>
      <c r="I1865" s="127"/>
    </row>
    <row r="1866">
      <c r="A1866" s="182"/>
      <c r="B1866" s="182"/>
      <c r="C1866" s="182"/>
      <c r="D1866" s="182"/>
      <c r="E1866" s="183"/>
      <c r="F1866" s="127"/>
      <c r="G1866" s="127"/>
      <c r="H1866" s="127"/>
      <c r="I1866" s="127"/>
    </row>
    <row r="1867">
      <c r="A1867" s="182"/>
      <c r="B1867" s="182"/>
      <c r="C1867" s="182"/>
      <c r="D1867" s="182"/>
      <c r="E1867" s="183"/>
      <c r="F1867" s="127"/>
      <c r="G1867" s="127"/>
      <c r="H1867" s="127"/>
      <c r="I1867" s="127"/>
    </row>
    <row r="1868">
      <c r="A1868" s="182"/>
      <c r="B1868" s="182"/>
      <c r="C1868" s="182"/>
      <c r="D1868" s="182"/>
      <c r="E1868" s="183"/>
      <c r="F1868" s="127"/>
      <c r="G1868" s="127"/>
      <c r="H1868" s="127"/>
      <c r="I1868" s="127"/>
    </row>
    <row r="1869">
      <c r="A1869" s="182"/>
      <c r="B1869" s="182"/>
      <c r="C1869" s="182"/>
      <c r="D1869" s="182"/>
      <c r="E1869" s="183"/>
      <c r="F1869" s="127"/>
      <c r="G1869" s="127"/>
      <c r="H1869" s="127"/>
      <c r="I1869" s="127"/>
    </row>
    <row r="1870">
      <c r="A1870" s="182"/>
      <c r="B1870" s="182"/>
      <c r="C1870" s="182"/>
      <c r="D1870" s="182"/>
      <c r="E1870" s="183"/>
      <c r="F1870" s="127"/>
      <c r="G1870" s="127"/>
      <c r="H1870" s="127"/>
      <c r="I1870" s="127"/>
    </row>
    <row r="1871">
      <c r="A1871" s="182"/>
      <c r="B1871" s="182"/>
      <c r="C1871" s="182"/>
      <c r="D1871" s="182"/>
      <c r="E1871" s="183"/>
      <c r="F1871" s="127"/>
      <c r="G1871" s="127"/>
      <c r="H1871" s="127"/>
      <c r="I1871" s="127"/>
    </row>
    <row r="1872">
      <c r="A1872" s="182"/>
      <c r="B1872" s="182"/>
      <c r="C1872" s="182"/>
      <c r="D1872" s="182"/>
      <c r="E1872" s="183"/>
      <c r="F1872" s="127"/>
      <c r="G1872" s="127"/>
      <c r="H1872" s="127"/>
      <c r="I1872" s="127"/>
    </row>
    <row r="1873">
      <c r="A1873" s="182"/>
      <c r="B1873" s="182"/>
      <c r="C1873" s="182"/>
      <c r="D1873" s="182"/>
      <c r="E1873" s="183"/>
      <c r="F1873" s="127"/>
      <c r="G1873" s="127"/>
      <c r="H1873" s="127"/>
      <c r="I1873" s="127"/>
    </row>
    <row r="1874">
      <c r="A1874" s="182"/>
      <c r="B1874" s="182"/>
      <c r="C1874" s="182"/>
      <c r="D1874" s="182"/>
      <c r="E1874" s="183"/>
      <c r="F1874" s="127"/>
      <c r="G1874" s="127"/>
      <c r="H1874" s="127"/>
      <c r="I1874" s="127"/>
    </row>
    <row r="1875">
      <c r="A1875" s="182"/>
      <c r="B1875" s="182"/>
      <c r="C1875" s="182"/>
      <c r="D1875" s="182"/>
      <c r="E1875" s="183"/>
      <c r="F1875" s="127"/>
      <c r="G1875" s="127"/>
      <c r="H1875" s="127"/>
      <c r="I1875" s="127"/>
    </row>
    <row r="1876">
      <c r="A1876" s="182"/>
      <c r="B1876" s="182"/>
      <c r="C1876" s="182"/>
      <c r="D1876" s="182"/>
      <c r="E1876" s="183"/>
      <c r="F1876" s="127"/>
      <c r="G1876" s="127"/>
      <c r="H1876" s="127"/>
      <c r="I1876" s="127"/>
    </row>
    <row r="1877">
      <c r="A1877" s="182"/>
      <c r="B1877" s="182"/>
      <c r="C1877" s="182"/>
      <c r="D1877" s="182"/>
      <c r="E1877" s="183"/>
      <c r="F1877" s="127"/>
      <c r="G1877" s="127"/>
      <c r="H1877" s="127"/>
      <c r="I1877" s="127"/>
    </row>
    <row r="1878">
      <c r="A1878" s="182"/>
      <c r="B1878" s="182"/>
      <c r="C1878" s="182"/>
      <c r="D1878" s="182"/>
      <c r="E1878" s="183"/>
      <c r="F1878" s="127"/>
      <c r="G1878" s="127"/>
      <c r="H1878" s="127"/>
      <c r="I1878" s="127"/>
    </row>
    <row r="1879">
      <c r="A1879" s="182"/>
      <c r="B1879" s="182"/>
      <c r="C1879" s="182"/>
      <c r="D1879" s="182"/>
      <c r="E1879" s="183"/>
      <c r="F1879" s="127"/>
      <c r="G1879" s="127"/>
      <c r="H1879" s="127"/>
      <c r="I1879" s="127"/>
    </row>
    <row r="1880">
      <c r="A1880" s="182"/>
      <c r="B1880" s="182"/>
      <c r="C1880" s="182"/>
      <c r="D1880" s="182"/>
      <c r="E1880" s="183"/>
      <c r="F1880" s="127"/>
      <c r="G1880" s="127"/>
      <c r="H1880" s="127"/>
      <c r="I1880" s="127"/>
    </row>
    <row r="1881">
      <c r="A1881" s="182"/>
      <c r="B1881" s="182"/>
      <c r="C1881" s="182"/>
      <c r="D1881" s="182"/>
      <c r="E1881" s="183"/>
      <c r="F1881" s="127"/>
      <c r="G1881" s="127"/>
      <c r="H1881" s="127"/>
      <c r="I1881" s="127"/>
    </row>
    <row r="1882">
      <c r="A1882" s="182"/>
      <c r="B1882" s="182"/>
      <c r="C1882" s="182"/>
      <c r="D1882" s="182"/>
      <c r="E1882" s="183"/>
      <c r="F1882" s="127"/>
      <c r="G1882" s="127"/>
      <c r="H1882" s="127"/>
      <c r="I1882" s="127"/>
    </row>
    <row r="1883">
      <c r="A1883" s="182"/>
      <c r="B1883" s="182"/>
      <c r="C1883" s="182"/>
      <c r="D1883" s="182"/>
      <c r="E1883" s="183"/>
      <c r="F1883" s="127"/>
      <c r="G1883" s="127"/>
      <c r="H1883" s="127"/>
      <c r="I1883" s="127"/>
    </row>
    <row r="1884">
      <c r="A1884" s="182"/>
      <c r="B1884" s="182"/>
      <c r="C1884" s="182"/>
      <c r="D1884" s="182"/>
      <c r="E1884" s="183"/>
      <c r="F1884" s="127"/>
      <c r="G1884" s="127"/>
      <c r="H1884" s="127"/>
      <c r="I1884" s="127"/>
    </row>
    <row r="1885">
      <c r="A1885" s="182"/>
      <c r="B1885" s="182"/>
      <c r="C1885" s="182"/>
      <c r="D1885" s="182"/>
      <c r="E1885" s="183"/>
      <c r="F1885" s="127"/>
      <c r="G1885" s="127"/>
      <c r="H1885" s="127"/>
      <c r="I1885" s="127"/>
    </row>
    <row r="1886">
      <c r="A1886" s="182"/>
      <c r="B1886" s="182"/>
      <c r="C1886" s="182"/>
      <c r="D1886" s="182"/>
      <c r="E1886" s="183"/>
      <c r="F1886" s="127"/>
      <c r="G1886" s="127"/>
      <c r="H1886" s="127"/>
      <c r="I1886" s="127"/>
    </row>
    <row r="1887">
      <c r="A1887" s="182"/>
      <c r="B1887" s="182"/>
      <c r="C1887" s="182"/>
      <c r="D1887" s="182"/>
      <c r="E1887" s="183"/>
      <c r="F1887" s="127"/>
      <c r="G1887" s="127"/>
      <c r="H1887" s="127"/>
      <c r="I1887" s="127"/>
    </row>
    <row r="1888">
      <c r="A1888" s="182"/>
      <c r="B1888" s="182"/>
      <c r="C1888" s="182"/>
      <c r="D1888" s="182"/>
      <c r="E1888" s="183"/>
      <c r="F1888" s="127"/>
      <c r="G1888" s="127"/>
      <c r="H1888" s="127"/>
      <c r="I1888" s="127"/>
    </row>
    <row r="1889">
      <c r="A1889" s="182"/>
      <c r="B1889" s="182"/>
      <c r="C1889" s="182"/>
      <c r="D1889" s="182"/>
      <c r="E1889" s="183"/>
      <c r="F1889" s="127"/>
      <c r="G1889" s="127"/>
      <c r="H1889" s="127"/>
      <c r="I1889" s="127"/>
    </row>
    <row r="1890">
      <c r="A1890" s="182"/>
      <c r="B1890" s="182"/>
      <c r="C1890" s="182"/>
      <c r="D1890" s="182"/>
      <c r="E1890" s="183"/>
      <c r="F1890" s="127"/>
      <c r="G1890" s="127"/>
      <c r="H1890" s="127"/>
      <c r="I1890" s="127"/>
    </row>
    <row r="1891">
      <c r="A1891" s="182"/>
      <c r="B1891" s="182"/>
      <c r="C1891" s="182"/>
      <c r="D1891" s="182"/>
      <c r="E1891" s="183"/>
      <c r="F1891" s="127"/>
      <c r="G1891" s="127"/>
      <c r="H1891" s="127"/>
      <c r="I1891" s="127"/>
    </row>
    <row r="1892">
      <c r="A1892" s="182"/>
      <c r="B1892" s="182"/>
      <c r="C1892" s="182"/>
      <c r="D1892" s="182"/>
      <c r="E1892" s="183"/>
      <c r="F1892" s="127"/>
      <c r="G1892" s="127"/>
      <c r="H1892" s="127"/>
      <c r="I1892" s="127"/>
    </row>
    <row r="1893">
      <c r="A1893" s="182"/>
      <c r="B1893" s="182"/>
      <c r="C1893" s="182"/>
      <c r="D1893" s="182"/>
      <c r="E1893" s="183"/>
      <c r="F1893" s="127"/>
      <c r="G1893" s="127"/>
      <c r="H1893" s="127"/>
      <c r="I1893" s="127"/>
    </row>
    <row r="1894">
      <c r="A1894" s="182"/>
      <c r="B1894" s="182"/>
      <c r="C1894" s="182"/>
      <c r="D1894" s="182"/>
      <c r="E1894" s="183"/>
      <c r="F1894" s="127"/>
      <c r="G1894" s="127"/>
      <c r="H1894" s="127"/>
      <c r="I1894" s="127"/>
    </row>
    <row r="1895">
      <c r="A1895" s="182"/>
      <c r="B1895" s="182"/>
      <c r="C1895" s="182"/>
      <c r="D1895" s="182"/>
      <c r="E1895" s="183"/>
      <c r="F1895" s="127"/>
      <c r="G1895" s="127"/>
      <c r="H1895" s="127"/>
      <c r="I1895" s="127"/>
    </row>
    <row r="1896">
      <c r="A1896" s="182"/>
      <c r="B1896" s="182"/>
      <c r="C1896" s="182"/>
      <c r="D1896" s="182"/>
      <c r="E1896" s="183"/>
      <c r="F1896" s="127"/>
      <c r="G1896" s="127"/>
      <c r="H1896" s="127"/>
      <c r="I1896" s="127"/>
    </row>
    <row r="1897">
      <c r="A1897" s="182"/>
      <c r="B1897" s="182"/>
      <c r="C1897" s="182"/>
      <c r="D1897" s="182"/>
      <c r="E1897" s="183"/>
      <c r="F1897" s="127"/>
      <c r="G1897" s="127"/>
      <c r="H1897" s="127"/>
      <c r="I1897" s="127"/>
    </row>
    <row r="1898">
      <c r="A1898" s="182"/>
      <c r="B1898" s="182"/>
      <c r="C1898" s="182"/>
      <c r="D1898" s="182"/>
      <c r="E1898" s="183"/>
      <c r="F1898" s="127"/>
      <c r="G1898" s="127"/>
      <c r="H1898" s="127"/>
      <c r="I1898" s="127"/>
    </row>
    <row r="1899">
      <c r="A1899" s="182"/>
      <c r="B1899" s="182"/>
      <c r="C1899" s="182"/>
      <c r="D1899" s="182"/>
      <c r="E1899" s="183"/>
      <c r="F1899" s="127"/>
      <c r="G1899" s="127"/>
      <c r="H1899" s="127"/>
      <c r="I1899" s="127"/>
    </row>
    <row r="1900">
      <c r="A1900" s="182"/>
      <c r="B1900" s="182"/>
      <c r="C1900" s="182"/>
      <c r="D1900" s="182"/>
      <c r="E1900" s="183"/>
      <c r="F1900" s="127"/>
      <c r="G1900" s="127"/>
      <c r="H1900" s="127"/>
      <c r="I1900" s="127"/>
    </row>
    <row r="1901">
      <c r="A1901" s="182"/>
      <c r="B1901" s="182"/>
      <c r="C1901" s="182"/>
      <c r="D1901" s="182"/>
      <c r="E1901" s="183"/>
      <c r="F1901" s="127"/>
      <c r="G1901" s="127"/>
      <c r="H1901" s="127"/>
      <c r="I1901" s="127"/>
    </row>
    <row r="1902">
      <c r="A1902" s="182"/>
      <c r="B1902" s="182"/>
      <c r="C1902" s="182"/>
      <c r="D1902" s="182"/>
      <c r="E1902" s="183"/>
      <c r="F1902" s="127"/>
      <c r="G1902" s="127"/>
      <c r="H1902" s="127"/>
      <c r="I1902" s="127"/>
    </row>
    <row r="1903">
      <c r="A1903" s="182"/>
      <c r="B1903" s="182"/>
      <c r="C1903" s="182"/>
      <c r="D1903" s="182"/>
      <c r="E1903" s="183"/>
      <c r="F1903" s="127"/>
      <c r="G1903" s="127"/>
      <c r="H1903" s="127"/>
      <c r="I1903" s="127"/>
    </row>
    <row r="1904">
      <c r="A1904" s="182"/>
      <c r="B1904" s="182"/>
      <c r="C1904" s="182"/>
      <c r="D1904" s="182"/>
      <c r="E1904" s="183"/>
      <c r="F1904" s="127"/>
      <c r="G1904" s="127"/>
      <c r="H1904" s="127"/>
      <c r="I1904" s="127"/>
    </row>
    <row r="1905">
      <c r="A1905" s="182"/>
      <c r="B1905" s="182"/>
      <c r="C1905" s="182"/>
      <c r="D1905" s="182"/>
      <c r="E1905" s="183"/>
      <c r="F1905" s="127"/>
      <c r="G1905" s="127"/>
      <c r="H1905" s="127"/>
      <c r="I1905" s="127"/>
    </row>
    <row r="1906">
      <c r="A1906" s="182"/>
      <c r="B1906" s="182"/>
      <c r="C1906" s="182"/>
      <c r="D1906" s="182"/>
      <c r="E1906" s="183"/>
      <c r="F1906" s="127"/>
      <c r="G1906" s="127"/>
      <c r="H1906" s="127"/>
      <c r="I1906" s="127"/>
    </row>
    <row r="1907">
      <c r="A1907" s="182"/>
      <c r="B1907" s="182"/>
      <c r="C1907" s="182"/>
      <c r="D1907" s="182"/>
      <c r="E1907" s="183"/>
      <c r="F1907" s="127"/>
      <c r="G1907" s="127"/>
      <c r="H1907" s="127"/>
      <c r="I1907" s="127"/>
    </row>
    <row r="1908">
      <c r="A1908" s="182"/>
      <c r="B1908" s="182"/>
      <c r="C1908" s="182"/>
      <c r="D1908" s="182"/>
      <c r="E1908" s="183"/>
      <c r="F1908" s="127"/>
      <c r="G1908" s="127"/>
      <c r="H1908" s="127"/>
      <c r="I1908" s="127"/>
    </row>
    <row r="1909">
      <c r="A1909" s="182"/>
      <c r="B1909" s="182"/>
      <c r="C1909" s="182"/>
      <c r="D1909" s="182"/>
      <c r="E1909" s="183"/>
      <c r="F1909" s="127"/>
      <c r="G1909" s="127"/>
      <c r="H1909" s="127"/>
      <c r="I1909" s="127"/>
    </row>
    <row r="1910">
      <c r="A1910" s="182"/>
      <c r="B1910" s="182"/>
      <c r="C1910" s="182"/>
      <c r="D1910" s="182"/>
      <c r="E1910" s="183"/>
      <c r="F1910" s="127"/>
      <c r="G1910" s="127"/>
      <c r="H1910" s="127"/>
      <c r="I1910" s="127"/>
    </row>
    <row r="1911">
      <c r="A1911" s="182"/>
      <c r="B1911" s="182"/>
      <c r="C1911" s="182"/>
      <c r="D1911" s="182"/>
      <c r="E1911" s="183"/>
      <c r="F1911" s="127"/>
      <c r="G1911" s="127"/>
      <c r="H1911" s="127"/>
      <c r="I1911" s="127"/>
    </row>
    <row r="1912">
      <c r="A1912" s="182"/>
      <c r="B1912" s="182"/>
      <c r="C1912" s="182"/>
      <c r="D1912" s="182"/>
      <c r="E1912" s="183"/>
      <c r="F1912" s="127"/>
      <c r="G1912" s="127"/>
      <c r="H1912" s="127"/>
      <c r="I1912" s="127"/>
    </row>
    <row r="1913">
      <c r="A1913" s="182"/>
      <c r="B1913" s="182"/>
      <c r="C1913" s="182"/>
      <c r="D1913" s="182"/>
      <c r="E1913" s="183"/>
      <c r="F1913" s="127"/>
      <c r="G1913" s="127"/>
      <c r="H1913" s="127"/>
      <c r="I1913" s="127"/>
    </row>
    <row r="1914">
      <c r="A1914" s="182"/>
      <c r="B1914" s="182"/>
      <c r="C1914" s="182"/>
      <c r="D1914" s="182"/>
      <c r="E1914" s="183"/>
      <c r="F1914" s="127"/>
      <c r="G1914" s="127"/>
      <c r="H1914" s="127"/>
      <c r="I1914" s="127"/>
    </row>
    <row r="1915">
      <c r="A1915" s="182"/>
      <c r="B1915" s="182"/>
      <c r="C1915" s="182"/>
      <c r="D1915" s="182"/>
      <c r="E1915" s="183"/>
      <c r="F1915" s="127"/>
      <c r="G1915" s="127"/>
      <c r="H1915" s="127"/>
      <c r="I1915" s="127"/>
    </row>
    <row r="1916">
      <c r="A1916" s="182"/>
      <c r="B1916" s="182"/>
      <c r="C1916" s="182"/>
      <c r="D1916" s="182"/>
      <c r="E1916" s="183"/>
      <c r="F1916" s="127"/>
      <c r="G1916" s="127"/>
      <c r="H1916" s="127"/>
      <c r="I1916" s="127"/>
    </row>
    <row r="1917">
      <c r="A1917" s="182"/>
      <c r="B1917" s="182"/>
      <c r="C1917" s="182"/>
      <c r="D1917" s="182"/>
      <c r="E1917" s="183"/>
      <c r="F1917" s="127"/>
      <c r="G1917" s="127"/>
      <c r="H1917" s="127"/>
      <c r="I1917" s="127"/>
    </row>
    <row r="1918">
      <c r="A1918" s="182"/>
      <c r="B1918" s="182"/>
      <c r="C1918" s="182"/>
      <c r="D1918" s="182"/>
      <c r="E1918" s="183"/>
      <c r="F1918" s="127"/>
      <c r="G1918" s="127"/>
      <c r="H1918" s="127"/>
      <c r="I1918" s="127"/>
    </row>
    <row r="1919">
      <c r="A1919" s="182"/>
      <c r="B1919" s="182"/>
      <c r="C1919" s="182"/>
      <c r="D1919" s="182"/>
      <c r="E1919" s="183"/>
      <c r="F1919" s="127"/>
      <c r="G1919" s="127"/>
      <c r="H1919" s="127"/>
      <c r="I1919" s="127"/>
    </row>
    <row r="1920">
      <c r="A1920" s="182"/>
      <c r="B1920" s="182"/>
      <c r="C1920" s="182"/>
      <c r="D1920" s="182"/>
      <c r="E1920" s="183"/>
      <c r="F1920" s="127"/>
      <c r="G1920" s="127"/>
      <c r="H1920" s="127"/>
      <c r="I1920" s="127"/>
    </row>
    <row r="1921">
      <c r="A1921" s="182"/>
      <c r="B1921" s="182"/>
      <c r="C1921" s="182"/>
      <c r="D1921" s="182"/>
      <c r="E1921" s="183"/>
      <c r="F1921" s="127"/>
      <c r="G1921" s="127"/>
      <c r="H1921" s="127"/>
      <c r="I1921" s="127"/>
    </row>
    <row r="1922">
      <c r="A1922" s="182"/>
      <c r="B1922" s="182"/>
      <c r="C1922" s="182"/>
      <c r="D1922" s="182"/>
      <c r="E1922" s="183"/>
      <c r="F1922" s="127"/>
      <c r="G1922" s="127"/>
      <c r="H1922" s="127"/>
      <c r="I1922" s="127"/>
    </row>
    <row r="1923">
      <c r="A1923" s="182"/>
      <c r="B1923" s="182"/>
      <c r="C1923" s="182"/>
      <c r="D1923" s="182"/>
      <c r="E1923" s="183"/>
      <c r="F1923" s="127"/>
      <c r="G1923" s="127"/>
      <c r="H1923" s="127"/>
      <c r="I1923" s="127"/>
    </row>
    <row r="1924">
      <c r="A1924" s="182"/>
      <c r="B1924" s="182"/>
      <c r="C1924" s="182"/>
      <c r="D1924" s="182"/>
      <c r="E1924" s="183"/>
      <c r="F1924" s="127"/>
      <c r="G1924" s="127"/>
      <c r="H1924" s="127"/>
      <c r="I1924" s="127"/>
    </row>
    <row r="1925">
      <c r="A1925" s="182"/>
      <c r="B1925" s="182"/>
      <c r="C1925" s="182"/>
      <c r="D1925" s="182"/>
      <c r="E1925" s="183"/>
      <c r="F1925" s="127"/>
      <c r="G1925" s="127"/>
      <c r="H1925" s="127"/>
      <c r="I1925" s="127"/>
    </row>
    <row r="1926">
      <c r="A1926" s="182"/>
      <c r="B1926" s="182"/>
      <c r="C1926" s="182"/>
      <c r="D1926" s="182"/>
      <c r="E1926" s="183"/>
      <c r="F1926" s="127"/>
      <c r="G1926" s="127"/>
      <c r="H1926" s="127"/>
      <c r="I1926" s="127"/>
    </row>
    <row r="1927">
      <c r="A1927" s="182"/>
      <c r="B1927" s="182"/>
      <c r="C1927" s="182"/>
      <c r="D1927" s="182"/>
      <c r="E1927" s="183"/>
      <c r="F1927" s="127"/>
      <c r="G1927" s="127"/>
      <c r="H1927" s="127"/>
      <c r="I1927" s="127"/>
    </row>
    <row r="1928">
      <c r="A1928" s="182"/>
      <c r="B1928" s="182"/>
      <c r="C1928" s="182"/>
      <c r="D1928" s="182"/>
      <c r="E1928" s="183"/>
      <c r="F1928" s="127"/>
      <c r="G1928" s="127"/>
      <c r="H1928" s="127"/>
      <c r="I1928" s="127"/>
    </row>
    <row r="1929">
      <c r="A1929" s="182"/>
      <c r="B1929" s="182"/>
      <c r="C1929" s="182"/>
      <c r="D1929" s="182"/>
      <c r="E1929" s="183"/>
      <c r="F1929" s="127"/>
      <c r="G1929" s="127"/>
      <c r="H1929" s="127"/>
      <c r="I1929" s="127"/>
    </row>
    <row r="1930">
      <c r="A1930" s="182"/>
      <c r="B1930" s="182"/>
      <c r="C1930" s="182"/>
      <c r="D1930" s="182"/>
      <c r="E1930" s="183"/>
      <c r="F1930" s="127"/>
      <c r="G1930" s="127"/>
      <c r="H1930" s="127"/>
      <c r="I1930" s="127"/>
    </row>
    <row r="1931">
      <c r="A1931" s="182"/>
      <c r="B1931" s="182"/>
      <c r="C1931" s="182"/>
      <c r="D1931" s="182"/>
      <c r="E1931" s="183"/>
      <c r="F1931" s="127"/>
      <c r="G1931" s="127"/>
      <c r="H1931" s="127"/>
      <c r="I1931" s="127"/>
    </row>
    <row r="1932">
      <c r="A1932" s="182"/>
      <c r="B1932" s="182"/>
      <c r="C1932" s="182"/>
      <c r="D1932" s="182"/>
      <c r="E1932" s="183"/>
      <c r="F1932" s="127"/>
      <c r="G1932" s="127"/>
      <c r="H1932" s="127"/>
      <c r="I1932" s="127"/>
    </row>
    <row r="1933">
      <c r="A1933" s="182"/>
      <c r="B1933" s="182"/>
      <c r="C1933" s="182"/>
      <c r="D1933" s="182"/>
      <c r="E1933" s="183"/>
      <c r="F1933" s="127"/>
      <c r="G1933" s="127"/>
      <c r="H1933" s="127"/>
      <c r="I1933" s="127"/>
    </row>
    <row r="1934">
      <c r="A1934" s="182"/>
      <c r="B1934" s="182"/>
      <c r="C1934" s="182"/>
      <c r="D1934" s="182"/>
      <c r="E1934" s="183"/>
      <c r="F1934" s="127"/>
      <c r="G1934" s="127"/>
      <c r="H1934" s="127"/>
      <c r="I1934" s="127"/>
    </row>
    <row r="1935">
      <c r="A1935" s="182"/>
      <c r="B1935" s="182"/>
      <c r="C1935" s="182"/>
      <c r="D1935" s="182"/>
      <c r="E1935" s="183"/>
      <c r="F1935" s="127"/>
      <c r="G1935" s="127"/>
      <c r="H1935" s="127"/>
      <c r="I1935" s="127"/>
    </row>
    <row r="1936">
      <c r="A1936" s="182"/>
      <c r="B1936" s="182"/>
      <c r="C1936" s="182"/>
      <c r="D1936" s="182"/>
      <c r="E1936" s="183"/>
      <c r="F1936" s="127"/>
      <c r="G1936" s="127"/>
      <c r="H1936" s="127"/>
      <c r="I1936" s="127"/>
    </row>
    <row r="1937">
      <c r="A1937" s="182"/>
      <c r="B1937" s="182"/>
      <c r="C1937" s="182"/>
      <c r="D1937" s="182"/>
      <c r="E1937" s="183"/>
      <c r="F1937" s="127"/>
      <c r="G1937" s="127"/>
      <c r="H1937" s="127"/>
      <c r="I1937" s="127"/>
    </row>
    <row r="1938">
      <c r="A1938" s="182"/>
      <c r="B1938" s="182"/>
      <c r="C1938" s="182"/>
      <c r="D1938" s="182"/>
      <c r="E1938" s="183"/>
      <c r="F1938" s="127"/>
      <c r="G1938" s="127"/>
      <c r="H1938" s="127"/>
      <c r="I1938" s="127"/>
    </row>
    <row r="1939">
      <c r="A1939" s="182"/>
      <c r="B1939" s="182"/>
      <c r="C1939" s="182"/>
      <c r="D1939" s="182"/>
      <c r="E1939" s="183"/>
      <c r="F1939" s="127"/>
      <c r="G1939" s="127"/>
      <c r="H1939" s="127"/>
      <c r="I1939" s="127"/>
    </row>
    <row r="1940">
      <c r="A1940" s="182"/>
      <c r="B1940" s="182"/>
      <c r="C1940" s="182"/>
      <c r="D1940" s="182"/>
      <c r="E1940" s="183"/>
      <c r="F1940" s="127"/>
      <c r="G1940" s="127"/>
      <c r="H1940" s="127"/>
      <c r="I1940" s="127"/>
    </row>
    <row r="1941">
      <c r="A1941" s="182"/>
      <c r="B1941" s="182"/>
      <c r="C1941" s="182"/>
      <c r="D1941" s="182"/>
      <c r="E1941" s="183"/>
      <c r="F1941" s="127"/>
      <c r="G1941" s="127"/>
      <c r="H1941" s="127"/>
      <c r="I1941" s="127"/>
    </row>
    <row r="1942">
      <c r="A1942" s="182"/>
      <c r="B1942" s="182"/>
      <c r="C1942" s="182"/>
      <c r="D1942" s="182"/>
      <c r="E1942" s="183"/>
      <c r="F1942" s="127"/>
      <c r="G1942" s="127"/>
      <c r="H1942" s="127"/>
      <c r="I1942" s="127"/>
    </row>
    <row r="1943">
      <c r="A1943" s="182"/>
      <c r="B1943" s="182"/>
      <c r="C1943" s="182"/>
      <c r="D1943" s="182"/>
      <c r="E1943" s="183"/>
      <c r="F1943" s="127"/>
      <c r="G1943" s="127"/>
      <c r="H1943" s="127"/>
      <c r="I1943" s="127"/>
    </row>
    <row r="1944">
      <c r="A1944" s="182"/>
      <c r="B1944" s="182"/>
      <c r="C1944" s="182"/>
      <c r="D1944" s="182"/>
      <c r="E1944" s="183"/>
      <c r="F1944" s="127"/>
      <c r="G1944" s="127"/>
      <c r="H1944" s="127"/>
      <c r="I1944" s="127"/>
    </row>
    <row r="1945">
      <c r="A1945" s="182"/>
      <c r="B1945" s="182"/>
      <c r="C1945" s="182"/>
      <c r="D1945" s="182"/>
      <c r="E1945" s="183"/>
      <c r="F1945" s="127"/>
      <c r="G1945" s="127"/>
      <c r="H1945" s="127"/>
      <c r="I1945" s="127"/>
    </row>
    <row r="1946">
      <c r="A1946" s="182"/>
      <c r="B1946" s="182"/>
      <c r="C1946" s="182"/>
      <c r="D1946" s="182"/>
      <c r="E1946" s="183"/>
      <c r="F1946" s="127"/>
      <c r="G1946" s="127"/>
      <c r="H1946" s="127"/>
      <c r="I1946" s="127"/>
    </row>
    <row r="1947">
      <c r="A1947" s="182"/>
      <c r="B1947" s="182"/>
      <c r="C1947" s="182"/>
      <c r="D1947" s="182"/>
      <c r="E1947" s="183"/>
      <c r="F1947" s="127"/>
      <c r="G1947" s="127"/>
      <c r="H1947" s="127"/>
      <c r="I1947" s="127"/>
    </row>
    <row r="1948">
      <c r="A1948" s="182"/>
      <c r="B1948" s="182"/>
      <c r="C1948" s="182"/>
      <c r="D1948" s="182"/>
      <c r="E1948" s="183"/>
      <c r="F1948" s="127"/>
      <c r="G1948" s="127"/>
      <c r="H1948" s="127"/>
      <c r="I1948" s="127"/>
    </row>
    <row r="1949">
      <c r="A1949" s="182"/>
      <c r="B1949" s="182"/>
      <c r="C1949" s="182"/>
      <c r="D1949" s="182"/>
      <c r="E1949" s="183"/>
      <c r="F1949" s="127"/>
      <c r="G1949" s="127"/>
      <c r="H1949" s="127"/>
      <c r="I1949" s="127"/>
    </row>
    <row r="1950">
      <c r="A1950" s="182"/>
      <c r="B1950" s="182"/>
      <c r="C1950" s="182"/>
      <c r="D1950" s="182"/>
      <c r="E1950" s="183"/>
      <c r="F1950" s="127"/>
      <c r="G1950" s="127"/>
      <c r="H1950" s="127"/>
      <c r="I1950" s="127"/>
    </row>
    <row r="1951">
      <c r="A1951" s="182"/>
      <c r="B1951" s="182"/>
      <c r="C1951" s="182"/>
      <c r="D1951" s="182"/>
      <c r="E1951" s="183"/>
      <c r="F1951" s="127"/>
      <c r="G1951" s="127"/>
      <c r="H1951" s="127"/>
      <c r="I1951" s="127"/>
    </row>
    <row r="1952">
      <c r="A1952" s="182"/>
      <c r="B1952" s="182"/>
      <c r="C1952" s="182"/>
      <c r="D1952" s="182"/>
      <c r="E1952" s="183"/>
      <c r="F1952" s="127"/>
      <c r="G1952" s="127"/>
      <c r="H1952" s="127"/>
      <c r="I1952" s="127"/>
    </row>
    <row r="1953">
      <c r="A1953" s="182"/>
      <c r="B1953" s="182"/>
      <c r="C1953" s="182"/>
      <c r="D1953" s="182"/>
      <c r="E1953" s="183"/>
      <c r="F1953" s="127"/>
      <c r="G1953" s="127"/>
      <c r="H1953" s="127"/>
      <c r="I1953" s="127"/>
    </row>
    <row r="1954">
      <c r="A1954" s="182"/>
      <c r="B1954" s="182"/>
      <c r="C1954" s="182"/>
      <c r="D1954" s="182"/>
      <c r="E1954" s="183"/>
      <c r="F1954" s="127"/>
      <c r="G1954" s="127"/>
      <c r="H1954" s="127"/>
      <c r="I1954" s="127"/>
    </row>
    <row r="1955">
      <c r="A1955" s="182"/>
      <c r="B1955" s="182"/>
      <c r="C1955" s="182"/>
      <c r="D1955" s="182"/>
      <c r="E1955" s="183"/>
      <c r="F1955" s="127"/>
      <c r="G1955" s="127"/>
      <c r="H1955" s="127"/>
      <c r="I1955" s="127"/>
    </row>
    <row r="1956">
      <c r="A1956" s="182"/>
      <c r="B1956" s="182"/>
      <c r="C1956" s="182"/>
      <c r="D1956" s="182"/>
      <c r="E1956" s="183"/>
      <c r="F1956" s="127"/>
      <c r="G1956" s="127"/>
      <c r="H1956" s="127"/>
      <c r="I1956" s="127"/>
    </row>
    <row r="1957">
      <c r="A1957" s="182"/>
      <c r="B1957" s="182"/>
      <c r="C1957" s="182"/>
      <c r="D1957" s="182"/>
      <c r="E1957" s="183"/>
      <c r="F1957" s="127"/>
      <c r="G1957" s="127"/>
      <c r="H1957" s="127"/>
      <c r="I1957" s="127"/>
    </row>
    <row r="1958">
      <c r="A1958" s="182"/>
      <c r="B1958" s="182"/>
      <c r="C1958" s="182"/>
      <c r="D1958" s="182"/>
      <c r="E1958" s="183"/>
      <c r="F1958" s="127"/>
      <c r="G1958" s="127"/>
      <c r="H1958" s="127"/>
      <c r="I1958" s="127"/>
    </row>
    <row r="1959">
      <c r="A1959" s="182"/>
      <c r="B1959" s="182"/>
      <c r="C1959" s="182"/>
      <c r="D1959" s="182"/>
      <c r="E1959" s="183"/>
      <c r="F1959" s="127"/>
      <c r="G1959" s="127"/>
      <c r="H1959" s="127"/>
      <c r="I1959" s="127"/>
    </row>
    <row r="1960">
      <c r="A1960" s="182"/>
      <c r="B1960" s="182"/>
      <c r="C1960" s="182"/>
      <c r="D1960" s="182"/>
      <c r="E1960" s="183"/>
      <c r="F1960" s="127"/>
      <c r="G1960" s="127"/>
      <c r="H1960" s="127"/>
      <c r="I1960" s="127"/>
    </row>
    <row r="1961">
      <c r="A1961" s="182"/>
      <c r="B1961" s="182"/>
      <c r="C1961" s="182"/>
      <c r="D1961" s="182"/>
      <c r="E1961" s="183"/>
      <c r="F1961" s="127"/>
      <c r="G1961" s="127"/>
      <c r="H1961" s="127"/>
      <c r="I1961" s="127"/>
    </row>
    <row r="1962">
      <c r="A1962" s="182"/>
      <c r="B1962" s="182"/>
      <c r="C1962" s="182"/>
      <c r="D1962" s="182"/>
      <c r="E1962" s="183"/>
      <c r="F1962" s="127"/>
      <c r="G1962" s="127"/>
      <c r="H1962" s="127"/>
      <c r="I1962" s="127"/>
    </row>
    <row r="1963">
      <c r="A1963" s="182"/>
      <c r="B1963" s="182"/>
      <c r="C1963" s="182"/>
      <c r="D1963" s="182"/>
      <c r="E1963" s="183"/>
      <c r="F1963" s="127"/>
      <c r="G1963" s="127"/>
      <c r="H1963" s="127"/>
      <c r="I1963" s="127"/>
    </row>
    <row r="1964">
      <c r="A1964" s="182"/>
      <c r="B1964" s="182"/>
      <c r="C1964" s="182"/>
      <c r="D1964" s="182"/>
      <c r="E1964" s="183"/>
      <c r="F1964" s="127"/>
      <c r="G1964" s="127"/>
      <c r="H1964" s="127"/>
      <c r="I1964" s="127"/>
    </row>
    <row r="1965">
      <c r="A1965" s="182"/>
      <c r="B1965" s="182"/>
      <c r="C1965" s="182"/>
      <c r="D1965" s="182"/>
      <c r="E1965" s="183"/>
      <c r="F1965" s="127"/>
      <c r="G1965" s="127"/>
      <c r="H1965" s="127"/>
      <c r="I1965" s="127"/>
    </row>
    <row r="1966">
      <c r="A1966" s="182"/>
      <c r="B1966" s="182"/>
      <c r="C1966" s="182"/>
      <c r="D1966" s="182"/>
      <c r="E1966" s="183"/>
      <c r="F1966" s="127"/>
      <c r="G1966" s="127"/>
      <c r="H1966" s="127"/>
      <c r="I1966" s="127"/>
    </row>
    <row r="1967">
      <c r="A1967" s="182"/>
      <c r="B1967" s="182"/>
      <c r="C1967" s="182"/>
      <c r="D1967" s="182"/>
      <c r="E1967" s="183"/>
      <c r="F1967" s="127"/>
      <c r="G1967" s="127"/>
      <c r="H1967" s="127"/>
      <c r="I1967" s="127"/>
    </row>
    <row r="1968">
      <c r="A1968" s="182"/>
      <c r="B1968" s="182"/>
      <c r="C1968" s="182"/>
      <c r="D1968" s="182"/>
      <c r="E1968" s="183"/>
      <c r="F1968" s="127"/>
      <c r="G1968" s="127"/>
      <c r="H1968" s="127"/>
      <c r="I1968" s="127"/>
    </row>
    <row r="1969">
      <c r="A1969" s="182"/>
      <c r="B1969" s="182"/>
      <c r="C1969" s="182"/>
      <c r="D1969" s="182"/>
      <c r="E1969" s="183"/>
      <c r="F1969" s="127"/>
      <c r="G1969" s="127"/>
      <c r="H1969" s="127"/>
      <c r="I1969" s="127"/>
    </row>
    <row r="1970">
      <c r="A1970" s="182"/>
      <c r="B1970" s="182"/>
      <c r="C1970" s="182"/>
      <c r="D1970" s="182"/>
      <c r="E1970" s="183"/>
      <c r="F1970" s="127"/>
      <c r="G1970" s="127"/>
      <c r="H1970" s="127"/>
      <c r="I1970" s="127"/>
    </row>
    <row r="1971">
      <c r="A1971" s="182"/>
      <c r="B1971" s="182"/>
      <c r="C1971" s="182"/>
      <c r="D1971" s="182"/>
      <c r="E1971" s="183"/>
      <c r="F1971" s="127"/>
      <c r="G1971" s="127"/>
      <c r="H1971" s="127"/>
      <c r="I1971" s="127"/>
    </row>
    <row r="1972">
      <c r="A1972" s="182"/>
      <c r="B1972" s="182"/>
      <c r="C1972" s="182"/>
      <c r="D1972" s="182"/>
      <c r="E1972" s="183"/>
      <c r="F1972" s="127"/>
      <c r="G1972" s="127"/>
      <c r="H1972" s="127"/>
      <c r="I1972" s="127"/>
    </row>
    <row r="1973">
      <c r="A1973" s="182"/>
      <c r="B1973" s="182"/>
      <c r="C1973" s="182"/>
      <c r="D1973" s="182"/>
      <c r="E1973" s="183"/>
      <c r="F1973" s="127"/>
      <c r="G1973" s="127"/>
      <c r="H1973" s="127"/>
      <c r="I1973" s="127"/>
    </row>
    <row r="1974">
      <c r="A1974" s="182"/>
      <c r="B1974" s="182"/>
      <c r="C1974" s="182"/>
      <c r="D1974" s="182"/>
      <c r="E1974" s="183"/>
      <c r="F1974" s="127"/>
      <c r="G1974" s="127"/>
      <c r="H1974" s="127"/>
      <c r="I1974" s="127"/>
    </row>
    <row r="1975">
      <c r="A1975" s="182"/>
      <c r="B1975" s="182"/>
      <c r="C1975" s="182"/>
      <c r="D1975" s="182"/>
      <c r="E1975" s="183"/>
      <c r="F1975" s="127"/>
      <c r="G1975" s="127"/>
      <c r="H1975" s="127"/>
      <c r="I1975" s="127"/>
    </row>
    <row r="1976">
      <c r="A1976" s="182"/>
      <c r="B1976" s="182"/>
      <c r="C1976" s="182"/>
      <c r="D1976" s="182"/>
      <c r="E1976" s="183"/>
      <c r="F1976" s="127"/>
      <c r="G1976" s="127"/>
      <c r="H1976" s="127"/>
      <c r="I1976" s="127"/>
    </row>
    <row r="1977">
      <c r="A1977" s="182"/>
      <c r="B1977" s="182"/>
      <c r="C1977" s="182"/>
      <c r="D1977" s="182"/>
      <c r="E1977" s="183"/>
      <c r="F1977" s="127"/>
      <c r="G1977" s="127"/>
      <c r="H1977" s="127"/>
      <c r="I1977" s="127"/>
    </row>
    <row r="1978">
      <c r="A1978" s="182"/>
      <c r="B1978" s="182"/>
      <c r="C1978" s="182"/>
      <c r="D1978" s="182"/>
      <c r="E1978" s="183"/>
      <c r="F1978" s="127"/>
      <c r="G1978" s="127"/>
      <c r="H1978" s="127"/>
      <c r="I1978" s="127"/>
    </row>
    <row r="1979">
      <c r="A1979" s="182"/>
      <c r="B1979" s="182"/>
      <c r="C1979" s="182"/>
      <c r="D1979" s="182"/>
      <c r="E1979" s="183"/>
      <c r="F1979" s="127"/>
      <c r="G1979" s="127"/>
      <c r="H1979" s="127"/>
      <c r="I1979" s="127"/>
    </row>
    <row r="1980">
      <c r="A1980" s="182"/>
      <c r="B1980" s="182"/>
      <c r="C1980" s="182"/>
      <c r="D1980" s="182"/>
      <c r="E1980" s="183"/>
      <c r="F1980" s="127"/>
      <c r="G1980" s="127"/>
      <c r="H1980" s="127"/>
      <c r="I1980" s="127"/>
    </row>
    <row r="1981">
      <c r="A1981" s="182"/>
      <c r="B1981" s="182"/>
      <c r="C1981" s="182"/>
      <c r="D1981" s="182"/>
      <c r="E1981" s="183"/>
      <c r="F1981" s="127"/>
      <c r="G1981" s="127"/>
      <c r="H1981" s="127"/>
      <c r="I1981" s="127"/>
    </row>
    <row r="1982">
      <c r="A1982" s="182"/>
      <c r="B1982" s="182"/>
      <c r="C1982" s="182"/>
      <c r="D1982" s="182"/>
      <c r="E1982" s="183"/>
      <c r="F1982" s="127"/>
      <c r="G1982" s="127"/>
      <c r="H1982" s="127"/>
      <c r="I1982" s="127"/>
    </row>
    <row r="1983">
      <c r="A1983" s="182"/>
      <c r="B1983" s="182"/>
      <c r="C1983" s="182"/>
      <c r="D1983" s="182"/>
      <c r="E1983" s="183"/>
      <c r="F1983" s="127"/>
      <c r="G1983" s="127"/>
      <c r="H1983" s="127"/>
      <c r="I1983" s="127"/>
    </row>
    <row r="1984">
      <c r="A1984" s="182"/>
      <c r="B1984" s="182"/>
      <c r="C1984" s="182"/>
      <c r="D1984" s="182"/>
      <c r="E1984" s="183"/>
      <c r="F1984" s="127"/>
      <c r="G1984" s="127"/>
      <c r="H1984" s="127"/>
      <c r="I1984" s="127"/>
    </row>
    <row r="1985">
      <c r="A1985" s="182"/>
      <c r="B1985" s="182"/>
      <c r="C1985" s="182"/>
      <c r="D1985" s="182"/>
      <c r="E1985" s="183"/>
      <c r="F1985" s="127"/>
      <c r="G1985" s="127"/>
      <c r="H1985" s="127"/>
      <c r="I1985" s="127"/>
    </row>
    <row r="1986">
      <c r="A1986" s="182"/>
      <c r="B1986" s="182"/>
      <c r="C1986" s="182"/>
      <c r="D1986" s="182"/>
      <c r="E1986" s="183"/>
      <c r="F1986" s="127"/>
      <c r="G1986" s="127"/>
      <c r="H1986" s="127"/>
      <c r="I1986" s="127"/>
    </row>
    <row r="1987">
      <c r="A1987" s="182"/>
      <c r="B1987" s="182"/>
      <c r="C1987" s="182"/>
      <c r="D1987" s="182"/>
      <c r="E1987" s="183"/>
      <c r="F1987" s="127"/>
      <c r="G1987" s="127"/>
      <c r="H1987" s="127"/>
      <c r="I1987" s="127"/>
    </row>
    <row r="1988">
      <c r="A1988" s="182"/>
      <c r="B1988" s="182"/>
      <c r="C1988" s="182"/>
      <c r="D1988" s="182"/>
      <c r="E1988" s="183"/>
      <c r="F1988" s="127"/>
      <c r="G1988" s="127"/>
      <c r="H1988" s="127"/>
      <c r="I1988" s="127"/>
    </row>
    <row r="1989">
      <c r="A1989" s="182"/>
      <c r="B1989" s="182"/>
      <c r="C1989" s="182"/>
      <c r="D1989" s="182"/>
      <c r="E1989" s="183"/>
      <c r="F1989" s="127"/>
      <c r="G1989" s="127"/>
      <c r="H1989" s="127"/>
      <c r="I1989" s="127"/>
    </row>
    <row r="1990">
      <c r="A1990" s="182"/>
      <c r="B1990" s="182"/>
      <c r="C1990" s="182"/>
      <c r="D1990" s="182"/>
      <c r="E1990" s="183"/>
      <c r="F1990" s="127"/>
      <c r="G1990" s="127"/>
      <c r="H1990" s="127"/>
      <c r="I1990" s="127"/>
    </row>
    <row r="1991">
      <c r="A1991" s="182"/>
      <c r="B1991" s="182"/>
      <c r="C1991" s="182"/>
      <c r="D1991" s="182"/>
      <c r="E1991" s="183"/>
      <c r="F1991" s="127"/>
      <c r="G1991" s="127"/>
      <c r="H1991" s="127"/>
      <c r="I1991" s="127"/>
    </row>
    <row r="1992">
      <c r="A1992" s="182"/>
      <c r="B1992" s="182"/>
      <c r="C1992" s="182"/>
      <c r="D1992" s="182"/>
      <c r="E1992" s="183"/>
      <c r="F1992" s="127"/>
      <c r="G1992" s="127"/>
      <c r="H1992" s="127"/>
      <c r="I1992" s="127"/>
    </row>
    <row r="1993">
      <c r="A1993" s="182"/>
      <c r="B1993" s="182"/>
      <c r="C1993" s="182"/>
      <c r="D1993" s="182"/>
      <c r="E1993" s="183"/>
      <c r="F1993" s="127"/>
      <c r="G1993" s="127"/>
      <c r="H1993" s="127"/>
      <c r="I1993" s="127"/>
    </row>
    <row r="1994">
      <c r="A1994" s="182"/>
      <c r="B1994" s="182"/>
      <c r="C1994" s="182"/>
      <c r="D1994" s="182"/>
      <c r="E1994" s="183"/>
      <c r="F1994" s="127"/>
      <c r="G1994" s="127"/>
      <c r="H1994" s="127"/>
      <c r="I1994" s="127"/>
    </row>
    <row r="1995">
      <c r="A1995" s="182"/>
      <c r="B1995" s="182"/>
      <c r="C1995" s="182"/>
      <c r="D1995" s="182"/>
      <c r="E1995" s="183"/>
      <c r="F1995" s="127"/>
      <c r="G1995" s="127"/>
      <c r="H1995" s="127"/>
      <c r="I1995" s="127"/>
    </row>
    <row r="1996">
      <c r="A1996" s="182"/>
      <c r="B1996" s="182"/>
      <c r="C1996" s="182"/>
      <c r="D1996" s="182"/>
      <c r="E1996" s="183"/>
      <c r="F1996" s="127"/>
      <c r="G1996" s="127"/>
      <c r="H1996" s="127"/>
      <c r="I1996" s="127"/>
    </row>
    <row r="1997">
      <c r="A1997" s="182"/>
      <c r="B1997" s="182"/>
      <c r="C1997" s="182"/>
      <c r="D1997" s="182"/>
      <c r="E1997" s="183"/>
      <c r="F1997" s="127"/>
      <c r="G1997" s="127"/>
      <c r="H1997" s="127"/>
      <c r="I1997" s="127"/>
    </row>
    <row r="1998">
      <c r="A1998" s="182"/>
      <c r="B1998" s="182"/>
      <c r="C1998" s="182"/>
      <c r="D1998" s="182"/>
      <c r="E1998" s="183"/>
      <c r="F1998" s="127"/>
      <c r="G1998" s="127"/>
      <c r="H1998" s="127"/>
      <c r="I1998" s="127"/>
    </row>
    <row r="1999">
      <c r="A1999" s="182"/>
      <c r="B1999" s="182"/>
      <c r="C1999" s="182"/>
      <c r="D1999" s="182"/>
      <c r="E1999" s="183"/>
      <c r="F1999" s="127"/>
      <c r="G1999" s="127"/>
      <c r="H1999" s="127"/>
      <c r="I1999" s="127"/>
    </row>
    <row r="2000">
      <c r="A2000" s="182"/>
      <c r="B2000" s="182"/>
      <c r="C2000" s="182"/>
      <c r="D2000" s="182"/>
      <c r="E2000" s="183"/>
      <c r="F2000" s="127"/>
      <c r="G2000" s="127"/>
      <c r="H2000" s="127"/>
      <c r="I2000" s="127"/>
    </row>
    <row r="2001">
      <c r="A2001" s="182"/>
      <c r="B2001" s="182"/>
      <c r="C2001" s="182"/>
      <c r="D2001" s="182"/>
      <c r="E2001" s="183"/>
      <c r="F2001" s="127"/>
      <c r="G2001" s="127"/>
      <c r="H2001" s="127"/>
      <c r="I2001" s="127"/>
    </row>
    <row r="2002">
      <c r="A2002" s="182"/>
      <c r="B2002" s="182"/>
      <c r="C2002" s="182"/>
      <c r="D2002" s="182"/>
      <c r="E2002" s="183"/>
      <c r="F2002" s="127"/>
      <c r="G2002" s="127"/>
      <c r="H2002" s="127"/>
      <c r="I2002" s="127"/>
    </row>
    <row r="2003">
      <c r="A2003" s="182"/>
      <c r="B2003" s="182"/>
      <c r="C2003" s="182"/>
      <c r="D2003" s="182"/>
      <c r="E2003" s="183"/>
      <c r="F2003" s="127"/>
      <c r="G2003" s="127"/>
      <c r="H2003" s="127"/>
      <c r="I2003" s="127"/>
    </row>
    <row r="2004">
      <c r="A2004" s="182"/>
      <c r="B2004" s="182"/>
      <c r="C2004" s="182"/>
      <c r="D2004" s="182"/>
      <c r="E2004" s="183"/>
      <c r="F2004" s="127"/>
      <c r="G2004" s="127"/>
      <c r="H2004" s="127"/>
      <c r="I2004" s="127"/>
    </row>
    <row r="2005">
      <c r="A2005" s="182"/>
      <c r="B2005" s="182"/>
      <c r="C2005" s="182"/>
      <c r="D2005" s="182"/>
      <c r="E2005" s="183"/>
      <c r="F2005" s="127"/>
      <c r="G2005" s="127"/>
      <c r="H2005" s="127"/>
      <c r="I2005" s="127"/>
    </row>
    <row r="2006">
      <c r="A2006" s="182"/>
      <c r="B2006" s="182"/>
      <c r="C2006" s="182"/>
      <c r="D2006" s="182"/>
      <c r="E2006" s="183"/>
      <c r="F2006" s="127"/>
      <c r="G2006" s="127"/>
      <c r="H2006" s="127"/>
      <c r="I2006" s="127"/>
    </row>
    <row r="2007">
      <c r="A2007" s="182"/>
      <c r="B2007" s="182"/>
      <c r="C2007" s="182"/>
      <c r="D2007" s="182"/>
      <c r="E2007" s="183"/>
      <c r="F2007" s="127"/>
      <c r="G2007" s="127"/>
      <c r="H2007" s="127"/>
      <c r="I2007" s="127"/>
    </row>
    <row r="2008">
      <c r="A2008" s="182"/>
      <c r="B2008" s="182"/>
      <c r="C2008" s="182"/>
      <c r="D2008" s="182"/>
      <c r="E2008" s="183"/>
      <c r="F2008" s="127"/>
      <c r="G2008" s="127"/>
      <c r="H2008" s="127"/>
      <c r="I2008" s="127"/>
    </row>
    <row r="2009">
      <c r="A2009" s="182"/>
      <c r="B2009" s="182"/>
      <c r="C2009" s="182"/>
      <c r="D2009" s="182"/>
      <c r="E2009" s="183"/>
      <c r="F2009" s="127"/>
      <c r="G2009" s="127"/>
      <c r="H2009" s="127"/>
      <c r="I2009" s="127"/>
    </row>
    <row r="2010">
      <c r="A2010" s="182"/>
      <c r="B2010" s="182"/>
      <c r="C2010" s="182"/>
      <c r="D2010" s="182"/>
      <c r="E2010" s="183"/>
      <c r="F2010" s="127"/>
      <c r="G2010" s="127"/>
      <c r="H2010" s="127"/>
      <c r="I2010" s="127"/>
    </row>
    <row r="2011">
      <c r="A2011" s="182"/>
      <c r="B2011" s="182"/>
      <c r="C2011" s="182"/>
      <c r="D2011" s="182"/>
      <c r="E2011" s="183"/>
      <c r="F2011" s="127"/>
      <c r="G2011" s="127"/>
      <c r="H2011" s="127"/>
      <c r="I2011" s="127"/>
    </row>
    <row r="2012">
      <c r="A2012" s="182"/>
      <c r="B2012" s="182"/>
      <c r="C2012" s="182"/>
      <c r="D2012" s="182"/>
      <c r="E2012" s="183"/>
      <c r="F2012" s="127"/>
      <c r="G2012" s="127"/>
      <c r="H2012" s="127"/>
      <c r="I2012" s="127"/>
    </row>
    <row r="2013">
      <c r="A2013" s="182"/>
      <c r="B2013" s="182"/>
      <c r="C2013" s="182"/>
      <c r="D2013" s="182"/>
      <c r="E2013" s="183"/>
      <c r="F2013" s="127"/>
      <c r="G2013" s="127"/>
      <c r="H2013" s="127"/>
      <c r="I2013" s="127"/>
    </row>
    <row r="2014">
      <c r="A2014" s="182"/>
      <c r="B2014" s="182"/>
      <c r="C2014" s="182"/>
      <c r="D2014" s="182"/>
      <c r="E2014" s="183"/>
      <c r="F2014" s="127"/>
      <c r="G2014" s="127"/>
      <c r="H2014" s="127"/>
      <c r="I2014" s="127"/>
    </row>
    <row r="2015">
      <c r="A2015" s="182"/>
      <c r="B2015" s="182"/>
      <c r="C2015" s="182"/>
      <c r="D2015" s="182"/>
      <c r="E2015" s="183"/>
      <c r="F2015" s="127"/>
      <c r="G2015" s="127"/>
      <c r="H2015" s="127"/>
      <c r="I2015" s="127"/>
    </row>
    <row r="2016">
      <c r="A2016" s="182"/>
      <c r="B2016" s="182"/>
      <c r="C2016" s="182"/>
      <c r="D2016" s="182"/>
      <c r="E2016" s="183"/>
      <c r="F2016" s="127"/>
      <c r="G2016" s="127"/>
      <c r="H2016" s="127"/>
      <c r="I2016" s="127"/>
    </row>
    <row r="2017">
      <c r="A2017" s="182"/>
      <c r="B2017" s="182"/>
      <c r="C2017" s="182"/>
      <c r="D2017" s="182"/>
      <c r="E2017" s="183"/>
      <c r="F2017" s="127"/>
      <c r="G2017" s="127"/>
      <c r="H2017" s="127"/>
      <c r="I2017" s="127"/>
    </row>
    <row r="2018">
      <c r="A2018" s="182"/>
      <c r="B2018" s="182"/>
      <c r="C2018" s="182"/>
      <c r="D2018" s="182"/>
      <c r="E2018" s="183"/>
      <c r="F2018" s="127"/>
      <c r="G2018" s="127"/>
      <c r="H2018" s="127"/>
      <c r="I2018" s="127"/>
    </row>
    <row r="2019">
      <c r="A2019" s="182"/>
      <c r="B2019" s="182"/>
      <c r="C2019" s="182"/>
      <c r="D2019" s="182"/>
      <c r="E2019" s="183"/>
      <c r="F2019" s="127"/>
      <c r="G2019" s="127"/>
      <c r="H2019" s="127"/>
      <c r="I2019" s="127"/>
    </row>
    <row r="2020">
      <c r="A2020" s="182"/>
      <c r="B2020" s="182"/>
      <c r="C2020" s="182"/>
      <c r="D2020" s="182"/>
      <c r="E2020" s="183"/>
      <c r="F2020" s="127"/>
      <c r="G2020" s="127"/>
      <c r="H2020" s="127"/>
      <c r="I2020" s="127"/>
    </row>
    <row r="2021">
      <c r="A2021" s="182"/>
      <c r="B2021" s="182"/>
      <c r="C2021" s="182"/>
      <c r="D2021" s="182"/>
      <c r="E2021" s="183"/>
      <c r="F2021" s="127"/>
      <c r="G2021" s="127"/>
      <c r="H2021" s="127"/>
      <c r="I2021" s="127"/>
    </row>
    <row r="2022">
      <c r="A2022" s="182"/>
      <c r="B2022" s="182"/>
      <c r="C2022" s="182"/>
      <c r="D2022" s="182"/>
      <c r="E2022" s="183"/>
      <c r="F2022" s="127"/>
      <c r="G2022" s="127"/>
      <c r="H2022" s="127"/>
      <c r="I2022" s="127"/>
    </row>
    <row r="2023">
      <c r="A2023" s="182"/>
      <c r="B2023" s="182"/>
      <c r="C2023" s="182"/>
      <c r="D2023" s="182"/>
      <c r="E2023" s="183"/>
      <c r="F2023" s="127"/>
      <c r="G2023" s="127"/>
      <c r="H2023" s="127"/>
      <c r="I2023" s="127"/>
    </row>
    <row r="2024">
      <c r="A2024" s="182"/>
      <c r="B2024" s="182"/>
      <c r="C2024" s="182"/>
      <c r="D2024" s="182"/>
      <c r="E2024" s="183"/>
      <c r="F2024" s="127"/>
      <c r="G2024" s="127"/>
      <c r="H2024" s="127"/>
      <c r="I2024" s="127"/>
    </row>
    <row r="2025">
      <c r="A2025" s="182"/>
      <c r="B2025" s="182"/>
      <c r="C2025" s="182"/>
      <c r="D2025" s="182"/>
      <c r="E2025" s="183"/>
      <c r="F2025" s="127"/>
      <c r="G2025" s="127"/>
      <c r="H2025" s="127"/>
      <c r="I2025" s="127"/>
    </row>
    <row r="2026">
      <c r="A2026" s="182"/>
      <c r="B2026" s="182"/>
      <c r="C2026" s="182"/>
      <c r="D2026" s="182"/>
      <c r="E2026" s="183"/>
      <c r="F2026" s="127"/>
      <c r="G2026" s="127"/>
      <c r="H2026" s="127"/>
      <c r="I2026" s="127"/>
    </row>
    <row r="2027">
      <c r="A2027" s="182"/>
      <c r="B2027" s="182"/>
      <c r="C2027" s="182"/>
      <c r="D2027" s="182"/>
      <c r="E2027" s="183"/>
      <c r="F2027" s="127"/>
      <c r="G2027" s="127"/>
      <c r="H2027" s="127"/>
      <c r="I2027" s="127"/>
    </row>
    <row r="2028">
      <c r="A2028" s="182"/>
      <c r="B2028" s="182"/>
      <c r="C2028" s="182"/>
      <c r="D2028" s="182"/>
      <c r="E2028" s="183"/>
      <c r="F2028" s="127"/>
      <c r="G2028" s="127"/>
      <c r="H2028" s="127"/>
      <c r="I2028" s="127"/>
    </row>
    <row r="2029">
      <c r="A2029" s="182"/>
      <c r="B2029" s="182"/>
      <c r="C2029" s="182"/>
      <c r="D2029" s="182"/>
      <c r="E2029" s="183"/>
      <c r="F2029" s="127"/>
      <c r="G2029" s="127"/>
      <c r="H2029" s="127"/>
      <c r="I2029" s="127"/>
    </row>
    <row r="2030">
      <c r="A2030" s="182"/>
      <c r="B2030" s="182"/>
      <c r="C2030" s="182"/>
      <c r="D2030" s="182"/>
      <c r="E2030" s="183"/>
      <c r="F2030" s="127"/>
      <c r="G2030" s="127"/>
      <c r="H2030" s="127"/>
      <c r="I2030" s="127"/>
    </row>
    <row r="2031">
      <c r="A2031" s="182"/>
      <c r="B2031" s="182"/>
      <c r="C2031" s="182"/>
      <c r="D2031" s="182"/>
      <c r="E2031" s="183"/>
      <c r="F2031" s="127"/>
      <c r="G2031" s="127"/>
      <c r="H2031" s="127"/>
      <c r="I2031" s="127"/>
    </row>
    <row r="2032">
      <c r="A2032" s="182"/>
      <c r="B2032" s="182"/>
      <c r="C2032" s="182"/>
      <c r="D2032" s="182"/>
      <c r="E2032" s="183"/>
      <c r="F2032" s="127"/>
      <c r="G2032" s="127"/>
      <c r="H2032" s="127"/>
      <c r="I2032" s="127"/>
    </row>
    <row r="2033">
      <c r="A2033" s="182"/>
      <c r="B2033" s="182"/>
      <c r="C2033" s="182"/>
      <c r="D2033" s="182"/>
      <c r="E2033" s="183"/>
      <c r="F2033" s="127"/>
      <c r="G2033" s="127"/>
      <c r="H2033" s="127"/>
      <c r="I2033" s="127"/>
    </row>
    <row r="2034">
      <c r="A2034" s="182"/>
      <c r="B2034" s="182"/>
      <c r="C2034" s="182"/>
      <c r="D2034" s="182"/>
      <c r="E2034" s="183"/>
      <c r="F2034" s="127"/>
      <c r="G2034" s="127"/>
      <c r="H2034" s="127"/>
      <c r="I2034" s="127"/>
    </row>
    <row r="2035">
      <c r="A2035" s="182"/>
      <c r="B2035" s="182"/>
      <c r="C2035" s="182"/>
      <c r="D2035" s="182"/>
      <c r="E2035" s="183"/>
      <c r="F2035" s="127"/>
      <c r="G2035" s="127"/>
      <c r="H2035" s="127"/>
      <c r="I2035" s="127"/>
    </row>
    <row r="2036">
      <c r="A2036" s="182"/>
      <c r="B2036" s="182"/>
      <c r="C2036" s="182"/>
      <c r="D2036" s="182"/>
      <c r="E2036" s="183"/>
      <c r="F2036" s="127"/>
      <c r="G2036" s="127"/>
      <c r="H2036" s="127"/>
      <c r="I2036" s="127"/>
    </row>
    <row r="2037">
      <c r="A2037" s="182"/>
      <c r="B2037" s="182"/>
      <c r="C2037" s="182"/>
      <c r="D2037" s="182"/>
      <c r="E2037" s="183"/>
      <c r="F2037" s="127"/>
      <c r="G2037" s="127"/>
      <c r="H2037" s="127"/>
      <c r="I2037" s="127"/>
    </row>
    <row r="2038">
      <c r="A2038" s="182"/>
      <c r="B2038" s="182"/>
      <c r="C2038" s="182"/>
      <c r="D2038" s="182"/>
      <c r="E2038" s="183"/>
      <c r="F2038" s="127"/>
      <c r="G2038" s="127"/>
      <c r="H2038" s="127"/>
      <c r="I2038" s="127"/>
    </row>
    <row r="2039">
      <c r="A2039" s="182"/>
      <c r="B2039" s="182"/>
      <c r="C2039" s="182"/>
      <c r="D2039" s="182"/>
      <c r="E2039" s="183"/>
      <c r="F2039" s="127"/>
      <c r="G2039" s="127"/>
      <c r="H2039" s="127"/>
      <c r="I2039" s="127"/>
    </row>
    <row r="2040">
      <c r="A2040" s="182"/>
      <c r="B2040" s="182"/>
      <c r="C2040" s="182"/>
      <c r="D2040" s="182"/>
      <c r="E2040" s="183"/>
      <c r="F2040" s="127"/>
      <c r="G2040" s="127"/>
      <c r="H2040" s="127"/>
      <c r="I2040" s="127"/>
    </row>
    <row r="2041">
      <c r="A2041" s="182"/>
      <c r="B2041" s="182"/>
      <c r="C2041" s="182"/>
      <c r="D2041" s="182"/>
      <c r="E2041" s="183"/>
      <c r="F2041" s="127"/>
      <c r="G2041" s="127"/>
      <c r="H2041" s="127"/>
      <c r="I2041" s="127"/>
    </row>
    <row r="2042">
      <c r="A2042" s="182"/>
      <c r="B2042" s="182"/>
      <c r="C2042" s="182"/>
      <c r="D2042" s="182"/>
      <c r="E2042" s="183"/>
      <c r="F2042" s="127"/>
      <c r="G2042" s="127"/>
      <c r="H2042" s="127"/>
      <c r="I2042" s="127"/>
    </row>
    <row r="2043">
      <c r="A2043" s="182"/>
      <c r="B2043" s="182"/>
      <c r="C2043" s="182"/>
      <c r="D2043" s="182"/>
      <c r="E2043" s="183"/>
      <c r="F2043" s="127"/>
      <c r="G2043" s="127"/>
      <c r="H2043" s="127"/>
      <c r="I2043" s="127"/>
    </row>
    <row r="2044">
      <c r="A2044" s="182"/>
      <c r="B2044" s="182"/>
      <c r="C2044" s="182"/>
      <c r="D2044" s="182"/>
      <c r="E2044" s="183"/>
      <c r="F2044" s="127"/>
      <c r="G2044" s="127"/>
      <c r="H2044" s="127"/>
      <c r="I2044" s="127"/>
    </row>
    <row r="2045">
      <c r="A2045" s="182"/>
      <c r="B2045" s="182"/>
      <c r="C2045" s="182"/>
      <c r="D2045" s="182"/>
      <c r="E2045" s="183"/>
      <c r="F2045" s="127"/>
      <c r="G2045" s="127"/>
      <c r="H2045" s="127"/>
      <c r="I2045" s="127"/>
    </row>
    <row r="2046">
      <c r="A2046" s="182"/>
      <c r="B2046" s="182"/>
      <c r="C2046" s="182"/>
      <c r="D2046" s="182"/>
      <c r="E2046" s="183"/>
      <c r="F2046" s="127"/>
      <c r="G2046" s="127"/>
      <c r="H2046" s="127"/>
      <c r="I2046" s="127"/>
    </row>
    <row r="2047">
      <c r="A2047" s="182"/>
      <c r="B2047" s="182"/>
      <c r="C2047" s="182"/>
      <c r="D2047" s="182"/>
      <c r="E2047" s="183"/>
      <c r="F2047" s="127"/>
      <c r="G2047" s="127"/>
      <c r="H2047" s="127"/>
      <c r="I2047" s="127"/>
    </row>
    <row r="2048">
      <c r="A2048" s="182"/>
      <c r="B2048" s="182"/>
      <c r="C2048" s="182"/>
      <c r="D2048" s="182"/>
      <c r="E2048" s="183"/>
      <c r="F2048" s="127"/>
      <c r="G2048" s="127"/>
      <c r="H2048" s="127"/>
      <c r="I2048" s="127"/>
    </row>
    <row r="2049">
      <c r="A2049" s="182"/>
      <c r="B2049" s="182"/>
      <c r="C2049" s="182"/>
      <c r="D2049" s="182"/>
      <c r="E2049" s="183"/>
      <c r="F2049" s="127"/>
      <c r="G2049" s="127"/>
      <c r="H2049" s="127"/>
      <c r="I2049" s="127"/>
    </row>
    <row r="2050">
      <c r="A2050" s="182"/>
      <c r="B2050" s="182"/>
      <c r="C2050" s="182"/>
      <c r="D2050" s="182"/>
      <c r="E2050" s="183"/>
      <c r="F2050" s="127"/>
      <c r="G2050" s="127"/>
      <c r="H2050" s="127"/>
      <c r="I2050" s="127"/>
    </row>
    <row r="2051">
      <c r="A2051" s="182"/>
      <c r="B2051" s="182"/>
      <c r="C2051" s="182"/>
      <c r="D2051" s="182"/>
      <c r="E2051" s="183"/>
      <c r="F2051" s="127"/>
      <c r="G2051" s="127"/>
      <c r="H2051" s="127"/>
      <c r="I2051" s="127"/>
    </row>
    <row r="2052">
      <c r="A2052" s="182"/>
      <c r="B2052" s="182"/>
      <c r="C2052" s="182"/>
      <c r="D2052" s="182"/>
      <c r="E2052" s="183"/>
      <c r="F2052" s="127"/>
      <c r="G2052" s="127"/>
      <c r="H2052" s="127"/>
      <c r="I2052" s="127"/>
    </row>
    <row r="2053">
      <c r="A2053" s="182"/>
      <c r="B2053" s="182"/>
      <c r="C2053" s="182"/>
      <c r="D2053" s="182"/>
      <c r="E2053" s="183"/>
      <c r="F2053" s="127"/>
      <c r="G2053" s="127"/>
      <c r="H2053" s="127"/>
      <c r="I2053" s="127"/>
    </row>
    <row r="2054">
      <c r="A2054" s="182"/>
      <c r="B2054" s="182"/>
      <c r="C2054" s="182"/>
      <c r="D2054" s="182"/>
      <c r="E2054" s="183"/>
      <c r="F2054" s="127"/>
      <c r="G2054" s="127"/>
      <c r="H2054" s="127"/>
      <c r="I2054" s="127"/>
    </row>
    <row r="2055">
      <c r="A2055" s="182"/>
      <c r="B2055" s="182"/>
      <c r="C2055" s="182"/>
      <c r="D2055" s="182"/>
      <c r="E2055" s="183"/>
      <c r="F2055" s="127"/>
      <c r="G2055" s="127"/>
      <c r="H2055" s="127"/>
      <c r="I2055" s="127"/>
    </row>
    <row r="2056">
      <c r="A2056" s="182"/>
      <c r="B2056" s="182"/>
      <c r="C2056" s="182"/>
      <c r="D2056" s="182"/>
      <c r="E2056" s="183"/>
      <c r="F2056" s="127"/>
      <c r="G2056" s="127"/>
      <c r="H2056" s="127"/>
      <c r="I2056" s="127"/>
    </row>
    <row r="2057">
      <c r="A2057" s="182"/>
      <c r="B2057" s="182"/>
      <c r="C2057" s="182"/>
      <c r="D2057" s="182"/>
      <c r="E2057" s="183"/>
      <c r="F2057" s="127"/>
      <c r="G2057" s="127"/>
      <c r="H2057" s="127"/>
      <c r="I2057" s="127"/>
    </row>
    <row r="2058">
      <c r="A2058" s="182"/>
      <c r="B2058" s="182"/>
      <c r="C2058" s="182"/>
      <c r="D2058" s="182"/>
      <c r="E2058" s="183"/>
      <c r="F2058" s="127"/>
      <c r="G2058" s="127"/>
      <c r="H2058" s="127"/>
      <c r="I2058" s="127"/>
    </row>
    <row r="2059">
      <c r="A2059" s="182"/>
      <c r="B2059" s="182"/>
      <c r="C2059" s="182"/>
      <c r="D2059" s="182"/>
      <c r="E2059" s="183"/>
      <c r="F2059" s="127"/>
      <c r="G2059" s="127"/>
      <c r="H2059" s="127"/>
      <c r="I2059" s="127"/>
    </row>
    <row r="2060">
      <c r="A2060" s="182"/>
      <c r="B2060" s="182"/>
      <c r="C2060" s="182"/>
      <c r="D2060" s="182"/>
      <c r="E2060" s="183"/>
      <c r="F2060" s="127"/>
      <c r="G2060" s="127"/>
      <c r="H2060" s="127"/>
      <c r="I2060" s="127"/>
    </row>
    <row r="2061">
      <c r="A2061" s="182"/>
      <c r="B2061" s="182"/>
      <c r="C2061" s="182"/>
      <c r="D2061" s="182"/>
      <c r="E2061" s="183"/>
      <c r="F2061" s="127"/>
      <c r="G2061" s="127"/>
      <c r="H2061" s="127"/>
      <c r="I2061" s="127"/>
    </row>
    <row r="2062">
      <c r="A2062" s="182"/>
      <c r="B2062" s="182"/>
      <c r="C2062" s="182"/>
      <c r="D2062" s="182"/>
      <c r="E2062" s="183"/>
      <c r="F2062" s="127"/>
      <c r="G2062" s="127"/>
      <c r="H2062" s="127"/>
      <c r="I2062" s="127"/>
    </row>
    <row r="2063">
      <c r="A2063" s="182"/>
      <c r="B2063" s="182"/>
      <c r="C2063" s="182"/>
      <c r="D2063" s="182"/>
      <c r="E2063" s="183"/>
      <c r="F2063" s="127"/>
      <c r="G2063" s="127"/>
      <c r="H2063" s="127"/>
      <c r="I2063" s="127"/>
    </row>
    <row r="2064">
      <c r="A2064" s="182"/>
      <c r="B2064" s="182"/>
      <c r="C2064" s="182"/>
      <c r="D2064" s="182"/>
      <c r="E2064" s="183"/>
      <c r="F2064" s="127"/>
      <c r="G2064" s="127"/>
      <c r="H2064" s="127"/>
      <c r="I2064" s="127"/>
    </row>
    <row r="2065">
      <c r="A2065" s="182"/>
      <c r="B2065" s="182"/>
      <c r="C2065" s="182"/>
      <c r="D2065" s="182"/>
      <c r="E2065" s="183"/>
      <c r="F2065" s="127"/>
      <c r="G2065" s="127"/>
      <c r="H2065" s="127"/>
      <c r="I2065" s="127"/>
    </row>
    <row r="2066">
      <c r="A2066" s="182"/>
      <c r="B2066" s="182"/>
      <c r="C2066" s="182"/>
      <c r="D2066" s="182"/>
      <c r="E2066" s="183"/>
      <c r="F2066" s="127"/>
      <c r="G2066" s="127"/>
      <c r="H2066" s="127"/>
      <c r="I2066" s="127"/>
    </row>
    <row r="2067">
      <c r="A2067" s="182"/>
      <c r="B2067" s="182"/>
      <c r="C2067" s="182"/>
      <c r="D2067" s="182"/>
      <c r="E2067" s="183"/>
      <c r="F2067" s="127"/>
      <c r="G2067" s="127"/>
      <c r="H2067" s="127"/>
      <c r="I2067" s="127"/>
    </row>
    <row r="2068">
      <c r="A2068" s="182"/>
      <c r="B2068" s="182"/>
      <c r="C2068" s="182"/>
      <c r="D2068" s="182"/>
      <c r="E2068" s="183"/>
      <c r="F2068" s="127"/>
      <c r="G2068" s="127"/>
      <c r="H2068" s="127"/>
      <c r="I2068" s="127"/>
    </row>
    <row r="2069">
      <c r="A2069" s="182"/>
      <c r="B2069" s="182"/>
      <c r="C2069" s="182"/>
      <c r="D2069" s="182"/>
      <c r="E2069" s="183"/>
      <c r="F2069" s="127"/>
      <c r="G2069" s="127"/>
      <c r="H2069" s="127"/>
      <c r="I2069" s="127"/>
    </row>
    <row r="2070">
      <c r="A2070" s="182"/>
      <c r="B2070" s="182"/>
      <c r="C2070" s="182"/>
      <c r="D2070" s="182"/>
      <c r="E2070" s="183"/>
      <c r="F2070" s="127"/>
      <c r="G2070" s="127"/>
      <c r="H2070" s="127"/>
      <c r="I2070" s="127"/>
    </row>
    <row r="2071">
      <c r="A2071" s="182"/>
      <c r="B2071" s="182"/>
      <c r="C2071" s="182"/>
      <c r="D2071" s="182"/>
      <c r="E2071" s="183"/>
      <c r="F2071" s="127"/>
      <c r="G2071" s="127"/>
      <c r="H2071" s="127"/>
      <c r="I2071" s="127"/>
    </row>
    <row r="2072">
      <c r="A2072" s="182"/>
      <c r="B2072" s="182"/>
      <c r="C2072" s="182"/>
      <c r="D2072" s="182"/>
      <c r="E2072" s="183"/>
      <c r="F2072" s="127"/>
      <c r="G2072" s="127"/>
      <c r="H2072" s="127"/>
      <c r="I2072" s="127"/>
    </row>
    <row r="2073">
      <c r="A2073" s="182"/>
      <c r="B2073" s="182"/>
      <c r="C2073" s="182"/>
      <c r="D2073" s="182"/>
      <c r="E2073" s="183"/>
      <c r="F2073" s="127"/>
      <c r="G2073" s="127"/>
      <c r="H2073" s="127"/>
      <c r="I2073" s="127"/>
    </row>
    <row r="2074">
      <c r="A2074" s="182"/>
      <c r="B2074" s="182"/>
      <c r="C2074" s="182"/>
      <c r="D2074" s="182"/>
      <c r="E2074" s="183"/>
      <c r="F2074" s="127"/>
      <c r="G2074" s="127"/>
      <c r="H2074" s="127"/>
      <c r="I2074" s="127"/>
    </row>
    <row r="2075">
      <c r="A2075" s="182"/>
      <c r="B2075" s="182"/>
      <c r="C2075" s="182"/>
      <c r="D2075" s="182"/>
      <c r="E2075" s="183"/>
      <c r="F2075" s="127"/>
      <c r="G2075" s="127"/>
      <c r="H2075" s="127"/>
      <c r="I2075" s="127"/>
    </row>
    <row r="2076">
      <c r="A2076" s="182"/>
      <c r="B2076" s="182"/>
      <c r="C2076" s="182"/>
      <c r="D2076" s="182"/>
      <c r="E2076" s="183"/>
      <c r="F2076" s="127"/>
      <c r="G2076" s="127"/>
      <c r="H2076" s="127"/>
      <c r="I2076" s="127"/>
    </row>
    <row r="2077">
      <c r="A2077" s="182"/>
      <c r="B2077" s="182"/>
      <c r="C2077" s="182"/>
      <c r="D2077" s="182"/>
      <c r="E2077" s="183"/>
      <c r="F2077" s="127"/>
      <c r="G2077" s="127"/>
      <c r="H2077" s="127"/>
      <c r="I2077" s="127"/>
    </row>
    <row r="2078">
      <c r="A2078" s="182"/>
      <c r="B2078" s="182"/>
      <c r="C2078" s="182"/>
      <c r="D2078" s="182"/>
      <c r="E2078" s="183"/>
      <c r="F2078" s="127"/>
      <c r="G2078" s="127"/>
      <c r="H2078" s="127"/>
      <c r="I2078" s="127"/>
    </row>
    <row r="2079">
      <c r="A2079" s="182"/>
      <c r="B2079" s="182"/>
      <c r="C2079" s="182"/>
      <c r="D2079" s="182"/>
      <c r="E2079" s="183"/>
      <c r="F2079" s="127"/>
      <c r="G2079" s="127"/>
      <c r="H2079" s="127"/>
      <c r="I2079" s="127"/>
    </row>
    <row r="2080">
      <c r="A2080" s="182"/>
      <c r="B2080" s="182"/>
      <c r="C2080" s="182"/>
      <c r="D2080" s="182"/>
      <c r="E2080" s="183"/>
      <c r="F2080" s="127"/>
      <c r="G2080" s="127"/>
      <c r="H2080" s="127"/>
      <c r="I2080" s="127"/>
    </row>
    <row r="2081">
      <c r="A2081" s="182"/>
      <c r="B2081" s="182"/>
      <c r="C2081" s="182"/>
      <c r="D2081" s="182"/>
      <c r="E2081" s="183"/>
      <c r="F2081" s="127"/>
      <c r="G2081" s="127"/>
      <c r="H2081" s="127"/>
      <c r="I2081" s="127"/>
    </row>
    <row r="2082">
      <c r="A2082" s="182"/>
      <c r="B2082" s="182"/>
      <c r="C2082" s="182"/>
      <c r="D2082" s="182"/>
      <c r="E2082" s="183"/>
      <c r="F2082" s="127"/>
      <c r="G2082" s="127"/>
      <c r="H2082" s="127"/>
      <c r="I2082" s="127"/>
    </row>
    <row r="2083">
      <c r="A2083" s="182"/>
      <c r="B2083" s="182"/>
      <c r="C2083" s="182"/>
      <c r="D2083" s="182"/>
      <c r="E2083" s="183"/>
      <c r="F2083" s="127"/>
      <c r="G2083" s="127"/>
      <c r="H2083" s="127"/>
      <c r="I2083" s="127"/>
    </row>
    <row r="2084">
      <c r="A2084" s="182"/>
      <c r="B2084" s="182"/>
      <c r="C2084" s="182"/>
      <c r="D2084" s="182"/>
      <c r="E2084" s="183"/>
      <c r="F2084" s="127"/>
      <c r="G2084" s="127"/>
      <c r="H2084" s="127"/>
      <c r="I2084" s="127"/>
    </row>
    <row r="2085">
      <c r="A2085" s="182"/>
      <c r="B2085" s="182"/>
      <c r="C2085" s="182"/>
      <c r="D2085" s="182"/>
      <c r="E2085" s="183"/>
      <c r="F2085" s="127"/>
      <c r="G2085" s="127"/>
      <c r="H2085" s="127"/>
      <c r="I2085" s="127"/>
    </row>
    <row r="2086">
      <c r="A2086" s="182"/>
      <c r="B2086" s="182"/>
      <c r="C2086" s="182"/>
      <c r="D2086" s="182"/>
      <c r="E2086" s="183"/>
      <c r="F2086" s="127"/>
      <c r="G2086" s="127"/>
      <c r="H2086" s="127"/>
      <c r="I2086" s="127"/>
    </row>
    <row r="2087">
      <c r="A2087" s="182"/>
      <c r="B2087" s="182"/>
      <c r="C2087" s="182"/>
      <c r="D2087" s="182"/>
      <c r="E2087" s="183"/>
      <c r="F2087" s="127"/>
      <c r="G2087" s="127"/>
      <c r="H2087" s="127"/>
      <c r="I2087" s="127"/>
    </row>
    <row r="2088">
      <c r="A2088" s="182"/>
      <c r="B2088" s="182"/>
      <c r="C2088" s="182"/>
      <c r="D2088" s="182"/>
      <c r="E2088" s="183"/>
      <c r="F2088" s="127"/>
      <c r="G2088" s="127"/>
      <c r="H2088" s="127"/>
      <c r="I2088" s="127"/>
    </row>
    <row r="2089">
      <c r="A2089" s="182"/>
      <c r="B2089" s="182"/>
      <c r="C2089" s="182"/>
      <c r="D2089" s="182"/>
      <c r="E2089" s="183"/>
      <c r="F2089" s="127"/>
      <c r="G2089" s="127"/>
      <c r="H2089" s="127"/>
      <c r="I2089" s="127"/>
    </row>
    <row r="2090">
      <c r="A2090" s="182"/>
      <c r="B2090" s="182"/>
      <c r="C2090" s="182"/>
      <c r="D2090" s="182"/>
      <c r="E2090" s="183"/>
      <c r="F2090" s="127"/>
      <c r="G2090" s="127"/>
      <c r="H2090" s="127"/>
      <c r="I2090" s="127"/>
    </row>
    <row r="2091">
      <c r="A2091" s="182"/>
      <c r="B2091" s="182"/>
      <c r="C2091" s="182"/>
      <c r="D2091" s="182"/>
      <c r="E2091" s="183"/>
      <c r="F2091" s="127"/>
      <c r="G2091" s="127"/>
      <c r="H2091" s="127"/>
      <c r="I2091" s="127"/>
    </row>
    <row r="2092">
      <c r="A2092" s="182"/>
      <c r="B2092" s="182"/>
      <c r="C2092" s="182"/>
      <c r="D2092" s="182"/>
      <c r="E2092" s="183"/>
      <c r="F2092" s="127"/>
      <c r="G2092" s="127"/>
      <c r="H2092" s="127"/>
      <c r="I2092" s="127"/>
    </row>
    <row r="2093">
      <c r="A2093" s="182"/>
      <c r="B2093" s="182"/>
      <c r="C2093" s="182"/>
      <c r="D2093" s="182"/>
      <c r="E2093" s="183"/>
      <c r="F2093" s="127"/>
      <c r="G2093" s="127"/>
      <c r="H2093" s="127"/>
      <c r="I2093" s="127"/>
    </row>
    <row r="2094">
      <c r="A2094" s="182"/>
      <c r="B2094" s="182"/>
      <c r="C2094" s="182"/>
      <c r="D2094" s="182"/>
      <c r="E2094" s="183"/>
      <c r="F2094" s="127"/>
      <c r="G2094" s="127"/>
      <c r="H2094" s="127"/>
      <c r="I2094" s="127"/>
    </row>
    <row r="2095">
      <c r="A2095" s="182"/>
      <c r="B2095" s="182"/>
      <c r="C2095" s="182"/>
      <c r="D2095" s="182"/>
      <c r="E2095" s="183"/>
      <c r="F2095" s="127"/>
      <c r="G2095" s="127"/>
      <c r="H2095" s="127"/>
      <c r="I2095" s="127"/>
    </row>
    <row r="2096">
      <c r="A2096" s="182"/>
      <c r="B2096" s="182"/>
      <c r="C2096" s="182"/>
      <c r="D2096" s="182"/>
      <c r="E2096" s="183"/>
      <c r="F2096" s="127"/>
      <c r="G2096" s="127"/>
      <c r="H2096" s="127"/>
      <c r="I2096" s="127"/>
    </row>
    <row r="2097">
      <c r="A2097" s="182"/>
      <c r="B2097" s="182"/>
      <c r="C2097" s="182"/>
      <c r="D2097" s="182"/>
      <c r="E2097" s="183"/>
      <c r="F2097" s="127"/>
      <c r="G2097" s="127"/>
      <c r="H2097" s="127"/>
      <c r="I2097" s="127"/>
    </row>
    <row r="2098">
      <c r="A2098" s="182"/>
      <c r="B2098" s="182"/>
      <c r="C2098" s="182"/>
      <c r="D2098" s="182"/>
      <c r="E2098" s="183"/>
      <c r="F2098" s="127"/>
      <c r="G2098" s="127"/>
      <c r="H2098" s="127"/>
      <c r="I2098" s="127"/>
    </row>
    <row r="2099">
      <c r="A2099" s="182"/>
      <c r="B2099" s="182"/>
      <c r="C2099" s="182"/>
      <c r="D2099" s="182"/>
      <c r="E2099" s="183"/>
      <c r="F2099" s="127"/>
      <c r="G2099" s="127"/>
      <c r="H2099" s="127"/>
      <c r="I2099" s="127"/>
    </row>
    <row r="2100">
      <c r="A2100" s="182"/>
      <c r="B2100" s="182"/>
      <c r="C2100" s="182"/>
      <c r="D2100" s="182"/>
      <c r="E2100" s="183"/>
      <c r="F2100" s="127"/>
      <c r="G2100" s="127"/>
      <c r="H2100" s="127"/>
      <c r="I2100" s="127"/>
    </row>
    <row r="2101">
      <c r="A2101" s="182"/>
      <c r="B2101" s="182"/>
      <c r="C2101" s="182"/>
      <c r="D2101" s="182"/>
      <c r="E2101" s="183"/>
      <c r="F2101" s="127"/>
      <c r="G2101" s="127"/>
      <c r="H2101" s="127"/>
      <c r="I2101" s="127"/>
    </row>
    <row r="2102">
      <c r="A2102" s="182"/>
      <c r="B2102" s="182"/>
      <c r="C2102" s="182"/>
      <c r="D2102" s="182"/>
      <c r="E2102" s="183"/>
      <c r="F2102" s="127"/>
      <c r="G2102" s="127"/>
      <c r="H2102" s="127"/>
      <c r="I2102" s="127"/>
    </row>
    <row r="2103">
      <c r="A2103" s="182"/>
      <c r="B2103" s="182"/>
      <c r="C2103" s="182"/>
      <c r="D2103" s="182"/>
      <c r="E2103" s="183"/>
      <c r="F2103" s="127"/>
      <c r="G2103" s="127"/>
      <c r="H2103" s="127"/>
      <c r="I2103" s="127"/>
    </row>
    <row r="2104">
      <c r="A2104" s="182"/>
      <c r="B2104" s="182"/>
      <c r="C2104" s="182"/>
      <c r="D2104" s="182"/>
      <c r="E2104" s="183"/>
      <c r="F2104" s="127"/>
      <c r="G2104" s="127"/>
      <c r="H2104" s="127"/>
      <c r="I2104" s="127"/>
    </row>
    <row r="2105">
      <c r="A2105" s="182"/>
      <c r="B2105" s="182"/>
      <c r="C2105" s="182"/>
      <c r="D2105" s="182"/>
      <c r="E2105" s="183"/>
      <c r="F2105" s="127"/>
      <c r="G2105" s="127"/>
      <c r="H2105" s="127"/>
      <c r="I2105" s="127"/>
    </row>
    <row r="2106">
      <c r="A2106" s="182"/>
      <c r="B2106" s="182"/>
      <c r="C2106" s="182"/>
      <c r="D2106" s="182"/>
      <c r="E2106" s="183"/>
      <c r="F2106" s="127"/>
      <c r="G2106" s="127"/>
      <c r="H2106" s="127"/>
      <c r="I2106" s="127"/>
    </row>
    <row r="2107">
      <c r="A2107" s="182"/>
      <c r="B2107" s="182"/>
      <c r="C2107" s="182"/>
      <c r="D2107" s="182"/>
      <c r="E2107" s="183"/>
      <c r="F2107" s="127"/>
      <c r="G2107" s="127"/>
      <c r="H2107" s="127"/>
      <c r="I2107" s="127"/>
    </row>
    <row r="2108">
      <c r="A2108" s="182"/>
      <c r="B2108" s="182"/>
      <c r="C2108" s="182"/>
      <c r="D2108" s="182"/>
      <c r="E2108" s="183"/>
      <c r="F2108" s="127"/>
      <c r="G2108" s="127"/>
      <c r="H2108" s="127"/>
      <c r="I2108" s="127"/>
    </row>
    <row r="2109">
      <c r="A2109" s="182"/>
      <c r="B2109" s="182"/>
      <c r="C2109" s="182"/>
      <c r="D2109" s="182"/>
      <c r="E2109" s="183"/>
      <c r="F2109" s="127"/>
      <c r="G2109" s="127"/>
      <c r="H2109" s="127"/>
      <c r="I2109" s="127"/>
    </row>
    <row r="2110">
      <c r="A2110" s="182"/>
      <c r="B2110" s="182"/>
      <c r="C2110" s="182"/>
      <c r="D2110" s="182"/>
      <c r="E2110" s="183"/>
      <c r="F2110" s="127"/>
      <c r="G2110" s="127"/>
      <c r="H2110" s="127"/>
      <c r="I2110" s="127"/>
    </row>
    <row r="2111">
      <c r="A2111" s="182"/>
      <c r="B2111" s="182"/>
      <c r="C2111" s="182"/>
      <c r="D2111" s="182"/>
      <c r="E2111" s="183"/>
      <c r="F2111" s="127"/>
      <c r="G2111" s="127"/>
      <c r="H2111" s="127"/>
      <c r="I2111" s="127"/>
    </row>
    <row r="2112">
      <c r="A2112" s="182"/>
      <c r="B2112" s="182"/>
      <c r="C2112" s="182"/>
      <c r="D2112" s="182"/>
      <c r="E2112" s="183"/>
      <c r="F2112" s="127"/>
      <c r="G2112" s="127"/>
      <c r="H2112" s="127"/>
      <c r="I2112" s="127"/>
    </row>
    <row r="2113">
      <c r="A2113" s="182"/>
      <c r="B2113" s="182"/>
      <c r="C2113" s="182"/>
      <c r="D2113" s="182"/>
      <c r="E2113" s="183"/>
      <c r="F2113" s="127"/>
      <c r="G2113" s="127"/>
      <c r="H2113" s="127"/>
      <c r="I2113" s="127"/>
    </row>
    <row r="2114">
      <c r="A2114" s="182"/>
      <c r="B2114" s="182"/>
      <c r="C2114" s="182"/>
      <c r="D2114" s="182"/>
      <c r="E2114" s="183"/>
      <c r="F2114" s="127"/>
      <c r="G2114" s="127"/>
      <c r="H2114" s="127"/>
      <c r="I2114" s="127"/>
    </row>
    <row r="2115">
      <c r="A2115" s="182"/>
      <c r="B2115" s="182"/>
      <c r="C2115" s="182"/>
      <c r="D2115" s="182"/>
      <c r="E2115" s="183"/>
      <c r="F2115" s="127"/>
      <c r="G2115" s="127"/>
      <c r="H2115" s="127"/>
      <c r="I2115" s="127"/>
    </row>
    <row r="2116">
      <c r="A2116" s="182"/>
      <c r="B2116" s="182"/>
      <c r="C2116" s="182"/>
      <c r="D2116" s="182"/>
      <c r="E2116" s="183"/>
      <c r="F2116" s="127"/>
      <c r="G2116" s="127"/>
      <c r="H2116" s="127"/>
      <c r="I2116" s="127"/>
    </row>
    <row r="2117">
      <c r="A2117" s="182"/>
      <c r="B2117" s="182"/>
      <c r="C2117" s="182"/>
      <c r="D2117" s="182"/>
      <c r="E2117" s="183"/>
      <c r="F2117" s="127"/>
      <c r="G2117" s="127"/>
      <c r="H2117" s="127"/>
      <c r="I2117" s="127"/>
    </row>
    <row r="2118">
      <c r="A2118" s="182"/>
      <c r="B2118" s="182"/>
      <c r="C2118" s="182"/>
      <c r="D2118" s="182"/>
      <c r="E2118" s="183"/>
      <c r="F2118" s="127"/>
      <c r="G2118" s="127"/>
      <c r="H2118" s="127"/>
      <c r="I2118" s="127"/>
    </row>
    <row r="2119">
      <c r="A2119" s="182"/>
      <c r="B2119" s="182"/>
      <c r="C2119" s="182"/>
      <c r="D2119" s="182"/>
      <c r="E2119" s="183"/>
      <c r="F2119" s="127"/>
      <c r="G2119" s="127"/>
      <c r="H2119" s="127"/>
      <c r="I2119" s="127"/>
    </row>
    <row r="2120">
      <c r="A2120" s="182"/>
      <c r="B2120" s="182"/>
      <c r="C2120" s="182"/>
      <c r="D2120" s="182"/>
      <c r="E2120" s="183"/>
      <c r="F2120" s="127"/>
      <c r="G2120" s="127"/>
      <c r="H2120" s="127"/>
      <c r="I2120" s="127"/>
    </row>
    <row r="2121">
      <c r="A2121" s="182"/>
      <c r="B2121" s="182"/>
      <c r="C2121" s="182"/>
      <c r="D2121" s="182"/>
      <c r="E2121" s="183"/>
      <c r="F2121" s="127"/>
      <c r="G2121" s="127"/>
      <c r="H2121" s="127"/>
      <c r="I2121" s="127"/>
    </row>
    <row r="2122">
      <c r="A2122" s="182"/>
      <c r="B2122" s="182"/>
      <c r="C2122" s="182"/>
      <c r="D2122" s="182"/>
      <c r="E2122" s="183"/>
      <c r="F2122" s="127"/>
      <c r="G2122" s="127"/>
      <c r="H2122" s="127"/>
      <c r="I2122" s="127"/>
    </row>
    <row r="2123">
      <c r="A2123" s="182"/>
      <c r="B2123" s="182"/>
      <c r="C2123" s="182"/>
      <c r="D2123" s="182"/>
      <c r="E2123" s="183"/>
      <c r="F2123" s="127"/>
      <c r="G2123" s="127"/>
      <c r="H2123" s="127"/>
      <c r="I2123" s="127"/>
    </row>
    <row r="2124">
      <c r="A2124" s="182"/>
      <c r="B2124" s="182"/>
      <c r="C2124" s="182"/>
      <c r="D2124" s="182"/>
      <c r="E2124" s="183"/>
      <c r="F2124" s="127"/>
      <c r="G2124" s="127"/>
      <c r="H2124" s="127"/>
      <c r="I2124" s="127"/>
    </row>
    <row r="2125">
      <c r="A2125" s="182"/>
      <c r="B2125" s="182"/>
      <c r="C2125" s="182"/>
      <c r="D2125" s="182"/>
      <c r="E2125" s="183"/>
      <c r="F2125" s="127"/>
      <c r="G2125" s="127"/>
      <c r="H2125" s="127"/>
      <c r="I2125" s="127"/>
    </row>
    <row r="2126">
      <c r="A2126" s="182"/>
      <c r="B2126" s="182"/>
      <c r="C2126" s="182"/>
      <c r="D2126" s="182"/>
      <c r="E2126" s="183"/>
      <c r="F2126" s="127"/>
      <c r="G2126" s="127"/>
      <c r="H2126" s="127"/>
      <c r="I2126" s="127"/>
    </row>
    <row r="2127">
      <c r="A2127" s="182"/>
      <c r="B2127" s="182"/>
      <c r="C2127" s="182"/>
      <c r="D2127" s="182"/>
      <c r="E2127" s="183"/>
      <c r="F2127" s="127"/>
      <c r="G2127" s="127"/>
      <c r="H2127" s="127"/>
      <c r="I2127" s="127"/>
    </row>
    <row r="2128">
      <c r="A2128" s="182"/>
      <c r="B2128" s="182"/>
      <c r="C2128" s="182"/>
      <c r="D2128" s="182"/>
      <c r="E2128" s="183"/>
      <c r="F2128" s="127"/>
      <c r="G2128" s="127"/>
      <c r="H2128" s="127"/>
      <c r="I2128" s="127"/>
    </row>
    <row r="2129">
      <c r="A2129" s="182"/>
      <c r="B2129" s="182"/>
      <c r="C2129" s="182"/>
      <c r="D2129" s="182"/>
      <c r="E2129" s="183"/>
      <c r="F2129" s="127"/>
      <c r="G2129" s="127"/>
      <c r="H2129" s="127"/>
      <c r="I2129" s="127"/>
    </row>
    <row r="2130">
      <c r="A2130" s="182"/>
      <c r="B2130" s="182"/>
      <c r="C2130" s="182"/>
      <c r="D2130" s="182"/>
      <c r="E2130" s="183"/>
      <c r="F2130" s="127"/>
      <c r="G2130" s="127"/>
      <c r="H2130" s="127"/>
      <c r="I2130" s="127"/>
    </row>
    <row r="2131">
      <c r="A2131" s="182"/>
      <c r="B2131" s="182"/>
      <c r="C2131" s="182"/>
      <c r="D2131" s="182"/>
      <c r="E2131" s="183"/>
      <c r="F2131" s="127"/>
      <c r="G2131" s="127"/>
      <c r="H2131" s="127"/>
      <c r="I2131" s="127"/>
    </row>
    <row r="2132">
      <c r="A2132" s="182"/>
      <c r="B2132" s="182"/>
      <c r="C2132" s="182"/>
      <c r="D2132" s="182"/>
      <c r="E2132" s="183"/>
      <c r="F2132" s="127"/>
      <c r="G2132" s="127"/>
      <c r="H2132" s="127"/>
      <c r="I2132" s="127"/>
    </row>
    <row r="2133">
      <c r="A2133" s="182"/>
      <c r="B2133" s="182"/>
      <c r="C2133" s="182"/>
      <c r="D2133" s="182"/>
      <c r="E2133" s="183"/>
      <c r="F2133" s="127"/>
      <c r="G2133" s="127"/>
      <c r="H2133" s="127"/>
      <c r="I2133" s="127"/>
    </row>
    <row r="2134">
      <c r="A2134" s="182"/>
      <c r="B2134" s="182"/>
      <c r="C2134" s="182"/>
      <c r="D2134" s="182"/>
      <c r="E2134" s="183"/>
      <c r="F2134" s="127"/>
      <c r="G2134" s="127"/>
      <c r="H2134" s="127"/>
      <c r="I2134" s="127"/>
    </row>
    <row r="2135">
      <c r="A2135" s="182"/>
      <c r="B2135" s="182"/>
      <c r="C2135" s="182"/>
      <c r="D2135" s="182"/>
      <c r="E2135" s="183"/>
      <c r="F2135" s="127"/>
      <c r="G2135" s="127"/>
      <c r="H2135" s="127"/>
      <c r="I2135" s="127"/>
    </row>
    <row r="2136">
      <c r="A2136" s="182"/>
      <c r="B2136" s="182"/>
      <c r="C2136" s="182"/>
      <c r="D2136" s="182"/>
      <c r="E2136" s="183"/>
      <c r="F2136" s="127"/>
      <c r="G2136" s="127"/>
      <c r="H2136" s="127"/>
      <c r="I2136" s="127"/>
    </row>
    <row r="2137">
      <c r="A2137" s="182"/>
      <c r="B2137" s="182"/>
      <c r="C2137" s="182"/>
      <c r="D2137" s="182"/>
      <c r="E2137" s="183"/>
      <c r="F2137" s="127"/>
      <c r="G2137" s="127"/>
      <c r="H2137" s="127"/>
      <c r="I2137" s="127"/>
    </row>
    <row r="2138">
      <c r="A2138" s="182"/>
      <c r="B2138" s="182"/>
      <c r="C2138" s="182"/>
      <c r="D2138" s="182"/>
      <c r="E2138" s="183"/>
      <c r="F2138" s="127"/>
      <c r="G2138" s="127"/>
      <c r="H2138" s="127"/>
      <c r="I2138" s="127"/>
    </row>
    <row r="2139">
      <c r="A2139" s="182"/>
      <c r="B2139" s="182"/>
      <c r="C2139" s="182"/>
      <c r="D2139" s="182"/>
      <c r="E2139" s="183"/>
      <c r="F2139" s="127"/>
      <c r="G2139" s="127"/>
      <c r="H2139" s="127"/>
      <c r="I2139" s="127"/>
    </row>
    <row r="2140">
      <c r="A2140" s="182"/>
      <c r="B2140" s="182"/>
      <c r="C2140" s="182"/>
      <c r="D2140" s="182"/>
      <c r="E2140" s="183"/>
      <c r="F2140" s="127"/>
      <c r="G2140" s="127"/>
      <c r="H2140" s="127"/>
      <c r="I2140" s="127"/>
    </row>
    <row r="2141">
      <c r="A2141" s="182"/>
      <c r="B2141" s="182"/>
      <c r="C2141" s="182"/>
      <c r="D2141" s="182"/>
      <c r="E2141" s="183"/>
      <c r="F2141" s="127"/>
      <c r="G2141" s="127"/>
      <c r="H2141" s="127"/>
      <c r="I2141" s="127"/>
    </row>
    <row r="2142">
      <c r="A2142" s="182"/>
      <c r="B2142" s="182"/>
      <c r="C2142" s="182"/>
      <c r="D2142" s="182"/>
      <c r="E2142" s="183"/>
      <c r="F2142" s="127"/>
      <c r="G2142" s="127"/>
      <c r="H2142" s="127"/>
      <c r="I2142" s="127"/>
    </row>
    <row r="2143">
      <c r="A2143" s="182"/>
      <c r="B2143" s="182"/>
      <c r="C2143" s="182"/>
      <c r="D2143" s="182"/>
      <c r="E2143" s="183"/>
      <c r="F2143" s="127"/>
      <c r="G2143" s="127"/>
      <c r="H2143" s="127"/>
      <c r="I2143" s="127"/>
    </row>
    <row r="2144">
      <c r="A2144" s="182"/>
      <c r="B2144" s="182"/>
      <c r="C2144" s="182"/>
      <c r="D2144" s="182"/>
      <c r="E2144" s="183"/>
      <c r="F2144" s="127"/>
      <c r="G2144" s="127"/>
      <c r="H2144" s="127"/>
      <c r="I2144" s="127"/>
    </row>
    <row r="2145">
      <c r="A2145" s="182"/>
      <c r="B2145" s="182"/>
      <c r="C2145" s="182"/>
      <c r="D2145" s="182"/>
      <c r="E2145" s="183"/>
      <c r="F2145" s="127"/>
      <c r="G2145" s="127"/>
      <c r="H2145" s="127"/>
      <c r="I2145" s="127"/>
    </row>
    <row r="2146">
      <c r="A2146" s="182"/>
      <c r="B2146" s="182"/>
      <c r="C2146" s="182"/>
      <c r="D2146" s="182"/>
      <c r="E2146" s="183"/>
      <c r="F2146" s="127"/>
      <c r="G2146" s="127"/>
      <c r="H2146" s="127"/>
      <c r="I2146" s="127"/>
    </row>
    <row r="2147">
      <c r="A2147" s="182"/>
      <c r="B2147" s="182"/>
      <c r="C2147" s="182"/>
      <c r="D2147" s="182"/>
      <c r="E2147" s="183"/>
      <c r="F2147" s="127"/>
      <c r="G2147" s="127"/>
      <c r="H2147" s="127"/>
      <c r="I2147" s="127"/>
    </row>
    <row r="2148">
      <c r="A2148" s="182"/>
      <c r="B2148" s="182"/>
      <c r="C2148" s="182"/>
      <c r="D2148" s="182"/>
      <c r="E2148" s="183"/>
      <c r="F2148" s="127"/>
      <c r="G2148" s="127"/>
      <c r="H2148" s="127"/>
      <c r="I2148" s="127"/>
    </row>
    <row r="2149">
      <c r="A2149" s="182"/>
      <c r="B2149" s="182"/>
      <c r="C2149" s="182"/>
      <c r="D2149" s="182"/>
      <c r="E2149" s="183"/>
      <c r="F2149" s="127"/>
      <c r="G2149" s="127"/>
      <c r="H2149" s="127"/>
      <c r="I2149" s="127"/>
    </row>
    <row r="2150">
      <c r="A2150" s="182"/>
      <c r="B2150" s="182"/>
      <c r="C2150" s="182"/>
      <c r="D2150" s="182"/>
      <c r="E2150" s="183"/>
      <c r="F2150" s="127"/>
      <c r="G2150" s="127"/>
      <c r="H2150" s="127"/>
      <c r="I2150" s="127"/>
    </row>
    <row r="2151">
      <c r="A2151" s="182"/>
      <c r="B2151" s="182"/>
      <c r="C2151" s="182"/>
      <c r="D2151" s="182"/>
      <c r="E2151" s="183"/>
      <c r="F2151" s="127"/>
      <c r="G2151" s="127"/>
      <c r="H2151" s="127"/>
      <c r="I2151" s="127"/>
    </row>
    <row r="2152">
      <c r="A2152" s="182"/>
      <c r="B2152" s="182"/>
      <c r="C2152" s="182"/>
      <c r="D2152" s="182"/>
      <c r="E2152" s="183"/>
      <c r="F2152" s="127"/>
      <c r="G2152" s="127"/>
      <c r="H2152" s="127"/>
      <c r="I2152" s="127"/>
    </row>
    <row r="2153">
      <c r="A2153" s="182"/>
      <c r="B2153" s="182"/>
      <c r="C2153" s="182"/>
      <c r="D2153" s="182"/>
      <c r="E2153" s="183"/>
      <c r="F2153" s="127"/>
      <c r="G2153" s="127"/>
      <c r="H2153" s="127"/>
      <c r="I2153" s="127"/>
    </row>
    <row r="2154">
      <c r="A2154" s="182"/>
      <c r="B2154" s="182"/>
      <c r="C2154" s="182"/>
      <c r="D2154" s="182"/>
      <c r="E2154" s="183"/>
      <c r="F2154" s="127"/>
      <c r="G2154" s="127"/>
      <c r="H2154" s="127"/>
      <c r="I2154" s="127"/>
    </row>
    <row r="2155">
      <c r="A2155" s="182"/>
      <c r="B2155" s="182"/>
      <c r="C2155" s="182"/>
      <c r="D2155" s="182"/>
      <c r="E2155" s="183"/>
      <c r="F2155" s="127"/>
      <c r="G2155" s="127"/>
      <c r="H2155" s="127"/>
      <c r="I2155" s="127"/>
    </row>
    <row r="2156">
      <c r="A2156" s="182"/>
      <c r="B2156" s="182"/>
      <c r="C2156" s="182"/>
      <c r="D2156" s="182"/>
      <c r="E2156" s="183"/>
      <c r="F2156" s="127"/>
      <c r="G2156" s="127"/>
      <c r="H2156" s="127"/>
      <c r="I2156" s="127"/>
    </row>
    <row r="2157">
      <c r="A2157" s="182"/>
      <c r="B2157" s="182"/>
      <c r="C2157" s="182"/>
      <c r="D2157" s="182"/>
      <c r="E2157" s="183"/>
      <c r="F2157" s="127"/>
      <c r="G2157" s="127"/>
      <c r="H2157" s="127"/>
      <c r="I2157" s="127"/>
    </row>
    <row r="2158">
      <c r="A2158" s="182"/>
      <c r="B2158" s="182"/>
      <c r="C2158" s="182"/>
      <c r="D2158" s="182"/>
      <c r="E2158" s="183"/>
      <c r="F2158" s="127"/>
      <c r="G2158" s="127"/>
      <c r="H2158" s="127"/>
      <c r="I2158" s="127"/>
    </row>
    <row r="2159">
      <c r="A2159" s="182"/>
      <c r="B2159" s="182"/>
      <c r="C2159" s="182"/>
      <c r="D2159" s="182"/>
      <c r="E2159" s="183"/>
      <c r="F2159" s="127"/>
      <c r="G2159" s="127"/>
      <c r="H2159" s="127"/>
      <c r="I2159" s="127"/>
    </row>
    <row r="2160">
      <c r="A2160" s="182"/>
      <c r="B2160" s="182"/>
      <c r="C2160" s="182"/>
      <c r="D2160" s="182"/>
      <c r="E2160" s="183"/>
      <c r="F2160" s="127"/>
      <c r="G2160" s="127"/>
      <c r="H2160" s="127"/>
      <c r="I2160" s="127"/>
    </row>
    <row r="2161">
      <c r="A2161" s="182"/>
      <c r="B2161" s="182"/>
      <c r="C2161" s="182"/>
      <c r="D2161" s="182"/>
      <c r="E2161" s="183"/>
      <c r="F2161" s="127"/>
      <c r="G2161" s="127"/>
      <c r="H2161" s="127"/>
      <c r="I2161" s="127"/>
    </row>
    <row r="2162">
      <c r="A2162" s="182"/>
      <c r="B2162" s="182"/>
      <c r="C2162" s="182"/>
      <c r="D2162" s="182"/>
      <c r="E2162" s="183"/>
      <c r="F2162" s="127"/>
      <c r="G2162" s="127"/>
      <c r="H2162" s="127"/>
      <c r="I2162" s="127"/>
    </row>
    <row r="2163">
      <c r="A2163" s="182"/>
      <c r="B2163" s="182"/>
      <c r="C2163" s="182"/>
      <c r="D2163" s="182"/>
      <c r="E2163" s="183"/>
      <c r="F2163" s="127"/>
      <c r="G2163" s="127"/>
      <c r="H2163" s="127"/>
      <c r="I2163" s="127"/>
    </row>
    <row r="2164">
      <c r="A2164" s="182"/>
      <c r="B2164" s="182"/>
      <c r="C2164" s="182"/>
      <c r="D2164" s="182"/>
      <c r="E2164" s="183"/>
      <c r="F2164" s="127"/>
      <c r="G2164" s="127"/>
      <c r="H2164" s="127"/>
      <c r="I2164" s="127"/>
    </row>
    <row r="2165">
      <c r="A2165" s="182"/>
      <c r="B2165" s="182"/>
      <c r="C2165" s="182"/>
      <c r="D2165" s="182"/>
      <c r="E2165" s="183"/>
      <c r="F2165" s="127"/>
      <c r="G2165" s="127"/>
      <c r="H2165" s="127"/>
      <c r="I2165" s="127"/>
    </row>
    <row r="2166">
      <c r="A2166" s="182"/>
      <c r="B2166" s="182"/>
      <c r="C2166" s="182"/>
      <c r="D2166" s="182"/>
      <c r="E2166" s="183"/>
      <c r="F2166" s="127"/>
      <c r="G2166" s="127"/>
      <c r="H2166" s="127"/>
      <c r="I2166" s="127"/>
    </row>
    <row r="2167">
      <c r="A2167" s="182"/>
      <c r="B2167" s="182"/>
      <c r="C2167" s="182"/>
      <c r="D2167" s="182"/>
      <c r="E2167" s="183"/>
      <c r="F2167" s="127"/>
      <c r="G2167" s="127"/>
      <c r="H2167" s="127"/>
      <c r="I2167" s="127"/>
    </row>
    <row r="2168">
      <c r="A2168" s="182"/>
      <c r="B2168" s="182"/>
      <c r="C2168" s="182"/>
      <c r="D2168" s="182"/>
      <c r="E2168" s="183"/>
      <c r="F2168" s="127"/>
      <c r="G2168" s="127"/>
      <c r="H2168" s="127"/>
      <c r="I2168" s="127"/>
    </row>
    <row r="2169">
      <c r="A2169" s="182"/>
      <c r="B2169" s="182"/>
      <c r="C2169" s="182"/>
      <c r="D2169" s="182"/>
      <c r="E2169" s="183"/>
      <c r="F2169" s="127"/>
      <c r="G2169" s="127"/>
      <c r="H2169" s="127"/>
      <c r="I2169" s="127"/>
    </row>
    <row r="2170">
      <c r="A2170" s="182"/>
      <c r="B2170" s="182"/>
      <c r="C2170" s="182"/>
      <c r="D2170" s="182"/>
      <c r="E2170" s="183"/>
      <c r="F2170" s="127"/>
      <c r="G2170" s="127"/>
      <c r="H2170" s="127"/>
      <c r="I2170" s="127"/>
    </row>
    <row r="2171">
      <c r="A2171" s="182"/>
      <c r="B2171" s="182"/>
      <c r="C2171" s="182"/>
      <c r="D2171" s="182"/>
      <c r="E2171" s="183"/>
      <c r="F2171" s="127"/>
      <c r="G2171" s="127"/>
      <c r="H2171" s="127"/>
      <c r="I2171" s="127"/>
    </row>
    <row r="2172">
      <c r="A2172" s="182"/>
      <c r="B2172" s="182"/>
      <c r="C2172" s="182"/>
      <c r="D2172" s="182"/>
      <c r="E2172" s="183"/>
      <c r="F2172" s="127"/>
      <c r="G2172" s="127"/>
      <c r="H2172" s="127"/>
      <c r="I2172" s="127"/>
    </row>
    <row r="2173">
      <c r="A2173" s="182"/>
      <c r="B2173" s="182"/>
      <c r="C2173" s="182"/>
      <c r="D2173" s="182"/>
      <c r="E2173" s="183"/>
      <c r="F2173" s="127"/>
      <c r="G2173" s="127"/>
      <c r="H2173" s="127"/>
      <c r="I2173" s="127"/>
    </row>
    <row r="2174">
      <c r="A2174" s="182"/>
      <c r="B2174" s="182"/>
      <c r="C2174" s="182"/>
      <c r="D2174" s="182"/>
      <c r="E2174" s="183"/>
      <c r="F2174" s="127"/>
      <c r="G2174" s="127"/>
      <c r="H2174" s="127"/>
      <c r="I2174" s="127"/>
    </row>
    <row r="2175">
      <c r="A2175" s="182"/>
      <c r="B2175" s="182"/>
      <c r="C2175" s="182"/>
      <c r="D2175" s="182"/>
      <c r="E2175" s="183"/>
      <c r="F2175" s="127"/>
      <c r="G2175" s="127"/>
      <c r="H2175" s="127"/>
      <c r="I2175" s="127"/>
    </row>
    <row r="2176">
      <c r="A2176" s="182"/>
      <c r="B2176" s="182"/>
      <c r="C2176" s="182"/>
      <c r="D2176" s="182"/>
      <c r="E2176" s="183"/>
      <c r="F2176" s="127"/>
      <c r="G2176" s="127"/>
      <c r="H2176" s="127"/>
      <c r="I2176" s="127"/>
    </row>
    <row r="2177">
      <c r="A2177" s="182"/>
      <c r="B2177" s="182"/>
      <c r="C2177" s="182"/>
      <c r="D2177" s="182"/>
      <c r="E2177" s="183"/>
      <c r="F2177" s="127"/>
      <c r="G2177" s="127"/>
      <c r="H2177" s="127"/>
      <c r="I2177" s="127"/>
    </row>
    <row r="2178">
      <c r="A2178" s="182"/>
      <c r="B2178" s="182"/>
      <c r="C2178" s="182"/>
      <c r="D2178" s="182"/>
      <c r="E2178" s="183"/>
      <c r="F2178" s="127"/>
      <c r="G2178" s="127"/>
      <c r="H2178" s="127"/>
      <c r="I2178" s="127"/>
    </row>
    <row r="2179">
      <c r="A2179" s="182"/>
      <c r="B2179" s="182"/>
      <c r="C2179" s="182"/>
      <c r="D2179" s="182"/>
      <c r="E2179" s="183"/>
      <c r="F2179" s="127"/>
      <c r="G2179" s="127"/>
      <c r="H2179" s="127"/>
      <c r="I2179" s="127"/>
    </row>
    <row r="2180">
      <c r="A2180" s="182"/>
      <c r="B2180" s="182"/>
      <c r="C2180" s="182"/>
      <c r="D2180" s="182"/>
      <c r="E2180" s="183"/>
      <c r="F2180" s="127"/>
      <c r="G2180" s="127"/>
      <c r="H2180" s="127"/>
      <c r="I2180" s="127"/>
    </row>
    <row r="2181">
      <c r="A2181" s="182"/>
      <c r="B2181" s="182"/>
      <c r="C2181" s="182"/>
      <c r="D2181" s="182"/>
      <c r="E2181" s="183"/>
      <c r="F2181" s="127"/>
      <c r="G2181" s="127"/>
      <c r="H2181" s="127"/>
      <c r="I2181" s="127"/>
    </row>
    <row r="2182">
      <c r="A2182" s="182"/>
      <c r="B2182" s="182"/>
      <c r="C2182" s="182"/>
      <c r="D2182" s="182"/>
      <c r="E2182" s="183"/>
      <c r="F2182" s="127"/>
      <c r="G2182" s="127"/>
      <c r="H2182" s="127"/>
      <c r="I2182" s="127"/>
    </row>
    <row r="2183">
      <c r="A2183" s="182"/>
      <c r="B2183" s="182"/>
      <c r="C2183" s="182"/>
      <c r="D2183" s="182"/>
      <c r="E2183" s="183"/>
      <c r="F2183" s="127"/>
      <c r="G2183" s="127"/>
      <c r="H2183" s="127"/>
      <c r="I2183" s="127"/>
    </row>
    <row r="2184">
      <c r="A2184" s="182"/>
      <c r="B2184" s="182"/>
      <c r="C2184" s="182"/>
      <c r="D2184" s="182"/>
      <c r="E2184" s="183"/>
      <c r="F2184" s="127"/>
      <c r="G2184" s="127"/>
      <c r="H2184" s="127"/>
      <c r="I2184" s="127"/>
    </row>
    <row r="2185">
      <c r="A2185" s="182"/>
      <c r="B2185" s="182"/>
      <c r="C2185" s="182"/>
      <c r="D2185" s="182"/>
      <c r="E2185" s="183"/>
      <c r="F2185" s="127"/>
      <c r="G2185" s="127"/>
      <c r="H2185" s="127"/>
      <c r="I2185" s="127"/>
    </row>
    <row r="2186">
      <c r="A2186" s="182"/>
      <c r="B2186" s="182"/>
      <c r="C2186" s="182"/>
      <c r="D2186" s="182"/>
      <c r="E2186" s="183"/>
      <c r="F2186" s="127"/>
      <c r="G2186" s="127"/>
      <c r="H2186" s="127"/>
      <c r="I2186" s="127"/>
    </row>
    <row r="2187">
      <c r="A2187" s="182"/>
      <c r="B2187" s="182"/>
      <c r="C2187" s="182"/>
      <c r="D2187" s="182"/>
      <c r="E2187" s="183"/>
      <c r="F2187" s="127"/>
      <c r="G2187" s="127"/>
      <c r="H2187" s="127"/>
      <c r="I2187" s="127"/>
    </row>
    <row r="2188">
      <c r="A2188" s="182"/>
      <c r="B2188" s="182"/>
      <c r="C2188" s="182"/>
      <c r="D2188" s="182"/>
      <c r="E2188" s="183"/>
      <c r="F2188" s="127"/>
      <c r="G2188" s="127"/>
      <c r="H2188" s="127"/>
      <c r="I2188" s="127"/>
    </row>
    <row r="2189">
      <c r="A2189" s="182"/>
      <c r="B2189" s="182"/>
      <c r="C2189" s="182"/>
      <c r="D2189" s="182"/>
      <c r="E2189" s="183"/>
      <c r="F2189" s="127"/>
      <c r="G2189" s="127"/>
      <c r="H2189" s="127"/>
      <c r="I2189" s="127"/>
    </row>
    <row r="2190">
      <c r="A2190" s="182"/>
      <c r="B2190" s="182"/>
      <c r="C2190" s="182"/>
      <c r="D2190" s="182"/>
      <c r="E2190" s="183"/>
      <c r="F2190" s="127"/>
      <c r="G2190" s="127"/>
      <c r="H2190" s="127"/>
      <c r="I2190" s="127"/>
    </row>
    <row r="2191">
      <c r="A2191" s="182"/>
      <c r="B2191" s="182"/>
      <c r="C2191" s="182"/>
      <c r="D2191" s="182"/>
      <c r="E2191" s="183"/>
      <c r="F2191" s="127"/>
      <c r="G2191" s="127"/>
      <c r="H2191" s="127"/>
      <c r="I2191" s="127"/>
    </row>
    <row r="2192">
      <c r="A2192" s="182"/>
      <c r="B2192" s="182"/>
      <c r="C2192" s="182"/>
      <c r="D2192" s="182"/>
      <c r="E2192" s="183"/>
      <c r="F2192" s="127"/>
      <c r="G2192" s="127"/>
      <c r="H2192" s="127"/>
      <c r="I2192" s="127"/>
    </row>
    <row r="2193">
      <c r="A2193" s="182"/>
      <c r="B2193" s="182"/>
      <c r="C2193" s="182"/>
      <c r="D2193" s="182"/>
      <c r="E2193" s="183"/>
      <c r="F2193" s="127"/>
      <c r="G2193" s="127"/>
      <c r="H2193" s="127"/>
      <c r="I2193" s="127"/>
    </row>
    <row r="2194">
      <c r="A2194" s="182"/>
      <c r="B2194" s="182"/>
      <c r="C2194" s="182"/>
      <c r="D2194" s="182"/>
      <c r="E2194" s="183"/>
      <c r="F2194" s="127"/>
      <c r="G2194" s="127"/>
      <c r="H2194" s="127"/>
      <c r="I2194" s="127"/>
    </row>
    <row r="2195">
      <c r="A2195" s="182"/>
      <c r="B2195" s="182"/>
      <c r="C2195" s="182"/>
      <c r="D2195" s="182"/>
      <c r="E2195" s="183"/>
      <c r="F2195" s="127"/>
      <c r="G2195" s="127"/>
      <c r="H2195" s="127"/>
      <c r="I2195" s="127"/>
    </row>
    <row r="2196">
      <c r="A2196" s="182"/>
      <c r="B2196" s="182"/>
      <c r="C2196" s="182"/>
      <c r="D2196" s="182"/>
      <c r="E2196" s="183"/>
      <c r="F2196" s="127"/>
      <c r="G2196" s="127"/>
      <c r="H2196" s="127"/>
      <c r="I2196" s="127"/>
    </row>
    <row r="2197">
      <c r="A2197" s="182"/>
      <c r="B2197" s="182"/>
      <c r="C2197" s="182"/>
      <c r="D2197" s="182"/>
      <c r="E2197" s="183"/>
      <c r="F2197" s="127"/>
      <c r="G2197" s="127"/>
      <c r="H2197" s="127"/>
      <c r="I2197" s="127"/>
    </row>
    <row r="2198">
      <c r="A2198" s="182"/>
      <c r="B2198" s="182"/>
      <c r="C2198" s="182"/>
      <c r="D2198" s="182"/>
      <c r="E2198" s="183"/>
      <c r="F2198" s="127"/>
      <c r="G2198" s="127"/>
      <c r="H2198" s="127"/>
      <c r="I2198" s="127"/>
    </row>
    <row r="2199">
      <c r="A2199" s="182"/>
      <c r="B2199" s="182"/>
      <c r="C2199" s="182"/>
      <c r="D2199" s="182"/>
      <c r="E2199" s="183"/>
      <c r="F2199" s="127"/>
      <c r="G2199" s="127"/>
      <c r="H2199" s="127"/>
      <c r="I2199" s="127"/>
    </row>
    <row r="2200">
      <c r="A2200" s="182"/>
      <c r="B2200" s="182"/>
      <c r="C2200" s="182"/>
      <c r="D2200" s="182"/>
      <c r="E2200" s="183"/>
      <c r="F2200" s="127"/>
      <c r="G2200" s="127"/>
      <c r="H2200" s="127"/>
      <c r="I2200" s="127"/>
    </row>
    <row r="2201">
      <c r="A2201" s="182"/>
      <c r="B2201" s="182"/>
      <c r="C2201" s="182"/>
      <c r="D2201" s="182"/>
      <c r="E2201" s="183"/>
      <c r="F2201" s="127"/>
      <c r="G2201" s="127"/>
      <c r="H2201" s="127"/>
      <c r="I2201" s="127"/>
    </row>
    <row r="2202">
      <c r="A2202" s="182"/>
      <c r="B2202" s="182"/>
      <c r="C2202" s="182"/>
      <c r="D2202" s="182"/>
      <c r="E2202" s="183"/>
      <c r="F2202" s="127"/>
      <c r="G2202" s="127"/>
      <c r="H2202" s="127"/>
      <c r="I2202" s="127"/>
    </row>
    <row r="2203">
      <c r="A2203" s="182"/>
      <c r="B2203" s="182"/>
      <c r="C2203" s="182"/>
      <c r="D2203" s="182"/>
      <c r="E2203" s="183"/>
      <c r="F2203" s="127"/>
      <c r="G2203" s="127"/>
      <c r="H2203" s="127"/>
      <c r="I2203" s="127"/>
    </row>
    <row r="2204">
      <c r="A2204" s="182"/>
      <c r="B2204" s="182"/>
      <c r="C2204" s="182"/>
      <c r="D2204" s="182"/>
      <c r="E2204" s="183"/>
      <c r="F2204" s="127"/>
      <c r="G2204" s="127"/>
      <c r="H2204" s="127"/>
      <c r="I2204" s="127"/>
    </row>
    <row r="2205">
      <c r="A2205" s="182"/>
      <c r="B2205" s="182"/>
      <c r="C2205" s="182"/>
      <c r="D2205" s="182"/>
      <c r="E2205" s="183"/>
      <c r="F2205" s="127"/>
      <c r="G2205" s="127"/>
      <c r="H2205" s="127"/>
      <c r="I2205" s="127"/>
    </row>
    <row r="2206">
      <c r="A2206" s="182"/>
      <c r="B2206" s="182"/>
      <c r="C2206" s="182"/>
      <c r="D2206" s="182"/>
      <c r="E2206" s="183"/>
      <c r="F2206" s="127"/>
      <c r="G2206" s="127"/>
      <c r="H2206" s="127"/>
      <c r="I2206" s="127"/>
    </row>
    <row r="2207">
      <c r="A2207" s="182"/>
      <c r="B2207" s="182"/>
      <c r="C2207" s="182"/>
      <c r="D2207" s="182"/>
      <c r="E2207" s="183"/>
      <c r="F2207" s="127"/>
      <c r="G2207" s="127"/>
      <c r="H2207" s="127"/>
      <c r="I2207" s="127"/>
    </row>
    <row r="2208">
      <c r="A2208" s="182"/>
      <c r="B2208" s="182"/>
      <c r="C2208" s="182"/>
      <c r="D2208" s="182"/>
      <c r="E2208" s="183"/>
      <c r="F2208" s="127"/>
      <c r="G2208" s="127"/>
      <c r="H2208" s="127"/>
      <c r="I2208" s="127"/>
    </row>
    <row r="2209">
      <c r="A2209" s="182"/>
      <c r="B2209" s="182"/>
      <c r="C2209" s="182"/>
      <c r="D2209" s="182"/>
      <c r="E2209" s="183"/>
      <c r="F2209" s="127"/>
      <c r="G2209" s="127"/>
      <c r="H2209" s="127"/>
      <c r="I2209" s="127"/>
    </row>
    <row r="2210">
      <c r="A2210" s="182"/>
      <c r="B2210" s="182"/>
      <c r="C2210" s="182"/>
      <c r="D2210" s="182"/>
      <c r="E2210" s="183"/>
      <c r="F2210" s="127"/>
      <c r="G2210" s="127"/>
      <c r="H2210" s="127"/>
      <c r="I2210" s="127"/>
    </row>
    <row r="2211">
      <c r="A2211" s="182"/>
      <c r="B2211" s="183"/>
      <c r="C2211" s="182"/>
      <c r="D2211" s="182"/>
      <c r="E2211" s="183"/>
      <c r="F2211" s="127"/>
      <c r="G2211" s="127"/>
      <c r="H2211" s="127"/>
      <c r="I2211" s="127"/>
    </row>
    <row r="2212">
      <c r="A2212" s="182"/>
      <c r="B2212" s="182"/>
      <c r="C2212" s="182"/>
      <c r="D2212" s="182"/>
      <c r="E2212" s="183"/>
      <c r="F2212" s="127"/>
      <c r="G2212" s="127"/>
      <c r="H2212" s="127"/>
      <c r="I2212" s="127"/>
    </row>
    <row r="2213">
      <c r="A2213" s="182"/>
      <c r="B2213" s="182"/>
      <c r="C2213" s="182"/>
      <c r="D2213" s="182"/>
      <c r="E2213" s="183"/>
      <c r="F2213" s="127"/>
      <c r="G2213" s="127"/>
      <c r="H2213" s="127"/>
      <c r="I2213" s="127"/>
    </row>
    <row r="2214">
      <c r="A2214" s="182"/>
      <c r="B2214" s="182"/>
      <c r="C2214" s="182"/>
      <c r="D2214" s="182"/>
      <c r="E2214" s="183"/>
      <c r="F2214" s="127"/>
      <c r="G2214" s="127"/>
      <c r="H2214" s="127"/>
      <c r="I2214" s="127"/>
    </row>
    <row r="2215">
      <c r="A2215" s="182"/>
      <c r="B2215" s="182"/>
      <c r="C2215" s="182"/>
      <c r="D2215" s="182"/>
      <c r="E2215" s="183"/>
      <c r="F2215" s="127"/>
      <c r="G2215" s="127"/>
      <c r="H2215" s="127"/>
      <c r="I2215" s="127"/>
    </row>
    <row r="2216">
      <c r="A2216" s="182"/>
      <c r="B2216" s="182"/>
      <c r="C2216" s="182"/>
      <c r="D2216" s="182"/>
      <c r="E2216" s="183"/>
      <c r="F2216" s="127"/>
      <c r="G2216" s="127"/>
      <c r="H2216" s="127"/>
      <c r="I2216" s="127"/>
    </row>
    <row r="2217">
      <c r="A2217" s="182"/>
      <c r="B2217" s="182"/>
      <c r="C2217" s="182"/>
      <c r="D2217" s="182"/>
      <c r="E2217" s="183"/>
      <c r="F2217" s="127"/>
      <c r="G2217" s="127"/>
      <c r="H2217" s="127"/>
      <c r="I2217" s="127"/>
    </row>
    <row r="2218">
      <c r="A2218" s="182"/>
      <c r="B2218" s="182"/>
      <c r="C2218" s="182"/>
      <c r="D2218" s="182"/>
      <c r="E2218" s="183"/>
      <c r="F2218" s="127"/>
      <c r="G2218" s="127"/>
      <c r="H2218" s="127"/>
      <c r="I2218" s="127"/>
    </row>
    <row r="2219">
      <c r="A2219" s="182"/>
      <c r="B2219" s="182"/>
      <c r="C2219" s="182"/>
      <c r="D2219" s="182"/>
      <c r="E2219" s="183"/>
      <c r="F2219" s="127"/>
      <c r="G2219" s="127"/>
      <c r="H2219" s="127"/>
      <c r="I2219" s="127"/>
    </row>
    <row r="2220">
      <c r="A2220" s="182"/>
      <c r="B2220" s="182"/>
      <c r="C2220" s="182"/>
      <c r="D2220" s="182"/>
      <c r="E2220" s="183"/>
      <c r="F2220" s="127"/>
      <c r="G2220" s="127"/>
      <c r="H2220" s="127"/>
      <c r="I2220" s="127"/>
    </row>
    <row r="2221">
      <c r="A2221" s="182"/>
      <c r="B2221" s="182"/>
      <c r="C2221" s="182"/>
      <c r="D2221" s="182"/>
      <c r="E2221" s="183"/>
      <c r="F2221" s="127"/>
      <c r="G2221" s="127"/>
      <c r="H2221" s="127"/>
      <c r="I2221" s="127"/>
    </row>
    <row r="2222">
      <c r="A2222" s="182"/>
      <c r="B2222" s="182"/>
      <c r="C2222" s="182"/>
      <c r="D2222" s="182"/>
      <c r="E2222" s="183"/>
      <c r="F2222" s="127"/>
      <c r="G2222" s="127"/>
      <c r="H2222" s="127"/>
      <c r="I2222" s="127"/>
    </row>
    <row r="2223">
      <c r="A2223" s="182"/>
      <c r="B2223" s="182"/>
      <c r="C2223" s="182"/>
      <c r="D2223" s="182"/>
      <c r="E2223" s="183"/>
      <c r="F2223" s="127"/>
      <c r="G2223" s="127"/>
      <c r="H2223" s="127"/>
      <c r="I2223" s="127"/>
    </row>
    <row r="2224">
      <c r="A2224" s="182"/>
      <c r="B2224" s="182"/>
      <c r="C2224" s="182"/>
      <c r="D2224" s="182"/>
      <c r="E2224" s="183"/>
      <c r="F2224" s="127"/>
      <c r="G2224" s="127"/>
      <c r="H2224" s="127"/>
      <c r="I2224" s="127"/>
    </row>
    <row r="2225">
      <c r="A2225" s="182"/>
      <c r="B2225" s="182"/>
      <c r="C2225" s="182"/>
      <c r="D2225" s="182"/>
      <c r="E2225" s="183"/>
      <c r="F2225" s="127"/>
      <c r="G2225" s="127"/>
      <c r="H2225" s="127"/>
      <c r="I2225" s="127"/>
    </row>
    <row r="2226">
      <c r="A2226" s="182"/>
      <c r="B2226" s="182"/>
      <c r="C2226" s="182"/>
      <c r="D2226" s="182"/>
      <c r="E2226" s="183"/>
      <c r="F2226" s="127"/>
      <c r="G2226" s="127"/>
      <c r="H2226" s="127"/>
      <c r="I2226" s="127"/>
    </row>
    <row r="2227">
      <c r="A2227" s="182"/>
      <c r="B2227" s="182"/>
      <c r="C2227" s="182"/>
      <c r="D2227" s="182"/>
      <c r="E2227" s="183"/>
      <c r="F2227" s="127"/>
      <c r="G2227" s="127"/>
      <c r="H2227" s="127"/>
      <c r="I2227" s="127"/>
    </row>
    <row r="2228">
      <c r="A2228" s="182"/>
      <c r="B2228" s="182"/>
      <c r="C2228" s="182"/>
      <c r="D2228" s="182"/>
      <c r="E2228" s="183"/>
      <c r="F2228" s="127"/>
      <c r="G2228" s="127"/>
      <c r="H2228" s="127"/>
      <c r="I2228" s="127"/>
    </row>
    <row r="2229">
      <c r="A2229" s="182"/>
      <c r="B2229" s="182"/>
      <c r="C2229" s="182"/>
      <c r="D2229" s="182"/>
      <c r="E2229" s="183"/>
      <c r="F2229" s="127"/>
      <c r="G2229" s="127"/>
      <c r="H2229" s="127"/>
      <c r="I2229" s="127"/>
    </row>
    <row r="2230">
      <c r="A2230" s="182"/>
      <c r="B2230" s="182"/>
      <c r="C2230" s="182"/>
      <c r="D2230" s="182"/>
      <c r="E2230" s="183"/>
      <c r="F2230" s="127"/>
      <c r="G2230" s="127"/>
      <c r="H2230" s="127"/>
      <c r="I2230" s="127"/>
    </row>
    <row r="2231">
      <c r="A2231" s="182"/>
      <c r="B2231" s="182"/>
      <c r="C2231" s="182"/>
      <c r="D2231" s="182"/>
      <c r="E2231" s="183"/>
      <c r="F2231" s="127"/>
      <c r="G2231" s="127"/>
      <c r="H2231" s="127"/>
      <c r="I2231" s="127"/>
    </row>
    <row r="2232">
      <c r="A2232" s="182"/>
      <c r="B2232" s="182"/>
      <c r="C2232" s="182"/>
      <c r="D2232" s="182"/>
      <c r="E2232" s="183"/>
      <c r="F2232" s="127"/>
      <c r="G2232" s="127"/>
      <c r="H2232" s="127"/>
      <c r="I2232" s="127"/>
    </row>
    <row r="2233">
      <c r="A2233" s="182"/>
      <c r="B2233" s="182"/>
      <c r="C2233" s="182"/>
      <c r="D2233" s="182"/>
      <c r="E2233" s="183"/>
      <c r="F2233" s="127"/>
      <c r="G2233" s="127"/>
      <c r="H2233" s="127"/>
      <c r="I2233" s="127"/>
    </row>
    <row r="2234">
      <c r="A2234" s="182"/>
      <c r="B2234" s="182"/>
      <c r="C2234" s="182"/>
      <c r="D2234" s="182"/>
      <c r="E2234" s="183"/>
      <c r="F2234" s="127"/>
      <c r="G2234" s="127"/>
      <c r="H2234" s="127"/>
      <c r="I2234" s="127"/>
    </row>
    <row r="2235">
      <c r="A2235" s="182"/>
      <c r="B2235" s="182"/>
      <c r="C2235" s="182"/>
      <c r="D2235" s="182"/>
      <c r="E2235" s="183"/>
      <c r="F2235" s="127"/>
      <c r="G2235" s="127"/>
      <c r="H2235" s="127"/>
      <c r="I2235" s="127"/>
    </row>
    <row r="2236">
      <c r="A2236" s="182"/>
      <c r="B2236" s="182"/>
      <c r="C2236" s="182"/>
      <c r="D2236" s="182"/>
      <c r="E2236" s="183"/>
      <c r="F2236" s="127"/>
      <c r="G2236" s="127"/>
      <c r="H2236" s="127"/>
      <c r="I2236" s="127"/>
    </row>
    <row r="2237">
      <c r="A2237" s="182"/>
      <c r="B2237" s="182"/>
      <c r="C2237" s="182"/>
      <c r="D2237" s="182"/>
      <c r="E2237" s="183"/>
      <c r="F2237" s="127"/>
      <c r="G2237" s="127"/>
      <c r="H2237" s="127"/>
      <c r="I2237" s="127"/>
    </row>
    <row r="2238">
      <c r="A2238" s="182"/>
      <c r="B2238" s="182"/>
      <c r="C2238" s="182"/>
      <c r="D2238" s="182"/>
      <c r="E2238" s="183"/>
      <c r="F2238" s="127"/>
      <c r="G2238" s="127"/>
      <c r="H2238" s="127"/>
      <c r="I2238" s="127"/>
    </row>
    <row r="2239">
      <c r="A2239" s="182"/>
      <c r="B2239" s="182"/>
      <c r="C2239" s="182"/>
      <c r="D2239" s="182"/>
      <c r="E2239" s="183"/>
      <c r="F2239" s="127"/>
      <c r="G2239" s="127"/>
      <c r="H2239" s="127"/>
      <c r="I2239" s="127"/>
    </row>
    <row r="2240">
      <c r="A2240" s="182"/>
      <c r="B2240" s="182"/>
      <c r="C2240" s="182"/>
      <c r="D2240" s="182"/>
      <c r="E2240" s="183"/>
      <c r="F2240" s="127"/>
      <c r="G2240" s="127"/>
      <c r="H2240" s="127"/>
      <c r="I2240" s="127"/>
    </row>
    <row r="2241">
      <c r="A2241" s="182"/>
      <c r="B2241" s="182"/>
      <c r="C2241" s="182"/>
      <c r="D2241" s="182"/>
      <c r="E2241" s="183"/>
      <c r="F2241" s="127"/>
      <c r="G2241" s="127"/>
      <c r="H2241" s="127"/>
      <c r="I2241" s="127"/>
    </row>
    <row r="2242">
      <c r="A2242" s="182"/>
      <c r="B2242" s="182"/>
      <c r="C2242" s="182"/>
      <c r="D2242" s="182"/>
      <c r="E2242" s="183"/>
      <c r="F2242" s="127"/>
      <c r="G2242" s="127"/>
      <c r="H2242" s="127"/>
      <c r="I2242" s="127"/>
    </row>
    <row r="2243">
      <c r="A2243" s="182"/>
      <c r="B2243" s="182"/>
      <c r="C2243" s="182"/>
      <c r="D2243" s="182"/>
      <c r="E2243" s="183"/>
      <c r="F2243" s="127"/>
      <c r="G2243" s="127"/>
      <c r="H2243" s="127"/>
      <c r="I2243" s="127"/>
    </row>
    <row r="2244">
      <c r="A2244" s="182"/>
      <c r="B2244" s="182"/>
      <c r="C2244" s="182"/>
      <c r="D2244" s="182"/>
      <c r="E2244" s="183"/>
      <c r="F2244" s="127"/>
      <c r="G2244" s="127"/>
      <c r="H2244" s="127"/>
      <c r="I2244" s="127"/>
    </row>
    <row r="2245">
      <c r="A2245" s="182"/>
      <c r="B2245" s="182"/>
      <c r="C2245" s="182"/>
      <c r="D2245" s="182"/>
      <c r="E2245" s="183"/>
      <c r="F2245" s="127"/>
      <c r="G2245" s="127"/>
      <c r="H2245" s="127"/>
      <c r="I2245" s="127"/>
    </row>
    <row r="2246">
      <c r="A2246" s="182"/>
      <c r="B2246" s="182"/>
      <c r="C2246" s="182"/>
      <c r="D2246" s="182"/>
      <c r="E2246" s="183"/>
      <c r="F2246" s="127"/>
      <c r="G2246" s="127"/>
      <c r="H2246" s="127"/>
      <c r="I2246" s="127"/>
    </row>
    <row r="2247">
      <c r="A2247" s="182"/>
      <c r="B2247" s="182"/>
      <c r="C2247" s="182"/>
      <c r="D2247" s="182"/>
      <c r="E2247" s="183"/>
      <c r="F2247" s="127"/>
      <c r="G2247" s="127"/>
      <c r="H2247" s="127"/>
      <c r="I2247" s="127"/>
    </row>
    <row r="2248">
      <c r="A2248" s="182"/>
      <c r="B2248" s="182"/>
      <c r="C2248" s="182"/>
      <c r="D2248" s="182"/>
      <c r="E2248" s="183"/>
      <c r="F2248" s="127"/>
      <c r="G2248" s="127"/>
      <c r="H2248" s="127"/>
      <c r="I2248" s="127"/>
    </row>
    <row r="2249">
      <c r="A2249" s="182"/>
      <c r="B2249" s="182"/>
      <c r="C2249" s="182"/>
      <c r="D2249" s="182"/>
      <c r="E2249" s="183"/>
      <c r="F2249" s="127"/>
      <c r="G2249" s="127"/>
      <c r="H2249" s="127"/>
      <c r="I2249" s="127"/>
    </row>
    <row r="2250">
      <c r="A2250" s="182"/>
      <c r="B2250" s="182"/>
      <c r="C2250" s="182"/>
      <c r="D2250" s="182"/>
      <c r="E2250" s="183"/>
      <c r="F2250" s="127"/>
      <c r="G2250" s="127"/>
      <c r="H2250" s="127"/>
      <c r="I2250" s="127"/>
    </row>
    <row r="2251">
      <c r="A2251" s="182"/>
      <c r="B2251" s="182"/>
      <c r="C2251" s="182"/>
      <c r="D2251" s="182"/>
      <c r="E2251" s="183"/>
      <c r="F2251" s="127"/>
      <c r="G2251" s="127"/>
      <c r="H2251" s="127"/>
      <c r="I2251" s="127"/>
    </row>
    <row r="2252">
      <c r="A2252" s="182"/>
      <c r="B2252" s="182"/>
      <c r="C2252" s="182"/>
      <c r="D2252" s="182"/>
      <c r="E2252" s="183"/>
      <c r="F2252" s="127"/>
      <c r="G2252" s="127"/>
      <c r="H2252" s="127"/>
      <c r="I2252" s="127"/>
    </row>
    <row r="2253">
      <c r="A2253" s="182"/>
      <c r="B2253" s="182"/>
      <c r="C2253" s="182"/>
      <c r="D2253" s="182"/>
      <c r="E2253" s="183"/>
      <c r="F2253" s="127"/>
      <c r="G2253" s="127"/>
      <c r="H2253" s="127"/>
      <c r="I2253" s="127"/>
    </row>
    <row r="2254">
      <c r="A2254" s="182"/>
      <c r="B2254" s="182"/>
      <c r="C2254" s="182"/>
      <c r="D2254" s="182"/>
      <c r="E2254" s="183"/>
      <c r="F2254" s="127"/>
      <c r="G2254" s="127"/>
      <c r="H2254" s="127"/>
      <c r="I2254" s="127"/>
    </row>
    <row r="2255">
      <c r="A2255" s="182"/>
      <c r="B2255" s="182"/>
      <c r="C2255" s="182"/>
      <c r="D2255" s="182"/>
      <c r="E2255" s="183"/>
      <c r="F2255" s="127"/>
      <c r="G2255" s="127"/>
      <c r="H2255" s="127"/>
      <c r="I2255" s="127"/>
    </row>
    <row r="2256">
      <c r="A2256" s="182"/>
      <c r="B2256" s="182"/>
      <c r="C2256" s="182"/>
      <c r="D2256" s="182"/>
      <c r="E2256" s="183"/>
      <c r="F2256" s="127"/>
      <c r="G2256" s="127"/>
      <c r="H2256" s="127"/>
      <c r="I2256" s="127"/>
    </row>
    <row r="2257">
      <c r="A2257" s="182"/>
      <c r="B2257" s="182"/>
      <c r="C2257" s="182"/>
      <c r="D2257" s="182"/>
      <c r="E2257" s="183"/>
      <c r="F2257" s="127"/>
      <c r="G2257" s="127"/>
      <c r="H2257" s="127"/>
      <c r="I2257" s="127"/>
    </row>
    <row r="2258">
      <c r="A2258" s="182"/>
      <c r="B2258" s="182"/>
      <c r="C2258" s="182"/>
      <c r="D2258" s="182"/>
      <c r="E2258" s="183"/>
      <c r="F2258" s="127"/>
      <c r="G2258" s="127"/>
      <c r="H2258" s="127"/>
      <c r="I2258" s="127"/>
    </row>
    <row r="2259">
      <c r="A2259" s="182"/>
      <c r="B2259" s="182"/>
      <c r="C2259" s="182"/>
      <c r="D2259" s="182"/>
      <c r="E2259" s="183"/>
      <c r="F2259" s="127"/>
      <c r="G2259" s="127"/>
      <c r="H2259" s="127"/>
      <c r="I2259" s="127"/>
    </row>
    <row r="2260">
      <c r="A2260" s="182"/>
      <c r="B2260" s="182"/>
      <c r="C2260" s="182"/>
      <c r="D2260" s="182"/>
      <c r="E2260" s="183"/>
      <c r="F2260" s="127"/>
      <c r="G2260" s="127"/>
      <c r="H2260" s="127"/>
      <c r="I2260" s="127"/>
    </row>
    <row r="2261">
      <c r="A2261" s="182"/>
      <c r="B2261" s="182"/>
      <c r="C2261" s="182"/>
      <c r="D2261" s="182"/>
      <c r="E2261" s="183"/>
      <c r="F2261" s="127"/>
      <c r="G2261" s="127"/>
      <c r="H2261" s="127"/>
      <c r="I2261" s="127"/>
    </row>
    <row r="2262">
      <c r="A2262" s="182"/>
      <c r="B2262" s="182"/>
      <c r="C2262" s="182"/>
      <c r="D2262" s="182"/>
      <c r="E2262" s="183"/>
      <c r="F2262" s="127"/>
      <c r="G2262" s="127"/>
      <c r="H2262" s="127"/>
      <c r="I2262" s="127"/>
    </row>
    <row r="2263">
      <c r="A2263" s="182"/>
      <c r="B2263" s="182"/>
      <c r="C2263" s="182"/>
      <c r="D2263" s="182"/>
      <c r="E2263" s="183"/>
      <c r="F2263" s="127"/>
      <c r="G2263" s="127"/>
      <c r="H2263" s="127"/>
      <c r="I2263" s="127"/>
    </row>
    <row r="2264">
      <c r="A2264" s="182"/>
      <c r="B2264" s="182"/>
      <c r="C2264" s="182"/>
      <c r="D2264" s="182"/>
      <c r="E2264" s="183"/>
      <c r="F2264" s="127"/>
      <c r="G2264" s="127"/>
      <c r="H2264" s="127"/>
      <c r="I2264" s="127"/>
    </row>
    <row r="2265">
      <c r="A2265" s="182"/>
      <c r="B2265" s="182"/>
      <c r="C2265" s="182"/>
      <c r="D2265" s="182"/>
      <c r="E2265" s="183"/>
      <c r="F2265" s="127"/>
      <c r="G2265" s="127"/>
      <c r="H2265" s="127"/>
      <c r="I2265" s="127"/>
    </row>
    <row r="2266">
      <c r="A2266" s="182"/>
      <c r="B2266" s="182"/>
      <c r="C2266" s="182"/>
      <c r="D2266" s="182"/>
      <c r="E2266" s="183"/>
      <c r="F2266" s="127"/>
      <c r="G2266" s="127"/>
      <c r="H2266" s="127"/>
      <c r="I2266" s="127"/>
    </row>
    <row r="2267">
      <c r="A2267" s="182"/>
      <c r="B2267" s="182"/>
      <c r="C2267" s="182"/>
      <c r="D2267" s="182"/>
      <c r="E2267" s="183"/>
      <c r="F2267" s="127"/>
      <c r="G2267" s="127"/>
      <c r="H2267" s="127"/>
      <c r="I2267" s="127"/>
    </row>
    <row r="2268">
      <c r="A2268" s="182"/>
      <c r="B2268" s="182"/>
      <c r="C2268" s="182"/>
      <c r="D2268" s="182"/>
      <c r="E2268" s="183"/>
      <c r="F2268" s="127"/>
      <c r="G2268" s="127"/>
      <c r="H2268" s="127"/>
      <c r="I2268" s="127"/>
    </row>
    <row r="2269">
      <c r="A2269" s="182"/>
      <c r="B2269" s="182"/>
      <c r="C2269" s="182"/>
      <c r="D2269" s="182"/>
      <c r="E2269" s="183"/>
      <c r="F2269" s="127"/>
      <c r="G2269" s="127"/>
      <c r="H2269" s="127"/>
      <c r="I2269" s="127"/>
    </row>
    <row r="2270">
      <c r="A2270" s="182"/>
      <c r="B2270" s="182"/>
      <c r="C2270" s="182"/>
      <c r="D2270" s="182"/>
      <c r="E2270" s="183"/>
      <c r="F2270" s="127"/>
      <c r="G2270" s="127"/>
      <c r="H2270" s="127"/>
      <c r="I2270" s="127"/>
    </row>
    <row r="2271">
      <c r="A2271" s="182"/>
      <c r="B2271" s="182"/>
      <c r="C2271" s="182"/>
      <c r="D2271" s="182"/>
      <c r="E2271" s="183"/>
      <c r="F2271" s="127"/>
      <c r="G2271" s="127"/>
      <c r="H2271" s="127"/>
      <c r="I2271" s="127"/>
    </row>
    <row r="2272">
      <c r="A2272" s="182"/>
      <c r="B2272" s="182"/>
      <c r="C2272" s="182"/>
      <c r="D2272" s="182"/>
      <c r="E2272" s="183"/>
      <c r="F2272" s="127"/>
      <c r="G2272" s="127"/>
      <c r="H2272" s="127"/>
      <c r="I2272" s="127"/>
    </row>
    <row r="2273">
      <c r="A2273" s="182"/>
      <c r="B2273" s="182"/>
      <c r="C2273" s="182"/>
      <c r="D2273" s="182"/>
      <c r="E2273" s="183"/>
      <c r="F2273" s="127"/>
      <c r="G2273" s="127"/>
      <c r="H2273" s="127"/>
      <c r="I2273" s="127"/>
    </row>
    <row r="2274">
      <c r="A2274" s="182"/>
      <c r="B2274" s="182"/>
      <c r="C2274" s="182"/>
      <c r="D2274" s="182"/>
      <c r="E2274" s="183"/>
      <c r="F2274" s="127"/>
      <c r="G2274" s="127"/>
      <c r="H2274" s="127"/>
      <c r="I2274" s="127"/>
    </row>
    <row r="2275">
      <c r="A2275" s="182"/>
      <c r="B2275" s="182"/>
      <c r="C2275" s="182"/>
      <c r="D2275" s="182"/>
      <c r="E2275" s="183"/>
      <c r="F2275" s="127"/>
      <c r="G2275" s="127"/>
      <c r="H2275" s="127"/>
      <c r="I2275" s="127"/>
    </row>
    <row r="2276">
      <c r="A2276" s="182"/>
      <c r="B2276" s="182"/>
      <c r="C2276" s="182"/>
      <c r="D2276" s="182"/>
      <c r="E2276" s="183"/>
      <c r="F2276" s="127"/>
      <c r="G2276" s="127"/>
      <c r="H2276" s="127"/>
      <c r="I2276" s="127"/>
    </row>
    <row r="2277">
      <c r="A2277" s="182"/>
      <c r="B2277" s="182"/>
      <c r="C2277" s="182"/>
      <c r="D2277" s="182"/>
      <c r="E2277" s="183"/>
      <c r="F2277" s="127"/>
      <c r="G2277" s="127"/>
      <c r="H2277" s="127"/>
      <c r="I2277" s="127"/>
    </row>
    <row r="2278">
      <c r="A2278" s="182"/>
      <c r="B2278" s="182"/>
      <c r="C2278" s="182"/>
      <c r="D2278" s="182"/>
      <c r="E2278" s="183"/>
      <c r="F2278" s="127"/>
      <c r="G2278" s="127"/>
      <c r="H2278" s="127"/>
      <c r="I2278" s="127"/>
    </row>
    <row r="2279">
      <c r="A2279" s="182"/>
      <c r="B2279" s="182"/>
      <c r="C2279" s="182"/>
      <c r="D2279" s="182"/>
      <c r="E2279" s="183"/>
      <c r="F2279" s="127"/>
      <c r="G2279" s="127"/>
      <c r="H2279" s="127"/>
      <c r="I2279" s="127"/>
    </row>
    <row r="2280">
      <c r="A2280" s="182"/>
      <c r="B2280" s="182"/>
      <c r="C2280" s="182"/>
      <c r="D2280" s="182"/>
      <c r="E2280" s="183"/>
      <c r="F2280" s="127"/>
      <c r="G2280" s="127"/>
      <c r="H2280" s="127"/>
      <c r="I2280" s="127"/>
    </row>
    <row r="2281">
      <c r="A2281" s="182"/>
      <c r="B2281" s="182"/>
      <c r="C2281" s="182"/>
      <c r="D2281" s="182"/>
      <c r="E2281" s="183"/>
      <c r="F2281" s="127"/>
      <c r="G2281" s="127"/>
      <c r="H2281" s="127"/>
      <c r="I2281" s="127"/>
    </row>
    <row r="2282">
      <c r="A2282" s="182"/>
      <c r="B2282" s="182"/>
      <c r="C2282" s="182"/>
      <c r="D2282" s="182"/>
      <c r="E2282" s="183"/>
      <c r="F2282" s="127"/>
      <c r="G2282" s="127"/>
      <c r="H2282" s="127"/>
      <c r="I2282" s="127"/>
    </row>
    <row r="2283">
      <c r="A2283" s="182"/>
      <c r="B2283" s="182"/>
      <c r="C2283" s="182"/>
      <c r="D2283" s="182"/>
      <c r="E2283" s="183"/>
      <c r="F2283" s="127"/>
      <c r="G2283" s="127"/>
      <c r="H2283" s="127"/>
      <c r="I2283" s="127"/>
    </row>
    <row r="2284">
      <c r="A2284" s="182"/>
      <c r="B2284" s="182"/>
      <c r="C2284" s="182"/>
      <c r="D2284" s="182"/>
      <c r="E2284" s="183"/>
      <c r="F2284" s="127"/>
      <c r="G2284" s="127"/>
      <c r="H2284" s="127"/>
      <c r="I2284" s="127"/>
    </row>
    <row r="2285">
      <c r="A2285" s="182"/>
      <c r="B2285" s="182"/>
      <c r="C2285" s="182"/>
      <c r="D2285" s="182"/>
      <c r="E2285" s="183"/>
      <c r="F2285" s="127"/>
      <c r="G2285" s="127"/>
      <c r="H2285" s="127"/>
      <c r="I2285" s="127"/>
    </row>
    <row r="2286">
      <c r="A2286" s="182"/>
      <c r="B2286" s="182"/>
      <c r="C2286" s="182"/>
      <c r="D2286" s="182"/>
      <c r="E2286" s="183"/>
      <c r="F2286" s="127"/>
      <c r="G2286" s="127"/>
      <c r="H2286" s="127"/>
      <c r="I2286" s="127"/>
    </row>
    <row r="2287">
      <c r="A2287" s="182"/>
      <c r="B2287" s="182"/>
      <c r="C2287" s="182"/>
      <c r="D2287" s="182"/>
      <c r="E2287" s="183"/>
      <c r="F2287" s="127"/>
      <c r="G2287" s="127"/>
      <c r="H2287" s="127"/>
      <c r="I2287" s="127"/>
    </row>
    <row r="2288">
      <c r="A2288" s="182"/>
      <c r="B2288" s="182"/>
      <c r="C2288" s="182"/>
      <c r="D2288" s="182"/>
      <c r="E2288" s="183"/>
      <c r="F2288" s="127"/>
      <c r="G2288" s="127"/>
      <c r="H2288" s="127"/>
      <c r="I2288" s="127"/>
    </row>
    <row r="2289">
      <c r="A2289" s="182"/>
      <c r="B2289" s="182"/>
      <c r="C2289" s="182"/>
      <c r="D2289" s="182"/>
      <c r="E2289" s="183"/>
      <c r="F2289" s="127"/>
      <c r="G2289" s="127"/>
      <c r="H2289" s="127"/>
      <c r="I2289" s="127"/>
    </row>
    <row r="2290">
      <c r="A2290" s="182"/>
      <c r="B2290" s="182"/>
      <c r="C2290" s="182"/>
      <c r="D2290" s="182"/>
      <c r="E2290" s="183"/>
      <c r="F2290" s="127"/>
      <c r="G2290" s="127"/>
      <c r="H2290" s="127"/>
      <c r="I2290" s="127"/>
    </row>
    <row r="2291">
      <c r="A2291" s="182"/>
      <c r="B2291" s="182"/>
      <c r="C2291" s="182"/>
      <c r="D2291" s="182"/>
      <c r="E2291" s="183"/>
      <c r="F2291" s="127"/>
      <c r="G2291" s="127"/>
      <c r="H2291" s="127"/>
      <c r="I2291" s="127"/>
    </row>
    <row r="2292">
      <c r="A2292" s="182"/>
      <c r="B2292" s="182"/>
      <c r="C2292" s="182"/>
      <c r="D2292" s="182"/>
      <c r="E2292" s="183"/>
      <c r="F2292" s="127"/>
      <c r="G2292" s="127"/>
      <c r="H2292" s="127"/>
      <c r="I2292" s="127"/>
    </row>
    <row r="2293">
      <c r="A2293" s="182"/>
      <c r="B2293" s="182"/>
      <c r="C2293" s="182"/>
      <c r="D2293" s="182"/>
      <c r="E2293" s="183"/>
      <c r="F2293" s="127"/>
      <c r="G2293" s="127"/>
      <c r="H2293" s="127"/>
      <c r="I2293" s="127"/>
    </row>
    <row r="2294">
      <c r="A2294" s="182"/>
      <c r="B2294" s="182"/>
      <c r="C2294" s="182"/>
      <c r="D2294" s="182"/>
      <c r="E2294" s="183"/>
      <c r="F2294" s="127"/>
      <c r="G2294" s="127"/>
      <c r="H2294" s="127"/>
      <c r="I2294" s="127"/>
    </row>
    <row r="2295">
      <c r="A2295" s="182"/>
      <c r="B2295" s="182"/>
      <c r="C2295" s="182"/>
      <c r="D2295" s="182"/>
      <c r="E2295" s="183"/>
      <c r="F2295" s="127"/>
      <c r="G2295" s="127"/>
      <c r="H2295" s="127"/>
      <c r="I2295" s="127"/>
    </row>
    <row r="2296">
      <c r="A2296" s="182"/>
      <c r="B2296" s="182"/>
      <c r="C2296" s="182"/>
      <c r="D2296" s="182"/>
      <c r="E2296" s="183"/>
      <c r="F2296" s="127"/>
      <c r="G2296" s="127"/>
      <c r="H2296" s="127"/>
      <c r="I2296" s="127"/>
    </row>
    <row r="2297">
      <c r="A2297" s="182"/>
      <c r="B2297" s="182"/>
      <c r="C2297" s="182"/>
      <c r="D2297" s="182"/>
      <c r="E2297" s="183"/>
      <c r="F2297" s="127"/>
      <c r="G2297" s="127"/>
      <c r="H2297" s="127"/>
      <c r="I2297" s="127"/>
    </row>
    <row r="2298">
      <c r="A2298" s="182"/>
      <c r="B2298" s="182"/>
      <c r="C2298" s="182"/>
      <c r="D2298" s="182"/>
      <c r="E2298" s="183"/>
      <c r="F2298" s="127"/>
      <c r="G2298" s="127"/>
      <c r="H2298" s="127"/>
      <c r="I2298" s="127"/>
    </row>
    <row r="2299">
      <c r="A2299" s="182"/>
      <c r="B2299" s="182"/>
      <c r="C2299" s="182"/>
      <c r="D2299" s="182"/>
      <c r="E2299" s="183"/>
      <c r="F2299" s="127"/>
      <c r="G2299" s="127"/>
      <c r="H2299" s="127"/>
      <c r="I2299" s="127"/>
    </row>
    <row r="2300">
      <c r="A2300" s="182"/>
      <c r="B2300" s="182"/>
      <c r="C2300" s="182"/>
      <c r="D2300" s="182"/>
      <c r="E2300" s="183"/>
      <c r="F2300" s="127"/>
      <c r="G2300" s="127"/>
      <c r="H2300" s="127"/>
      <c r="I2300" s="127"/>
    </row>
    <row r="2301">
      <c r="A2301" s="182"/>
      <c r="B2301" s="182"/>
      <c r="C2301" s="182"/>
      <c r="D2301" s="182"/>
      <c r="E2301" s="183"/>
      <c r="F2301" s="127"/>
      <c r="G2301" s="127"/>
      <c r="H2301" s="127"/>
      <c r="I2301" s="127"/>
    </row>
    <row r="2302">
      <c r="A2302" s="182"/>
      <c r="B2302" s="182"/>
      <c r="C2302" s="182"/>
      <c r="D2302" s="182"/>
      <c r="E2302" s="183"/>
      <c r="F2302" s="127"/>
      <c r="G2302" s="127"/>
      <c r="H2302" s="127"/>
      <c r="I2302" s="127"/>
    </row>
    <row r="2303">
      <c r="A2303" s="182"/>
      <c r="B2303" s="182"/>
      <c r="C2303" s="182"/>
      <c r="D2303" s="182"/>
      <c r="E2303" s="183"/>
      <c r="F2303" s="127"/>
      <c r="G2303" s="127"/>
      <c r="H2303" s="127"/>
      <c r="I2303" s="127"/>
    </row>
    <row r="2304">
      <c r="A2304" s="182"/>
      <c r="B2304" s="182"/>
      <c r="C2304" s="182"/>
      <c r="D2304" s="182"/>
      <c r="E2304" s="183"/>
      <c r="F2304" s="127"/>
      <c r="G2304" s="127"/>
      <c r="H2304" s="127"/>
      <c r="I2304" s="127"/>
    </row>
    <row r="2305">
      <c r="A2305" s="182"/>
      <c r="B2305" s="182"/>
      <c r="C2305" s="182"/>
      <c r="D2305" s="182"/>
      <c r="E2305" s="183"/>
      <c r="F2305" s="127"/>
      <c r="G2305" s="127"/>
      <c r="H2305" s="127"/>
      <c r="I2305" s="127"/>
    </row>
    <row r="2306">
      <c r="A2306" s="182"/>
      <c r="B2306" s="182"/>
      <c r="C2306" s="182"/>
      <c r="D2306" s="182"/>
      <c r="E2306" s="183"/>
      <c r="F2306" s="127"/>
      <c r="G2306" s="127"/>
      <c r="H2306" s="127"/>
      <c r="I2306" s="127"/>
    </row>
    <row r="2307">
      <c r="A2307" s="182"/>
      <c r="B2307" s="182"/>
      <c r="C2307" s="182"/>
      <c r="D2307" s="182"/>
      <c r="E2307" s="183"/>
      <c r="F2307" s="127"/>
      <c r="G2307" s="127"/>
      <c r="H2307" s="127"/>
      <c r="I2307" s="127"/>
    </row>
    <row r="2308">
      <c r="A2308" s="182"/>
      <c r="B2308" s="182"/>
      <c r="C2308" s="182"/>
      <c r="D2308" s="182"/>
      <c r="E2308" s="183"/>
      <c r="F2308" s="127"/>
      <c r="G2308" s="127"/>
      <c r="H2308" s="127"/>
      <c r="I2308" s="127"/>
    </row>
    <row r="2309">
      <c r="A2309" s="182"/>
      <c r="B2309" s="182"/>
      <c r="C2309" s="182"/>
      <c r="D2309" s="182"/>
      <c r="E2309" s="183"/>
      <c r="F2309" s="127"/>
      <c r="G2309" s="127"/>
      <c r="H2309" s="127"/>
      <c r="I2309" s="127"/>
    </row>
    <row r="2310">
      <c r="A2310" s="182"/>
      <c r="B2310" s="182"/>
      <c r="C2310" s="182"/>
      <c r="D2310" s="182"/>
      <c r="E2310" s="183"/>
      <c r="F2310" s="127"/>
      <c r="G2310" s="127"/>
      <c r="H2310" s="127"/>
      <c r="I2310" s="127"/>
    </row>
    <row r="2311">
      <c r="A2311" s="182"/>
      <c r="B2311" s="182"/>
      <c r="C2311" s="182"/>
      <c r="D2311" s="182"/>
      <c r="E2311" s="183"/>
      <c r="F2311" s="127"/>
      <c r="G2311" s="127"/>
      <c r="H2311" s="127"/>
      <c r="I2311" s="127"/>
    </row>
    <row r="2312">
      <c r="A2312" s="182"/>
      <c r="B2312" s="182"/>
      <c r="C2312" s="182"/>
      <c r="D2312" s="182"/>
      <c r="E2312" s="183"/>
      <c r="F2312" s="127"/>
      <c r="G2312" s="127"/>
      <c r="H2312" s="127"/>
      <c r="I2312" s="127"/>
    </row>
    <row r="2313">
      <c r="A2313" s="182"/>
      <c r="B2313" s="182"/>
      <c r="C2313" s="182"/>
      <c r="D2313" s="182"/>
      <c r="E2313" s="183"/>
      <c r="F2313" s="127"/>
      <c r="G2313" s="127"/>
      <c r="H2313" s="127"/>
      <c r="I2313" s="127"/>
    </row>
    <row r="2314">
      <c r="A2314" s="182"/>
      <c r="B2314" s="182"/>
      <c r="C2314" s="182"/>
      <c r="D2314" s="182"/>
      <c r="E2314" s="183"/>
      <c r="F2314" s="127"/>
      <c r="G2314" s="127"/>
      <c r="H2314" s="127"/>
      <c r="I2314" s="127"/>
    </row>
    <row r="2315">
      <c r="A2315" s="182"/>
      <c r="B2315" s="182"/>
      <c r="C2315" s="182"/>
      <c r="D2315" s="182"/>
      <c r="E2315" s="183"/>
      <c r="F2315" s="127"/>
      <c r="G2315" s="127"/>
      <c r="H2315" s="127"/>
      <c r="I2315" s="127"/>
    </row>
    <row r="2316">
      <c r="A2316" s="182"/>
      <c r="B2316" s="182"/>
      <c r="C2316" s="182"/>
      <c r="D2316" s="182"/>
      <c r="E2316" s="183"/>
      <c r="F2316" s="127"/>
      <c r="G2316" s="127"/>
      <c r="H2316" s="127"/>
      <c r="I2316" s="127"/>
    </row>
    <row r="2317">
      <c r="A2317" s="182"/>
      <c r="B2317" s="182"/>
      <c r="C2317" s="182"/>
      <c r="D2317" s="182"/>
      <c r="E2317" s="183"/>
      <c r="F2317" s="127"/>
      <c r="G2317" s="127"/>
      <c r="H2317" s="127"/>
      <c r="I2317" s="127"/>
    </row>
    <row r="2318">
      <c r="A2318" s="182"/>
      <c r="B2318" s="182"/>
      <c r="C2318" s="182"/>
      <c r="D2318" s="182"/>
      <c r="E2318" s="183"/>
      <c r="F2318" s="127"/>
      <c r="G2318" s="127"/>
      <c r="H2318" s="127"/>
      <c r="I2318" s="127"/>
    </row>
    <row r="2319">
      <c r="A2319" s="182"/>
      <c r="B2319" s="182"/>
      <c r="C2319" s="182"/>
      <c r="D2319" s="182"/>
      <c r="E2319" s="183"/>
      <c r="F2319" s="127"/>
      <c r="G2319" s="127"/>
      <c r="H2319" s="127"/>
      <c r="I2319" s="127"/>
    </row>
    <row r="2320">
      <c r="A2320" s="182"/>
      <c r="B2320" s="182"/>
      <c r="C2320" s="182"/>
      <c r="D2320" s="182"/>
      <c r="E2320" s="183"/>
      <c r="F2320" s="127"/>
      <c r="G2320" s="127"/>
      <c r="H2320" s="127"/>
      <c r="I2320" s="127"/>
    </row>
    <row r="2321">
      <c r="A2321" s="182"/>
      <c r="B2321" s="182"/>
      <c r="C2321" s="182"/>
      <c r="D2321" s="182"/>
      <c r="E2321" s="183"/>
      <c r="F2321" s="127"/>
      <c r="G2321" s="127"/>
      <c r="H2321" s="127"/>
      <c r="I2321" s="127"/>
    </row>
    <row r="2322">
      <c r="A2322" s="182"/>
      <c r="B2322" s="182"/>
      <c r="C2322" s="182"/>
      <c r="D2322" s="182"/>
      <c r="E2322" s="183"/>
      <c r="F2322" s="127"/>
      <c r="G2322" s="127"/>
      <c r="H2322" s="127"/>
      <c r="I2322" s="127"/>
    </row>
    <row r="2323">
      <c r="A2323" s="182"/>
      <c r="B2323" s="182"/>
      <c r="C2323" s="182"/>
      <c r="D2323" s="182"/>
      <c r="E2323" s="183"/>
      <c r="F2323" s="127"/>
      <c r="G2323" s="127"/>
      <c r="H2323" s="127"/>
      <c r="I2323" s="127"/>
    </row>
    <row r="2324">
      <c r="A2324" s="182"/>
      <c r="B2324" s="182"/>
      <c r="C2324" s="182"/>
      <c r="D2324" s="182"/>
      <c r="E2324" s="183"/>
      <c r="F2324" s="127"/>
      <c r="G2324" s="127"/>
      <c r="H2324" s="127"/>
      <c r="I2324" s="127"/>
    </row>
    <row r="2325">
      <c r="A2325" s="182"/>
      <c r="B2325" s="182"/>
      <c r="C2325" s="182"/>
      <c r="D2325" s="182"/>
      <c r="E2325" s="183"/>
      <c r="F2325" s="127"/>
      <c r="G2325" s="127"/>
      <c r="H2325" s="127"/>
      <c r="I2325" s="127"/>
    </row>
    <row r="2326">
      <c r="A2326" s="182"/>
      <c r="B2326" s="182"/>
      <c r="C2326" s="182"/>
      <c r="D2326" s="182"/>
      <c r="E2326" s="183"/>
      <c r="F2326" s="127"/>
      <c r="G2326" s="127"/>
      <c r="H2326" s="127"/>
      <c r="I2326" s="127"/>
    </row>
    <row r="2327">
      <c r="A2327" s="182"/>
      <c r="B2327" s="182"/>
      <c r="C2327" s="182"/>
      <c r="D2327" s="182"/>
      <c r="E2327" s="183"/>
      <c r="F2327" s="127"/>
      <c r="G2327" s="127"/>
      <c r="H2327" s="127"/>
      <c r="I2327" s="127"/>
    </row>
    <row r="2328">
      <c r="A2328" s="182"/>
      <c r="B2328" s="182"/>
      <c r="C2328" s="182"/>
      <c r="D2328" s="182"/>
      <c r="E2328" s="183"/>
      <c r="F2328" s="127"/>
      <c r="G2328" s="127"/>
      <c r="H2328" s="127"/>
      <c r="I2328" s="127"/>
    </row>
    <row r="2329">
      <c r="A2329" s="182"/>
      <c r="B2329" s="182"/>
      <c r="C2329" s="182"/>
      <c r="D2329" s="182"/>
      <c r="E2329" s="183"/>
      <c r="F2329" s="127"/>
      <c r="G2329" s="127"/>
      <c r="H2329" s="127"/>
      <c r="I2329" s="127"/>
    </row>
    <row r="2330">
      <c r="A2330" s="182"/>
      <c r="B2330" s="182"/>
      <c r="C2330" s="182"/>
      <c r="D2330" s="182"/>
      <c r="E2330" s="183"/>
      <c r="F2330" s="127"/>
      <c r="G2330" s="127"/>
      <c r="H2330" s="127"/>
      <c r="I2330" s="127"/>
    </row>
    <row r="2331">
      <c r="A2331" s="182"/>
      <c r="B2331" s="182"/>
      <c r="C2331" s="182"/>
      <c r="D2331" s="182"/>
      <c r="E2331" s="183"/>
      <c r="F2331" s="127"/>
      <c r="G2331" s="127"/>
      <c r="H2331" s="127"/>
      <c r="I2331" s="127"/>
    </row>
    <row r="2332">
      <c r="A2332" s="182"/>
      <c r="B2332" s="182"/>
      <c r="C2332" s="182"/>
      <c r="D2332" s="182"/>
      <c r="E2332" s="183"/>
      <c r="F2332" s="127"/>
      <c r="G2332" s="127"/>
      <c r="H2332" s="127"/>
      <c r="I2332" s="127"/>
    </row>
    <row r="2333">
      <c r="A2333" s="182"/>
      <c r="B2333" s="182"/>
      <c r="C2333" s="182"/>
      <c r="D2333" s="182"/>
      <c r="E2333" s="183"/>
      <c r="F2333" s="127"/>
      <c r="G2333" s="127"/>
      <c r="H2333" s="127"/>
      <c r="I2333" s="127"/>
    </row>
    <row r="2334">
      <c r="A2334" s="182"/>
      <c r="B2334" s="182"/>
      <c r="C2334" s="182"/>
      <c r="D2334" s="182"/>
      <c r="E2334" s="183"/>
      <c r="F2334" s="127"/>
      <c r="G2334" s="127"/>
      <c r="H2334" s="127"/>
      <c r="I2334" s="127"/>
    </row>
    <row r="2335">
      <c r="A2335" s="182"/>
      <c r="B2335" s="182"/>
      <c r="C2335" s="182"/>
      <c r="D2335" s="182"/>
      <c r="E2335" s="183"/>
      <c r="F2335" s="127"/>
      <c r="G2335" s="127"/>
      <c r="H2335" s="127"/>
      <c r="I2335" s="127"/>
    </row>
    <row r="2336">
      <c r="A2336" s="182"/>
      <c r="B2336" s="182"/>
      <c r="C2336" s="182"/>
      <c r="D2336" s="182"/>
      <c r="E2336" s="183"/>
      <c r="F2336" s="127"/>
      <c r="G2336" s="127"/>
      <c r="H2336" s="127"/>
      <c r="I2336" s="127"/>
    </row>
    <row r="2337">
      <c r="A2337" s="182"/>
      <c r="B2337" s="182"/>
      <c r="C2337" s="182"/>
      <c r="D2337" s="182"/>
      <c r="E2337" s="183"/>
      <c r="F2337" s="127"/>
      <c r="G2337" s="127"/>
      <c r="H2337" s="127"/>
      <c r="I2337" s="127"/>
    </row>
    <row r="2338">
      <c r="A2338" s="182"/>
      <c r="B2338" s="182"/>
      <c r="C2338" s="182"/>
      <c r="D2338" s="182"/>
      <c r="E2338" s="183"/>
      <c r="F2338" s="127"/>
      <c r="G2338" s="127"/>
      <c r="H2338" s="127"/>
      <c r="I2338" s="127"/>
    </row>
    <row r="2339">
      <c r="A2339" s="182"/>
      <c r="B2339" s="182"/>
      <c r="C2339" s="182"/>
      <c r="D2339" s="182"/>
      <c r="E2339" s="183"/>
      <c r="F2339" s="127"/>
      <c r="G2339" s="127"/>
      <c r="H2339" s="127"/>
      <c r="I2339" s="127"/>
    </row>
    <row r="2340">
      <c r="A2340" s="182"/>
      <c r="B2340" s="182"/>
      <c r="C2340" s="182"/>
      <c r="D2340" s="182"/>
      <c r="E2340" s="183"/>
      <c r="F2340" s="127"/>
      <c r="G2340" s="127"/>
      <c r="H2340" s="127"/>
      <c r="I2340" s="127"/>
    </row>
    <row r="2341">
      <c r="A2341" s="182"/>
      <c r="B2341" s="182"/>
      <c r="C2341" s="182"/>
      <c r="D2341" s="182"/>
      <c r="E2341" s="183"/>
      <c r="F2341" s="127"/>
      <c r="G2341" s="127"/>
      <c r="H2341" s="127"/>
      <c r="I2341" s="127"/>
    </row>
    <row r="2342">
      <c r="A2342" s="182"/>
      <c r="B2342" s="182"/>
      <c r="C2342" s="182"/>
      <c r="D2342" s="182"/>
      <c r="E2342" s="183"/>
      <c r="F2342" s="127"/>
      <c r="G2342" s="127"/>
      <c r="H2342" s="127"/>
      <c r="I2342" s="127"/>
    </row>
    <row r="2343">
      <c r="A2343" s="182"/>
      <c r="B2343" s="182"/>
      <c r="C2343" s="182"/>
      <c r="D2343" s="182"/>
      <c r="E2343" s="183"/>
      <c r="F2343" s="127"/>
      <c r="G2343" s="127"/>
      <c r="H2343" s="127"/>
      <c r="I2343" s="127"/>
    </row>
    <row r="2344">
      <c r="A2344" s="182"/>
      <c r="B2344" s="182"/>
      <c r="C2344" s="182"/>
      <c r="D2344" s="182"/>
      <c r="E2344" s="183"/>
      <c r="F2344" s="127"/>
      <c r="G2344" s="127"/>
      <c r="H2344" s="127"/>
      <c r="I2344" s="127"/>
    </row>
    <row r="2345">
      <c r="A2345" s="182"/>
      <c r="B2345" s="182"/>
      <c r="C2345" s="182"/>
      <c r="D2345" s="182"/>
      <c r="E2345" s="183"/>
      <c r="F2345" s="127"/>
      <c r="G2345" s="127"/>
      <c r="H2345" s="127"/>
      <c r="I2345" s="127"/>
    </row>
    <row r="2346">
      <c r="A2346" s="182"/>
      <c r="B2346" s="182"/>
      <c r="C2346" s="182"/>
      <c r="D2346" s="182"/>
      <c r="E2346" s="183"/>
      <c r="F2346" s="127"/>
      <c r="G2346" s="127"/>
      <c r="H2346" s="127"/>
      <c r="I2346" s="127"/>
    </row>
    <row r="2347">
      <c r="A2347" s="182"/>
      <c r="B2347" s="182"/>
      <c r="C2347" s="182"/>
      <c r="D2347" s="182"/>
      <c r="E2347" s="183"/>
      <c r="F2347" s="127"/>
      <c r="G2347" s="127"/>
      <c r="H2347" s="127"/>
      <c r="I2347" s="127"/>
    </row>
    <row r="2348">
      <c r="A2348" s="182"/>
      <c r="B2348" s="182"/>
      <c r="C2348" s="182"/>
      <c r="D2348" s="182"/>
      <c r="E2348" s="183"/>
      <c r="F2348" s="127"/>
      <c r="G2348" s="127"/>
      <c r="H2348" s="127"/>
      <c r="I2348" s="127"/>
    </row>
    <row r="2349">
      <c r="A2349" s="182"/>
      <c r="B2349" s="182"/>
      <c r="C2349" s="182"/>
      <c r="D2349" s="182"/>
      <c r="E2349" s="183"/>
      <c r="F2349" s="127"/>
      <c r="G2349" s="127"/>
      <c r="H2349" s="127"/>
      <c r="I2349" s="127"/>
    </row>
    <row r="2350">
      <c r="A2350" s="182"/>
      <c r="B2350" s="182"/>
      <c r="C2350" s="182"/>
      <c r="D2350" s="182"/>
      <c r="E2350" s="183"/>
      <c r="F2350" s="127"/>
      <c r="G2350" s="127"/>
      <c r="H2350" s="127"/>
      <c r="I2350" s="127"/>
    </row>
    <row r="2351">
      <c r="A2351" s="182"/>
      <c r="B2351" s="182"/>
      <c r="C2351" s="182"/>
      <c r="D2351" s="182"/>
      <c r="E2351" s="183"/>
      <c r="F2351" s="127"/>
      <c r="G2351" s="127"/>
      <c r="H2351" s="127"/>
      <c r="I2351" s="127"/>
    </row>
    <row r="2352">
      <c r="A2352" s="182"/>
      <c r="B2352" s="182"/>
      <c r="C2352" s="182"/>
      <c r="D2352" s="182"/>
      <c r="E2352" s="183"/>
      <c r="F2352" s="127"/>
      <c r="G2352" s="127"/>
      <c r="H2352" s="127"/>
      <c r="I2352" s="127"/>
    </row>
    <row r="2353">
      <c r="A2353" s="182"/>
      <c r="B2353" s="182"/>
      <c r="C2353" s="182"/>
      <c r="D2353" s="182"/>
      <c r="E2353" s="183"/>
      <c r="F2353" s="127"/>
      <c r="G2353" s="127"/>
      <c r="H2353" s="127"/>
      <c r="I2353" s="127"/>
    </row>
    <row r="2354">
      <c r="A2354" s="182"/>
      <c r="B2354" s="182"/>
      <c r="C2354" s="182"/>
      <c r="D2354" s="182"/>
      <c r="E2354" s="183"/>
      <c r="F2354" s="127"/>
      <c r="G2354" s="127"/>
      <c r="H2354" s="127"/>
      <c r="I2354" s="127"/>
    </row>
    <row r="2355">
      <c r="A2355" s="182"/>
      <c r="B2355" s="182"/>
      <c r="C2355" s="182"/>
      <c r="D2355" s="182"/>
      <c r="E2355" s="183"/>
      <c r="F2355" s="127"/>
      <c r="G2355" s="127"/>
      <c r="H2355" s="127"/>
      <c r="I2355" s="127"/>
    </row>
    <row r="2356">
      <c r="A2356" s="182"/>
      <c r="B2356" s="182"/>
      <c r="C2356" s="182"/>
      <c r="D2356" s="182"/>
      <c r="E2356" s="183"/>
      <c r="F2356" s="127"/>
      <c r="G2356" s="127"/>
      <c r="H2356" s="127"/>
      <c r="I2356" s="127"/>
    </row>
    <row r="2357">
      <c r="A2357" s="182"/>
      <c r="B2357" s="182"/>
      <c r="C2357" s="182"/>
      <c r="D2357" s="182"/>
      <c r="E2357" s="183"/>
      <c r="F2357" s="127"/>
      <c r="G2357" s="127"/>
      <c r="H2357" s="127"/>
      <c r="I2357" s="127"/>
    </row>
    <row r="2358">
      <c r="A2358" s="182"/>
      <c r="B2358" s="182"/>
      <c r="C2358" s="182"/>
      <c r="D2358" s="182"/>
      <c r="E2358" s="183"/>
      <c r="F2358" s="127"/>
      <c r="G2358" s="127"/>
      <c r="H2358" s="127"/>
      <c r="I2358" s="127"/>
    </row>
    <row r="2359">
      <c r="A2359" s="182"/>
      <c r="B2359" s="182"/>
      <c r="C2359" s="182"/>
      <c r="D2359" s="182"/>
      <c r="E2359" s="183"/>
      <c r="F2359" s="127"/>
      <c r="G2359" s="127"/>
      <c r="H2359" s="127"/>
      <c r="I2359" s="127"/>
    </row>
    <row r="2360">
      <c r="A2360" s="182"/>
      <c r="B2360" s="182"/>
      <c r="C2360" s="182"/>
      <c r="D2360" s="182"/>
      <c r="E2360" s="183"/>
      <c r="F2360" s="127"/>
      <c r="G2360" s="127"/>
      <c r="H2360" s="127"/>
      <c r="I2360" s="127"/>
    </row>
    <row r="2361">
      <c r="A2361" s="182"/>
      <c r="B2361" s="182"/>
      <c r="C2361" s="182"/>
      <c r="D2361" s="182"/>
      <c r="E2361" s="183"/>
      <c r="F2361" s="127"/>
      <c r="G2361" s="127"/>
      <c r="H2361" s="127"/>
      <c r="I2361" s="127"/>
    </row>
    <row r="2362">
      <c r="A2362" s="182"/>
      <c r="B2362" s="182"/>
      <c r="C2362" s="182"/>
      <c r="D2362" s="182"/>
      <c r="E2362" s="183"/>
      <c r="F2362" s="127"/>
      <c r="G2362" s="127"/>
      <c r="H2362" s="127"/>
      <c r="I2362" s="127"/>
    </row>
    <row r="2363">
      <c r="A2363" s="182"/>
      <c r="B2363" s="182"/>
      <c r="C2363" s="182"/>
      <c r="D2363" s="182"/>
      <c r="E2363" s="183"/>
      <c r="F2363" s="127"/>
      <c r="G2363" s="127"/>
      <c r="H2363" s="127"/>
      <c r="I2363" s="127"/>
    </row>
    <row r="2364">
      <c r="A2364" s="182"/>
      <c r="B2364" s="182"/>
      <c r="C2364" s="182"/>
      <c r="D2364" s="182"/>
      <c r="E2364" s="183"/>
      <c r="F2364" s="127"/>
      <c r="G2364" s="127"/>
      <c r="H2364" s="127"/>
      <c r="I2364" s="127"/>
    </row>
    <row r="2365">
      <c r="A2365" s="182"/>
      <c r="B2365" s="182"/>
      <c r="C2365" s="182"/>
      <c r="D2365" s="182"/>
      <c r="E2365" s="183"/>
      <c r="F2365" s="127"/>
      <c r="G2365" s="127"/>
      <c r="H2365" s="127"/>
      <c r="I2365" s="127"/>
    </row>
    <row r="2366">
      <c r="A2366" s="182"/>
      <c r="B2366" s="182"/>
      <c r="C2366" s="182"/>
      <c r="D2366" s="182"/>
      <c r="E2366" s="183"/>
      <c r="F2366" s="127"/>
      <c r="G2366" s="127"/>
      <c r="H2366" s="127"/>
      <c r="I2366" s="127"/>
    </row>
    <row r="2367">
      <c r="A2367" s="182"/>
      <c r="B2367" s="182"/>
      <c r="C2367" s="182"/>
      <c r="D2367" s="182"/>
      <c r="E2367" s="183"/>
      <c r="F2367" s="127"/>
      <c r="G2367" s="127"/>
      <c r="H2367" s="127"/>
      <c r="I2367" s="127"/>
    </row>
    <row r="2368">
      <c r="A2368" s="182"/>
      <c r="B2368" s="182"/>
      <c r="C2368" s="182"/>
      <c r="D2368" s="182"/>
      <c r="E2368" s="183"/>
      <c r="F2368" s="127"/>
      <c r="G2368" s="127"/>
      <c r="H2368" s="127"/>
      <c r="I2368" s="127"/>
    </row>
    <row r="2369">
      <c r="A2369" s="182"/>
      <c r="B2369" s="182"/>
      <c r="C2369" s="182"/>
      <c r="D2369" s="182"/>
      <c r="E2369" s="183"/>
      <c r="F2369" s="127"/>
      <c r="G2369" s="127"/>
      <c r="H2369" s="127"/>
      <c r="I2369" s="127"/>
    </row>
    <row r="2370">
      <c r="A2370" s="182"/>
      <c r="B2370" s="182"/>
      <c r="C2370" s="182"/>
      <c r="D2370" s="182"/>
      <c r="E2370" s="183"/>
      <c r="F2370" s="127"/>
      <c r="G2370" s="127"/>
      <c r="H2370" s="127"/>
      <c r="I2370" s="127"/>
    </row>
    <row r="2371">
      <c r="A2371" s="182"/>
      <c r="B2371" s="182"/>
      <c r="C2371" s="182"/>
      <c r="D2371" s="182"/>
      <c r="E2371" s="183"/>
      <c r="F2371" s="127"/>
      <c r="G2371" s="127"/>
      <c r="H2371" s="127"/>
      <c r="I2371" s="127"/>
    </row>
    <row r="2372">
      <c r="A2372" s="182"/>
      <c r="B2372" s="182"/>
      <c r="C2372" s="182"/>
      <c r="D2372" s="182"/>
      <c r="E2372" s="183"/>
      <c r="F2372" s="127"/>
      <c r="G2372" s="127"/>
      <c r="H2372" s="127"/>
      <c r="I2372" s="127"/>
    </row>
    <row r="2373">
      <c r="A2373" s="182"/>
      <c r="B2373" s="182"/>
      <c r="C2373" s="182"/>
      <c r="D2373" s="182"/>
      <c r="E2373" s="183"/>
      <c r="F2373" s="127"/>
      <c r="G2373" s="127"/>
      <c r="H2373" s="127"/>
      <c r="I2373" s="127"/>
    </row>
    <row r="2374">
      <c r="A2374" s="182"/>
      <c r="B2374" s="182"/>
      <c r="C2374" s="182"/>
      <c r="D2374" s="182"/>
      <c r="E2374" s="183"/>
      <c r="F2374" s="127"/>
      <c r="G2374" s="127"/>
      <c r="H2374" s="127"/>
      <c r="I2374" s="127"/>
    </row>
    <row r="2375">
      <c r="A2375" s="182"/>
      <c r="B2375" s="182"/>
      <c r="C2375" s="182"/>
      <c r="D2375" s="182"/>
      <c r="E2375" s="183"/>
      <c r="F2375" s="127"/>
      <c r="G2375" s="127"/>
      <c r="H2375" s="127"/>
      <c r="I2375" s="127"/>
    </row>
    <row r="2376">
      <c r="A2376" s="182"/>
      <c r="B2376" s="182"/>
      <c r="C2376" s="182"/>
      <c r="D2376" s="182"/>
      <c r="E2376" s="183"/>
      <c r="F2376" s="127"/>
      <c r="G2376" s="127"/>
      <c r="H2376" s="127"/>
      <c r="I2376" s="127"/>
    </row>
    <row r="2377">
      <c r="A2377" s="182"/>
      <c r="B2377" s="182"/>
      <c r="C2377" s="182"/>
      <c r="D2377" s="182"/>
      <c r="E2377" s="183"/>
      <c r="F2377" s="127"/>
      <c r="G2377" s="127"/>
      <c r="H2377" s="127"/>
      <c r="I2377" s="127"/>
    </row>
    <row r="2378">
      <c r="A2378" s="182"/>
      <c r="B2378" s="182"/>
      <c r="C2378" s="182"/>
      <c r="D2378" s="182"/>
      <c r="E2378" s="183"/>
      <c r="F2378" s="127"/>
      <c r="G2378" s="127"/>
      <c r="H2378" s="127"/>
      <c r="I2378" s="127"/>
    </row>
    <row r="2379">
      <c r="A2379" s="182"/>
      <c r="B2379" s="182"/>
      <c r="C2379" s="182"/>
      <c r="D2379" s="182"/>
      <c r="E2379" s="183"/>
      <c r="F2379" s="127"/>
      <c r="G2379" s="127"/>
      <c r="H2379" s="127"/>
      <c r="I2379" s="127"/>
    </row>
    <row r="2380">
      <c r="A2380" s="182"/>
      <c r="B2380" s="182"/>
      <c r="C2380" s="182"/>
      <c r="D2380" s="182"/>
      <c r="E2380" s="183"/>
      <c r="F2380" s="127"/>
      <c r="G2380" s="127"/>
      <c r="H2380" s="127"/>
      <c r="I2380" s="127"/>
    </row>
    <row r="2381">
      <c r="A2381" s="182"/>
      <c r="B2381" s="182"/>
      <c r="C2381" s="182"/>
      <c r="D2381" s="182"/>
      <c r="E2381" s="183"/>
      <c r="F2381" s="127"/>
      <c r="G2381" s="127"/>
      <c r="H2381" s="127"/>
      <c r="I2381" s="127"/>
    </row>
    <row r="2382">
      <c r="A2382" s="182"/>
      <c r="B2382" s="182"/>
      <c r="C2382" s="182"/>
      <c r="D2382" s="182"/>
      <c r="E2382" s="183"/>
      <c r="F2382" s="127"/>
      <c r="G2382" s="127"/>
      <c r="H2382" s="127"/>
      <c r="I2382" s="127"/>
    </row>
    <row r="2383">
      <c r="A2383" s="182"/>
      <c r="B2383" s="182"/>
      <c r="C2383" s="182"/>
      <c r="D2383" s="182"/>
      <c r="E2383" s="183"/>
      <c r="F2383" s="127"/>
      <c r="G2383" s="127"/>
      <c r="H2383" s="127"/>
      <c r="I2383" s="127"/>
    </row>
    <row r="2384">
      <c r="A2384" s="182"/>
      <c r="B2384" s="182"/>
      <c r="C2384" s="182"/>
      <c r="D2384" s="182"/>
      <c r="E2384" s="183"/>
      <c r="F2384" s="127"/>
      <c r="G2384" s="127"/>
      <c r="H2384" s="127"/>
      <c r="I2384" s="127"/>
    </row>
    <row r="2385">
      <c r="A2385" s="182"/>
      <c r="B2385" s="182"/>
      <c r="C2385" s="182"/>
      <c r="D2385" s="182"/>
      <c r="E2385" s="183"/>
      <c r="F2385" s="127"/>
      <c r="G2385" s="127"/>
      <c r="H2385" s="127"/>
      <c r="I2385" s="127"/>
    </row>
    <row r="2386">
      <c r="A2386" s="182"/>
      <c r="B2386" s="182"/>
      <c r="C2386" s="182"/>
      <c r="D2386" s="182"/>
      <c r="E2386" s="183"/>
      <c r="F2386" s="127"/>
      <c r="G2386" s="127"/>
      <c r="H2386" s="127"/>
      <c r="I2386" s="127"/>
    </row>
    <row r="2387">
      <c r="A2387" s="182"/>
      <c r="B2387" s="182"/>
      <c r="C2387" s="182"/>
      <c r="D2387" s="182"/>
      <c r="E2387" s="183"/>
      <c r="F2387" s="127"/>
      <c r="G2387" s="127"/>
      <c r="H2387" s="127"/>
      <c r="I2387" s="127"/>
    </row>
    <row r="2388">
      <c r="A2388" s="182"/>
      <c r="B2388" s="182"/>
      <c r="C2388" s="182"/>
      <c r="D2388" s="182"/>
      <c r="E2388" s="183"/>
      <c r="F2388" s="127"/>
      <c r="G2388" s="127"/>
      <c r="H2388" s="127"/>
      <c r="I2388" s="127"/>
    </row>
    <row r="2389">
      <c r="A2389" s="182"/>
      <c r="B2389" s="182"/>
      <c r="C2389" s="182"/>
      <c r="D2389" s="182"/>
      <c r="E2389" s="183"/>
      <c r="F2389" s="127"/>
      <c r="G2389" s="127"/>
      <c r="H2389" s="127"/>
      <c r="I2389" s="127"/>
    </row>
    <row r="2390">
      <c r="A2390" s="182"/>
      <c r="B2390" s="182"/>
      <c r="C2390" s="182"/>
      <c r="D2390" s="182"/>
      <c r="E2390" s="183"/>
      <c r="F2390" s="127"/>
      <c r="G2390" s="127"/>
      <c r="H2390" s="127"/>
      <c r="I2390" s="127"/>
    </row>
    <row r="2391">
      <c r="A2391" s="182"/>
      <c r="B2391" s="182"/>
      <c r="C2391" s="182"/>
      <c r="D2391" s="182"/>
      <c r="E2391" s="183"/>
      <c r="F2391" s="127"/>
      <c r="G2391" s="127"/>
      <c r="H2391" s="127"/>
      <c r="I2391" s="127"/>
    </row>
    <row r="2392">
      <c r="A2392" s="182"/>
      <c r="B2392" s="182"/>
      <c r="C2392" s="182"/>
      <c r="D2392" s="182"/>
      <c r="E2392" s="183"/>
      <c r="F2392" s="127"/>
      <c r="G2392" s="127"/>
      <c r="H2392" s="127"/>
      <c r="I2392" s="127"/>
    </row>
    <row r="2393">
      <c r="A2393" s="182"/>
      <c r="B2393" s="182"/>
      <c r="C2393" s="182"/>
      <c r="D2393" s="182"/>
      <c r="E2393" s="183"/>
      <c r="F2393" s="127"/>
      <c r="G2393" s="127"/>
      <c r="H2393" s="127"/>
      <c r="I2393" s="127"/>
    </row>
    <row r="2394">
      <c r="A2394" s="182"/>
      <c r="B2394" s="182"/>
      <c r="C2394" s="182"/>
      <c r="D2394" s="182"/>
      <c r="E2394" s="183"/>
      <c r="F2394" s="127"/>
      <c r="G2394" s="127"/>
      <c r="H2394" s="127"/>
      <c r="I2394" s="127"/>
    </row>
    <row r="2395">
      <c r="A2395" s="182"/>
      <c r="B2395" s="182"/>
      <c r="C2395" s="182"/>
      <c r="D2395" s="182"/>
      <c r="E2395" s="183"/>
      <c r="F2395" s="127"/>
      <c r="G2395" s="127"/>
      <c r="H2395" s="127"/>
      <c r="I2395" s="127"/>
    </row>
    <row r="2396">
      <c r="A2396" s="182"/>
      <c r="B2396" s="182"/>
      <c r="C2396" s="182"/>
      <c r="D2396" s="182"/>
      <c r="E2396" s="183"/>
      <c r="F2396" s="127"/>
      <c r="G2396" s="127"/>
      <c r="H2396" s="127"/>
      <c r="I2396" s="127"/>
    </row>
    <row r="2397">
      <c r="A2397" s="182"/>
      <c r="B2397" s="182"/>
      <c r="C2397" s="182"/>
      <c r="D2397" s="182"/>
      <c r="E2397" s="183"/>
      <c r="F2397" s="127"/>
      <c r="G2397" s="127"/>
      <c r="H2397" s="127"/>
      <c r="I2397" s="127"/>
    </row>
    <row r="2398">
      <c r="A2398" s="182"/>
      <c r="B2398" s="182"/>
      <c r="C2398" s="182"/>
      <c r="D2398" s="182"/>
      <c r="E2398" s="183"/>
      <c r="F2398" s="127"/>
      <c r="G2398" s="127"/>
      <c r="H2398" s="127"/>
      <c r="I2398" s="127"/>
    </row>
    <row r="2399">
      <c r="A2399" s="182"/>
      <c r="B2399" s="182"/>
      <c r="C2399" s="182"/>
      <c r="D2399" s="182"/>
      <c r="E2399" s="183"/>
      <c r="F2399" s="127"/>
      <c r="G2399" s="127"/>
      <c r="H2399" s="127"/>
      <c r="I2399" s="127"/>
    </row>
    <row r="2400">
      <c r="A2400" s="182"/>
      <c r="B2400" s="182"/>
      <c r="C2400" s="182"/>
      <c r="D2400" s="182"/>
      <c r="E2400" s="183"/>
      <c r="F2400" s="127"/>
      <c r="G2400" s="127"/>
      <c r="H2400" s="127"/>
      <c r="I2400" s="127"/>
    </row>
    <row r="2401">
      <c r="A2401" s="182"/>
      <c r="B2401" s="182"/>
      <c r="C2401" s="182"/>
      <c r="D2401" s="182"/>
      <c r="E2401" s="183"/>
      <c r="F2401" s="127"/>
      <c r="G2401" s="127"/>
      <c r="H2401" s="127"/>
      <c r="I2401" s="127"/>
    </row>
    <row r="2402">
      <c r="A2402" s="182"/>
      <c r="B2402" s="183"/>
      <c r="C2402" s="182"/>
      <c r="D2402" s="182"/>
      <c r="E2402" s="183"/>
      <c r="F2402" s="127"/>
      <c r="G2402" s="127"/>
      <c r="H2402" s="127"/>
      <c r="I2402" s="127"/>
    </row>
    <row r="2403">
      <c r="A2403" s="182"/>
      <c r="B2403" s="182"/>
      <c r="C2403" s="182"/>
      <c r="D2403" s="182"/>
      <c r="E2403" s="183"/>
      <c r="F2403" s="127"/>
      <c r="G2403" s="127"/>
      <c r="H2403" s="127"/>
      <c r="I2403" s="127"/>
    </row>
    <row r="2404">
      <c r="A2404" s="182"/>
      <c r="B2404" s="182"/>
      <c r="C2404" s="182"/>
      <c r="D2404" s="182"/>
      <c r="E2404" s="183"/>
      <c r="F2404" s="127"/>
      <c r="G2404" s="127"/>
      <c r="H2404" s="127"/>
      <c r="I2404" s="127"/>
    </row>
    <row r="2405">
      <c r="A2405" s="182"/>
      <c r="B2405" s="182"/>
      <c r="C2405" s="182"/>
      <c r="D2405" s="182"/>
      <c r="E2405" s="183"/>
      <c r="F2405" s="127"/>
      <c r="G2405" s="127"/>
      <c r="H2405" s="127"/>
      <c r="I2405" s="127"/>
    </row>
    <row r="2406">
      <c r="A2406" s="182"/>
      <c r="B2406" s="182"/>
      <c r="C2406" s="182"/>
      <c r="D2406" s="182"/>
      <c r="E2406" s="183"/>
      <c r="F2406" s="127"/>
      <c r="G2406" s="127"/>
      <c r="H2406" s="127"/>
      <c r="I2406" s="127"/>
    </row>
    <row r="2407">
      <c r="A2407" s="182"/>
      <c r="B2407" s="182"/>
      <c r="C2407" s="182"/>
      <c r="D2407" s="182"/>
      <c r="E2407" s="183"/>
      <c r="F2407" s="127"/>
      <c r="G2407" s="127"/>
      <c r="H2407" s="127"/>
      <c r="I2407" s="127"/>
    </row>
    <row r="2408">
      <c r="A2408" s="182"/>
      <c r="B2408" s="182"/>
      <c r="C2408" s="182"/>
      <c r="D2408" s="182"/>
      <c r="E2408" s="183"/>
      <c r="F2408" s="127"/>
      <c r="G2408" s="127"/>
      <c r="H2408" s="127"/>
      <c r="I2408" s="127"/>
    </row>
    <row r="2409">
      <c r="A2409" s="182"/>
      <c r="B2409" s="182"/>
      <c r="C2409" s="182"/>
      <c r="D2409" s="182"/>
      <c r="E2409" s="183"/>
      <c r="F2409" s="127"/>
      <c r="G2409" s="127"/>
      <c r="H2409" s="127"/>
      <c r="I2409" s="127"/>
    </row>
    <row r="2410">
      <c r="A2410" s="182"/>
      <c r="B2410" s="182"/>
      <c r="C2410" s="182"/>
      <c r="D2410" s="182"/>
      <c r="E2410" s="183"/>
      <c r="F2410" s="127"/>
      <c r="G2410" s="127"/>
      <c r="H2410" s="127"/>
      <c r="I2410" s="127"/>
    </row>
    <row r="2411">
      <c r="A2411" s="182"/>
      <c r="B2411" s="182"/>
      <c r="C2411" s="182"/>
      <c r="D2411" s="182"/>
      <c r="E2411" s="183"/>
      <c r="F2411" s="127"/>
      <c r="G2411" s="127"/>
      <c r="H2411" s="127"/>
      <c r="I2411" s="127"/>
    </row>
    <row r="2412">
      <c r="A2412" s="182"/>
      <c r="B2412" s="182"/>
      <c r="C2412" s="182"/>
      <c r="D2412" s="182"/>
      <c r="E2412" s="183"/>
      <c r="F2412" s="127"/>
      <c r="G2412" s="127"/>
      <c r="H2412" s="127"/>
      <c r="I2412" s="127"/>
    </row>
    <row r="2413">
      <c r="A2413" s="182"/>
      <c r="B2413" s="182"/>
      <c r="C2413" s="182"/>
      <c r="D2413" s="182"/>
      <c r="E2413" s="183"/>
      <c r="F2413" s="127"/>
      <c r="G2413" s="127"/>
      <c r="H2413" s="127"/>
      <c r="I2413" s="127"/>
    </row>
    <row r="2414">
      <c r="A2414" s="182"/>
      <c r="B2414" s="182"/>
      <c r="C2414" s="182"/>
      <c r="D2414" s="182"/>
      <c r="E2414" s="183"/>
      <c r="F2414" s="127"/>
      <c r="G2414" s="127"/>
      <c r="H2414" s="127"/>
      <c r="I2414" s="127"/>
    </row>
    <row r="2415">
      <c r="A2415" s="182"/>
      <c r="B2415" s="182"/>
      <c r="C2415" s="182"/>
      <c r="D2415" s="182"/>
      <c r="E2415" s="183"/>
      <c r="F2415" s="127"/>
      <c r="G2415" s="127"/>
      <c r="H2415" s="127"/>
      <c r="I2415" s="127"/>
    </row>
    <row r="2416">
      <c r="A2416" s="182"/>
      <c r="B2416" s="182"/>
      <c r="C2416" s="182"/>
      <c r="D2416" s="182"/>
      <c r="E2416" s="183"/>
      <c r="F2416" s="127"/>
      <c r="G2416" s="127"/>
      <c r="H2416" s="127"/>
      <c r="I2416" s="127"/>
    </row>
    <row r="2417">
      <c r="A2417" s="182"/>
      <c r="B2417" s="182"/>
      <c r="C2417" s="182"/>
      <c r="D2417" s="182"/>
      <c r="E2417" s="183"/>
      <c r="F2417" s="127"/>
      <c r="G2417" s="127"/>
      <c r="H2417" s="127"/>
      <c r="I2417" s="127"/>
    </row>
    <row r="2418">
      <c r="A2418" s="182"/>
      <c r="B2418" s="182"/>
      <c r="C2418" s="182"/>
      <c r="D2418" s="182"/>
      <c r="E2418" s="183"/>
      <c r="F2418" s="127"/>
      <c r="G2418" s="127"/>
      <c r="H2418" s="127"/>
      <c r="I2418" s="127"/>
    </row>
    <row r="2419">
      <c r="A2419" s="182"/>
      <c r="B2419" s="182"/>
      <c r="C2419" s="182"/>
      <c r="D2419" s="182"/>
      <c r="E2419" s="183"/>
      <c r="F2419" s="127"/>
      <c r="G2419" s="127"/>
      <c r="H2419" s="127"/>
      <c r="I2419" s="127"/>
    </row>
    <row r="2420">
      <c r="A2420" s="182"/>
      <c r="B2420" s="182"/>
      <c r="C2420" s="182"/>
      <c r="D2420" s="182"/>
      <c r="E2420" s="183"/>
      <c r="F2420" s="127"/>
      <c r="G2420" s="127"/>
      <c r="H2420" s="127"/>
      <c r="I2420" s="127"/>
    </row>
    <row r="2421">
      <c r="A2421" s="182"/>
      <c r="B2421" s="182"/>
      <c r="C2421" s="182"/>
      <c r="D2421" s="182"/>
      <c r="E2421" s="183"/>
      <c r="F2421" s="127"/>
      <c r="G2421" s="127"/>
      <c r="H2421" s="127"/>
      <c r="I2421" s="127"/>
    </row>
    <row r="2422">
      <c r="A2422" s="182"/>
      <c r="B2422" s="182"/>
      <c r="C2422" s="182"/>
      <c r="D2422" s="182"/>
      <c r="E2422" s="183"/>
      <c r="F2422" s="127"/>
      <c r="G2422" s="127"/>
      <c r="H2422" s="127"/>
      <c r="I2422" s="127"/>
    </row>
    <row r="2423">
      <c r="A2423" s="182"/>
      <c r="B2423" s="182"/>
      <c r="C2423" s="182"/>
      <c r="D2423" s="182"/>
      <c r="E2423" s="183"/>
      <c r="F2423" s="127"/>
      <c r="G2423" s="127"/>
      <c r="H2423" s="127"/>
      <c r="I2423" s="127"/>
    </row>
    <row r="2424">
      <c r="A2424" s="182"/>
      <c r="B2424" s="182"/>
      <c r="C2424" s="182"/>
      <c r="D2424" s="182"/>
      <c r="E2424" s="183"/>
      <c r="F2424" s="127"/>
      <c r="G2424" s="127"/>
      <c r="H2424" s="127"/>
      <c r="I2424" s="127"/>
    </row>
    <row r="2425">
      <c r="A2425" s="182"/>
      <c r="B2425" s="182"/>
      <c r="C2425" s="182"/>
      <c r="D2425" s="182"/>
      <c r="E2425" s="183"/>
      <c r="F2425" s="127"/>
      <c r="G2425" s="127"/>
      <c r="H2425" s="127"/>
      <c r="I2425" s="127"/>
    </row>
    <row r="2426">
      <c r="A2426" s="182"/>
      <c r="B2426" s="182"/>
      <c r="C2426" s="182"/>
      <c r="D2426" s="182"/>
      <c r="E2426" s="183"/>
      <c r="F2426" s="127"/>
      <c r="G2426" s="127"/>
      <c r="H2426" s="127"/>
      <c r="I2426" s="127"/>
    </row>
    <row r="2427">
      <c r="A2427" s="182"/>
      <c r="B2427" s="182"/>
      <c r="C2427" s="182"/>
      <c r="D2427" s="182"/>
      <c r="E2427" s="183"/>
      <c r="F2427" s="127"/>
      <c r="G2427" s="127"/>
      <c r="H2427" s="127"/>
      <c r="I2427" s="127"/>
    </row>
    <row r="2428">
      <c r="A2428" s="182"/>
      <c r="B2428" s="182"/>
      <c r="C2428" s="182"/>
      <c r="D2428" s="182"/>
      <c r="E2428" s="183"/>
      <c r="F2428" s="127"/>
      <c r="G2428" s="127"/>
      <c r="H2428" s="127"/>
      <c r="I2428" s="127"/>
    </row>
    <row r="2429">
      <c r="A2429" s="182"/>
      <c r="B2429" s="182"/>
      <c r="C2429" s="182"/>
      <c r="D2429" s="182"/>
      <c r="E2429" s="183"/>
      <c r="F2429" s="127"/>
      <c r="G2429" s="127"/>
      <c r="H2429" s="127"/>
      <c r="I2429" s="127"/>
    </row>
    <row r="2430">
      <c r="A2430" s="182"/>
      <c r="B2430" s="182"/>
      <c r="C2430" s="182"/>
      <c r="D2430" s="182"/>
      <c r="E2430" s="183"/>
      <c r="F2430" s="127"/>
      <c r="G2430" s="127"/>
      <c r="H2430" s="127"/>
      <c r="I2430" s="127"/>
    </row>
    <row r="2431">
      <c r="A2431" s="182"/>
      <c r="B2431" s="182"/>
      <c r="C2431" s="182"/>
      <c r="D2431" s="182"/>
      <c r="E2431" s="183"/>
      <c r="F2431" s="127"/>
      <c r="G2431" s="127"/>
      <c r="H2431" s="127"/>
      <c r="I2431" s="127"/>
    </row>
    <row r="2432">
      <c r="A2432" s="182"/>
      <c r="B2432" s="182"/>
      <c r="C2432" s="182"/>
      <c r="D2432" s="182"/>
      <c r="E2432" s="183"/>
      <c r="F2432" s="127"/>
      <c r="G2432" s="127"/>
      <c r="H2432" s="127"/>
      <c r="I2432" s="127"/>
    </row>
    <row r="2433">
      <c r="A2433" s="182"/>
      <c r="B2433" s="182"/>
      <c r="C2433" s="182"/>
      <c r="D2433" s="182"/>
      <c r="E2433" s="183"/>
      <c r="F2433" s="127"/>
      <c r="G2433" s="127"/>
      <c r="H2433" s="127"/>
      <c r="I2433" s="127"/>
    </row>
    <row r="2434">
      <c r="A2434" s="182"/>
      <c r="B2434" s="182"/>
      <c r="C2434" s="182"/>
      <c r="D2434" s="182"/>
      <c r="E2434" s="183"/>
      <c r="F2434" s="127"/>
      <c r="G2434" s="127"/>
      <c r="H2434" s="127"/>
      <c r="I2434" s="127"/>
    </row>
    <row r="2435">
      <c r="A2435" s="182"/>
      <c r="B2435" s="182"/>
      <c r="C2435" s="182"/>
      <c r="D2435" s="182"/>
      <c r="E2435" s="183"/>
      <c r="F2435" s="127"/>
      <c r="G2435" s="127"/>
      <c r="H2435" s="127"/>
      <c r="I2435" s="127"/>
    </row>
    <row r="2436">
      <c r="A2436" s="182"/>
      <c r="B2436" s="182"/>
      <c r="C2436" s="182"/>
      <c r="D2436" s="182"/>
      <c r="E2436" s="183"/>
      <c r="F2436" s="127"/>
      <c r="G2436" s="127"/>
      <c r="H2436" s="127"/>
      <c r="I2436" s="127"/>
    </row>
    <row r="2437">
      <c r="A2437" s="182"/>
      <c r="B2437" s="182"/>
      <c r="C2437" s="182"/>
      <c r="D2437" s="182"/>
      <c r="E2437" s="183"/>
      <c r="F2437" s="127"/>
      <c r="G2437" s="127"/>
      <c r="H2437" s="127"/>
      <c r="I2437" s="127"/>
    </row>
    <row r="2438">
      <c r="A2438" s="182"/>
      <c r="B2438" s="182"/>
      <c r="C2438" s="182"/>
      <c r="D2438" s="182"/>
      <c r="E2438" s="183"/>
      <c r="F2438" s="127"/>
      <c r="G2438" s="127"/>
      <c r="H2438" s="127"/>
      <c r="I2438" s="127"/>
    </row>
    <row r="2439">
      <c r="A2439" s="182"/>
      <c r="B2439" s="182"/>
      <c r="C2439" s="182"/>
      <c r="D2439" s="182"/>
      <c r="E2439" s="183"/>
      <c r="F2439" s="127"/>
      <c r="G2439" s="127"/>
      <c r="H2439" s="127"/>
      <c r="I2439" s="127"/>
    </row>
    <row r="2440">
      <c r="A2440" s="182"/>
      <c r="B2440" s="182"/>
      <c r="C2440" s="182"/>
      <c r="D2440" s="182"/>
      <c r="E2440" s="183"/>
      <c r="F2440" s="127"/>
      <c r="G2440" s="127"/>
      <c r="H2440" s="127"/>
      <c r="I2440" s="127"/>
    </row>
    <row r="2441">
      <c r="A2441" s="182"/>
      <c r="B2441" s="182"/>
      <c r="C2441" s="182"/>
      <c r="D2441" s="182"/>
      <c r="E2441" s="183"/>
      <c r="F2441" s="127"/>
      <c r="G2441" s="127"/>
      <c r="H2441" s="127"/>
      <c r="I2441" s="127"/>
    </row>
    <row r="2442">
      <c r="A2442" s="182"/>
      <c r="B2442" s="182"/>
      <c r="C2442" s="182"/>
      <c r="D2442" s="182"/>
      <c r="E2442" s="183"/>
      <c r="F2442" s="127"/>
      <c r="G2442" s="127"/>
      <c r="H2442" s="127"/>
      <c r="I2442" s="127"/>
    </row>
    <row r="2443">
      <c r="A2443" s="182"/>
      <c r="B2443" s="182"/>
      <c r="C2443" s="182"/>
      <c r="D2443" s="182"/>
      <c r="E2443" s="183"/>
      <c r="F2443" s="127"/>
      <c r="G2443" s="127"/>
      <c r="H2443" s="127"/>
      <c r="I2443" s="127"/>
    </row>
    <row r="2444">
      <c r="A2444" s="182"/>
      <c r="B2444" s="182"/>
      <c r="C2444" s="182"/>
      <c r="D2444" s="182"/>
      <c r="E2444" s="183"/>
      <c r="F2444" s="127"/>
      <c r="G2444" s="127"/>
      <c r="H2444" s="127"/>
      <c r="I2444" s="127"/>
    </row>
    <row r="2445">
      <c r="A2445" s="182"/>
      <c r="B2445" s="182"/>
      <c r="C2445" s="182"/>
      <c r="D2445" s="182"/>
      <c r="E2445" s="183"/>
      <c r="F2445" s="127"/>
      <c r="G2445" s="127"/>
      <c r="H2445" s="127"/>
      <c r="I2445" s="127"/>
    </row>
    <row r="2446">
      <c r="A2446" s="182"/>
      <c r="B2446" s="182"/>
      <c r="C2446" s="182"/>
      <c r="D2446" s="182"/>
      <c r="E2446" s="183"/>
      <c r="F2446" s="127"/>
      <c r="G2446" s="127"/>
      <c r="H2446" s="127"/>
      <c r="I2446" s="127"/>
    </row>
    <row r="2447">
      <c r="A2447" s="182"/>
      <c r="B2447" s="182"/>
      <c r="C2447" s="182"/>
      <c r="D2447" s="182"/>
      <c r="E2447" s="183"/>
      <c r="F2447" s="127"/>
      <c r="G2447" s="127"/>
      <c r="H2447" s="127"/>
      <c r="I2447" s="127"/>
    </row>
    <row r="2448">
      <c r="A2448" s="182"/>
      <c r="B2448" s="182"/>
      <c r="C2448" s="182"/>
      <c r="D2448" s="182"/>
      <c r="E2448" s="183"/>
      <c r="F2448" s="127"/>
      <c r="G2448" s="127"/>
      <c r="H2448" s="127"/>
      <c r="I2448" s="127"/>
    </row>
    <row r="2449">
      <c r="A2449" s="182"/>
      <c r="B2449" s="182"/>
      <c r="C2449" s="182"/>
      <c r="D2449" s="182"/>
      <c r="E2449" s="183"/>
      <c r="F2449" s="127"/>
      <c r="G2449" s="127"/>
      <c r="H2449" s="127"/>
      <c r="I2449" s="127"/>
    </row>
    <row r="2450">
      <c r="A2450" s="182"/>
      <c r="B2450" s="182"/>
      <c r="C2450" s="182"/>
      <c r="D2450" s="182"/>
      <c r="E2450" s="183"/>
      <c r="F2450" s="127"/>
      <c r="G2450" s="127"/>
      <c r="H2450" s="127"/>
      <c r="I2450" s="127"/>
    </row>
    <row r="2451">
      <c r="A2451" s="182"/>
      <c r="B2451" s="182"/>
      <c r="C2451" s="182"/>
      <c r="D2451" s="182"/>
      <c r="E2451" s="183"/>
      <c r="F2451" s="127"/>
      <c r="G2451" s="127"/>
      <c r="H2451" s="127"/>
      <c r="I2451" s="127"/>
    </row>
    <row r="2452">
      <c r="A2452" s="182"/>
      <c r="B2452" s="182"/>
      <c r="C2452" s="182"/>
      <c r="D2452" s="182"/>
      <c r="E2452" s="183"/>
      <c r="F2452" s="127"/>
      <c r="G2452" s="127"/>
      <c r="H2452" s="127"/>
      <c r="I2452" s="127"/>
    </row>
    <row r="2453">
      <c r="A2453" s="182"/>
      <c r="B2453" s="182"/>
      <c r="C2453" s="182"/>
      <c r="D2453" s="182"/>
      <c r="E2453" s="183"/>
      <c r="F2453" s="127"/>
      <c r="G2453" s="127"/>
      <c r="H2453" s="127"/>
      <c r="I2453" s="127"/>
    </row>
    <row r="2454">
      <c r="A2454" s="182"/>
      <c r="B2454" s="182"/>
      <c r="C2454" s="182"/>
      <c r="D2454" s="182"/>
      <c r="E2454" s="183"/>
      <c r="F2454" s="127"/>
      <c r="G2454" s="127"/>
      <c r="H2454" s="127"/>
      <c r="I2454" s="127"/>
    </row>
    <row r="2455">
      <c r="A2455" s="182"/>
      <c r="B2455" s="182"/>
      <c r="C2455" s="182"/>
      <c r="D2455" s="182"/>
      <c r="E2455" s="183"/>
      <c r="F2455" s="127"/>
      <c r="G2455" s="127"/>
      <c r="H2455" s="127"/>
      <c r="I2455" s="127"/>
    </row>
    <row r="2456">
      <c r="A2456" s="182"/>
      <c r="B2456" s="182"/>
      <c r="C2456" s="182"/>
      <c r="D2456" s="182"/>
      <c r="E2456" s="183"/>
      <c r="F2456" s="127"/>
      <c r="G2456" s="127"/>
      <c r="H2456" s="127"/>
      <c r="I2456" s="127"/>
    </row>
    <row r="2457">
      <c r="A2457" s="182"/>
      <c r="B2457" s="182"/>
      <c r="C2457" s="182"/>
      <c r="D2457" s="182"/>
      <c r="E2457" s="183"/>
      <c r="F2457" s="127"/>
      <c r="G2457" s="127"/>
      <c r="H2457" s="127"/>
      <c r="I2457" s="127"/>
    </row>
    <row r="2458">
      <c r="A2458" s="182"/>
      <c r="B2458" s="182"/>
      <c r="C2458" s="182"/>
      <c r="D2458" s="182"/>
      <c r="E2458" s="183"/>
      <c r="F2458" s="127"/>
      <c r="G2458" s="127"/>
      <c r="H2458" s="127"/>
      <c r="I2458" s="127"/>
    </row>
    <row r="2459">
      <c r="A2459" s="182"/>
      <c r="B2459" s="182"/>
      <c r="C2459" s="182"/>
      <c r="D2459" s="182"/>
      <c r="E2459" s="183"/>
      <c r="F2459" s="127"/>
      <c r="G2459" s="127"/>
      <c r="H2459" s="127"/>
      <c r="I2459" s="127"/>
    </row>
    <row r="2460">
      <c r="A2460" s="182"/>
      <c r="B2460" s="182"/>
      <c r="C2460" s="182"/>
      <c r="D2460" s="182"/>
      <c r="E2460" s="183"/>
      <c r="F2460" s="127"/>
      <c r="G2460" s="127"/>
      <c r="H2460" s="127"/>
      <c r="I2460" s="127"/>
    </row>
    <row r="2461">
      <c r="A2461" s="182"/>
      <c r="B2461" s="182"/>
      <c r="C2461" s="182"/>
      <c r="D2461" s="182"/>
      <c r="E2461" s="183"/>
      <c r="F2461" s="127"/>
      <c r="G2461" s="127"/>
      <c r="H2461" s="127"/>
      <c r="I2461" s="127"/>
    </row>
    <row r="2462">
      <c r="A2462" s="182"/>
      <c r="B2462" s="182"/>
      <c r="C2462" s="182"/>
      <c r="D2462" s="182"/>
      <c r="E2462" s="183"/>
      <c r="F2462" s="127"/>
      <c r="G2462" s="127"/>
      <c r="H2462" s="127"/>
      <c r="I2462" s="127"/>
    </row>
    <row r="2463">
      <c r="A2463" s="182"/>
      <c r="B2463" s="182"/>
      <c r="C2463" s="182"/>
      <c r="D2463" s="182"/>
      <c r="E2463" s="183"/>
      <c r="F2463" s="127"/>
      <c r="G2463" s="127"/>
      <c r="H2463" s="127"/>
      <c r="I2463" s="127"/>
    </row>
    <row r="2464">
      <c r="A2464" s="182"/>
      <c r="B2464" s="182"/>
      <c r="C2464" s="182"/>
      <c r="D2464" s="182"/>
      <c r="E2464" s="183"/>
      <c r="F2464" s="127"/>
      <c r="G2464" s="127"/>
      <c r="H2464" s="127"/>
      <c r="I2464" s="127"/>
    </row>
    <row r="2465">
      <c r="A2465" s="182"/>
      <c r="B2465" s="182"/>
      <c r="C2465" s="182"/>
      <c r="D2465" s="182"/>
      <c r="E2465" s="183"/>
      <c r="F2465" s="127"/>
      <c r="G2465" s="127"/>
      <c r="H2465" s="127"/>
      <c r="I2465" s="127"/>
    </row>
    <row r="2466">
      <c r="A2466" s="182"/>
      <c r="B2466" s="182"/>
      <c r="C2466" s="182"/>
      <c r="D2466" s="182"/>
      <c r="E2466" s="183"/>
      <c r="F2466" s="127"/>
      <c r="G2466" s="127"/>
      <c r="H2466" s="127"/>
      <c r="I2466" s="127"/>
    </row>
    <row r="2467">
      <c r="A2467" s="182"/>
      <c r="B2467" s="182"/>
      <c r="C2467" s="182"/>
      <c r="D2467" s="182"/>
      <c r="E2467" s="183"/>
      <c r="F2467" s="127"/>
      <c r="G2467" s="127"/>
      <c r="H2467" s="127"/>
      <c r="I2467" s="127"/>
    </row>
    <row r="2468">
      <c r="A2468" s="182"/>
      <c r="B2468" s="182"/>
      <c r="C2468" s="182"/>
      <c r="D2468" s="182"/>
      <c r="E2468" s="183"/>
      <c r="F2468" s="127"/>
      <c r="G2468" s="127"/>
      <c r="H2468" s="127"/>
      <c r="I2468" s="127"/>
    </row>
    <row r="2469">
      <c r="A2469" s="182"/>
      <c r="B2469" s="182"/>
      <c r="C2469" s="182"/>
      <c r="D2469" s="182"/>
      <c r="E2469" s="183"/>
      <c r="F2469" s="127"/>
      <c r="G2469" s="127"/>
      <c r="H2469" s="127"/>
      <c r="I2469" s="127"/>
    </row>
    <row r="2470">
      <c r="A2470" s="182"/>
      <c r="B2470" s="182"/>
      <c r="C2470" s="182"/>
      <c r="D2470" s="182"/>
      <c r="E2470" s="183"/>
      <c r="F2470" s="127"/>
      <c r="G2470" s="127"/>
      <c r="H2470" s="127"/>
      <c r="I2470" s="127"/>
    </row>
    <row r="2471">
      <c r="A2471" s="182"/>
      <c r="B2471" s="182"/>
      <c r="C2471" s="182"/>
      <c r="D2471" s="182"/>
      <c r="E2471" s="183"/>
      <c r="F2471" s="127"/>
      <c r="G2471" s="127"/>
      <c r="H2471" s="127"/>
      <c r="I2471" s="127"/>
    </row>
    <row r="2472">
      <c r="A2472" s="182"/>
      <c r="B2472" s="182"/>
      <c r="C2472" s="182"/>
      <c r="D2472" s="182"/>
      <c r="E2472" s="183"/>
      <c r="F2472" s="127"/>
      <c r="G2472" s="127"/>
      <c r="H2472" s="127"/>
      <c r="I2472" s="127"/>
    </row>
    <row r="2473">
      <c r="A2473" s="182"/>
      <c r="B2473" s="182"/>
      <c r="C2473" s="182"/>
      <c r="D2473" s="182"/>
      <c r="E2473" s="183"/>
      <c r="F2473" s="127"/>
      <c r="G2473" s="127"/>
      <c r="H2473" s="127"/>
      <c r="I2473" s="127"/>
    </row>
    <row r="2474">
      <c r="A2474" s="182"/>
      <c r="B2474" s="182"/>
      <c r="C2474" s="182"/>
      <c r="D2474" s="182"/>
      <c r="E2474" s="183"/>
      <c r="F2474" s="127"/>
      <c r="G2474" s="127"/>
      <c r="H2474" s="127"/>
      <c r="I2474" s="127"/>
    </row>
    <row r="2475">
      <c r="A2475" s="182"/>
      <c r="B2475" s="182"/>
      <c r="C2475" s="182"/>
      <c r="D2475" s="182"/>
      <c r="E2475" s="183"/>
      <c r="F2475" s="127"/>
      <c r="G2475" s="127"/>
      <c r="H2475" s="127"/>
      <c r="I2475" s="127"/>
    </row>
    <row r="2476">
      <c r="A2476" s="182"/>
      <c r="B2476" s="182"/>
      <c r="C2476" s="182"/>
      <c r="D2476" s="182"/>
      <c r="E2476" s="183"/>
      <c r="F2476" s="127"/>
      <c r="G2476" s="127"/>
      <c r="H2476" s="127"/>
      <c r="I2476" s="127"/>
    </row>
    <row r="2477">
      <c r="A2477" s="182"/>
      <c r="B2477" s="182"/>
      <c r="C2477" s="182"/>
      <c r="D2477" s="182"/>
      <c r="E2477" s="183"/>
      <c r="F2477" s="127"/>
      <c r="G2477" s="127"/>
      <c r="H2477" s="127"/>
      <c r="I2477" s="127"/>
    </row>
    <row r="2478">
      <c r="A2478" s="182"/>
      <c r="B2478" s="182"/>
      <c r="C2478" s="182"/>
      <c r="D2478" s="182"/>
      <c r="E2478" s="183"/>
      <c r="F2478" s="127"/>
      <c r="G2478" s="127"/>
      <c r="H2478" s="127"/>
      <c r="I2478" s="127"/>
    </row>
    <row r="2479">
      <c r="A2479" s="182"/>
      <c r="B2479" s="182"/>
      <c r="C2479" s="182"/>
      <c r="D2479" s="182"/>
      <c r="E2479" s="183"/>
      <c r="F2479" s="127"/>
      <c r="G2479" s="127"/>
      <c r="H2479" s="127"/>
      <c r="I2479" s="127"/>
    </row>
    <row r="2480">
      <c r="A2480" s="182"/>
      <c r="B2480" s="182"/>
      <c r="C2480" s="182"/>
      <c r="D2480" s="182"/>
      <c r="E2480" s="183"/>
      <c r="F2480" s="127"/>
      <c r="G2480" s="127"/>
      <c r="H2480" s="127"/>
      <c r="I2480" s="127"/>
    </row>
    <row r="2481">
      <c r="A2481" s="182"/>
      <c r="B2481" s="182"/>
      <c r="C2481" s="182"/>
      <c r="D2481" s="182"/>
      <c r="E2481" s="183"/>
      <c r="F2481" s="127"/>
      <c r="G2481" s="127"/>
      <c r="H2481" s="127"/>
      <c r="I2481" s="127"/>
    </row>
    <row r="2482">
      <c r="A2482" s="182"/>
      <c r="B2482" s="182"/>
      <c r="C2482" s="182"/>
      <c r="D2482" s="182"/>
      <c r="E2482" s="183"/>
      <c r="F2482" s="127"/>
      <c r="G2482" s="127"/>
      <c r="H2482" s="127"/>
      <c r="I2482" s="127"/>
    </row>
    <row r="2483">
      <c r="A2483" s="182"/>
      <c r="B2483" s="182"/>
      <c r="C2483" s="182"/>
      <c r="D2483" s="182"/>
      <c r="E2483" s="183"/>
      <c r="F2483" s="127"/>
      <c r="G2483" s="127"/>
      <c r="H2483" s="127"/>
      <c r="I2483" s="127"/>
    </row>
    <row r="2484">
      <c r="A2484" s="182"/>
      <c r="B2484" s="182"/>
      <c r="C2484" s="182"/>
      <c r="D2484" s="182"/>
      <c r="E2484" s="183"/>
      <c r="F2484" s="127"/>
      <c r="G2484" s="127"/>
      <c r="H2484" s="127"/>
      <c r="I2484" s="127"/>
    </row>
    <row r="2485">
      <c r="A2485" s="182"/>
      <c r="B2485" s="182"/>
      <c r="C2485" s="182"/>
      <c r="D2485" s="182"/>
      <c r="E2485" s="183"/>
      <c r="F2485" s="127"/>
      <c r="G2485" s="127"/>
      <c r="H2485" s="127"/>
      <c r="I2485" s="127"/>
    </row>
    <row r="2486">
      <c r="A2486" s="182"/>
      <c r="B2486" s="182"/>
      <c r="C2486" s="182"/>
      <c r="D2486" s="182"/>
      <c r="E2486" s="183"/>
      <c r="F2486" s="127"/>
      <c r="G2486" s="127"/>
      <c r="H2486" s="127"/>
      <c r="I2486" s="127"/>
    </row>
    <row r="2487">
      <c r="A2487" s="182"/>
      <c r="B2487" s="182"/>
      <c r="C2487" s="182"/>
      <c r="D2487" s="182"/>
      <c r="E2487" s="183"/>
      <c r="F2487" s="127"/>
      <c r="G2487" s="127"/>
      <c r="H2487" s="127"/>
      <c r="I2487" s="127"/>
    </row>
    <row r="2488">
      <c r="A2488" s="182"/>
      <c r="B2488" s="182"/>
      <c r="C2488" s="182"/>
      <c r="D2488" s="182"/>
      <c r="E2488" s="183"/>
      <c r="F2488" s="127"/>
      <c r="G2488" s="127"/>
      <c r="H2488" s="127"/>
      <c r="I2488" s="127"/>
    </row>
    <row r="2489">
      <c r="A2489" s="182"/>
      <c r="B2489" s="182"/>
      <c r="C2489" s="182"/>
      <c r="D2489" s="182"/>
      <c r="E2489" s="183"/>
      <c r="F2489" s="127"/>
      <c r="G2489" s="127"/>
      <c r="H2489" s="127"/>
      <c r="I2489" s="127"/>
    </row>
    <row r="2490">
      <c r="A2490" s="182"/>
      <c r="B2490" s="182"/>
      <c r="C2490" s="182"/>
      <c r="D2490" s="182"/>
      <c r="E2490" s="183"/>
      <c r="F2490" s="127"/>
      <c r="G2490" s="127"/>
      <c r="H2490" s="127"/>
      <c r="I2490" s="127"/>
    </row>
    <row r="2491">
      <c r="A2491" s="182"/>
      <c r="B2491" s="182"/>
      <c r="C2491" s="182"/>
      <c r="D2491" s="182"/>
      <c r="E2491" s="183"/>
      <c r="F2491" s="127"/>
      <c r="G2491" s="127"/>
      <c r="H2491" s="127"/>
      <c r="I2491" s="127"/>
    </row>
    <row r="2492">
      <c r="A2492" s="182"/>
      <c r="B2492" s="182"/>
      <c r="C2492" s="182"/>
      <c r="D2492" s="182"/>
      <c r="E2492" s="183"/>
      <c r="F2492" s="127"/>
      <c r="G2492" s="127"/>
      <c r="H2492" s="127"/>
      <c r="I2492" s="127"/>
    </row>
    <row r="2493">
      <c r="A2493" s="182"/>
      <c r="B2493" s="182"/>
      <c r="C2493" s="182"/>
      <c r="D2493" s="182"/>
      <c r="E2493" s="183"/>
      <c r="F2493" s="127"/>
      <c r="G2493" s="127"/>
      <c r="H2493" s="127"/>
      <c r="I2493" s="127"/>
    </row>
    <row r="2494">
      <c r="A2494" s="182"/>
      <c r="B2494" s="182"/>
      <c r="C2494" s="182"/>
      <c r="D2494" s="182"/>
      <c r="E2494" s="183"/>
      <c r="F2494" s="127"/>
      <c r="G2494" s="127"/>
      <c r="H2494" s="127"/>
      <c r="I2494" s="127"/>
    </row>
    <row r="2495">
      <c r="A2495" s="182"/>
      <c r="B2495" s="182"/>
      <c r="C2495" s="182"/>
      <c r="D2495" s="182"/>
      <c r="E2495" s="183"/>
      <c r="F2495" s="127"/>
      <c r="G2495" s="127"/>
      <c r="H2495" s="127"/>
      <c r="I2495" s="127"/>
    </row>
    <row r="2496">
      <c r="A2496" s="182"/>
      <c r="B2496" s="182"/>
      <c r="C2496" s="182"/>
      <c r="D2496" s="182"/>
      <c r="E2496" s="183"/>
      <c r="F2496" s="127"/>
      <c r="G2496" s="127"/>
      <c r="H2496" s="127"/>
      <c r="I2496" s="127"/>
    </row>
    <row r="2497">
      <c r="A2497" s="182"/>
      <c r="B2497" s="182"/>
      <c r="C2497" s="182"/>
      <c r="D2497" s="182"/>
      <c r="E2497" s="183"/>
      <c r="F2497" s="127"/>
      <c r="G2497" s="127"/>
      <c r="H2497" s="127"/>
      <c r="I2497" s="127"/>
    </row>
    <row r="2498">
      <c r="A2498" s="182"/>
      <c r="B2498" s="182"/>
      <c r="C2498" s="182"/>
      <c r="D2498" s="182"/>
      <c r="E2498" s="183"/>
      <c r="F2498" s="127"/>
      <c r="G2498" s="127"/>
      <c r="H2498" s="127"/>
      <c r="I2498" s="127"/>
    </row>
    <row r="2499">
      <c r="A2499" s="182"/>
      <c r="B2499" s="182"/>
      <c r="C2499" s="182"/>
      <c r="D2499" s="182"/>
      <c r="E2499" s="183"/>
      <c r="F2499" s="127"/>
      <c r="G2499" s="127"/>
      <c r="H2499" s="127"/>
      <c r="I2499" s="127"/>
    </row>
    <row r="2500">
      <c r="A2500" s="182"/>
      <c r="B2500" s="182"/>
      <c r="C2500" s="182"/>
      <c r="D2500" s="182"/>
      <c r="E2500" s="183"/>
      <c r="F2500" s="127"/>
      <c r="G2500" s="127"/>
      <c r="H2500" s="127"/>
      <c r="I2500" s="127"/>
    </row>
    <row r="2501">
      <c r="A2501" s="182"/>
      <c r="B2501" s="182"/>
      <c r="C2501" s="182"/>
      <c r="D2501" s="182"/>
      <c r="E2501" s="183"/>
      <c r="F2501" s="127"/>
      <c r="G2501" s="127"/>
      <c r="H2501" s="127"/>
      <c r="I2501" s="127"/>
    </row>
    <row r="2502">
      <c r="A2502" s="182"/>
      <c r="B2502" s="182"/>
      <c r="C2502" s="182"/>
      <c r="D2502" s="182"/>
      <c r="E2502" s="183"/>
      <c r="F2502" s="127"/>
      <c r="G2502" s="127"/>
      <c r="H2502" s="127"/>
      <c r="I2502" s="127"/>
    </row>
    <row r="2503">
      <c r="A2503" s="182"/>
      <c r="B2503" s="182"/>
      <c r="C2503" s="182"/>
      <c r="D2503" s="182"/>
      <c r="E2503" s="183"/>
      <c r="F2503" s="127"/>
      <c r="G2503" s="127"/>
      <c r="H2503" s="127"/>
      <c r="I2503" s="127"/>
    </row>
    <row r="2504">
      <c r="A2504" s="182"/>
      <c r="B2504" s="182"/>
      <c r="C2504" s="182"/>
      <c r="D2504" s="182"/>
      <c r="E2504" s="183"/>
      <c r="F2504" s="127"/>
      <c r="G2504" s="127"/>
      <c r="H2504" s="127"/>
      <c r="I2504" s="127"/>
    </row>
    <row r="2505">
      <c r="A2505" s="182"/>
      <c r="B2505" s="182"/>
      <c r="C2505" s="182"/>
      <c r="D2505" s="182"/>
      <c r="E2505" s="183"/>
      <c r="F2505" s="127"/>
      <c r="G2505" s="127"/>
      <c r="H2505" s="127"/>
      <c r="I2505" s="127"/>
    </row>
    <row r="2506">
      <c r="A2506" s="182"/>
      <c r="B2506" s="182"/>
      <c r="C2506" s="182"/>
      <c r="D2506" s="182"/>
      <c r="E2506" s="183"/>
      <c r="F2506" s="127"/>
      <c r="G2506" s="127"/>
      <c r="H2506" s="127"/>
      <c r="I2506" s="127"/>
    </row>
    <row r="2507">
      <c r="A2507" s="182"/>
      <c r="B2507" s="182"/>
      <c r="C2507" s="182"/>
      <c r="D2507" s="182"/>
      <c r="E2507" s="183"/>
      <c r="F2507" s="127"/>
      <c r="G2507" s="127"/>
      <c r="H2507" s="127"/>
      <c r="I2507" s="127"/>
    </row>
    <row r="2508">
      <c r="A2508" s="182"/>
      <c r="B2508" s="182"/>
      <c r="C2508" s="182"/>
      <c r="D2508" s="182"/>
      <c r="E2508" s="183"/>
      <c r="F2508" s="127"/>
      <c r="G2508" s="127"/>
      <c r="H2508" s="127"/>
      <c r="I2508" s="127"/>
    </row>
    <row r="2509">
      <c r="A2509" s="182"/>
      <c r="B2509" s="182"/>
      <c r="C2509" s="182"/>
      <c r="D2509" s="182"/>
      <c r="E2509" s="183"/>
      <c r="F2509" s="127"/>
      <c r="G2509" s="127"/>
      <c r="H2509" s="127"/>
      <c r="I2509" s="127"/>
    </row>
    <row r="2510">
      <c r="A2510" s="182"/>
      <c r="B2510" s="182"/>
      <c r="C2510" s="182"/>
      <c r="D2510" s="182"/>
      <c r="E2510" s="183"/>
      <c r="F2510" s="127"/>
      <c r="G2510" s="127"/>
      <c r="H2510" s="127"/>
      <c r="I2510" s="127"/>
    </row>
    <row r="2511">
      <c r="A2511" s="182"/>
      <c r="B2511" s="182"/>
      <c r="C2511" s="182"/>
      <c r="D2511" s="182"/>
      <c r="E2511" s="183"/>
      <c r="F2511" s="127"/>
      <c r="G2511" s="127"/>
      <c r="H2511" s="127"/>
      <c r="I2511" s="127"/>
    </row>
    <row r="2512">
      <c r="A2512" s="182"/>
      <c r="B2512" s="182"/>
      <c r="C2512" s="182"/>
      <c r="D2512" s="182"/>
      <c r="E2512" s="183"/>
      <c r="F2512" s="127"/>
      <c r="G2512" s="127"/>
      <c r="H2512" s="127"/>
      <c r="I2512" s="127"/>
    </row>
    <row r="2513">
      <c r="A2513" s="182"/>
      <c r="B2513" s="182"/>
      <c r="C2513" s="182"/>
      <c r="D2513" s="182"/>
      <c r="E2513" s="183"/>
      <c r="F2513" s="127"/>
      <c r="G2513" s="127"/>
      <c r="H2513" s="127"/>
      <c r="I2513" s="127"/>
    </row>
    <row r="2514">
      <c r="A2514" s="182"/>
      <c r="B2514" s="182"/>
      <c r="C2514" s="182"/>
      <c r="D2514" s="182"/>
      <c r="E2514" s="183"/>
      <c r="F2514" s="127"/>
      <c r="G2514" s="127"/>
      <c r="H2514" s="127"/>
      <c r="I2514" s="127"/>
    </row>
    <row r="2515">
      <c r="A2515" s="182"/>
      <c r="B2515" s="182"/>
      <c r="C2515" s="182"/>
      <c r="D2515" s="182"/>
      <c r="E2515" s="183"/>
      <c r="F2515" s="127"/>
      <c r="G2515" s="127"/>
      <c r="H2515" s="127"/>
      <c r="I2515" s="127"/>
    </row>
    <row r="2516">
      <c r="A2516" s="182"/>
      <c r="B2516" s="182"/>
      <c r="C2516" s="182"/>
      <c r="D2516" s="182"/>
      <c r="E2516" s="183"/>
      <c r="F2516" s="127"/>
      <c r="G2516" s="127"/>
      <c r="H2516" s="127"/>
      <c r="I2516" s="127"/>
    </row>
    <row r="2517">
      <c r="A2517" s="182"/>
      <c r="B2517" s="182"/>
      <c r="C2517" s="182"/>
      <c r="D2517" s="182"/>
      <c r="E2517" s="183"/>
      <c r="F2517" s="127"/>
      <c r="G2517" s="127"/>
      <c r="H2517" s="127"/>
      <c r="I2517" s="127"/>
    </row>
    <row r="2518">
      <c r="A2518" s="182"/>
      <c r="B2518" s="182"/>
      <c r="C2518" s="182"/>
      <c r="D2518" s="182"/>
      <c r="E2518" s="183"/>
      <c r="F2518" s="127"/>
      <c r="G2518" s="127"/>
      <c r="H2518" s="127"/>
      <c r="I2518" s="127"/>
    </row>
    <row r="2519">
      <c r="A2519" s="182"/>
      <c r="B2519" s="182"/>
      <c r="C2519" s="182"/>
      <c r="D2519" s="182"/>
      <c r="E2519" s="183"/>
      <c r="F2519" s="127"/>
      <c r="G2519" s="127"/>
      <c r="H2519" s="127"/>
      <c r="I2519" s="127"/>
    </row>
    <row r="2520">
      <c r="A2520" s="182"/>
      <c r="B2520" s="182"/>
      <c r="C2520" s="182"/>
      <c r="D2520" s="182"/>
      <c r="E2520" s="183"/>
      <c r="F2520" s="127"/>
      <c r="G2520" s="127"/>
      <c r="H2520" s="127"/>
      <c r="I2520" s="127"/>
    </row>
    <row r="2521">
      <c r="A2521" s="182"/>
      <c r="B2521" s="182"/>
      <c r="C2521" s="182"/>
      <c r="D2521" s="182"/>
      <c r="E2521" s="183"/>
      <c r="F2521" s="127"/>
      <c r="G2521" s="127"/>
      <c r="H2521" s="127"/>
      <c r="I2521" s="127"/>
    </row>
    <row r="2522">
      <c r="A2522" s="182"/>
      <c r="B2522" s="182"/>
      <c r="C2522" s="182"/>
      <c r="D2522" s="182"/>
      <c r="E2522" s="183"/>
      <c r="F2522" s="127"/>
      <c r="G2522" s="127"/>
      <c r="H2522" s="127"/>
      <c r="I2522" s="127"/>
    </row>
    <row r="2523">
      <c r="A2523" s="182"/>
      <c r="B2523" s="182"/>
      <c r="C2523" s="182"/>
      <c r="D2523" s="182"/>
      <c r="E2523" s="183"/>
      <c r="F2523" s="127"/>
      <c r="G2523" s="127"/>
      <c r="H2523" s="127"/>
      <c r="I2523" s="127"/>
    </row>
    <row r="2524">
      <c r="A2524" s="182"/>
      <c r="B2524" s="182"/>
      <c r="C2524" s="182"/>
      <c r="D2524" s="182"/>
      <c r="E2524" s="183"/>
      <c r="F2524" s="127"/>
      <c r="G2524" s="127"/>
      <c r="H2524" s="127"/>
      <c r="I2524" s="127"/>
    </row>
    <row r="2525">
      <c r="A2525" s="182"/>
      <c r="B2525" s="182"/>
      <c r="C2525" s="182"/>
      <c r="D2525" s="182"/>
      <c r="E2525" s="183"/>
      <c r="F2525" s="127"/>
      <c r="G2525" s="127"/>
      <c r="H2525" s="127"/>
      <c r="I2525" s="127"/>
    </row>
    <row r="2526">
      <c r="A2526" s="182"/>
      <c r="B2526" s="182"/>
      <c r="C2526" s="182"/>
      <c r="D2526" s="182"/>
      <c r="E2526" s="183"/>
      <c r="F2526" s="127"/>
      <c r="G2526" s="127"/>
      <c r="H2526" s="127"/>
      <c r="I2526" s="127"/>
    </row>
    <row r="2527">
      <c r="A2527" s="182"/>
      <c r="B2527" s="182"/>
      <c r="C2527" s="182"/>
      <c r="D2527" s="182"/>
      <c r="E2527" s="183"/>
      <c r="F2527" s="127"/>
      <c r="G2527" s="127"/>
      <c r="H2527" s="127"/>
      <c r="I2527" s="127"/>
    </row>
    <row r="2528">
      <c r="A2528" s="182"/>
      <c r="B2528" s="182"/>
      <c r="C2528" s="182"/>
      <c r="D2528" s="182"/>
      <c r="E2528" s="183"/>
      <c r="F2528" s="127"/>
      <c r="G2528" s="127"/>
      <c r="H2528" s="127"/>
      <c r="I2528" s="127"/>
    </row>
    <row r="2529">
      <c r="A2529" s="182"/>
      <c r="B2529" s="182"/>
      <c r="C2529" s="182"/>
      <c r="D2529" s="182"/>
      <c r="E2529" s="183"/>
      <c r="F2529" s="127"/>
      <c r="G2529" s="127"/>
      <c r="H2529" s="127"/>
      <c r="I2529" s="127"/>
    </row>
    <row r="2530">
      <c r="A2530" s="182"/>
      <c r="B2530" s="182"/>
      <c r="C2530" s="182"/>
      <c r="D2530" s="182"/>
      <c r="E2530" s="183"/>
      <c r="F2530" s="127"/>
      <c r="G2530" s="127"/>
      <c r="H2530" s="127"/>
      <c r="I2530" s="127"/>
    </row>
    <row r="2531">
      <c r="A2531" s="182"/>
      <c r="B2531" s="182"/>
      <c r="C2531" s="182"/>
      <c r="D2531" s="182"/>
      <c r="E2531" s="183"/>
      <c r="F2531" s="127"/>
      <c r="G2531" s="127"/>
      <c r="H2531" s="127"/>
      <c r="I2531" s="127"/>
    </row>
    <row r="2532">
      <c r="A2532" s="182"/>
      <c r="B2532" s="182"/>
      <c r="C2532" s="182"/>
      <c r="D2532" s="182"/>
      <c r="E2532" s="183"/>
      <c r="F2532" s="127"/>
      <c r="G2532" s="127"/>
      <c r="H2532" s="127"/>
      <c r="I2532" s="127"/>
    </row>
    <row r="2533">
      <c r="A2533" s="182"/>
      <c r="B2533" s="182"/>
      <c r="C2533" s="182"/>
      <c r="D2533" s="182"/>
      <c r="E2533" s="183"/>
      <c r="F2533" s="127"/>
      <c r="G2533" s="127"/>
      <c r="H2533" s="127"/>
      <c r="I2533" s="127"/>
    </row>
    <row r="2534">
      <c r="A2534" s="182"/>
      <c r="B2534" s="182"/>
      <c r="C2534" s="182"/>
      <c r="D2534" s="182"/>
      <c r="E2534" s="183"/>
      <c r="F2534" s="127"/>
      <c r="G2534" s="127"/>
      <c r="H2534" s="127"/>
      <c r="I2534" s="127"/>
    </row>
    <row r="2535">
      <c r="A2535" s="182"/>
      <c r="B2535" s="182"/>
      <c r="C2535" s="182"/>
      <c r="D2535" s="182"/>
      <c r="E2535" s="183"/>
      <c r="F2535" s="127"/>
      <c r="G2535" s="127"/>
      <c r="H2535" s="127"/>
      <c r="I2535" s="127"/>
    </row>
    <row r="2536">
      <c r="A2536" s="182"/>
      <c r="B2536" s="182"/>
      <c r="C2536" s="182"/>
      <c r="D2536" s="182"/>
      <c r="E2536" s="183"/>
      <c r="F2536" s="127"/>
      <c r="G2536" s="127"/>
      <c r="H2536" s="127"/>
      <c r="I2536" s="127"/>
    </row>
    <row r="2537">
      <c r="A2537" s="182"/>
      <c r="B2537" s="182"/>
      <c r="C2537" s="182"/>
      <c r="D2537" s="182"/>
      <c r="E2537" s="183"/>
      <c r="F2537" s="127"/>
      <c r="G2537" s="127"/>
      <c r="H2537" s="127"/>
      <c r="I2537" s="127"/>
    </row>
    <row r="2538">
      <c r="A2538" s="182"/>
      <c r="B2538" s="182"/>
      <c r="C2538" s="182"/>
      <c r="D2538" s="182"/>
      <c r="E2538" s="183"/>
      <c r="F2538" s="127"/>
      <c r="G2538" s="127"/>
      <c r="H2538" s="127"/>
      <c r="I2538" s="127"/>
    </row>
    <row r="2539">
      <c r="A2539" s="182"/>
      <c r="B2539" s="182"/>
      <c r="C2539" s="182"/>
      <c r="D2539" s="182"/>
      <c r="E2539" s="183"/>
      <c r="F2539" s="127"/>
      <c r="G2539" s="127"/>
      <c r="H2539" s="127"/>
      <c r="I2539" s="127"/>
    </row>
    <row r="2540">
      <c r="A2540" s="182"/>
      <c r="B2540" s="182"/>
      <c r="C2540" s="182"/>
      <c r="D2540" s="182"/>
      <c r="E2540" s="183"/>
      <c r="F2540" s="127"/>
      <c r="G2540" s="127"/>
      <c r="H2540" s="127"/>
      <c r="I2540" s="127"/>
    </row>
    <row r="2541">
      <c r="A2541" s="182"/>
      <c r="B2541" s="182"/>
      <c r="C2541" s="182"/>
      <c r="D2541" s="182"/>
      <c r="E2541" s="183"/>
      <c r="F2541" s="127"/>
      <c r="G2541" s="127"/>
      <c r="H2541" s="127"/>
      <c r="I2541" s="127"/>
    </row>
    <row r="2542">
      <c r="A2542" s="182"/>
      <c r="B2542" s="182"/>
      <c r="C2542" s="182"/>
      <c r="D2542" s="182"/>
      <c r="E2542" s="183"/>
      <c r="F2542" s="127"/>
      <c r="G2542" s="127"/>
      <c r="H2542" s="127"/>
      <c r="I2542" s="127"/>
    </row>
    <row r="2543">
      <c r="A2543" s="182"/>
      <c r="B2543" s="182"/>
      <c r="C2543" s="182"/>
      <c r="D2543" s="182"/>
      <c r="E2543" s="183"/>
      <c r="F2543" s="127"/>
      <c r="G2543" s="127"/>
      <c r="H2543" s="127"/>
      <c r="I2543" s="127"/>
    </row>
    <row r="2544">
      <c r="A2544" s="182"/>
      <c r="B2544" s="182"/>
      <c r="C2544" s="182"/>
      <c r="D2544" s="182"/>
      <c r="E2544" s="183"/>
      <c r="F2544" s="127"/>
      <c r="G2544" s="127"/>
      <c r="H2544" s="127"/>
      <c r="I2544" s="127"/>
    </row>
    <row r="2545">
      <c r="A2545" s="182"/>
      <c r="B2545" s="182"/>
      <c r="C2545" s="182"/>
      <c r="D2545" s="182"/>
      <c r="E2545" s="183"/>
      <c r="F2545" s="127"/>
      <c r="G2545" s="127"/>
      <c r="H2545" s="127"/>
      <c r="I2545" s="127"/>
    </row>
    <row r="2546">
      <c r="A2546" s="182"/>
      <c r="B2546" s="182"/>
      <c r="C2546" s="182"/>
      <c r="D2546" s="182"/>
      <c r="E2546" s="183"/>
      <c r="F2546" s="127"/>
      <c r="G2546" s="127"/>
      <c r="H2546" s="127"/>
      <c r="I2546" s="127"/>
    </row>
    <row r="2547">
      <c r="A2547" s="182"/>
      <c r="B2547" s="182"/>
      <c r="C2547" s="182"/>
      <c r="D2547" s="182"/>
      <c r="E2547" s="183"/>
      <c r="F2547" s="127"/>
      <c r="G2547" s="127"/>
      <c r="H2547" s="127"/>
      <c r="I2547" s="127"/>
    </row>
    <row r="2548">
      <c r="A2548" s="182"/>
      <c r="B2548" s="182"/>
      <c r="C2548" s="182"/>
      <c r="D2548" s="182"/>
      <c r="E2548" s="183"/>
      <c r="F2548" s="127"/>
      <c r="G2548" s="127"/>
      <c r="H2548" s="127"/>
      <c r="I2548" s="127"/>
    </row>
    <row r="2549">
      <c r="A2549" s="182"/>
      <c r="B2549" s="182"/>
      <c r="C2549" s="182"/>
      <c r="D2549" s="182"/>
      <c r="E2549" s="183"/>
      <c r="F2549" s="127"/>
      <c r="G2549" s="127"/>
      <c r="H2549" s="127"/>
      <c r="I2549" s="127"/>
    </row>
    <row r="2550">
      <c r="A2550" s="182"/>
      <c r="B2550" s="182"/>
      <c r="C2550" s="182"/>
      <c r="D2550" s="182"/>
      <c r="E2550" s="183"/>
      <c r="F2550" s="127"/>
      <c r="G2550" s="127"/>
      <c r="H2550" s="127"/>
      <c r="I2550" s="127"/>
    </row>
    <row r="2551">
      <c r="A2551" s="182"/>
      <c r="B2551" s="182"/>
      <c r="C2551" s="182"/>
      <c r="D2551" s="182"/>
      <c r="E2551" s="183"/>
      <c r="F2551" s="127"/>
      <c r="G2551" s="127"/>
      <c r="H2551" s="127"/>
      <c r="I2551" s="127"/>
    </row>
    <row r="2552">
      <c r="A2552" s="182"/>
      <c r="B2552" s="182"/>
      <c r="C2552" s="182"/>
      <c r="D2552" s="182"/>
      <c r="E2552" s="183"/>
      <c r="F2552" s="127"/>
      <c r="G2552" s="127"/>
      <c r="H2552" s="127"/>
      <c r="I2552" s="127"/>
    </row>
    <row r="2553">
      <c r="A2553" s="182"/>
      <c r="B2553" s="182"/>
      <c r="C2553" s="182"/>
      <c r="D2553" s="182"/>
      <c r="E2553" s="183"/>
      <c r="F2553" s="127"/>
      <c r="G2553" s="127"/>
      <c r="H2553" s="127"/>
      <c r="I2553" s="127"/>
    </row>
    <row r="2554">
      <c r="A2554" s="182"/>
      <c r="B2554" s="182"/>
      <c r="C2554" s="182"/>
      <c r="D2554" s="182"/>
      <c r="E2554" s="183"/>
      <c r="F2554" s="127"/>
      <c r="G2554" s="127"/>
      <c r="H2554" s="127"/>
      <c r="I2554" s="127"/>
    </row>
    <row r="2555">
      <c r="A2555" s="182"/>
      <c r="B2555" s="182"/>
      <c r="C2555" s="182"/>
      <c r="D2555" s="182"/>
      <c r="E2555" s="183"/>
      <c r="F2555" s="127"/>
      <c r="G2555" s="127"/>
      <c r="H2555" s="127"/>
      <c r="I2555" s="127"/>
    </row>
    <row r="2556">
      <c r="A2556" s="182"/>
      <c r="B2556" s="182"/>
      <c r="C2556" s="182"/>
      <c r="D2556" s="182"/>
      <c r="E2556" s="183"/>
      <c r="F2556" s="127"/>
      <c r="G2556" s="127"/>
      <c r="H2556" s="127"/>
      <c r="I2556" s="127"/>
    </row>
    <row r="2557">
      <c r="A2557" s="182"/>
      <c r="B2557" s="182"/>
      <c r="C2557" s="182"/>
      <c r="D2557" s="182"/>
      <c r="E2557" s="183"/>
      <c r="F2557" s="127"/>
      <c r="G2557" s="127"/>
      <c r="H2557" s="127"/>
      <c r="I2557" s="127"/>
    </row>
    <row r="2558">
      <c r="A2558" s="182"/>
      <c r="B2558" s="182"/>
      <c r="C2558" s="182"/>
      <c r="D2558" s="182"/>
      <c r="E2558" s="183"/>
      <c r="F2558" s="127"/>
      <c r="G2558" s="127"/>
      <c r="H2558" s="127"/>
      <c r="I2558" s="127"/>
    </row>
    <row r="2559">
      <c r="A2559" s="182"/>
      <c r="B2559" s="182"/>
      <c r="C2559" s="182"/>
      <c r="D2559" s="182"/>
      <c r="E2559" s="183"/>
      <c r="F2559" s="127"/>
      <c r="G2559" s="127"/>
      <c r="H2559" s="127"/>
      <c r="I2559" s="127"/>
    </row>
    <row r="2560">
      <c r="A2560" s="182"/>
      <c r="B2560" s="182"/>
      <c r="C2560" s="182"/>
      <c r="D2560" s="182"/>
      <c r="E2560" s="183"/>
      <c r="F2560" s="127"/>
      <c r="G2560" s="127"/>
      <c r="H2560" s="127"/>
      <c r="I2560" s="127"/>
    </row>
    <row r="2561">
      <c r="A2561" s="182"/>
      <c r="B2561" s="182"/>
      <c r="C2561" s="182"/>
      <c r="D2561" s="182"/>
      <c r="E2561" s="183"/>
      <c r="F2561" s="127"/>
      <c r="G2561" s="127"/>
      <c r="H2561" s="127"/>
      <c r="I2561" s="127"/>
    </row>
    <row r="2562">
      <c r="A2562" s="182"/>
      <c r="B2562" s="182"/>
      <c r="C2562" s="182"/>
      <c r="D2562" s="182"/>
      <c r="E2562" s="183"/>
      <c r="F2562" s="127"/>
      <c r="G2562" s="127"/>
      <c r="H2562" s="127"/>
      <c r="I2562" s="127"/>
    </row>
    <row r="2563">
      <c r="A2563" s="182"/>
      <c r="B2563" s="182"/>
      <c r="C2563" s="182"/>
      <c r="D2563" s="182"/>
      <c r="E2563" s="183"/>
      <c r="F2563" s="127"/>
      <c r="G2563" s="127"/>
      <c r="H2563" s="127"/>
      <c r="I2563" s="127"/>
    </row>
    <row r="2564">
      <c r="A2564" s="182"/>
      <c r="B2564" s="182"/>
      <c r="C2564" s="182"/>
      <c r="D2564" s="182"/>
      <c r="E2564" s="183"/>
      <c r="F2564" s="127"/>
      <c r="G2564" s="127"/>
      <c r="H2564" s="127"/>
      <c r="I2564" s="127"/>
    </row>
    <row r="2565">
      <c r="A2565" s="182"/>
      <c r="B2565" s="182"/>
      <c r="C2565" s="182"/>
      <c r="D2565" s="182"/>
      <c r="E2565" s="183"/>
      <c r="F2565" s="127"/>
      <c r="G2565" s="127"/>
      <c r="H2565" s="127"/>
      <c r="I2565" s="127"/>
    </row>
    <row r="2566">
      <c r="A2566" s="182"/>
      <c r="B2566" s="182"/>
      <c r="C2566" s="182"/>
      <c r="D2566" s="182"/>
      <c r="E2566" s="183"/>
      <c r="F2566" s="127"/>
      <c r="G2566" s="127"/>
      <c r="H2566" s="127"/>
      <c r="I2566" s="127"/>
    </row>
    <row r="2567">
      <c r="A2567" s="182"/>
      <c r="B2567" s="182"/>
      <c r="C2567" s="182"/>
      <c r="D2567" s="182"/>
      <c r="E2567" s="183"/>
      <c r="F2567" s="127"/>
      <c r="G2567" s="127"/>
      <c r="H2567" s="127"/>
      <c r="I2567" s="127"/>
    </row>
    <row r="2568">
      <c r="A2568" s="182"/>
      <c r="B2568" s="182"/>
      <c r="C2568" s="182"/>
      <c r="D2568" s="182"/>
      <c r="E2568" s="183"/>
      <c r="F2568" s="127"/>
      <c r="G2568" s="127"/>
      <c r="H2568" s="127"/>
      <c r="I2568" s="127"/>
    </row>
    <row r="2569">
      <c r="A2569" s="182"/>
      <c r="B2569" s="182"/>
      <c r="C2569" s="182"/>
      <c r="D2569" s="182"/>
      <c r="E2569" s="183"/>
      <c r="F2569" s="127"/>
      <c r="G2569" s="127"/>
      <c r="H2569" s="127"/>
      <c r="I2569" s="127"/>
    </row>
    <row r="2570">
      <c r="A2570" s="182"/>
      <c r="B2570" s="182"/>
      <c r="C2570" s="182"/>
      <c r="D2570" s="182"/>
      <c r="E2570" s="183"/>
      <c r="F2570" s="127"/>
      <c r="G2570" s="127"/>
      <c r="H2570" s="127"/>
      <c r="I2570" s="127"/>
    </row>
    <row r="2571">
      <c r="A2571" s="182"/>
      <c r="B2571" s="182"/>
      <c r="C2571" s="182"/>
      <c r="D2571" s="182"/>
      <c r="E2571" s="183"/>
      <c r="F2571" s="127"/>
      <c r="G2571" s="127"/>
      <c r="H2571" s="127"/>
      <c r="I2571" s="127"/>
    </row>
    <row r="2572">
      <c r="A2572" s="182"/>
      <c r="B2572" s="182"/>
      <c r="C2572" s="182"/>
      <c r="D2572" s="182"/>
      <c r="E2572" s="183"/>
      <c r="F2572" s="127"/>
      <c r="G2572" s="127"/>
      <c r="H2572" s="127"/>
      <c r="I2572" s="127"/>
    </row>
    <row r="2573">
      <c r="A2573" s="182"/>
      <c r="B2573" s="182"/>
      <c r="C2573" s="182"/>
      <c r="D2573" s="182"/>
      <c r="E2573" s="183"/>
      <c r="F2573" s="127"/>
      <c r="G2573" s="127"/>
      <c r="H2573" s="127"/>
      <c r="I2573" s="127"/>
    </row>
    <row r="2574">
      <c r="A2574" s="182"/>
      <c r="B2574" s="182"/>
      <c r="C2574" s="182"/>
      <c r="D2574" s="182"/>
      <c r="E2574" s="183"/>
      <c r="F2574" s="127"/>
      <c r="G2574" s="127"/>
      <c r="H2574" s="127"/>
      <c r="I2574" s="127"/>
    </row>
    <row r="2575">
      <c r="A2575" s="182"/>
      <c r="B2575" s="182"/>
      <c r="C2575" s="182"/>
      <c r="D2575" s="182"/>
      <c r="E2575" s="183"/>
      <c r="F2575" s="127"/>
      <c r="G2575" s="127"/>
      <c r="H2575" s="127"/>
      <c r="I2575" s="127"/>
    </row>
    <row r="2576">
      <c r="A2576" s="182"/>
      <c r="B2576" s="182"/>
      <c r="C2576" s="182"/>
      <c r="D2576" s="182"/>
      <c r="E2576" s="183"/>
      <c r="F2576" s="127"/>
      <c r="G2576" s="127"/>
      <c r="H2576" s="127"/>
      <c r="I2576" s="127"/>
    </row>
    <row r="2577">
      <c r="A2577" s="182"/>
      <c r="B2577" s="182"/>
      <c r="C2577" s="182"/>
      <c r="D2577" s="182"/>
      <c r="E2577" s="183"/>
      <c r="F2577" s="127"/>
      <c r="G2577" s="127"/>
      <c r="H2577" s="127"/>
      <c r="I2577" s="127"/>
    </row>
    <row r="2578">
      <c r="A2578" s="182"/>
      <c r="B2578" s="182"/>
      <c r="C2578" s="182"/>
      <c r="D2578" s="182"/>
      <c r="E2578" s="183"/>
      <c r="F2578" s="127"/>
      <c r="G2578" s="127"/>
      <c r="H2578" s="127"/>
      <c r="I2578" s="127"/>
    </row>
    <row r="2579">
      <c r="A2579" s="182"/>
      <c r="B2579" s="182"/>
      <c r="C2579" s="182"/>
      <c r="D2579" s="182"/>
      <c r="E2579" s="183"/>
      <c r="F2579" s="127"/>
      <c r="G2579" s="127"/>
      <c r="H2579" s="127"/>
      <c r="I2579" s="127"/>
    </row>
    <row r="2580">
      <c r="A2580" s="182"/>
      <c r="B2580" s="182"/>
      <c r="C2580" s="182"/>
      <c r="D2580" s="182"/>
      <c r="E2580" s="183"/>
      <c r="F2580" s="127"/>
      <c r="G2580" s="127"/>
      <c r="H2580" s="127"/>
      <c r="I2580" s="127"/>
    </row>
    <row r="2581">
      <c r="A2581" s="182"/>
      <c r="B2581" s="182"/>
      <c r="C2581" s="182"/>
      <c r="D2581" s="182"/>
      <c r="E2581" s="183"/>
      <c r="F2581" s="127"/>
      <c r="G2581" s="127"/>
      <c r="H2581" s="127"/>
      <c r="I2581" s="127"/>
    </row>
    <row r="2582">
      <c r="A2582" s="182"/>
      <c r="B2582" s="182"/>
      <c r="C2582" s="182"/>
      <c r="D2582" s="182"/>
      <c r="E2582" s="183"/>
      <c r="F2582" s="127"/>
      <c r="G2582" s="127"/>
      <c r="H2582" s="127"/>
      <c r="I2582" s="127"/>
    </row>
    <row r="2583">
      <c r="A2583" s="182"/>
      <c r="B2583" s="182"/>
      <c r="C2583" s="182"/>
      <c r="D2583" s="182"/>
      <c r="E2583" s="183"/>
      <c r="F2583" s="127"/>
      <c r="G2583" s="127"/>
      <c r="H2583" s="127"/>
      <c r="I2583" s="127"/>
    </row>
    <row r="2584">
      <c r="A2584" s="182"/>
      <c r="B2584" s="182"/>
      <c r="C2584" s="182"/>
      <c r="D2584" s="182"/>
      <c r="E2584" s="183"/>
      <c r="F2584" s="127"/>
      <c r="G2584" s="127"/>
      <c r="H2584" s="127"/>
      <c r="I2584" s="127"/>
    </row>
    <row r="2585">
      <c r="A2585" s="182"/>
      <c r="B2585" s="182"/>
      <c r="C2585" s="182"/>
      <c r="D2585" s="182"/>
      <c r="E2585" s="183"/>
      <c r="F2585" s="127"/>
      <c r="G2585" s="127"/>
      <c r="H2585" s="127"/>
      <c r="I2585" s="127"/>
    </row>
    <row r="2586">
      <c r="A2586" s="182"/>
      <c r="B2586" s="182"/>
      <c r="C2586" s="182"/>
      <c r="D2586" s="182"/>
      <c r="E2586" s="183"/>
      <c r="F2586" s="127"/>
      <c r="G2586" s="127"/>
      <c r="H2586" s="127"/>
      <c r="I2586" s="127"/>
    </row>
    <row r="2587">
      <c r="A2587" s="182"/>
      <c r="B2587" s="182"/>
      <c r="C2587" s="182"/>
      <c r="D2587" s="182"/>
      <c r="E2587" s="183"/>
      <c r="F2587" s="127"/>
      <c r="G2587" s="127"/>
      <c r="H2587" s="127"/>
      <c r="I2587" s="127"/>
    </row>
    <row r="2588">
      <c r="A2588" s="182"/>
      <c r="B2588" s="182"/>
      <c r="C2588" s="182"/>
      <c r="D2588" s="182"/>
      <c r="E2588" s="183"/>
      <c r="F2588" s="127"/>
      <c r="G2588" s="127"/>
      <c r="H2588" s="127"/>
      <c r="I2588" s="127"/>
    </row>
    <row r="2589">
      <c r="A2589" s="182"/>
      <c r="B2589" s="182"/>
      <c r="C2589" s="182"/>
      <c r="D2589" s="182"/>
      <c r="E2589" s="183"/>
      <c r="F2589" s="127"/>
      <c r="G2589" s="127"/>
      <c r="H2589" s="127"/>
      <c r="I2589" s="127"/>
    </row>
    <row r="2590">
      <c r="A2590" s="182"/>
      <c r="B2590" s="182"/>
      <c r="C2590" s="182"/>
      <c r="D2590" s="182"/>
      <c r="E2590" s="183"/>
      <c r="F2590" s="127"/>
      <c r="G2590" s="127"/>
      <c r="H2590" s="127"/>
      <c r="I2590" s="127"/>
    </row>
    <row r="2591">
      <c r="A2591" s="182"/>
      <c r="B2591" s="182"/>
      <c r="C2591" s="182"/>
      <c r="D2591" s="182"/>
      <c r="E2591" s="183"/>
      <c r="F2591" s="127"/>
      <c r="G2591" s="127"/>
      <c r="H2591" s="127"/>
      <c r="I2591" s="127"/>
    </row>
    <row r="2592">
      <c r="A2592" s="182"/>
      <c r="B2592" s="182"/>
      <c r="C2592" s="182"/>
      <c r="D2592" s="182"/>
      <c r="E2592" s="183"/>
      <c r="F2592" s="127"/>
      <c r="G2592" s="127"/>
      <c r="H2592" s="127"/>
      <c r="I2592" s="127"/>
    </row>
    <row r="2593">
      <c r="A2593" s="182"/>
      <c r="B2593" s="182"/>
      <c r="C2593" s="182"/>
      <c r="D2593" s="182"/>
      <c r="E2593" s="183"/>
      <c r="F2593" s="127"/>
      <c r="G2593" s="127"/>
      <c r="H2593" s="127"/>
      <c r="I2593" s="127"/>
    </row>
    <row r="2594">
      <c r="A2594" s="182"/>
      <c r="B2594" s="182"/>
      <c r="C2594" s="182"/>
      <c r="D2594" s="182"/>
      <c r="E2594" s="183"/>
      <c r="F2594" s="127"/>
      <c r="G2594" s="127"/>
      <c r="H2594" s="127"/>
      <c r="I2594" s="127"/>
    </row>
    <row r="2595">
      <c r="A2595" s="182"/>
      <c r="B2595" s="182"/>
      <c r="C2595" s="182"/>
      <c r="D2595" s="182"/>
      <c r="E2595" s="183"/>
      <c r="F2595" s="127"/>
      <c r="G2595" s="127"/>
      <c r="H2595" s="127"/>
      <c r="I2595" s="127"/>
    </row>
    <row r="2596">
      <c r="A2596" s="182"/>
      <c r="B2596" s="182"/>
      <c r="C2596" s="182"/>
      <c r="D2596" s="182"/>
      <c r="E2596" s="183"/>
      <c r="F2596" s="127"/>
      <c r="G2596" s="127"/>
      <c r="H2596" s="127"/>
      <c r="I2596" s="127"/>
    </row>
    <row r="2597">
      <c r="A2597" s="182"/>
      <c r="B2597" s="182"/>
      <c r="C2597" s="182"/>
      <c r="D2597" s="182"/>
      <c r="E2597" s="183"/>
      <c r="F2597" s="127"/>
      <c r="G2597" s="127"/>
      <c r="H2597" s="127"/>
      <c r="I2597" s="127"/>
    </row>
    <row r="2598">
      <c r="A2598" s="182"/>
      <c r="B2598" s="182"/>
      <c r="C2598" s="182"/>
      <c r="D2598" s="182"/>
      <c r="E2598" s="183"/>
      <c r="F2598" s="127"/>
      <c r="G2598" s="127"/>
      <c r="H2598" s="127"/>
      <c r="I2598" s="127"/>
    </row>
    <row r="2599">
      <c r="A2599" s="182"/>
      <c r="B2599" s="182"/>
      <c r="C2599" s="182"/>
      <c r="D2599" s="182"/>
      <c r="E2599" s="183"/>
      <c r="F2599" s="127"/>
      <c r="G2599" s="127"/>
      <c r="H2599" s="127"/>
      <c r="I2599" s="127"/>
    </row>
    <row r="2600">
      <c r="A2600" s="182"/>
      <c r="B2600" s="182"/>
      <c r="C2600" s="182"/>
      <c r="D2600" s="182"/>
      <c r="E2600" s="183"/>
      <c r="F2600" s="127"/>
      <c r="G2600" s="127"/>
      <c r="H2600" s="127"/>
      <c r="I2600" s="127"/>
    </row>
    <row r="2601">
      <c r="A2601" s="182"/>
      <c r="B2601" s="182"/>
      <c r="C2601" s="182"/>
      <c r="D2601" s="182"/>
      <c r="E2601" s="183"/>
      <c r="F2601" s="127"/>
      <c r="G2601" s="127"/>
      <c r="H2601" s="127"/>
      <c r="I2601" s="127"/>
    </row>
    <row r="2602">
      <c r="A2602" s="182"/>
      <c r="B2602" s="182"/>
      <c r="C2602" s="182"/>
      <c r="D2602" s="182"/>
      <c r="E2602" s="183"/>
      <c r="F2602" s="127"/>
      <c r="G2602" s="127"/>
      <c r="H2602" s="127"/>
      <c r="I2602" s="127"/>
    </row>
    <row r="2603">
      <c r="A2603" s="182"/>
      <c r="B2603" s="182"/>
      <c r="C2603" s="182"/>
      <c r="D2603" s="182"/>
      <c r="E2603" s="183"/>
      <c r="F2603" s="127"/>
      <c r="G2603" s="127"/>
      <c r="H2603" s="127"/>
      <c r="I2603" s="127"/>
    </row>
    <row r="2604">
      <c r="A2604" s="182"/>
      <c r="B2604" s="182"/>
      <c r="C2604" s="182"/>
      <c r="D2604" s="182"/>
      <c r="E2604" s="183"/>
      <c r="F2604" s="127"/>
      <c r="G2604" s="127"/>
      <c r="H2604" s="127"/>
      <c r="I2604" s="127"/>
    </row>
    <row r="2605">
      <c r="A2605" s="182"/>
      <c r="B2605" s="182"/>
      <c r="C2605" s="182"/>
      <c r="D2605" s="182"/>
      <c r="E2605" s="183"/>
      <c r="F2605" s="127"/>
      <c r="G2605" s="127"/>
      <c r="H2605" s="127"/>
      <c r="I2605" s="127"/>
    </row>
    <row r="2606">
      <c r="A2606" s="182"/>
      <c r="B2606" s="182"/>
      <c r="C2606" s="182"/>
      <c r="D2606" s="182"/>
      <c r="E2606" s="183"/>
      <c r="F2606" s="127"/>
      <c r="G2606" s="127"/>
      <c r="H2606" s="127"/>
      <c r="I2606" s="127"/>
    </row>
    <row r="2607">
      <c r="A2607" s="182"/>
      <c r="B2607" s="182"/>
      <c r="C2607" s="182"/>
      <c r="D2607" s="182"/>
      <c r="E2607" s="183"/>
      <c r="F2607" s="127"/>
      <c r="G2607" s="127"/>
      <c r="H2607" s="127"/>
      <c r="I2607" s="127"/>
    </row>
    <row r="2608">
      <c r="A2608" s="182"/>
      <c r="B2608" s="182"/>
      <c r="C2608" s="182"/>
      <c r="D2608" s="182"/>
      <c r="E2608" s="183"/>
      <c r="F2608" s="127"/>
      <c r="G2608" s="127"/>
      <c r="H2608" s="127"/>
      <c r="I2608" s="127"/>
    </row>
    <row r="2609">
      <c r="A2609" s="182"/>
      <c r="B2609" s="182"/>
      <c r="C2609" s="182"/>
      <c r="D2609" s="182"/>
      <c r="E2609" s="183"/>
      <c r="F2609" s="127"/>
      <c r="G2609" s="127"/>
      <c r="H2609" s="127"/>
      <c r="I2609" s="127"/>
    </row>
    <row r="2610">
      <c r="A2610" s="182"/>
      <c r="B2610" s="182"/>
      <c r="C2610" s="182"/>
      <c r="D2610" s="182"/>
      <c r="E2610" s="183"/>
      <c r="F2610" s="127"/>
      <c r="G2610" s="127"/>
      <c r="H2610" s="127"/>
      <c r="I2610" s="127"/>
    </row>
    <row r="2611">
      <c r="A2611" s="182"/>
      <c r="B2611" s="182"/>
      <c r="C2611" s="182"/>
      <c r="D2611" s="182"/>
      <c r="E2611" s="183"/>
      <c r="F2611" s="127"/>
      <c r="G2611" s="127"/>
      <c r="H2611" s="127"/>
      <c r="I2611" s="127"/>
    </row>
    <row r="2612">
      <c r="A2612" s="182"/>
      <c r="B2612" s="182"/>
      <c r="C2612" s="182"/>
      <c r="D2612" s="182"/>
      <c r="E2612" s="183"/>
      <c r="F2612" s="127"/>
      <c r="G2612" s="127"/>
      <c r="H2612" s="127"/>
      <c r="I2612" s="127"/>
    </row>
    <row r="2613">
      <c r="A2613" s="182"/>
      <c r="B2613" s="182"/>
      <c r="C2613" s="182"/>
      <c r="D2613" s="182"/>
      <c r="E2613" s="183"/>
      <c r="F2613" s="127"/>
      <c r="G2613" s="127"/>
      <c r="H2613" s="127"/>
      <c r="I2613" s="127"/>
    </row>
    <row r="2614">
      <c r="A2614" s="182"/>
      <c r="B2614" s="182"/>
      <c r="C2614" s="182"/>
      <c r="D2614" s="182"/>
      <c r="E2614" s="183"/>
      <c r="F2614" s="127"/>
      <c r="G2614" s="127"/>
      <c r="H2614" s="127"/>
      <c r="I2614" s="127"/>
    </row>
    <row r="2615">
      <c r="A2615" s="182"/>
      <c r="B2615" s="182"/>
      <c r="C2615" s="182"/>
      <c r="D2615" s="182"/>
      <c r="E2615" s="183"/>
      <c r="F2615" s="127"/>
      <c r="G2615" s="127"/>
      <c r="H2615" s="127"/>
      <c r="I2615" s="127"/>
    </row>
    <row r="2616">
      <c r="A2616" s="182"/>
      <c r="B2616" s="182"/>
      <c r="C2616" s="182"/>
      <c r="D2616" s="182"/>
      <c r="E2616" s="183"/>
      <c r="F2616" s="127"/>
      <c r="G2616" s="127"/>
      <c r="H2616" s="127"/>
      <c r="I2616" s="127"/>
    </row>
    <row r="2617">
      <c r="A2617" s="182"/>
      <c r="B2617" s="182"/>
      <c r="C2617" s="182"/>
      <c r="D2617" s="182"/>
      <c r="E2617" s="183"/>
      <c r="F2617" s="127"/>
      <c r="G2617" s="127"/>
      <c r="H2617" s="127"/>
      <c r="I2617" s="127"/>
    </row>
    <row r="2618">
      <c r="A2618" s="182"/>
      <c r="B2618" s="182"/>
      <c r="C2618" s="182"/>
      <c r="D2618" s="182"/>
      <c r="E2618" s="183"/>
      <c r="F2618" s="127"/>
      <c r="G2618" s="127"/>
      <c r="H2618" s="127"/>
      <c r="I2618" s="127"/>
    </row>
    <row r="2619">
      <c r="A2619" s="182"/>
      <c r="B2619" s="182"/>
      <c r="C2619" s="182"/>
      <c r="D2619" s="182"/>
      <c r="E2619" s="183"/>
      <c r="F2619" s="127"/>
      <c r="G2619" s="127"/>
      <c r="H2619" s="127"/>
      <c r="I2619" s="127"/>
    </row>
    <row r="2620">
      <c r="A2620" s="182"/>
      <c r="B2620" s="182"/>
      <c r="C2620" s="182"/>
      <c r="D2620" s="182"/>
      <c r="E2620" s="183"/>
      <c r="F2620" s="127"/>
      <c r="G2620" s="127"/>
      <c r="H2620" s="127"/>
      <c r="I2620" s="127"/>
    </row>
    <row r="2621">
      <c r="A2621" s="182"/>
      <c r="B2621" s="182"/>
      <c r="C2621" s="182"/>
      <c r="D2621" s="182"/>
      <c r="E2621" s="183"/>
      <c r="F2621" s="127"/>
      <c r="G2621" s="127"/>
      <c r="H2621" s="127"/>
      <c r="I2621" s="127"/>
    </row>
    <row r="2622">
      <c r="A2622" s="182"/>
      <c r="B2622" s="182"/>
      <c r="C2622" s="182"/>
      <c r="D2622" s="182"/>
      <c r="E2622" s="183"/>
      <c r="F2622" s="127"/>
      <c r="G2622" s="127"/>
      <c r="H2622" s="127"/>
      <c r="I2622" s="127"/>
    </row>
    <row r="2623">
      <c r="A2623" s="182"/>
      <c r="B2623" s="182"/>
      <c r="C2623" s="182"/>
      <c r="D2623" s="182"/>
      <c r="E2623" s="183"/>
      <c r="F2623" s="127"/>
      <c r="G2623" s="127"/>
      <c r="H2623" s="127"/>
      <c r="I2623" s="127"/>
    </row>
    <row r="2624">
      <c r="A2624" s="182"/>
      <c r="B2624" s="182"/>
      <c r="C2624" s="182"/>
      <c r="D2624" s="182"/>
      <c r="E2624" s="183"/>
      <c r="F2624" s="127"/>
      <c r="G2624" s="127"/>
      <c r="H2624" s="127"/>
      <c r="I2624" s="127"/>
    </row>
    <row r="2625">
      <c r="A2625" s="182"/>
      <c r="B2625" s="182"/>
      <c r="C2625" s="182"/>
      <c r="D2625" s="182"/>
      <c r="E2625" s="183"/>
      <c r="F2625" s="127"/>
      <c r="G2625" s="127"/>
      <c r="H2625" s="127"/>
      <c r="I2625" s="127"/>
    </row>
    <row r="2626">
      <c r="A2626" s="182"/>
      <c r="B2626" s="182"/>
      <c r="C2626" s="182"/>
      <c r="D2626" s="182"/>
      <c r="E2626" s="183"/>
      <c r="F2626" s="127"/>
      <c r="G2626" s="127"/>
      <c r="H2626" s="127"/>
      <c r="I2626" s="127"/>
    </row>
    <row r="2627">
      <c r="A2627" s="182"/>
      <c r="B2627" s="182"/>
      <c r="C2627" s="182"/>
      <c r="D2627" s="182"/>
      <c r="E2627" s="183"/>
      <c r="F2627" s="127"/>
      <c r="G2627" s="127"/>
      <c r="H2627" s="127"/>
      <c r="I2627" s="127"/>
    </row>
    <row r="2628">
      <c r="A2628" s="182"/>
      <c r="B2628" s="182"/>
      <c r="C2628" s="182"/>
      <c r="D2628" s="182"/>
      <c r="E2628" s="183"/>
      <c r="F2628" s="127"/>
      <c r="G2628" s="127"/>
      <c r="H2628" s="127"/>
      <c r="I2628" s="127"/>
    </row>
    <row r="2629">
      <c r="A2629" s="182"/>
      <c r="B2629" s="182"/>
      <c r="C2629" s="182"/>
      <c r="D2629" s="182"/>
      <c r="E2629" s="183"/>
      <c r="F2629" s="127"/>
      <c r="G2629" s="127"/>
      <c r="H2629" s="127"/>
      <c r="I2629" s="127"/>
    </row>
    <row r="2630">
      <c r="A2630" s="182"/>
      <c r="B2630" s="182"/>
      <c r="C2630" s="182"/>
      <c r="D2630" s="182"/>
      <c r="E2630" s="183"/>
      <c r="F2630" s="127"/>
      <c r="G2630" s="127"/>
      <c r="H2630" s="127"/>
      <c r="I2630" s="127"/>
    </row>
    <row r="2631">
      <c r="A2631" s="182"/>
      <c r="B2631" s="182"/>
      <c r="C2631" s="182"/>
      <c r="D2631" s="182"/>
      <c r="E2631" s="183"/>
      <c r="F2631" s="127"/>
      <c r="G2631" s="127"/>
      <c r="H2631" s="127"/>
      <c r="I2631" s="127"/>
    </row>
    <row r="2632">
      <c r="A2632" s="182"/>
      <c r="B2632" s="182"/>
      <c r="C2632" s="182"/>
      <c r="D2632" s="182"/>
      <c r="E2632" s="183"/>
      <c r="F2632" s="127"/>
      <c r="G2632" s="127"/>
      <c r="H2632" s="127"/>
      <c r="I2632" s="127"/>
    </row>
    <row r="2633">
      <c r="A2633" s="182"/>
      <c r="B2633" s="182"/>
      <c r="C2633" s="182"/>
      <c r="D2633" s="182"/>
      <c r="E2633" s="183"/>
      <c r="F2633" s="127"/>
      <c r="G2633" s="127"/>
      <c r="H2633" s="127"/>
      <c r="I2633" s="127"/>
    </row>
    <row r="2634">
      <c r="A2634" s="182"/>
      <c r="B2634" s="182"/>
      <c r="C2634" s="182"/>
      <c r="D2634" s="182"/>
      <c r="E2634" s="183"/>
      <c r="F2634" s="127"/>
      <c r="G2634" s="127"/>
      <c r="H2634" s="127"/>
      <c r="I2634" s="127"/>
    </row>
    <row r="2635">
      <c r="A2635" s="182"/>
      <c r="B2635" s="182"/>
      <c r="C2635" s="182"/>
      <c r="D2635" s="182"/>
      <c r="E2635" s="183"/>
      <c r="F2635" s="127"/>
      <c r="G2635" s="127"/>
      <c r="H2635" s="127"/>
      <c r="I2635" s="127"/>
    </row>
    <row r="2636">
      <c r="A2636" s="182"/>
      <c r="B2636" s="182"/>
      <c r="C2636" s="182"/>
      <c r="D2636" s="182"/>
      <c r="E2636" s="183"/>
      <c r="F2636" s="127"/>
      <c r="G2636" s="127"/>
      <c r="H2636" s="127"/>
      <c r="I2636" s="127"/>
    </row>
    <row r="2637">
      <c r="A2637" s="182"/>
      <c r="B2637" s="182"/>
      <c r="C2637" s="182"/>
      <c r="D2637" s="182"/>
      <c r="E2637" s="183"/>
      <c r="F2637" s="127"/>
      <c r="G2637" s="127"/>
      <c r="H2637" s="127"/>
      <c r="I2637" s="127"/>
    </row>
    <row r="2638">
      <c r="A2638" s="182"/>
      <c r="B2638" s="182"/>
      <c r="C2638" s="182"/>
      <c r="D2638" s="182"/>
      <c r="E2638" s="183"/>
      <c r="F2638" s="127"/>
      <c r="G2638" s="127"/>
      <c r="H2638" s="127"/>
      <c r="I2638" s="127"/>
    </row>
    <row r="2639">
      <c r="A2639" s="182"/>
      <c r="B2639" s="182"/>
      <c r="C2639" s="182"/>
      <c r="D2639" s="182"/>
      <c r="E2639" s="183"/>
      <c r="F2639" s="127"/>
      <c r="G2639" s="127"/>
      <c r="H2639" s="127"/>
      <c r="I2639" s="127"/>
    </row>
    <row r="2640">
      <c r="A2640" s="182"/>
      <c r="B2640" s="182"/>
      <c r="C2640" s="182"/>
      <c r="D2640" s="182"/>
      <c r="E2640" s="183"/>
      <c r="F2640" s="127"/>
      <c r="G2640" s="127"/>
      <c r="H2640" s="127"/>
      <c r="I2640" s="127"/>
    </row>
    <row r="2641">
      <c r="A2641" s="182"/>
      <c r="B2641" s="182"/>
      <c r="C2641" s="182"/>
      <c r="D2641" s="182"/>
      <c r="E2641" s="183"/>
      <c r="F2641" s="127"/>
      <c r="G2641" s="127"/>
      <c r="H2641" s="127"/>
      <c r="I2641" s="127"/>
    </row>
    <row r="2642">
      <c r="A2642" s="182"/>
      <c r="B2642" s="182"/>
      <c r="C2642" s="182"/>
      <c r="D2642" s="182"/>
      <c r="E2642" s="183"/>
      <c r="F2642" s="127"/>
      <c r="G2642" s="127"/>
      <c r="H2642" s="127"/>
      <c r="I2642" s="127"/>
    </row>
    <row r="2643">
      <c r="A2643" s="182"/>
      <c r="B2643" s="182"/>
      <c r="C2643" s="182"/>
      <c r="D2643" s="182"/>
      <c r="E2643" s="183"/>
      <c r="F2643" s="127"/>
      <c r="G2643" s="127"/>
      <c r="H2643" s="127"/>
      <c r="I2643" s="127"/>
    </row>
    <row r="2644">
      <c r="A2644" s="182"/>
      <c r="B2644" s="182"/>
      <c r="C2644" s="182"/>
      <c r="D2644" s="182"/>
      <c r="E2644" s="183"/>
      <c r="F2644" s="127"/>
      <c r="G2644" s="127"/>
      <c r="H2644" s="127"/>
      <c r="I2644" s="127"/>
    </row>
    <row r="2645">
      <c r="A2645" s="182"/>
      <c r="B2645" s="182"/>
      <c r="C2645" s="182"/>
      <c r="D2645" s="182"/>
      <c r="E2645" s="183"/>
      <c r="F2645" s="127"/>
      <c r="G2645" s="127"/>
      <c r="H2645" s="127"/>
      <c r="I2645" s="127"/>
    </row>
    <row r="2646">
      <c r="A2646" s="182"/>
      <c r="B2646" s="182"/>
      <c r="C2646" s="182"/>
      <c r="D2646" s="182"/>
      <c r="E2646" s="183"/>
      <c r="F2646" s="127"/>
      <c r="G2646" s="127"/>
      <c r="H2646" s="127"/>
      <c r="I2646" s="127"/>
    </row>
    <row r="2647">
      <c r="A2647" s="182"/>
      <c r="B2647" s="182"/>
      <c r="C2647" s="182"/>
      <c r="D2647" s="182"/>
      <c r="E2647" s="183"/>
      <c r="F2647" s="127"/>
      <c r="G2647" s="127"/>
      <c r="H2647" s="127"/>
      <c r="I2647" s="127"/>
    </row>
    <row r="2648">
      <c r="A2648" s="182"/>
      <c r="B2648" s="182"/>
      <c r="C2648" s="182"/>
      <c r="D2648" s="182"/>
      <c r="E2648" s="183"/>
      <c r="F2648" s="127"/>
      <c r="G2648" s="127"/>
      <c r="H2648" s="127"/>
      <c r="I2648" s="127"/>
    </row>
    <row r="2649">
      <c r="A2649" s="182"/>
      <c r="B2649" s="182"/>
      <c r="C2649" s="182"/>
      <c r="D2649" s="182"/>
      <c r="E2649" s="183"/>
      <c r="F2649" s="127"/>
      <c r="G2649" s="127"/>
      <c r="H2649" s="127"/>
      <c r="I2649" s="127"/>
    </row>
    <row r="2650">
      <c r="A2650" s="182"/>
      <c r="B2650" s="182"/>
      <c r="C2650" s="182"/>
      <c r="D2650" s="182"/>
      <c r="E2650" s="183"/>
      <c r="F2650" s="127"/>
      <c r="G2650" s="127"/>
      <c r="H2650" s="127"/>
      <c r="I2650" s="127"/>
    </row>
    <row r="2651">
      <c r="A2651" s="182"/>
      <c r="B2651" s="182"/>
      <c r="C2651" s="182"/>
      <c r="D2651" s="182"/>
      <c r="E2651" s="183"/>
      <c r="F2651" s="127"/>
      <c r="G2651" s="127"/>
      <c r="H2651" s="127"/>
      <c r="I2651" s="127"/>
    </row>
    <row r="2652">
      <c r="A2652" s="182"/>
      <c r="B2652" s="182"/>
      <c r="C2652" s="182"/>
      <c r="D2652" s="182"/>
      <c r="E2652" s="183"/>
      <c r="F2652" s="127"/>
      <c r="G2652" s="127"/>
      <c r="H2652" s="127"/>
      <c r="I2652" s="127"/>
    </row>
    <row r="2653">
      <c r="A2653" s="182"/>
      <c r="B2653" s="182"/>
      <c r="C2653" s="182"/>
      <c r="D2653" s="182"/>
      <c r="E2653" s="183"/>
      <c r="F2653" s="127"/>
      <c r="G2653" s="127"/>
      <c r="H2653" s="127"/>
      <c r="I2653" s="127"/>
    </row>
    <row r="2654">
      <c r="A2654" s="182"/>
      <c r="B2654" s="182"/>
      <c r="C2654" s="182"/>
      <c r="D2654" s="182"/>
      <c r="E2654" s="183"/>
      <c r="F2654" s="127"/>
      <c r="G2654" s="127"/>
      <c r="H2654" s="127"/>
      <c r="I2654" s="127"/>
    </row>
    <row r="2655">
      <c r="A2655" s="182"/>
      <c r="B2655" s="182"/>
      <c r="C2655" s="182"/>
      <c r="D2655" s="182"/>
      <c r="E2655" s="183"/>
      <c r="F2655" s="127"/>
      <c r="G2655" s="127"/>
      <c r="H2655" s="127"/>
      <c r="I2655" s="127"/>
    </row>
    <row r="2656">
      <c r="A2656" s="182"/>
      <c r="B2656" s="182"/>
      <c r="C2656" s="182"/>
      <c r="D2656" s="182"/>
      <c r="E2656" s="183"/>
      <c r="F2656" s="127"/>
      <c r="G2656" s="127"/>
      <c r="H2656" s="127"/>
      <c r="I2656" s="127"/>
    </row>
    <row r="2657">
      <c r="A2657" s="182"/>
      <c r="B2657" s="182"/>
      <c r="C2657" s="182"/>
      <c r="D2657" s="182"/>
      <c r="E2657" s="183"/>
      <c r="F2657" s="127"/>
      <c r="G2657" s="127"/>
      <c r="H2657" s="127"/>
      <c r="I2657" s="127"/>
    </row>
    <row r="2658">
      <c r="A2658" s="182"/>
      <c r="B2658" s="182"/>
      <c r="C2658" s="182"/>
      <c r="D2658" s="182"/>
      <c r="E2658" s="183"/>
      <c r="F2658" s="127"/>
      <c r="G2658" s="127"/>
      <c r="H2658" s="127"/>
      <c r="I2658" s="127"/>
    </row>
    <row r="2659">
      <c r="A2659" s="182"/>
      <c r="B2659" s="183"/>
      <c r="C2659" s="182"/>
      <c r="D2659" s="182"/>
      <c r="E2659" s="183"/>
      <c r="F2659" s="127"/>
      <c r="G2659" s="127"/>
      <c r="H2659" s="127"/>
      <c r="I2659" s="127"/>
    </row>
    <row r="2660">
      <c r="A2660" s="182"/>
      <c r="B2660" s="182"/>
      <c r="C2660" s="182"/>
      <c r="D2660" s="182"/>
      <c r="E2660" s="183"/>
      <c r="F2660" s="127"/>
      <c r="G2660" s="127"/>
      <c r="H2660" s="127"/>
      <c r="I2660" s="127"/>
    </row>
    <row r="2661">
      <c r="A2661" s="182"/>
      <c r="B2661" s="182"/>
      <c r="C2661" s="182"/>
      <c r="D2661" s="182"/>
      <c r="E2661" s="183"/>
      <c r="F2661" s="127"/>
      <c r="G2661" s="127"/>
      <c r="H2661" s="127"/>
      <c r="I2661" s="127"/>
    </row>
    <row r="2662">
      <c r="A2662" s="182"/>
      <c r="B2662" s="182"/>
      <c r="C2662" s="182"/>
      <c r="D2662" s="182"/>
      <c r="E2662" s="183"/>
      <c r="F2662" s="127"/>
      <c r="G2662" s="127"/>
      <c r="H2662" s="127"/>
      <c r="I2662" s="127"/>
    </row>
    <row r="2663">
      <c r="A2663" s="182"/>
      <c r="B2663" s="182"/>
      <c r="C2663" s="182"/>
      <c r="D2663" s="182"/>
      <c r="E2663" s="183"/>
      <c r="F2663" s="127"/>
      <c r="G2663" s="127"/>
      <c r="H2663" s="127"/>
      <c r="I2663" s="127"/>
    </row>
    <row r="2664">
      <c r="A2664" s="182"/>
      <c r="B2664" s="182"/>
      <c r="C2664" s="182"/>
      <c r="D2664" s="182"/>
      <c r="E2664" s="183"/>
      <c r="F2664" s="127"/>
      <c r="G2664" s="127"/>
      <c r="H2664" s="127"/>
      <c r="I2664" s="127"/>
    </row>
    <row r="2665">
      <c r="A2665" s="182"/>
      <c r="B2665" s="182"/>
      <c r="C2665" s="182"/>
      <c r="D2665" s="182"/>
      <c r="E2665" s="183"/>
      <c r="F2665" s="127"/>
      <c r="G2665" s="127"/>
      <c r="H2665" s="127"/>
      <c r="I2665" s="127"/>
    </row>
    <row r="2666">
      <c r="A2666" s="182"/>
      <c r="B2666" s="182"/>
      <c r="C2666" s="182"/>
      <c r="D2666" s="182"/>
      <c r="E2666" s="183"/>
      <c r="F2666" s="127"/>
      <c r="G2666" s="127"/>
      <c r="H2666" s="127"/>
      <c r="I2666" s="127"/>
    </row>
    <row r="2667">
      <c r="A2667" s="182"/>
      <c r="B2667" s="182"/>
      <c r="C2667" s="182"/>
      <c r="D2667" s="182"/>
      <c r="E2667" s="183"/>
      <c r="F2667" s="127"/>
      <c r="G2667" s="127"/>
      <c r="H2667" s="127"/>
      <c r="I2667" s="127"/>
    </row>
    <row r="2668">
      <c r="A2668" s="182"/>
      <c r="B2668" s="182"/>
      <c r="C2668" s="182"/>
      <c r="D2668" s="182"/>
      <c r="E2668" s="183"/>
      <c r="F2668" s="127"/>
      <c r="G2668" s="127"/>
      <c r="H2668" s="127"/>
      <c r="I2668" s="127"/>
    </row>
    <row r="2669">
      <c r="A2669" s="182"/>
      <c r="B2669" s="182"/>
      <c r="C2669" s="182"/>
      <c r="D2669" s="182"/>
      <c r="E2669" s="183"/>
      <c r="F2669" s="127"/>
      <c r="G2669" s="127"/>
      <c r="H2669" s="127"/>
      <c r="I2669" s="127"/>
    </row>
    <row r="2670">
      <c r="A2670" s="182"/>
      <c r="B2670" s="182"/>
      <c r="C2670" s="182"/>
      <c r="D2670" s="182"/>
      <c r="E2670" s="183"/>
      <c r="F2670" s="127"/>
      <c r="G2670" s="127"/>
      <c r="H2670" s="127"/>
      <c r="I2670" s="127"/>
    </row>
    <row r="2671">
      <c r="A2671" s="182"/>
      <c r="B2671" s="182"/>
      <c r="C2671" s="182"/>
      <c r="D2671" s="182"/>
      <c r="E2671" s="183"/>
      <c r="F2671" s="127"/>
      <c r="G2671" s="127"/>
      <c r="H2671" s="127"/>
      <c r="I2671" s="127"/>
    </row>
    <row r="2672">
      <c r="A2672" s="182"/>
      <c r="B2672" s="182"/>
      <c r="C2672" s="182"/>
      <c r="D2672" s="182"/>
      <c r="E2672" s="183"/>
      <c r="F2672" s="127"/>
      <c r="G2672" s="127"/>
      <c r="H2672" s="127"/>
      <c r="I2672" s="127"/>
    </row>
    <row r="2673">
      <c r="A2673" s="182"/>
      <c r="B2673" s="182"/>
      <c r="C2673" s="182"/>
      <c r="D2673" s="182"/>
      <c r="E2673" s="183"/>
      <c r="F2673" s="127"/>
      <c r="G2673" s="127"/>
      <c r="H2673" s="127"/>
      <c r="I2673" s="127"/>
    </row>
    <row r="2674">
      <c r="A2674" s="182"/>
      <c r="B2674" s="182"/>
      <c r="C2674" s="182"/>
      <c r="D2674" s="182"/>
      <c r="E2674" s="183"/>
      <c r="F2674" s="127"/>
      <c r="G2674" s="127"/>
      <c r="H2674" s="127"/>
      <c r="I2674" s="127"/>
    </row>
    <row r="2675">
      <c r="A2675" s="182"/>
      <c r="B2675" s="182"/>
      <c r="C2675" s="182"/>
      <c r="D2675" s="182"/>
      <c r="E2675" s="183"/>
      <c r="F2675" s="127"/>
      <c r="G2675" s="127"/>
      <c r="H2675" s="127"/>
      <c r="I2675" s="127"/>
    </row>
    <row r="2676">
      <c r="A2676" s="182"/>
      <c r="B2676" s="182"/>
      <c r="C2676" s="182"/>
      <c r="D2676" s="182"/>
      <c r="E2676" s="183"/>
      <c r="F2676" s="127"/>
      <c r="G2676" s="127"/>
      <c r="H2676" s="127"/>
      <c r="I2676" s="127"/>
    </row>
    <row r="2677">
      <c r="A2677" s="182"/>
      <c r="B2677" s="182"/>
      <c r="C2677" s="182"/>
      <c r="D2677" s="182"/>
      <c r="E2677" s="183"/>
      <c r="F2677" s="127"/>
      <c r="G2677" s="127"/>
      <c r="H2677" s="127"/>
      <c r="I2677" s="127"/>
    </row>
    <row r="2678">
      <c r="A2678" s="182"/>
      <c r="B2678" s="182"/>
      <c r="C2678" s="182"/>
      <c r="D2678" s="182"/>
      <c r="E2678" s="183"/>
      <c r="F2678" s="127"/>
      <c r="G2678" s="127"/>
      <c r="H2678" s="127"/>
      <c r="I2678" s="127"/>
    </row>
    <row r="2679">
      <c r="A2679" s="182"/>
      <c r="B2679" s="182"/>
      <c r="C2679" s="182"/>
      <c r="D2679" s="182"/>
      <c r="E2679" s="183"/>
      <c r="F2679" s="127"/>
      <c r="G2679" s="127"/>
      <c r="H2679" s="127"/>
      <c r="I2679" s="127"/>
    </row>
    <row r="2680">
      <c r="A2680" s="182"/>
      <c r="B2680" s="182"/>
      <c r="C2680" s="182"/>
      <c r="D2680" s="182"/>
      <c r="E2680" s="183"/>
      <c r="F2680" s="127"/>
      <c r="G2680" s="127"/>
      <c r="H2680" s="127"/>
      <c r="I2680" s="127"/>
    </row>
    <row r="2681">
      <c r="A2681" s="182"/>
      <c r="B2681" s="182"/>
      <c r="C2681" s="182"/>
      <c r="D2681" s="182"/>
      <c r="E2681" s="183"/>
      <c r="F2681" s="127"/>
      <c r="G2681" s="127"/>
      <c r="H2681" s="127"/>
      <c r="I2681" s="127"/>
    </row>
    <row r="2682">
      <c r="A2682" s="182"/>
      <c r="B2682" s="182"/>
      <c r="C2682" s="182"/>
      <c r="D2682" s="182"/>
      <c r="E2682" s="183"/>
      <c r="F2682" s="127"/>
      <c r="G2682" s="127"/>
      <c r="H2682" s="127"/>
      <c r="I2682" s="127"/>
    </row>
    <row r="2683">
      <c r="A2683" s="182"/>
      <c r="B2683" s="182"/>
      <c r="C2683" s="182"/>
      <c r="D2683" s="182"/>
      <c r="E2683" s="183"/>
      <c r="F2683" s="127"/>
      <c r="G2683" s="127"/>
      <c r="H2683" s="127"/>
      <c r="I2683" s="127"/>
    </row>
    <row r="2684">
      <c r="A2684" s="182"/>
      <c r="B2684" s="182"/>
      <c r="C2684" s="182"/>
      <c r="D2684" s="182"/>
      <c r="E2684" s="183"/>
      <c r="F2684" s="127"/>
      <c r="G2684" s="127"/>
      <c r="H2684" s="127"/>
      <c r="I2684" s="127"/>
    </row>
    <row r="2685">
      <c r="A2685" s="182"/>
      <c r="B2685" s="182"/>
      <c r="C2685" s="182"/>
      <c r="D2685" s="182"/>
      <c r="E2685" s="183"/>
      <c r="F2685" s="127"/>
      <c r="G2685" s="127"/>
      <c r="H2685" s="127"/>
      <c r="I2685" s="127"/>
    </row>
    <row r="2686">
      <c r="A2686" s="182"/>
      <c r="B2686" s="182"/>
      <c r="C2686" s="182"/>
      <c r="D2686" s="182"/>
      <c r="E2686" s="183"/>
      <c r="F2686" s="127"/>
      <c r="G2686" s="127"/>
      <c r="H2686" s="127"/>
      <c r="I2686" s="127"/>
    </row>
    <row r="2687">
      <c r="A2687" s="182"/>
      <c r="B2687" s="182"/>
      <c r="C2687" s="182"/>
      <c r="D2687" s="182"/>
      <c r="E2687" s="183"/>
      <c r="F2687" s="127"/>
      <c r="G2687" s="127"/>
      <c r="H2687" s="127"/>
      <c r="I2687" s="127"/>
    </row>
    <row r="2688">
      <c r="A2688" s="182"/>
      <c r="B2688" s="182"/>
      <c r="C2688" s="182"/>
      <c r="D2688" s="182"/>
      <c r="E2688" s="183"/>
      <c r="F2688" s="127"/>
      <c r="G2688" s="127"/>
      <c r="H2688" s="127"/>
      <c r="I2688" s="127"/>
    </row>
    <row r="2689">
      <c r="A2689" s="182"/>
      <c r="B2689" s="182"/>
      <c r="C2689" s="182"/>
      <c r="D2689" s="182"/>
      <c r="E2689" s="183"/>
      <c r="F2689" s="127"/>
      <c r="G2689" s="127"/>
      <c r="H2689" s="127"/>
      <c r="I2689" s="127"/>
    </row>
    <row r="2690">
      <c r="A2690" s="182"/>
      <c r="B2690" s="182"/>
      <c r="C2690" s="182"/>
      <c r="D2690" s="182"/>
      <c r="E2690" s="183"/>
      <c r="F2690" s="127"/>
      <c r="G2690" s="127"/>
      <c r="H2690" s="127"/>
      <c r="I2690" s="127"/>
    </row>
    <row r="2691">
      <c r="A2691" s="182"/>
      <c r="B2691" s="182"/>
      <c r="C2691" s="182"/>
      <c r="D2691" s="182"/>
      <c r="E2691" s="183"/>
      <c r="F2691" s="127"/>
      <c r="G2691" s="127"/>
      <c r="H2691" s="127"/>
      <c r="I2691" s="127"/>
    </row>
    <row r="2692">
      <c r="A2692" s="182"/>
      <c r="B2692" s="182"/>
      <c r="C2692" s="182"/>
      <c r="D2692" s="182"/>
      <c r="E2692" s="183"/>
      <c r="F2692" s="127"/>
      <c r="G2692" s="127"/>
      <c r="H2692" s="127"/>
      <c r="I2692" s="127"/>
    </row>
    <row r="2693">
      <c r="A2693" s="182"/>
      <c r="B2693" s="182"/>
      <c r="C2693" s="182"/>
      <c r="D2693" s="182"/>
      <c r="E2693" s="183"/>
      <c r="F2693" s="127"/>
      <c r="G2693" s="127"/>
      <c r="H2693" s="127"/>
      <c r="I2693" s="127"/>
    </row>
    <row r="2694">
      <c r="A2694" s="182"/>
      <c r="B2694" s="182"/>
      <c r="C2694" s="182"/>
      <c r="D2694" s="182"/>
      <c r="E2694" s="183"/>
      <c r="F2694" s="127"/>
      <c r="G2694" s="127"/>
      <c r="H2694" s="127"/>
      <c r="I2694" s="127"/>
    </row>
    <row r="2695">
      <c r="A2695" s="182"/>
      <c r="B2695" s="182"/>
      <c r="C2695" s="182"/>
      <c r="D2695" s="182"/>
      <c r="E2695" s="183"/>
      <c r="F2695" s="127"/>
      <c r="G2695" s="127"/>
      <c r="H2695" s="127"/>
      <c r="I2695" s="127"/>
    </row>
    <row r="2696">
      <c r="A2696" s="182"/>
      <c r="B2696" s="182"/>
      <c r="C2696" s="182"/>
      <c r="D2696" s="182"/>
      <c r="E2696" s="183"/>
      <c r="F2696" s="127"/>
      <c r="G2696" s="127"/>
      <c r="H2696" s="127"/>
      <c r="I2696" s="127"/>
    </row>
    <row r="2697">
      <c r="A2697" s="182"/>
      <c r="B2697" s="182"/>
      <c r="C2697" s="182"/>
      <c r="D2697" s="182"/>
      <c r="E2697" s="183"/>
      <c r="F2697" s="127"/>
      <c r="G2697" s="127"/>
      <c r="H2697" s="127"/>
      <c r="I2697" s="127"/>
    </row>
    <row r="2698">
      <c r="A2698" s="182"/>
      <c r="B2698" s="183"/>
      <c r="C2698" s="182"/>
      <c r="D2698" s="182"/>
      <c r="E2698" s="183"/>
      <c r="F2698" s="127"/>
      <c r="G2698" s="127"/>
      <c r="H2698" s="127"/>
      <c r="I2698" s="127"/>
    </row>
    <row r="2699">
      <c r="A2699" s="182"/>
      <c r="B2699" s="182"/>
      <c r="C2699" s="182"/>
      <c r="D2699" s="182"/>
      <c r="E2699" s="183"/>
      <c r="F2699" s="127"/>
      <c r="G2699" s="127"/>
      <c r="H2699" s="127"/>
      <c r="I2699" s="127"/>
    </row>
    <row r="2700">
      <c r="A2700" s="182"/>
      <c r="B2700" s="182"/>
      <c r="C2700" s="182"/>
      <c r="D2700" s="182"/>
      <c r="E2700" s="183"/>
      <c r="F2700" s="127"/>
      <c r="G2700" s="127"/>
      <c r="H2700" s="127"/>
      <c r="I2700" s="127"/>
    </row>
    <row r="2701">
      <c r="A2701" s="182"/>
      <c r="B2701" s="182"/>
      <c r="C2701" s="182"/>
      <c r="D2701" s="182"/>
      <c r="E2701" s="183"/>
      <c r="F2701" s="127"/>
      <c r="G2701" s="127"/>
      <c r="H2701" s="127"/>
      <c r="I2701" s="127"/>
    </row>
    <row r="2702">
      <c r="A2702" s="182"/>
      <c r="B2702" s="182"/>
      <c r="C2702" s="182"/>
      <c r="D2702" s="182"/>
      <c r="E2702" s="183"/>
      <c r="F2702" s="127"/>
      <c r="G2702" s="127"/>
      <c r="H2702" s="127"/>
      <c r="I2702" s="127"/>
    </row>
    <row r="2703">
      <c r="A2703" s="182"/>
      <c r="B2703" s="182"/>
      <c r="C2703" s="182"/>
      <c r="D2703" s="182"/>
      <c r="E2703" s="183"/>
      <c r="F2703" s="127"/>
      <c r="G2703" s="127"/>
      <c r="H2703" s="127"/>
      <c r="I2703" s="127"/>
    </row>
    <row r="2704">
      <c r="A2704" s="182"/>
      <c r="B2704" s="182"/>
      <c r="C2704" s="182"/>
      <c r="D2704" s="182"/>
      <c r="E2704" s="183"/>
      <c r="F2704" s="127"/>
      <c r="G2704" s="127"/>
      <c r="H2704" s="127"/>
      <c r="I2704" s="127"/>
    </row>
    <row r="2705">
      <c r="A2705" s="182"/>
      <c r="B2705" s="182"/>
      <c r="C2705" s="182"/>
      <c r="D2705" s="182"/>
      <c r="E2705" s="183"/>
      <c r="F2705" s="127"/>
      <c r="G2705" s="127"/>
      <c r="H2705" s="127"/>
      <c r="I2705" s="127"/>
    </row>
    <row r="2706">
      <c r="A2706" s="182"/>
      <c r="B2706" s="182"/>
      <c r="C2706" s="182"/>
      <c r="D2706" s="182"/>
      <c r="E2706" s="183"/>
      <c r="F2706" s="127"/>
      <c r="G2706" s="127"/>
      <c r="H2706" s="127"/>
      <c r="I2706" s="127"/>
    </row>
    <row r="2707">
      <c r="A2707" s="182"/>
      <c r="B2707" s="182"/>
      <c r="C2707" s="182"/>
      <c r="D2707" s="182"/>
      <c r="E2707" s="183"/>
      <c r="F2707" s="127"/>
      <c r="G2707" s="127"/>
      <c r="H2707" s="127"/>
      <c r="I2707" s="127"/>
    </row>
    <row r="2708">
      <c r="A2708" s="182"/>
      <c r="B2708" s="182"/>
      <c r="C2708" s="182"/>
      <c r="D2708" s="182"/>
      <c r="E2708" s="183"/>
      <c r="F2708" s="127"/>
      <c r="G2708" s="127"/>
      <c r="H2708" s="127"/>
      <c r="I2708" s="127"/>
    </row>
    <row r="2709">
      <c r="A2709" s="182"/>
      <c r="B2709" s="182"/>
      <c r="C2709" s="182"/>
      <c r="D2709" s="182"/>
      <c r="E2709" s="183"/>
      <c r="F2709" s="127"/>
      <c r="G2709" s="127"/>
      <c r="H2709" s="127"/>
      <c r="I2709" s="127"/>
    </row>
    <row r="2710">
      <c r="A2710" s="182"/>
      <c r="B2710" s="182"/>
      <c r="C2710" s="182"/>
      <c r="D2710" s="182"/>
      <c r="E2710" s="183"/>
      <c r="F2710" s="127"/>
      <c r="G2710" s="127"/>
      <c r="H2710" s="127"/>
      <c r="I2710" s="127"/>
    </row>
    <row r="2711">
      <c r="A2711" s="182"/>
      <c r="B2711" s="182"/>
      <c r="C2711" s="182"/>
      <c r="D2711" s="182"/>
      <c r="E2711" s="183"/>
      <c r="F2711" s="127"/>
      <c r="G2711" s="127"/>
      <c r="H2711" s="127"/>
      <c r="I2711" s="127"/>
    </row>
    <row r="2712">
      <c r="A2712" s="182"/>
      <c r="B2712" s="182"/>
      <c r="C2712" s="182"/>
      <c r="D2712" s="182"/>
      <c r="E2712" s="183"/>
      <c r="F2712" s="127"/>
      <c r="G2712" s="127"/>
      <c r="H2712" s="127"/>
      <c r="I2712" s="127"/>
    </row>
    <row r="2713">
      <c r="A2713" s="182"/>
      <c r="B2713" s="182"/>
      <c r="C2713" s="182"/>
      <c r="D2713" s="182"/>
      <c r="E2713" s="183"/>
      <c r="F2713" s="127"/>
      <c r="G2713" s="127"/>
      <c r="H2713" s="127"/>
      <c r="I2713" s="127"/>
    </row>
    <row r="2714">
      <c r="A2714" s="182"/>
      <c r="B2714" s="182"/>
      <c r="C2714" s="182"/>
      <c r="D2714" s="182"/>
      <c r="E2714" s="183"/>
      <c r="F2714" s="127"/>
      <c r="G2714" s="127"/>
      <c r="H2714" s="127"/>
      <c r="I2714" s="127"/>
    </row>
    <row r="2715">
      <c r="A2715" s="182"/>
      <c r="B2715" s="182"/>
      <c r="C2715" s="182"/>
      <c r="D2715" s="182"/>
      <c r="E2715" s="183"/>
      <c r="F2715" s="127"/>
      <c r="G2715" s="127"/>
      <c r="H2715" s="127"/>
      <c r="I2715" s="127"/>
    </row>
    <row r="2716">
      <c r="A2716" s="182"/>
      <c r="B2716" s="182"/>
      <c r="C2716" s="182"/>
      <c r="D2716" s="182"/>
      <c r="E2716" s="183"/>
      <c r="F2716" s="127"/>
      <c r="G2716" s="127"/>
      <c r="H2716" s="127"/>
      <c r="I2716" s="127"/>
    </row>
    <row r="2717">
      <c r="A2717" s="182"/>
      <c r="B2717" s="182"/>
      <c r="C2717" s="182"/>
      <c r="D2717" s="182"/>
      <c r="E2717" s="183"/>
      <c r="F2717" s="127"/>
      <c r="G2717" s="127"/>
      <c r="H2717" s="127"/>
      <c r="I2717" s="127"/>
    </row>
    <row r="2718">
      <c r="A2718" s="182"/>
      <c r="B2718" s="182"/>
      <c r="C2718" s="182"/>
      <c r="D2718" s="182"/>
      <c r="E2718" s="183"/>
      <c r="F2718" s="127"/>
      <c r="G2718" s="127"/>
      <c r="H2718" s="127"/>
      <c r="I2718" s="127"/>
    </row>
    <row r="2719">
      <c r="A2719" s="182"/>
      <c r="B2719" s="182"/>
      <c r="C2719" s="182"/>
      <c r="D2719" s="182"/>
      <c r="E2719" s="183"/>
      <c r="F2719" s="127"/>
      <c r="G2719" s="127"/>
      <c r="H2719" s="127"/>
      <c r="I2719" s="127"/>
    </row>
    <row r="2720">
      <c r="A2720" s="182"/>
      <c r="B2720" s="182"/>
      <c r="C2720" s="182"/>
      <c r="D2720" s="182"/>
      <c r="E2720" s="183"/>
      <c r="F2720" s="127"/>
      <c r="G2720" s="127"/>
      <c r="H2720" s="127"/>
      <c r="I2720" s="127"/>
    </row>
    <row r="2721">
      <c r="A2721" s="182"/>
      <c r="B2721" s="182"/>
      <c r="C2721" s="182"/>
      <c r="D2721" s="182"/>
      <c r="E2721" s="183"/>
      <c r="F2721" s="127"/>
      <c r="G2721" s="127"/>
      <c r="H2721" s="127"/>
      <c r="I2721" s="127"/>
    </row>
    <row r="2722">
      <c r="A2722" s="182"/>
      <c r="B2722" s="182"/>
      <c r="C2722" s="182"/>
      <c r="D2722" s="182"/>
      <c r="E2722" s="183"/>
      <c r="F2722" s="127"/>
      <c r="G2722" s="127"/>
      <c r="H2722" s="127"/>
      <c r="I2722" s="127"/>
    </row>
    <row r="2723">
      <c r="A2723" s="182"/>
      <c r="B2723" s="182"/>
      <c r="C2723" s="182"/>
      <c r="D2723" s="182"/>
      <c r="E2723" s="183"/>
      <c r="F2723" s="127"/>
      <c r="G2723" s="127"/>
      <c r="H2723" s="127"/>
      <c r="I2723" s="127"/>
    </row>
    <row r="2724">
      <c r="A2724" s="182"/>
      <c r="B2724" s="182"/>
      <c r="C2724" s="182"/>
      <c r="D2724" s="182"/>
      <c r="E2724" s="183"/>
      <c r="F2724" s="127"/>
      <c r="G2724" s="127"/>
      <c r="H2724" s="127"/>
      <c r="I2724" s="127"/>
    </row>
    <row r="2725">
      <c r="A2725" s="182"/>
      <c r="B2725" s="182"/>
      <c r="C2725" s="182"/>
      <c r="D2725" s="182"/>
      <c r="E2725" s="183"/>
      <c r="F2725" s="127"/>
      <c r="G2725" s="127"/>
      <c r="H2725" s="127"/>
      <c r="I2725" s="127"/>
    </row>
    <row r="2726">
      <c r="A2726" s="182"/>
      <c r="B2726" s="182"/>
      <c r="C2726" s="182"/>
      <c r="D2726" s="182"/>
      <c r="E2726" s="183"/>
      <c r="F2726" s="127"/>
      <c r="G2726" s="127"/>
      <c r="H2726" s="127"/>
      <c r="I2726" s="127"/>
    </row>
    <row r="2727">
      <c r="A2727" s="182"/>
      <c r="B2727" s="182"/>
      <c r="C2727" s="182"/>
      <c r="D2727" s="182"/>
      <c r="E2727" s="183"/>
      <c r="F2727" s="127"/>
      <c r="G2727" s="127"/>
      <c r="H2727" s="127"/>
      <c r="I2727" s="127"/>
    </row>
    <row r="2728">
      <c r="A2728" s="182"/>
      <c r="B2728" s="182"/>
      <c r="C2728" s="182"/>
      <c r="D2728" s="182"/>
      <c r="E2728" s="183"/>
      <c r="F2728" s="127"/>
      <c r="G2728" s="127"/>
      <c r="H2728" s="127"/>
      <c r="I2728" s="127"/>
    </row>
    <row r="2729">
      <c r="A2729" s="182"/>
      <c r="B2729" s="182"/>
      <c r="C2729" s="182"/>
      <c r="D2729" s="182"/>
      <c r="E2729" s="183"/>
      <c r="F2729" s="127"/>
      <c r="G2729" s="127"/>
      <c r="H2729" s="127"/>
      <c r="I2729" s="127"/>
    </row>
    <row r="2730">
      <c r="A2730" s="182"/>
      <c r="B2730" s="182"/>
      <c r="C2730" s="182"/>
      <c r="D2730" s="182"/>
      <c r="E2730" s="183"/>
      <c r="F2730" s="127"/>
      <c r="G2730" s="127"/>
      <c r="H2730" s="127"/>
      <c r="I2730" s="127"/>
    </row>
    <row r="2731">
      <c r="A2731" s="182"/>
      <c r="B2731" s="182"/>
      <c r="C2731" s="182"/>
      <c r="D2731" s="182"/>
      <c r="E2731" s="183"/>
      <c r="F2731" s="127"/>
      <c r="G2731" s="127"/>
      <c r="H2731" s="127"/>
      <c r="I2731" s="127"/>
    </row>
    <row r="2732">
      <c r="A2732" s="182"/>
      <c r="B2732" s="182"/>
      <c r="C2732" s="182"/>
      <c r="D2732" s="182"/>
      <c r="E2732" s="183"/>
      <c r="F2732" s="127"/>
      <c r="G2732" s="127"/>
      <c r="H2732" s="127"/>
      <c r="I2732" s="127"/>
    </row>
    <row r="2733">
      <c r="A2733" s="182"/>
      <c r="B2733" s="182"/>
      <c r="C2733" s="182"/>
      <c r="D2733" s="182"/>
      <c r="E2733" s="183"/>
      <c r="F2733" s="127"/>
      <c r="G2733" s="127"/>
      <c r="H2733" s="127"/>
      <c r="I2733" s="127"/>
    </row>
    <row r="2734">
      <c r="A2734" s="182"/>
      <c r="B2734" s="182"/>
      <c r="C2734" s="182"/>
      <c r="D2734" s="182"/>
      <c r="E2734" s="183"/>
      <c r="F2734" s="127"/>
      <c r="G2734" s="127"/>
      <c r="H2734" s="127"/>
      <c r="I2734" s="127"/>
    </row>
    <row r="2735">
      <c r="A2735" s="182"/>
      <c r="B2735" s="182"/>
      <c r="C2735" s="182"/>
      <c r="D2735" s="182"/>
      <c r="E2735" s="183"/>
      <c r="F2735" s="127"/>
      <c r="G2735" s="127"/>
      <c r="H2735" s="127"/>
      <c r="I2735" s="127"/>
    </row>
    <row r="2736">
      <c r="A2736" s="182"/>
      <c r="B2736" s="182"/>
      <c r="C2736" s="182"/>
      <c r="D2736" s="182"/>
      <c r="E2736" s="183"/>
      <c r="F2736" s="127"/>
      <c r="G2736" s="127"/>
      <c r="H2736" s="127"/>
      <c r="I2736" s="127"/>
    </row>
    <row r="2737">
      <c r="A2737" s="182"/>
      <c r="B2737" s="182"/>
      <c r="C2737" s="182"/>
      <c r="D2737" s="182"/>
      <c r="E2737" s="183"/>
      <c r="F2737" s="127"/>
      <c r="G2737" s="127"/>
      <c r="H2737" s="127"/>
      <c r="I2737" s="127"/>
    </row>
    <row r="2738">
      <c r="A2738" s="182"/>
      <c r="B2738" s="182"/>
      <c r="C2738" s="182"/>
      <c r="D2738" s="182"/>
      <c r="E2738" s="183"/>
      <c r="F2738" s="127"/>
      <c r="G2738" s="127"/>
      <c r="H2738" s="127"/>
      <c r="I2738" s="127"/>
    </row>
    <row r="2739">
      <c r="A2739" s="182"/>
      <c r="B2739" s="182"/>
      <c r="C2739" s="182"/>
      <c r="D2739" s="182"/>
      <c r="E2739" s="183"/>
      <c r="F2739" s="127"/>
      <c r="G2739" s="127"/>
      <c r="H2739" s="127"/>
      <c r="I2739" s="127"/>
    </row>
    <row r="2740">
      <c r="A2740" s="182"/>
      <c r="B2740" s="182"/>
      <c r="C2740" s="182"/>
      <c r="D2740" s="182"/>
      <c r="E2740" s="183"/>
      <c r="F2740" s="127"/>
      <c r="G2740" s="127"/>
      <c r="H2740" s="127"/>
      <c r="I2740" s="127"/>
    </row>
    <row r="2741">
      <c r="A2741" s="182"/>
      <c r="B2741" s="182"/>
      <c r="C2741" s="182"/>
      <c r="D2741" s="182"/>
      <c r="E2741" s="183"/>
      <c r="F2741" s="127"/>
      <c r="G2741" s="127"/>
      <c r="H2741" s="127"/>
      <c r="I2741" s="127"/>
    </row>
    <row r="2742">
      <c r="A2742" s="182"/>
      <c r="B2742" s="182"/>
      <c r="C2742" s="182"/>
      <c r="D2742" s="182"/>
      <c r="E2742" s="183"/>
      <c r="F2742" s="127"/>
      <c r="G2742" s="127"/>
      <c r="H2742" s="127"/>
      <c r="I2742" s="127"/>
    </row>
    <row r="2743">
      <c r="A2743" s="182"/>
      <c r="B2743" s="182"/>
      <c r="C2743" s="182"/>
      <c r="D2743" s="182"/>
      <c r="E2743" s="183"/>
      <c r="F2743" s="127"/>
      <c r="G2743" s="127"/>
      <c r="H2743" s="127"/>
      <c r="I2743" s="127"/>
    </row>
    <row r="2744">
      <c r="A2744" s="182"/>
      <c r="B2744" s="182"/>
      <c r="C2744" s="182"/>
      <c r="D2744" s="182"/>
      <c r="E2744" s="183"/>
      <c r="F2744" s="127"/>
      <c r="G2744" s="127"/>
      <c r="H2744" s="127"/>
      <c r="I2744" s="127"/>
    </row>
    <row r="2745">
      <c r="A2745" s="182"/>
      <c r="B2745" s="182"/>
      <c r="C2745" s="182"/>
      <c r="D2745" s="182"/>
      <c r="E2745" s="183"/>
      <c r="F2745" s="127"/>
      <c r="G2745" s="127"/>
      <c r="H2745" s="127"/>
      <c r="I2745" s="127"/>
    </row>
    <row r="2746">
      <c r="A2746" s="182"/>
      <c r="B2746" s="182"/>
      <c r="C2746" s="182"/>
      <c r="D2746" s="182"/>
      <c r="E2746" s="183"/>
      <c r="F2746" s="127"/>
      <c r="G2746" s="127"/>
      <c r="H2746" s="127"/>
      <c r="I2746" s="127"/>
    </row>
    <row r="2747">
      <c r="A2747" s="182"/>
      <c r="B2747" s="182"/>
      <c r="C2747" s="182"/>
      <c r="D2747" s="182"/>
      <c r="E2747" s="183"/>
      <c r="F2747" s="127"/>
      <c r="G2747" s="127"/>
      <c r="H2747" s="127"/>
      <c r="I2747" s="127"/>
    </row>
    <row r="2748">
      <c r="A2748" s="182"/>
      <c r="B2748" s="182"/>
      <c r="C2748" s="182"/>
      <c r="D2748" s="182"/>
      <c r="E2748" s="183"/>
      <c r="F2748" s="127"/>
      <c r="G2748" s="127"/>
      <c r="H2748" s="127"/>
      <c r="I2748" s="127"/>
    </row>
    <row r="2749">
      <c r="A2749" s="182"/>
      <c r="B2749" s="182"/>
      <c r="C2749" s="182"/>
      <c r="D2749" s="182"/>
      <c r="E2749" s="183"/>
      <c r="F2749" s="127"/>
      <c r="G2749" s="127"/>
      <c r="H2749" s="127"/>
      <c r="I2749" s="127"/>
    </row>
    <row r="2750">
      <c r="A2750" s="182"/>
      <c r="B2750" s="182"/>
      <c r="C2750" s="182"/>
      <c r="D2750" s="182"/>
      <c r="E2750" s="183"/>
      <c r="F2750" s="127"/>
      <c r="G2750" s="127"/>
      <c r="H2750" s="127"/>
      <c r="I2750" s="127"/>
    </row>
    <row r="2751">
      <c r="A2751" s="182"/>
      <c r="B2751" s="182"/>
      <c r="C2751" s="182"/>
      <c r="D2751" s="182"/>
      <c r="E2751" s="183"/>
      <c r="F2751" s="127"/>
      <c r="G2751" s="127"/>
      <c r="H2751" s="127"/>
      <c r="I2751" s="127"/>
    </row>
    <row r="2752">
      <c r="A2752" s="182"/>
      <c r="B2752" s="182"/>
      <c r="C2752" s="182"/>
      <c r="D2752" s="182"/>
      <c r="E2752" s="183"/>
      <c r="F2752" s="127"/>
      <c r="G2752" s="127"/>
      <c r="H2752" s="127"/>
      <c r="I2752" s="127"/>
    </row>
    <row r="2753">
      <c r="A2753" s="182"/>
      <c r="B2753" s="182"/>
      <c r="C2753" s="182"/>
      <c r="D2753" s="182"/>
      <c r="E2753" s="183"/>
      <c r="F2753" s="127"/>
      <c r="G2753" s="127"/>
      <c r="H2753" s="127"/>
      <c r="I2753" s="127"/>
    </row>
    <row r="2754">
      <c r="A2754" s="182"/>
      <c r="B2754" s="182"/>
      <c r="C2754" s="182"/>
      <c r="D2754" s="182"/>
      <c r="E2754" s="183"/>
      <c r="F2754" s="127"/>
      <c r="G2754" s="127"/>
      <c r="H2754" s="127"/>
      <c r="I2754" s="127"/>
    </row>
    <row r="2755">
      <c r="A2755" s="182"/>
      <c r="B2755" s="182"/>
      <c r="C2755" s="182"/>
      <c r="D2755" s="182"/>
      <c r="E2755" s="183"/>
      <c r="F2755" s="127"/>
      <c r="G2755" s="127"/>
      <c r="H2755" s="127"/>
      <c r="I2755" s="127"/>
    </row>
    <row r="2756">
      <c r="A2756" s="182"/>
      <c r="B2756" s="182"/>
      <c r="C2756" s="182"/>
      <c r="D2756" s="182"/>
      <c r="E2756" s="183"/>
      <c r="F2756" s="127"/>
      <c r="G2756" s="127"/>
      <c r="H2756" s="127"/>
      <c r="I2756" s="127"/>
    </row>
    <row r="2757">
      <c r="A2757" s="182"/>
      <c r="B2757" s="182"/>
      <c r="C2757" s="182"/>
      <c r="D2757" s="182"/>
      <c r="E2757" s="183"/>
      <c r="F2757" s="127"/>
      <c r="G2757" s="127"/>
      <c r="H2757" s="127"/>
      <c r="I2757" s="127"/>
    </row>
    <row r="2758">
      <c r="A2758" s="182"/>
      <c r="B2758" s="182"/>
      <c r="C2758" s="182"/>
      <c r="D2758" s="182"/>
      <c r="E2758" s="183"/>
      <c r="F2758" s="127"/>
      <c r="G2758" s="127"/>
      <c r="H2758" s="127"/>
      <c r="I2758" s="127"/>
    </row>
    <row r="2759">
      <c r="A2759" s="182"/>
      <c r="B2759" s="182"/>
      <c r="C2759" s="182"/>
      <c r="D2759" s="182"/>
      <c r="E2759" s="183"/>
      <c r="F2759" s="127"/>
      <c r="G2759" s="127"/>
      <c r="H2759" s="127"/>
      <c r="I2759" s="127"/>
    </row>
    <row r="2760">
      <c r="A2760" s="182"/>
      <c r="B2760" s="182"/>
      <c r="C2760" s="182"/>
      <c r="D2760" s="182"/>
      <c r="E2760" s="183"/>
      <c r="F2760" s="127"/>
      <c r="G2760" s="127"/>
      <c r="H2760" s="127"/>
      <c r="I2760" s="127"/>
    </row>
    <row r="2761">
      <c r="A2761" s="182"/>
      <c r="B2761" s="182"/>
      <c r="C2761" s="182"/>
      <c r="D2761" s="182"/>
      <c r="E2761" s="183"/>
      <c r="F2761" s="127"/>
      <c r="G2761" s="127"/>
      <c r="H2761" s="127"/>
      <c r="I2761" s="127"/>
    </row>
    <row r="2762">
      <c r="A2762" s="182"/>
      <c r="B2762" s="182"/>
      <c r="C2762" s="182"/>
      <c r="D2762" s="182"/>
      <c r="E2762" s="183"/>
      <c r="F2762" s="127"/>
      <c r="G2762" s="127"/>
      <c r="H2762" s="127"/>
      <c r="I2762" s="127"/>
    </row>
    <row r="2763">
      <c r="A2763" s="182"/>
      <c r="B2763" s="182"/>
      <c r="C2763" s="182"/>
      <c r="D2763" s="182"/>
      <c r="E2763" s="183"/>
      <c r="F2763" s="127"/>
      <c r="G2763" s="127"/>
      <c r="H2763" s="127"/>
      <c r="I2763" s="127"/>
    </row>
    <row r="2764">
      <c r="A2764" s="182"/>
      <c r="B2764" s="182"/>
      <c r="C2764" s="182"/>
      <c r="D2764" s="182"/>
      <c r="E2764" s="183"/>
      <c r="F2764" s="127"/>
      <c r="G2764" s="127"/>
      <c r="H2764" s="127"/>
      <c r="I2764" s="127"/>
    </row>
    <row r="2765">
      <c r="A2765" s="182"/>
      <c r="B2765" s="182"/>
      <c r="C2765" s="182"/>
      <c r="D2765" s="182"/>
      <c r="E2765" s="183"/>
      <c r="F2765" s="127"/>
      <c r="G2765" s="127"/>
      <c r="H2765" s="127"/>
      <c r="I2765" s="127"/>
    </row>
    <row r="2766">
      <c r="A2766" s="182"/>
      <c r="B2766" s="182"/>
      <c r="C2766" s="182"/>
      <c r="D2766" s="182"/>
      <c r="E2766" s="183"/>
      <c r="F2766" s="127"/>
      <c r="G2766" s="127"/>
      <c r="H2766" s="127"/>
      <c r="I2766" s="127"/>
    </row>
    <row r="2767">
      <c r="A2767" s="182"/>
      <c r="B2767" s="182"/>
      <c r="C2767" s="182"/>
      <c r="D2767" s="182"/>
      <c r="E2767" s="183"/>
      <c r="F2767" s="127"/>
      <c r="G2767" s="127"/>
      <c r="H2767" s="127"/>
      <c r="I2767" s="127"/>
    </row>
    <row r="2768">
      <c r="A2768" s="182"/>
      <c r="B2768" s="182"/>
      <c r="C2768" s="182"/>
      <c r="D2768" s="182"/>
      <c r="E2768" s="183"/>
      <c r="F2768" s="127"/>
      <c r="G2768" s="127"/>
      <c r="H2768" s="127"/>
      <c r="I2768" s="127"/>
    </row>
    <row r="2769">
      <c r="A2769" s="182"/>
      <c r="B2769" s="182"/>
      <c r="C2769" s="182"/>
      <c r="D2769" s="182"/>
      <c r="E2769" s="183"/>
      <c r="F2769" s="127"/>
      <c r="G2769" s="127"/>
      <c r="H2769" s="127"/>
      <c r="I2769" s="127"/>
    </row>
    <row r="2770">
      <c r="A2770" s="182"/>
      <c r="B2770" s="182"/>
      <c r="C2770" s="182"/>
      <c r="D2770" s="182"/>
      <c r="E2770" s="183"/>
      <c r="F2770" s="127"/>
      <c r="G2770" s="127"/>
      <c r="H2770" s="127"/>
      <c r="I2770" s="127"/>
    </row>
    <row r="2771">
      <c r="A2771" s="182"/>
      <c r="B2771" s="182"/>
      <c r="C2771" s="182"/>
      <c r="D2771" s="182"/>
      <c r="E2771" s="183"/>
      <c r="F2771" s="127"/>
      <c r="G2771" s="127"/>
      <c r="H2771" s="127"/>
      <c r="I2771" s="127"/>
    </row>
    <row r="2772">
      <c r="A2772" s="182"/>
      <c r="B2772" s="182"/>
      <c r="C2772" s="182"/>
      <c r="D2772" s="182"/>
      <c r="E2772" s="183"/>
      <c r="F2772" s="127"/>
      <c r="G2772" s="127"/>
      <c r="H2772" s="127"/>
      <c r="I2772" s="127"/>
    </row>
    <row r="2773">
      <c r="A2773" s="182"/>
      <c r="B2773" s="182"/>
      <c r="C2773" s="182"/>
      <c r="D2773" s="182"/>
      <c r="E2773" s="183"/>
      <c r="F2773" s="127"/>
      <c r="G2773" s="127"/>
      <c r="H2773" s="127"/>
      <c r="I2773" s="127"/>
    </row>
    <row r="2774">
      <c r="A2774" s="182"/>
      <c r="B2774" s="182"/>
      <c r="C2774" s="182"/>
      <c r="D2774" s="182"/>
      <c r="E2774" s="183"/>
      <c r="F2774" s="127"/>
      <c r="G2774" s="127"/>
      <c r="H2774" s="127"/>
      <c r="I2774" s="127"/>
    </row>
    <row r="2775">
      <c r="A2775" s="182"/>
      <c r="B2775" s="182"/>
      <c r="C2775" s="182"/>
      <c r="D2775" s="182"/>
      <c r="E2775" s="183"/>
      <c r="F2775" s="127"/>
      <c r="G2775" s="127"/>
      <c r="H2775" s="127"/>
      <c r="I2775" s="127"/>
    </row>
    <row r="2776">
      <c r="A2776" s="182"/>
      <c r="B2776" s="182"/>
      <c r="C2776" s="182"/>
      <c r="D2776" s="182"/>
      <c r="E2776" s="183"/>
      <c r="F2776" s="127"/>
      <c r="G2776" s="127"/>
      <c r="H2776" s="127"/>
      <c r="I2776" s="127"/>
    </row>
    <row r="2777">
      <c r="A2777" s="182"/>
      <c r="B2777" s="182"/>
      <c r="C2777" s="182"/>
      <c r="D2777" s="182"/>
      <c r="E2777" s="183"/>
      <c r="F2777" s="127"/>
      <c r="G2777" s="127"/>
      <c r="H2777" s="127"/>
      <c r="I2777" s="127"/>
    </row>
    <row r="2778">
      <c r="A2778" s="182"/>
      <c r="B2778" s="182"/>
      <c r="C2778" s="182"/>
      <c r="D2778" s="182"/>
      <c r="E2778" s="183"/>
      <c r="F2778" s="127"/>
      <c r="G2778" s="127"/>
      <c r="H2778" s="127"/>
      <c r="I2778" s="127"/>
    </row>
    <row r="2779">
      <c r="A2779" s="182"/>
      <c r="B2779" s="182"/>
      <c r="C2779" s="182"/>
      <c r="D2779" s="182"/>
      <c r="E2779" s="183"/>
      <c r="F2779" s="127"/>
      <c r="G2779" s="127"/>
      <c r="H2779" s="127"/>
      <c r="I2779" s="127"/>
    </row>
    <row r="2780">
      <c r="A2780" s="182"/>
      <c r="B2780" s="182"/>
      <c r="C2780" s="182"/>
      <c r="D2780" s="182"/>
      <c r="E2780" s="183"/>
      <c r="F2780" s="127"/>
      <c r="G2780" s="127"/>
      <c r="H2780" s="127"/>
      <c r="I2780" s="127"/>
    </row>
    <row r="2781">
      <c r="A2781" s="182"/>
      <c r="B2781" s="182"/>
      <c r="C2781" s="182"/>
      <c r="D2781" s="182"/>
      <c r="E2781" s="183"/>
      <c r="F2781" s="127"/>
      <c r="G2781" s="127"/>
      <c r="H2781" s="127"/>
      <c r="I2781" s="127"/>
    </row>
    <row r="2782">
      <c r="A2782" s="182"/>
      <c r="B2782" s="182"/>
      <c r="C2782" s="182"/>
      <c r="D2782" s="182"/>
      <c r="E2782" s="183"/>
      <c r="F2782" s="127"/>
      <c r="G2782" s="127"/>
      <c r="H2782" s="127"/>
      <c r="I2782" s="127"/>
    </row>
    <row r="2783">
      <c r="A2783" s="182"/>
      <c r="B2783" s="182"/>
      <c r="C2783" s="182"/>
      <c r="D2783" s="182"/>
      <c r="E2783" s="183"/>
      <c r="F2783" s="127"/>
      <c r="G2783" s="127"/>
      <c r="H2783" s="127"/>
      <c r="I2783" s="127"/>
    </row>
    <row r="2784">
      <c r="A2784" s="182"/>
      <c r="B2784" s="182"/>
      <c r="C2784" s="182"/>
      <c r="D2784" s="182"/>
      <c r="E2784" s="183"/>
      <c r="F2784" s="127"/>
      <c r="G2784" s="127"/>
      <c r="H2784" s="127"/>
      <c r="I2784" s="127"/>
    </row>
    <row r="2785">
      <c r="A2785" s="182"/>
      <c r="B2785" s="182"/>
      <c r="C2785" s="182"/>
      <c r="D2785" s="182"/>
      <c r="E2785" s="183"/>
      <c r="F2785" s="127"/>
      <c r="G2785" s="127"/>
      <c r="H2785" s="127"/>
      <c r="I2785" s="127"/>
    </row>
    <row r="2786">
      <c r="A2786" s="182"/>
      <c r="B2786" s="182"/>
      <c r="C2786" s="182"/>
      <c r="D2786" s="182"/>
      <c r="E2786" s="183"/>
      <c r="F2786" s="127"/>
      <c r="G2786" s="127"/>
      <c r="H2786" s="127"/>
      <c r="I2786" s="127"/>
    </row>
    <row r="2787">
      <c r="A2787" s="182"/>
      <c r="B2787" s="182"/>
      <c r="C2787" s="182"/>
      <c r="D2787" s="182"/>
      <c r="E2787" s="183"/>
      <c r="F2787" s="127"/>
      <c r="G2787" s="127"/>
      <c r="H2787" s="127"/>
      <c r="I2787" s="127"/>
    </row>
    <row r="2788">
      <c r="A2788" s="182"/>
      <c r="B2788" s="182"/>
      <c r="C2788" s="182"/>
      <c r="D2788" s="182"/>
      <c r="E2788" s="183"/>
      <c r="F2788" s="127"/>
      <c r="G2788" s="127"/>
      <c r="H2788" s="127"/>
      <c r="I2788" s="127"/>
    </row>
    <row r="2789">
      <c r="A2789" s="182"/>
      <c r="B2789" s="182"/>
      <c r="C2789" s="182"/>
      <c r="D2789" s="182"/>
      <c r="E2789" s="183"/>
      <c r="F2789" s="127"/>
      <c r="G2789" s="127"/>
      <c r="H2789" s="127"/>
      <c r="I2789" s="127"/>
    </row>
    <row r="2790">
      <c r="A2790" s="182"/>
      <c r="B2790" s="182"/>
      <c r="C2790" s="182"/>
      <c r="D2790" s="182"/>
      <c r="E2790" s="183"/>
      <c r="F2790" s="127"/>
      <c r="G2790" s="127"/>
      <c r="H2790" s="127"/>
      <c r="I2790" s="127"/>
    </row>
    <row r="2791">
      <c r="A2791" s="182"/>
      <c r="B2791" s="182"/>
      <c r="C2791" s="182"/>
      <c r="D2791" s="182"/>
      <c r="E2791" s="183"/>
      <c r="F2791" s="127"/>
      <c r="G2791" s="127"/>
      <c r="H2791" s="127"/>
      <c r="I2791" s="127"/>
    </row>
    <row r="2792">
      <c r="A2792" s="182"/>
      <c r="B2792" s="182"/>
      <c r="C2792" s="182"/>
      <c r="D2792" s="182"/>
      <c r="E2792" s="183"/>
      <c r="F2792" s="127"/>
      <c r="G2792" s="127"/>
      <c r="H2792" s="127"/>
      <c r="I2792" s="127"/>
    </row>
    <row r="2793">
      <c r="A2793" s="182"/>
      <c r="B2793" s="182"/>
      <c r="C2793" s="182"/>
      <c r="D2793" s="182"/>
      <c r="E2793" s="183"/>
      <c r="F2793" s="127"/>
      <c r="G2793" s="127"/>
      <c r="H2793" s="127"/>
      <c r="I2793" s="127"/>
    </row>
    <row r="2794">
      <c r="A2794" s="182"/>
      <c r="B2794" s="182"/>
      <c r="C2794" s="182"/>
      <c r="D2794" s="182"/>
      <c r="E2794" s="183"/>
      <c r="F2794" s="127"/>
      <c r="G2794" s="127"/>
      <c r="H2794" s="127"/>
      <c r="I2794" s="127"/>
    </row>
    <row r="2795">
      <c r="A2795" s="182"/>
      <c r="B2795" s="182"/>
      <c r="C2795" s="182"/>
      <c r="D2795" s="182"/>
      <c r="E2795" s="183"/>
      <c r="F2795" s="127"/>
      <c r="G2795" s="127"/>
      <c r="H2795" s="127"/>
      <c r="I2795" s="127"/>
    </row>
    <row r="2796">
      <c r="A2796" s="182"/>
      <c r="B2796" s="182"/>
      <c r="C2796" s="182"/>
      <c r="D2796" s="182"/>
      <c r="E2796" s="183"/>
      <c r="F2796" s="127"/>
      <c r="G2796" s="127"/>
      <c r="H2796" s="127"/>
      <c r="I2796" s="127"/>
    </row>
    <row r="2797">
      <c r="A2797" s="182"/>
      <c r="B2797" s="182"/>
      <c r="C2797" s="182"/>
      <c r="D2797" s="182"/>
      <c r="E2797" s="183"/>
      <c r="F2797" s="127"/>
      <c r="G2797" s="127"/>
      <c r="H2797" s="127"/>
      <c r="I2797" s="127"/>
    </row>
    <row r="2798">
      <c r="A2798" s="182"/>
      <c r="B2798" s="182"/>
      <c r="C2798" s="182"/>
      <c r="D2798" s="182"/>
      <c r="E2798" s="183"/>
      <c r="F2798" s="127"/>
      <c r="G2798" s="127"/>
      <c r="H2798" s="127"/>
      <c r="I2798" s="127"/>
    </row>
    <row r="2799">
      <c r="A2799" s="182"/>
      <c r="B2799" s="182"/>
      <c r="C2799" s="182"/>
      <c r="D2799" s="182"/>
      <c r="E2799" s="183"/>
      <c r="F2799" s="127"/>
      <c r="G2799" s="127"/>
      <c r="H2799" s="127"/>
      <c r="I2799" s="127"/>
    </row>
    <row r="2800">
      <c r="A2800" s="182"/>
      <c r="B2800" s="182"/>
      <c r="C2800" s="182"/>
      <c r="D2800" s="182"/>
      <c r="E2800" s="183"/>
      <c r="F2800" s="127"/>
      <c r="G2800" s="127"/>
      <c r="H2800" s="127"/>
      <c r="I2800" s="127"/>
    </row>
    <row r="2801">
      <c r="A2801" s="182"/>
      <c r="B2801" s="182"/>
      <c r="C2801" s="182"/>
      <c r="D2801" s="182"/>
      <c r="E2801" s="183"/>
      <c r="F2801" s="127"/>
      <c r="G2801" s="127"/>
      <c r="H2801" s="127"/>
      <c r="I2801" s="127"/>
    </row>
    <row r="2802">
      <c r="A2802" s="182"/>
      <c r="B2802" s="182"/>
      <c r="C2802" s="182"/>
      <c r="D2802" s="182"/>
      <c r="E2802" s="183"/>
      <c r="F2802" s="127"/>
      <c r="G2802" s="127"/>
      <c r="H2802" s="127"/>
      <c r="I2802" s="127"/>
    </row>
    <row r="2803">
      <c r="A2803" s="182"/>
      <c r="B2803" s="182"/>
      <c r="C2803" s="182"/>
      <c r="D2803" s="182"/>
      <c r="E2803" s="183"/>
      <c r="F2803" s="127"/>
      <c r="G2803" s="127"/>
      <c r="H2803" s="127"/>
      <c r="I2803" s="127"/>
    </row>
    <row r="2804">
      <c r="A2804" s="182"/>
      <c r="B2804" s="182"/>
      <c r="C2804" s="182"/>
      <c r="D2804" s="182"/>
      <c r="E2804" s="183"/>
      <c r="F2804" s="127"/>
      <c r="G2804" s="127"/>
      <c r="H2804" s="127"/>
      <c r="I2804" s="127"/>
    </row>
    <row r="2805">
      <c r="A2805" s="182"/>
      <c r="B2805" s="182"/>
      <c r="C2805" s="182"/>
      <c r="D2805" s="182"/>
      <c r="E2805" s="183"/>
      <c r="F2805" s="127"/>
      <c r="G2805" s="127"/>
      <c r="H2805" s="127"/>
      <c r="I2805" s="127"/>
    </row>
    <row r="2806">
      <c r="A2806" s="182"/>
      <c r="B2806" s="182"/>
      <c r="C2806" s="182"/>
      <c r="D2806" s="182"/>
      <c r="E2806" s="183"/>
      <c r="F2806" s="127"/>
      <c r="G2806" s="127"/>
      <c r="H2806" s="127"/>
      <c r="I2806" s="127"/>
    </row>
    <row r="2807">
      <c r="A2807" s="182"/>
      <c r="B2807" s="182"/>
      <c r="C2807" s="182"/>
      <c r="D2807" s="182"/>
      <c r="E2807" s="183"/>
      <c r="F2807" s="127"/>
      <c r="G2807" s="127"/>
      <c r="H2807" s="127"/>
      <c r="I2807" s="127"/>
    </row>
    <row r="2808">
      <c r="A2808" s="182"/>
      <c r="B2808" s="182"/>
      <c r="C2808" s="182"/>
      <c r="D2808" s="182"/>
      <c r="E2808" s="183"/>
      <c r="F2808" s="127"/>
      <c r="G2808" s="127"/>
      <c r="H2808" s="127"/>
      <c r="I2808" s="127"/>
    </row>
    <row r="2809">
      <c r="A2809" s="182"/>
      <c r="B2809" s="183"/>
      <c r="C2809" s="182"/>
      <c r="D2809" s="182"/>
      <c r="E2809" s="183"/>
      <c r="F2809" s="127"/>
      <c r="G2809" s="127"/>
      <c r="H2809" s="127"/>
      <c r="I2809" s="127"/>
    </row>
    <row r="2810">
      <c r="A2810" s="182"/>
      <c r="B2810" s="182"/>
      <c r="C2810" s="182"/>
      <c r="D2810" s="182"/>
      <c r="E2810" s="183"/>
      <c r="F2810" s="127"/>
      <c r="G2810" s="127"/>
      <c r="H2810" s="127"/>
      <c r="I2810" s="127"/>
    </row>
    <row r="2811">
      <c r="A2811" s="182"/>
      <c r="B2811" s="182"/>
      <c r="C2811" s="182"/>
      <c r="D2811" s="182"/>
      <c r="E2811" s="183"/>
      <c r="F2811" s="127"/>
      <c r="G2811" s="127"/>
      <c r="H2811" s="127"/>
      <c r="I2811" s="127"/>
    </row>
    <row r="2812">
      <c r="A2812" s="182"/>
      <c r="B2812" s="182"/>
      <c r="C2812" s="182"/>
      <c r="D2812" s="182"/>
      <c r="E2812" s="183"/>
      <c r="F2812" s="127"/>
      <c r="G2812" s="127"/>
      <c r="H2812" s="127"/>
      <c r="I2812" s="127"/>
    </row>
    <row r="2813">
      <c r="A2813" s="182"/>
      <c r="B2813" s="182"/>
      <c r="C2813" s="182"/>
      <c r="D2813" s="182"/>
      <c r="E2813" s="183"/>
      <c r="F2813" s="127"/>
      <c r="G2813" s="127"/>
      <c r="H2813" s="127"/>
      <c r="I2813" s="127"/>
    </row>
    <row r="2814">
      <c r="A2814" s="182"/>
      <c r="B2814" s="182"/>
      <c r="C2814" s="182"/>
      <c r="D2814" s="182"/>
      <c r="E2814" s="183"/>
      <c r="F2814" s="127"/>
      <c r="G2814" s="127"/>
      <c r="H2814" s="127"/>
      <c r="I2814" s="127"/>
    </row>
    <row r="2815">
      <c r="A2815" s="182"/>
      <c r="B2815" s="182"/>
      <c r="C2815" s="182"/>
      <c r="D2815" s="182"/>
      <c r="E2815" s="183"/>
      <c r="F2815" s="127"/>
      <c r="G2815" s="127"/>
      <c r="H2815" s="127"/>
      <c r="I2815" s="127"/>
    </row>
    <row r="2816">
      <c r="A2816" s="182"/>
      <c r="B2816" s="182"/>
      <c r="C2816" s="182"/>
      <c r="D2816" s="182"/>
      <c r="E2816" s="183"/>
      <c r="F2816" s="127"/>
      <c r="G2816" s="127"/>
      <c r="H2816" s="127"/>
      <c r="I2816" s="127"/>
    </row>
    <row r="2817">
      <c r="A2817" s="182"/>
      <c r="B2817" s="182"/>
      <c r="C2817" s="182"/>
      <c r="D2817" s="182"/>
      <c r="E2817" s="183"/>
      <c r="F2817" s="127"/>
      <c r="G2817" s="127"/>
      <c r="H2817" s="127"/>
      <c r="I2817" s="127"/>
    </row>
    <row r="2818">
      <c r="A2818" s="182"/>
      <c r="B2818" s="182"/>
      <c r="C2818" s="182"/>
      <c r="D2818" s="182"/>
      <c r="E2818" s="183"/>
      <c r="F2818" s="127"/>
      <c r="G2818" s="127"/>
      <c r="H2818" s="127"/>
      <c r="I2818" s="127"/>
    </row>
    <row r="2819">
      <c r="A2819" s="182"/>
      <c r="B2819" s="182"/>
      <c r="C2819" s="182"/>
      <c r="D2819" s="182"/>
      <c r="E2819" s="183"/>
      <c r="F2819" s="127"/>
      <c r="G2819" s="127"/>
      <c r="H2819" s="127"/>
      <c r="I2819" s="127"/>
    </row>
    <row r="2820">
      <c r="A2820" s="182"/>
      <c r="B2820" s="182"/>
      <c r="C2820" s="182"/>
      <c r="D2820" s="182"/>
      <c r="E2820" s="183"/>
      <c r="F2820" s="127"/>
      <c r="G2820" s="127"/>
      <c r="H2820" s="127"/>
      <c r="I2820" s="127"/>
    </row>
    <row r="2821">
      <c r="A2821" s="182"/>
      <c r="B2821" s="182"/>
      <c r="C2821" s="182"/>
      <c r="D2821" s="182"/>
      <c r="E2821" s="183"/>
      <c r="F2821" s="127"/>
      <c r="G2821" s="127"/>
      <c r="H2821" s="127"/>
      <c r="I2821" s="127"/>
    </row>
    <row r="2822">
      <c r="A2822" s="182"/>
      <c r="B2822" s="182"/>
      <c r="C2822" s="182"/>
      <c r="D2822" s="182"/>
      <c r="E2822" s="183"/>
      <c r="F2822" s="127"/>
      <c r="G2822" s="127"/>
      <c r="H2822" s="127"/>
      <c r="I2822" s="127"/>
    </row>
    <row r="2823">
      <c r="A2823" s="182"/>
      <c r="B2823" s="182"/>
      <c r="C2823" s="182"/>
      <c r="D2823" s="182"/>
      <c r="E2823" s="183"/>
      <c r="F2823" s="127"/>
      <c r="G2823" s="127"/>
      <c r="H2823" s="127"/>
      <c r="I2823" s="127"/>
    </row>
    <row r="2824">
      <c r="A2824" s="182"/>
      <c r="B2824" s="182"/>
      <c r="C2824" s="182"/>
      <c r="D2824" s="182"/>
      <c r="E2824" s="183"/>
      <c r="F2824" s="127"/>
      <c r="G2824" s="127"/>
      <c r="H2824" s="127"/>
      <c r="I2824" s="127"/>
    </row>
    <row r="2825">
      <c r="A2825" s="182"/>
      <c r="B2825" s="182"/>
      <c r="C2825" s="182"/>
      <c r="D2825" s="182"/>
      <c r="E2825" s="183"/>
      <c r="F2825" s="127"/>
      <c r="G2825" s="127"/>
      <c r="H2825" s="127"/>
      <c r="I2825" s="127"/>
    </row>
    <row r="2826">
      <c r="A2826" s="182"/>
      <c r="B2826" s="182"/>
      <c r="C2826" s="182"/>
      <c r="D2826" s="182"/>
      <c r="E2826" s="183"/>
      <c r="F2826" s="127"/>
      <c r="G2826" s="127"/>
      <c r="H2826" s="127"/>
      <c r="I2826" s="127"/>
    </row>
    <row r="2827">
      <c r="A2827" s="182"/>
      <c r="B2827" s="182"/>
      <c r="C2827" s="182"/>
      <c r="D2827" s="182"/>
      <c r="E2827" s="183"/>
      <c r="F2827" s="127"/>
      <c r="G2827" s="127"/>
      <c r="H2827" s="127"/>
      <c r="I2827" s="127"/>
    </row>
    <row r="2828">
      <c r="A2828" s="182"/>
      <c r="B2828" s="182"/>
      <c r="C2828" s="182"/>
      <c r="D2828" s="182"/>
      <c r="E2828" s="183"/>
      <c r="F2828" s="127"/>
      <c r="G2828" s="127"/>
      <c r="H2828" s="127"/>
      <c r="I2828" s="127"/>
    </row>
    <row r="2829">
      <c r="A2829" s="182"/>
      <c r="B2829" s="182"/>
      <c r="C2829" s="182"/>
      <c r="D2829" s="182"/>
      <c r="E2829" s="183"/>
      <c r="F2829" s="127"/>
      <c r="G2829" s="127"/>
      <c r="H2829" s="127"/>
      <c r="I2829" s="127"/>
    </row>
    <row r="2830">
      <c r="A2830" s="182"/>
      <c r="B2830" s="182"/>
      <c r="C2830" s="182"/>
      <c r="D2830" s="182"/>
      <c r="E2830" s="183"/>
      <c r="F2830" s="127"/>
      <c r="G2830" s="127"/>
      <c r="H2830" s="127"/>
      <c r="I2830" s="127"/>
    </row>
    <row r="2831">
      <c r="A2831" s="182"/>
      <c r="B2831" s="182"/>
      <c r="C2831" s="182"/>
      <c r="D2831" s="182"/>
      <c r="E2831" s="183"/>
      <c r="F2831" s="127"/>
      <c r="G2831" s="127"/>
      <c r="H2831" s="127"/>
      <c r="I2831" s="127"/>
    </row>
    <row r="2832">
      <c r="A2832" s="182"/>
      <c r="B2832" s="182"/>
      <c r="C2832" s="182"/>
      <c r="D2832" s="182"/>
      <c r="E2832" s="183"/>
      <c r="F2832" s="127"/>
      <c r="G2832" s="127"/>
      <c r="H2832" s="127"/>
      <c r="I2832" s="127"/>
    </row>
    <row r="2833">
      <c r="A2833" s="182"/>
      <c r="B2833" s="182"/>
      <c r="C2833" s="182"/>
      <c r="D2833" s="182"/>
      <c r="E2833" s="183"/>
      <c r="F2833" s="127"/>
      <c r="G2833" s="127"/>
      <c r="H2833" s="127"/>
      <c r="I2833" s="127"/>
    </row>
    <row r="2834">
      <c r="A2834" s="182"/>
      <c r="B2834" s="182"/>
      <c r="C2834" s="182"/>
      <c r="D2834" s="182"/>
      <c r="E2834" s="183"/>
      <c r="F2834" s="127"/>
      <c r="G2834" s="127"/>
      <c r="H2834" s="127"/>
      <c r="I2834" s="127"/>
    </row>
    <row r="2835">
      <c r="A2835" s="182"/>
      <c r="B2835" s="182"/>
      <c r="C2835" s="182"/>
      <c r="D2835" s="182"/>
      <c r="E2835" s="183"/>
      <c r="F2835" s="127"/>
      <c r="G2835" s="127"/>
      <c r="H2835" s="127"/>
      <c r="I2835" s="127"/>
    </row>
    <row r="2836">
      <c r="A2836" s="182"/>
      <c r="B2836" s="182"/>
      <c r="C2836" s="182"/>
      <c r="D2836" s="182"/>
      <c r="E2836" s="183"/>
      <c r="F2836" s="127"/>
      <c r="G2836" s="127"/>
      <c r="H2836" s="127"/>
      <c r="I2836" s="127"/>
    </row>
    <row r="2837">
      <c r="A2837" s="182"/>
      <c r="B2837" s="182"/>
      <c r="C2837" s="182"/>
      <c r="D2837" s="182"/>
      <c r="E2837" s="183"/>
      <c r="F2837" s="127"/>
      <c r="G2837" s="127"/>
      <c r="H2837" s="127"/>
      <c r="I2837" s="127"/>
    </row>
    <row r="2838">
      <c r="A2838" s="182"/>
      <c r="B2838" s="182"/>
      <c r="C2838" s="182"/>
      <c r="D2838" s="182"/>
      <c r="E2838" s="183"/>
      <c r="F2838" s="127"/>
      <c r="G2838" s="127"/>
      <c r="H2838" s="127"/>
      <c r="I2838" s="127"/>
    </row>
    <row r="2839">
      <c r="A2839" s="182"/>
      <c r="B2839" s="182"/>
      <c r="C2839" s="182"/>
      <c r="D2839" s="182"/>
      <c r="E2839" s="183"/>
      <c r="F2839" s="127"/>
      <c r="G2839" s="127"/>
      <c r="H2839" s="127"/>
      <c r="I2839" s="127"/>
    </row>
    <row r="2840">
      <c r="A2840" s="182"/>
      <c r="B2840" s="182"/>
      <c r="C2840" s="182"/>
      <c r="D2840" s="182"/>
      <c r="E2840" s="183"/>
      <c r="F2840" s="127"/>
      <c r="G2840" s="127"/>
      <c r="H2840" s="127"/>
      <c r="I2840" s="127"/>
    </row>
    <row r="2841">
      <c r="A2841" s="182"/>
      <c r="B2841" s="182"/>
      <c r="C2841" s="182"/>
      <c r="D2841" s="182"/>
      <c r="E2841" s="183"/>
      <c r="F2841" s="127"/>
      <c r="G2841" s="127"/>
      <c r="H2841" s="127"/>
      <c r="I2841" s="127"/>
    </row>
    <row r="2842">
      <c r="A2842" s="182"/>
      <c r="B2842" s="182"/>
      <c r="C2842" s="182"/>
      <c r="D2842" s="182"/>
      <c r="E2842" s="183"/>
      <c r="F2842" s="127"/>
      <c r="G2842" s="127"/>
      <c r="H2842" s="127"/>
      <c r="I2842" s="127"/>
    </row>
    <row r="2843">
      <c r="A2843" s="182"/>
      <c r="B2843" s="182"/>
      <c r="C2843" s="182"/>
      <c r="D2843" s="182"/>
      <c r="E2843" s="183"/>
      <c r="F2843" s="127"/>
      <c r="G2843" s="127"/>
      <c r="H2843" s="127"/>
      <c r="I2843" s="127"/>
    </row>
    <row r="2844">
      <c r="A2844" s="182"/>
      <c r="B2844" s="182"/>
      <c r="C2844" s="182"/>
      <c r="D2844" s="182"/>
      <c r="E2844" s="183"/>
      <c r="F2844" s="127"/>
      <c r="G2844" s="127"/>
      <c r="H2844" s="127"/>
      <c r="I2844" s="127"/>
    </row>
    <row r="2845">
      <c r="A2845" s="182"/>
      <c r="B2845" s="182"/>
      <c r="C2845" s="182"/>
      <c r="D2845" s="182"/>
      <c r="E2845" s="183"/>
      <c r="F2845" s="127"/>
      <c r="G2845" s="127"/>
      <c r="H2845" s="127"/>
      <c r="I2845" s="127"/>
    </row>
    <row r="2846">
      <c r="A2846" s="182"/>
      <c r="B2846" s="182"/>
      <c r="C2846" s="182"/>
      <c r="D2846" s="182"/>
      <c r="E2846" s="183"/>
      <c r="F2846" s="127"/>
      <c r="G2846" s="127"/>
      <c r="H2846" s="127"/>
      <c r="I2846" s="127"/>
    </row>
    <row r="2847">
      <c r="A2847" s="182"/>
      <c r="B2847" s="182"/>
      <c r="C2847" s="182"/>
      <c r="D2847" s="182"/>
      <c r="E2847" s="183"/>
      <c r="F2847" s="127"/>
      <c r="G2847" s="127"/>
      <c r="H2847" s="127"/>
      <c r="I2847" s="127"/>
    </row>
    <row r="2848">
      <c r="A2848" s="182"/>
      <c r="B2848" s="182"/>
      <c r="C2848" s="182"/>
      <c r="D2848" s="182"/>
      <c r="E2848" s="183"/>
      <c r="F2848" s="127"/>
      <c r="G2848" s="127"/>
      <c r="H2848" s="127"/>
      <c r="I2848" s="127"/>
    </row>
    <row r="2849">
      <c r="A2849" s="182"/>
      <c r="B2849" s="182"/>
      <c r="C2849" s="182"/>
      <c r="D2849" s="182"/>
      <c r="E2849" s="183"/>
      <c r="F2849" s="127"/>
      <c r="G2849" s="127"/>
      <c r="H2849" s="127"/>
      <c r="I2849" s="127"/>
    </row>
    <row r="2850">
      <c r="A2850" s="182"/>
      <c r="B2850" s="183"/>
      <c r="C2850" s="182"/>
      <c r="D2850" s="182"/>
      <c r="E2850" s="183"/>
      <c r="F2850" s="127"/>
      <c r="G2850" s="127"/>
      <c r="H2850" s="127"/>
      <c r="I2850" s="127"/>
    </row>
    <row r="2851">
      <c r="A2851" s="182"/>
      <c r="B2851" s="182"/>
      <c r="C2851" s="182"/>
      <c r="D2851" s="182"/>
      <c r="E2851" s="183"/>
      <c r="F2851" s="127"/>
      <c r="G2851" s="127"/>
      <c r="H2851" s="127"/>
      <c r="I2851" s="127"/>
    </row>
    <row r="2852">
      <c r="A2852" s="182"/>
      <c r="B2852" s="182"/>
      <c r="C2852" s="182"/>
      <c r="D2852" s="182"/>
      <c r="E2852" s="183"/>
      <c r="F2852" s="127"/>
      <c r="G2852" s="127"/>
      <c r="H2852" s="127"/>
      <c r="I2852" s="127"/>
    </row>
    <row r="2853">
      <c r="A2853" s="182"/>
      <c r="B2853" s="182"/>
      <c r="C2853" s="182"/>
      <c r="D2853" s="182"/>
      <c r="E2853" s="183"/>
      <c r="F2853" s="127"/>
      <c r="G2853" s="127"/>
      <c r="H2853" s="127"/>
      <c r="I2853" s="127"/>
    </row>
    <row r="2854">
      <c r="A2854" s="182"/>
      <c r="B2854" s="182"/>
      <c r="C2854" s="182"/>
      <c r="D2854" s="182"/>
      <c r="E2854" s="183"/>
      <c r="F2854" s="127"/>
      <c r="G2854" s="127"/>
      <c r="H2854" s="127"/>
      <c r="I2854" s="127"/>
    </row>
    <row r="2855">
      <c r="A2855" s="182"/>
      <c r="B2855" s="182"/>
      <c r="C2855" s="182"/>
      <c r="D2855" s="182"/>
      <c r="E2855" s="183"/>
      <c r="F2855" s="127"/>
      <c r="G2855" s="127"/>
      <c r="H2855" s="127"/>
      <c r="I2855" s="127"/>
    </row>
    <row r="2856">
      <c r="A2856" s="182"/>
      <c r="B2856" s="182"/>
      <c r="C2856" s="182"/>
      <c r="D2856" s="182"/>
      <c r="E2856" s="183"/>
      <c r="F2856" s="127"/>
      <c r="G2856" s="127"/>
      <c r="H2856" s="127"/>
      <c r="I2856" s="127"/>
    </row>
    <row r="2857">
      <c r="A2857" s="182"/>
      <c r="B2857" s="182"/>
      <c r="C2857" s="182"/>
      <c r="D2857" s="182"/>
      <c r="E2857" s="183"/>
      <c r="F2857" s="127"/>
      <c r="G2857" s="127"/>
      <c r="H2857" s="127"/>
      <c r="I2857" s="127"/>
    </row>
    <row r="2858">
      <c r="A2858" s="182"/>
      <c r="B2858" s="182"/>
      <c r="C2858" s="182"/>
      <c r="D2858" s="182"/>
      <c r="E2858" s="183"/>
      <c r="F2858" s="127"/>
      <c r="G2858" s="127"/>
      <c r="H2858" s="127"/>
      <c r="I2858" s="127"/>
    </row>
    <row r="2859">
      <c r="A2859" s="182"/>
      <c r="B2859" s="182"/>
      <c r="C2859" s="182"/>
      <c r="D2859" s="182"/>
      <c r="E2859" s="183"/>
      <c r="F2859" s="127"/>
      <c r="G2859" s="127"/>
      <c r="H2859" s="127"/>
      <c r="I2859" s="127"/>
    </row>
    <row r="2860">
      <c r="A2860" s="182"/>
      <c r="B2860" s="182"/>
      <c r="C2860" s="182"/>
      <c r="D2860" s="182"/>
      <c r="E2860" s="183"/>
      <c r="F2860" s="127"/>
      <c r="G2860" s="127"/>
      <c r="H2860" s="127"/>
      <c r="I2860" s="127"/>
    </row>
    <row r="2861">
      <c r="A2861" s="182"/>
      <c r="B2861" s="182"/>
      <c r="C2861" s="182"/>
      <c r="D2861" s="182"/>
      <c r="E2861" s="183"/>
      <c r="F2861" s="127"/>
      <c r="G2861" s="127"/>
      <c r="H2861" s="127"/>
      <c r="I2861" s="127"/>
    </row>
    <row r="2862">
      <c r="A2862" s="182"/>
      <c r="B2862" s="182"/>
      <c r="C2862" s="182"/>
      <c r="D2862" s="182"/>
      <c r="E2862" s="183"/>
      <c r="F2862" s="127"/>
      <c r="G2862" s="127"/>
      <c r="H2862" s="127"/>
      <c r="I2862" s="127"/>
    </row>
    <row r="2863">
      <c r="A2863" s="182"/>
      <c r="B2863" s="182"/>
      <c r="C2863" s="182"/>
      <c r="D2863" s="182"/>
      <c r="E2863" s="183"/>
      <c r="F2863" s="127"/>
      <c r="G2863" s="127"/>
      <c r="H2863" s="127"/>
      <c r="I2863" s="127"/>
    </row>
    <row r="2864">
      <c r="A2864" s="182"/>
      <c r="B2864" s="182"/>
      <c r="C2864" s="182"/>
      <c r="D2864" s="182"/>
      <c r="E2864" s="183"/>
      <c r="F2864" s="127"/>
      <c r="G2864" s="127"/>
      <c r="H2864" s="127"/>
      <c r="I2864" s="127"/>
    </row>
    <row r="2865">
      <c r="A2865" s="182"/>
      <c r="B2865" s="182"/>
      <c r="C2865" s="182"/>
      <c r="D2865" s="182"/>
      <c r="E2865" s="183"/>
      <c r="F2865" s="127"/>
      <c r="G2865" s="127"/>
      <c r="H2865" s="127"/>
      <c r="I2865" s="127"/>
    </row>
    <row r="2866">
      <c r="A2866" s="182"/>
      <c r="B2866" s="182"/>
      <c r="C2866" s="182"/>
      <c r="D2866" s="182"/>
      <c r="E2866" s="183"/>
      <c r="F2866" s="127"/>
      <c r="G2866" s="127"/>
      <c r="H2866" s="127"/>
      <c r="I2866" s="127"/>
    </row>
    <row r="2867">
      <c r="A2867" s="182"/>
      <c r="B2867" s="182"/>
      <c r="C2867" s="182"/>
      <c r="D2867" s="182"/>
      <c r="E2867" s="183"/>
      <c r="F2867" s="127"/>
      <c r="G2867" s="127"/>
      <c r="H2867" s="127"/>
      <c r="I2867" s="127"/>
    </row>
    <row r="2868">
      <c r="A2868" s="182"/>
      <c r="B2868" s="182"/>
      <c r="C2868" s="182"/>
      <c r="D2868" s="182"/>
      <c r="E2868" s="183"/>
      <c r="F2868" s="127"/>
      <c r="G2868" s="127"/>
      <c r="H2868" s="127"/>
      <c r="I2868" s="127"/>
    </row>
    <row r="2869">
      <c r="A2869" s="182"/>
      <c r="B2869" s="182"/>
      <c r="C2869" s="182"/>
      <c r="D2869" s="182"/>
      <c r="E2869" s="183"/>
      <c r="F2869" s="127"/>
      <c r="G2869" s="127"/>
      <c r="H2869" s="127"/>
      <c r="I2869" s="127"/>
    </row>
    <row r="2870">
      <c r="A2870" s="182"/>
      <c r="B2870" s="182"/>
      <c r="C2870" s="182"/>
      <c r="D2870" s="182"/>
      <c r="E2870" s="183"/>
      <c r="F2870" s="127"/>
      <c r="G2870" s="127"/>
      <c r="H2870" s="127"/>
      <c r="I2870" s="127"/>
    </row>
    <row r="2871">
      <c r="A2871" s="182"/>
      <c r="B2871" s="183"/>
      <c r="C2871" s="182"/>
      <c r="D2871" s="182"/>
      <c r="E2871" s="183"/>
      <c r="F2871" s="127"/>
      <c r="G2871" s="127"/>
      <c r="H2871" s="127"/>
      <c r="I2871" s="127"/>
    </row>
    <row r="2872">
      <c r="A2872" s="182"/>
      <c r="B2872" s="182"/>
      <c r="C2872" s="182"/>
      <c r="D2872" s="182"/>
      <c r="E2872" s="183"/>
      <c r="F2872" s="127"/>
      <c r="G2872" s="127"/>
      <c r="H2872" s="127"/>
      <c r="I2872" s="127"/>
    </row>
    <row r="2873">
      <c r="A2873" s="182"/>
      <c r="B2873" s="182"/>
      <c r="C2873" s="182"/>
      <c r="D2873" s="182"/>
      <c r="E2873" s="183"/>
      <c r="F2873" s="127"/>
      <c r="G2873" s="127"/>
      <c r="H2873" s="127"/>
      <c r="I2873" s="127"/>
    </row>
    <row r="2874">
      <c r="A2874" s="182"/>
      <c r="B2874" s="182"/>
      <c r="C2874" s="182"/>
      <c r="D2874" s="182"/>
      <c r="E2874" s="183"/>
      <c r="F2874" s="127"/>
      <c r="G2874" s="127"/>
      <c r="H2874" s="127"/>
      <c r="I2874" s="127"/>
    </row>
    <row r="2875">
      <c r="A2875" s="182"/>
      <c r="B2875" s="182"/>
      <c r="C2875" s="182"/>
      <c r="D2875" s="182"/>
      <c r="E2875" s="183"/>
      <c r="F2875" s="127"/>
      <c r="G2875" s="127"/>
      <c r="H2875" s="127"/>
      <c r="I2875" s="127"/>
    </row>
    <row r="2876">
      <c r="A2876" s="182"/>
      <c r="B2876" s="183"/>
      <c r="C2876" s="182"/>
      <c r="D2876" s="182"/>
      <c r="E2876" s="183"/>
      <c r="F2876" s="127"/>
      <c r="G2876" s="127"/>
      <c r="H2876" s="127"/>
      <c r="I2876" s="127"/>
    </row>
    <row r="2877">
      <c r="A2877" s="182"/>
      <c r="B2877" s="182"/>
      <c r="C2877" s="182"/>
      <c r="D2877" s="182"/>
      <c r="E2877" s="183"/>
      <c r="F2877" s="127"/>
      <c r="G2877" s="127"/>
      <c r="H2877" s="127"/>
      <c r="I2877" s="127"/>
    </row>
    <row r="2878">
      <c r="A2878" s="182"/>
      <c r="B2878" s="182"/>
      <c r="C2878" s="182"/>
      <c r="D2878" s="182"/>
      <c r="E2878" s="183"/>
      <c r="F2878" s="127"/>
      <c r="G2878" s="127"/>
      <c r="H2878" s="127"/>
      <c r="I2878" s="127"/>
    </row>
    <row r="2879">
      <c r="A2879" s="182"/>
      <c r="B2879" s="182"/>
      <c r="C2879" s="182"/>
      <c r="D2879" s="182"/>
      <c r="E2879" s="183"/>
      <c r="F2879" s="127"/>
      <c r="G2879" s="127"/>
      <c r="H2879" s="127"/>
      <c r="I2879" s="127"/>
    </row>
    <row r="2880">
      <c r="A2880" s="182"/>
      <c r="B2880" s="182"/>
      <c r="C2880" s="182"/>
      <c r="D2880" s="182"/>
      <c r="E2880" s="183"/>
      <c r="F2880" s="127"/>
      <c r="G2880" s="127"/>
      <c r="H2880" s="127"/>
      <c r="I2880" s="127"/>
    </row>
    <row r="2881">
      <c r="A2881" s="182"/>
      <c r="B2881" s="182"/>
      <c r="C2881" s="182"/>
      <c r="D2881" s="182"/>
      <c r="E2881" s="183"/>
      <c r="F2881" s="127"/>
      <c r="G2881" s="127"/>
      <c r="H2881" s="127"/>
      <c r="I2881" s="127"/>
    </row>
    <row r="2882">
      <c r="A2882" s="182"/>
      <c r="B2882" s="182"/>
      <c r="C2882" s="182"/>
      <c r="D2882" s="182"/>
      <c r="E2882" s="183"/>
      <c r="F2882" s="127"/>
      <c r="G2882" s="127"/>
      <c r="H2882" s="127"/>
      <c r="I2882" s="127"/>
    </row>
    <row r="2883">
      <c r="A2883" s="182"/>
      <c r="B2883" s="182"/>
      <c r="C2883" s="182"/>
      <c r="D2883" s="182"/>
      <c r="E2883" s="183"/>
      <c r="F2883" s="127"/>
      <c r="G2883" s="127"/>
      <c r="H2883" s="127"/>
      <c r="I2883" s="127"/>
    </row>
    <row r="2884">
      <c r="A2884" s="182"/>
      <c r="B2884" s="182"/>
      <c r="C2884" s="182"/>
      <c r="D2884" s="182"/>
      <c r="E2884" s="183"/>
      <c r="F2884" s="127"/>
      <c r="G2884" s="127"/>
      <c r="H2884" s="127"/>
      <c r="I2884" s="127"/>
    </row>
    <row r="2885">
      <c r="A2885" s="182"/>
      <c r="B2885" s="182"/>
      <c r="C2885" s="182"/>
      <c r="D2885" s="182"/>
      <c r="E2885" s="183"/>
      <c r="F2885" s="127"/>
      <c r="G2885" s="127"/>
      <c r="H2885" s="127"/>
      <c r="I2885" s="127"/>
    </row>
    <row r="2886">
      <c r="A2886" s="182"/>
      <c r="B2886" s="182"/>
      <c r="C2886" s="182"/>
      <c r="D2886" s="182"/>
      <c r="E2886" s="183"/>
      <c r="F2886" s="127"/>
      <c r="G2886" s="127"/>
      <c r="H2886" s="127"/>
      <c r="I2886" s="127"/>
    </row>
    <row r="2887">
      <c r="A2887" s="182"/>
      <c r="B2887" s="182"/>
      <c r="C2887" s="182"/>
      <c r="D2887" s="182"/>
      <c r="E2887" s="183"/>
      <c r="F2887" s="127"/>
      <c r="G2887" s="127"/>
      <c r="H2887" s="127"/>
      <c r="I2887" s="127"/>
    </row>
    <row r="2888">
      <c r="A2888" s="182"/>
      <c r="B2888" s="182"/>
      <c r="C2888" s="182"/>
      <c r="D2888" s="182"/>
      <c r="E2888" s="183"/>
      <c r="F2888" s="127"/>
      <c r="G2888" s="127"/>
      <c r="H2888" s="127"/>
      <c r="I2888" s="127"/>
    </row>
    <row r="2889">
      <c r="A2889" s="182"/>
      <c r="B2889" s="182"/>
      <c r="C2889" s="182"/>
      <c r="D2889" s="182"/>
      <c r="E2889" s="183"/>
      <c r="F2889" s="127"/>
      <c r="G2889" s="127"/>
      <c r="H2889" s="127"/>
      <c r="I2889" s="127"/>
    </row>
    <row r="2890">
      <c r="A2890" s="182"/>
      <c r="B2890" s="182"/>
      <c r="C2890" s="182"/>
      <c r="D2890" s="182"/>
      <c r="E2890" s="183"/>
      <c r="F2890" s="127"/>
      <c r="G2890" s="127"/>
      <c r="H2890" s="127"/>
      <c r="I2890" s="127"/>
    </row>
    <row r="2891">
      <c r="A2891" s="182"/>
      <c r="B2891" s="182"/>
      <c r="C2891" s="182"/>
      <c r="D2891" s="182"/>
      <c r="E2891" s="183"/>
      <c r="F2891" s="127"/>
      <c r="G2891" s="127"/>
      <c r="H2891" s="127"/>
      <c r="I2891" s="127"/>
    </row>
    <row r="2892">
      <c r="A2892" s="182"/>
      <c r="B2892" s="182"/>
      <c r="C2892" s="182"/>
      <c r="D2892" s="182"/>
      <c r="E2892" s="183"/>
      <c r="F2892" s="127"/>
      <c r="G2892" s="127"/>
      <c r="H2892" s="127"/>
      <c r="I2892" s="127"/>
    </row>
    <row r="2893">
      <c r="A2893" s="182"/>
      <c r="B2893" s="182"/>
      <c r="C2893" s="182"/>
      <c r="D2893" s="182"/>
      <c r="E2893" s="183"/>
      <c r="F2893" s="127"/>
      <c r="G2893" s="127"/>
      <c r="H2893" s="127"/>
      <c r="I2893" s="127"/>
    </row>
    <row r="2894">
      <c r="A2894" s="182"/>
      <c r="B2894" s="182"/>
      <c r="C2894" s="182"/>
      <c r="D2894" s="182"/>
      <c r="E2894" s="183"/>
      <c r="F2894" s="127"/>
      <c r="G2894" s="127"/>
      <c r="H2894" s="127"/>
      <c r="I2894" s="127"/>
    </row>
    <row r="2895">
      <c r="A2895" s="182"/>
      <c r="B2895" s="182"/>
      <c r="C2895" s="182"/>
      <c r="D2895" s="182"/>
      <c r="E2895" s="183"/>
      <c r="F2895" s="127"/>
      <c r="G2895" s="127"/>
      <c r="H2895" s="127"/>
      <c r="I2895" s="127"/>
    </row>
    <row r="2896">
      <c r="A2896" s="182"/>
      <c r="B2896" s="182"/>
      <c r="C2896" s="182"/>
      <c r="D2896" s="182"/>
      <c r="E2896" s="183"/>
      <c r="F2896" s="127"/>
      <c r="G2896" s="127"/>
      <c r="H2896" s="127"/>
      <c r="I2896" s="127"/>
    </row>
    <row r="2897">
      <c r="A2897" s="182"/>
      <c r="B2897" s="182"/>
      <c r="C2897" s="182"/>
      <c r="D2897" s="182"/>
      <c r="E2897" s="183"/>
      <c r="F2897" s="127"/>
      <c r="G2897" s="127"/>
      <c r="H2897" s="127"/>
      <c r="I2897" s="127"/>
    </row>
    <row r="2898">
      <c r="A2898" s="182"/>
      <c r="B2898" s="182"/>
      <c r="C2898" s="182"/>
      <c r="D2898" s="182"/>
      <c r="E2898" s="183"/>
      <c r="F2898" s="127"/>
      <c r="G2898" s="127"/>
      <c r="H2898" s="127"/>
      <c r="I2898" s="127"/>
    </row>
    <row r="2899">
      <c r="A2899" s="182"/>
      <c r="B2899" s="182"/>
      <c r="C2899" s="182"/>
      <c r="D2899" s="182"/>
      <c r="E2899" s="183"/>
      <c r="F2899" s="127"/>
      <c r="G2899" s="127"/>
      <c r="H2899" s="127"/>
      <c r="I2899" s="127"/>
    </row>
    <row r="2900">
      <c r="A2900" s="182"/>
      <c r="B2900" s="182"/>
      <c r="C2900" s="182"/>
      <c r="D2900" s="182"/>
      <c r="E2900" s="183"/>
      <c r="F2900" s="127"/>
      <c r="G2900" s="127"/>
      <c r="H2900" s="127"/>
      <c r="I2900" s="127"/>
    </row>
    <row r="2901">
      <c r="A2901" s="182"/>
      <c r="B2901" s="182"/>
      <c r="C2901" s="182"/>
      <c r="D2901" s="182"/>
      <c r="E2901" s="183"/>
      <c r="F2901" s="127"/>
      <c r="G2901" s="127"/>
      <c r="H2901" s="127"/>
      <c r="I2901" s="127"/>
    </row>
    <row r="2902">
      <c r="A2902" s="182"/>
      <c r="B2902" s="182"/>
      <c r="C2902" s="182"/>
      <c r="D2902" s="182"/>
      <c r="E2902" s="183"/>
      <c r="F2902" s="127"/>
      <c r="G2902" s="127"/>
      <c r="H2902" s="127"/>
      <c r="I2902" s="127"/>
    </row>
    <row r="2903">
      <c r="A2903" s="182"/>
      <c r="B2903" s="182"/>
      <c r="C2903" s="182"/>
      <c r="D2903" s="182"/>
      <c r="E2903" s="183"/>
      <c r="F2903" s="127"/>
      <c r="G2903" s="127"/>
      <c r="H2903" s="127"/>
      <c r="I2903" s="127"/>
    </row>
    <row r="2904">
      <c r="A2904" s="182"/>
      <c r="B2904" s="182"/>
      <c r="C2904" s="182"/>
      <c r="D2904" s="182"/>
      <c r="E2904" s="183"/>
      <c r="F2904" s="127"/>
      <c r="G2904" s="127"/>
      <c r="H2904" s="127"/>
      <c r="I2904" s="127"/>
    </row>
    <row r="2905">
      <c r="A2905" s="182"/>
      <c r="B2905" s="182"/>
      <c r="C2905" s="182"/>
      <c r="D2905" s="182"/>
      <c r="E2905" s="183"/>
      <c r="F2905" s="127"/>
      <c r="G2905" s="127"/>
      <c r="H2905" s="127"/>
      <c r="I2905" s="127"/>
    </row>
    <row r="2906">
      <c r="A2906" s="182"/>
      <c r="B2906" s="182"/>
      <c r="C2906" s="182"/>
      <c r="D2906" s="182"/>
      <c r="E2906" s="183"/>
      <c r="F2906" s="127"/>
      <c r="G2906" s="127"/>
      <c r="H2906" s="127"/>
      <c r="I2906" s="127"/>
    </row>
    <row r="2907">
      <c r="A2907" s="182"/>
      <c r="B2907" s="182"/>
      <c r="C2907" s="182"/>
      <c r="D2907" s="182"/>
      <c r="E2907" s="183"/>
      <c r="F2907" s="127"/>
      <c r="G2907" s="127"/>
      <c r="H2907" s="127"/>
      <c r="I2907" s="127"/>
    </row>
    <row r="2908">
      <c r="A2908" s="182"/>
      <c r="B2908" s="182"/>
      <c r="C2908" s="182"/>
      <c r="D2908" s="182"/>
      <c r="E2908" s="183"/>
      <c r="F2908" s="127"/>
      <c r="G2908" s="127"/>
      <c r="H2908" s="127"/>
      <c r="I2908" s="127"/>
    </row>
    <row r="2909">
      <c r="A2909" s="182"/>
      <c r="B2909" s="182"/>
      <c r="C2909" s="182"/>
      <c r="D2909" s="182"/>
      <c r="E2909" s="183"/>
      <c r="F2909" s="127"/>
      <c r="G2909" s="127"/>
      <c r="H2909" s="127"/>
      <c r="I2909" s="127"/>
    </row>
    <row r="2910">
      <c r="A2910" s="182"/>
      <c r="B2910" s="182"/>
      <c r="C2910" s="182"/>
      <c r="D2910" s="182"/>
      <c r="E2910" s="183"/>
      <c r="F2910" s="127"/>
      <c r="G2910" s="127"/>
      <c r="H2910" s="127"/>
      <c r="I2910" s="127"/>
    </row>
    <row r="2911">
      <c r="A2911" s="182"/>
      <c r="B2911" s="182"/>
      <c r="C2911" s="182"/>
      <c r="D2911" s="182"/>
      <c r="E2911" s="183"/>
      <c r="F2911" s="127"/>
      <c r="G2911" s="127"/>
      <c r="H2911" s="127"/>
      <c r="I2911" s="127"/>
    </row>
    <row r="2912">
      <c r="A2912" s="182"/>
      <c r="B2912" s="182"/>
      <c r="C2912" s="182"/>
      <c r="D2912" s="182"/>
      <c r="E2912" s="183"/>
      <c r="F2912" s="127"/>
      <c r="G2912" s="127"/>
      <c r="H2912" s="127"/>
      <c r="I2912" s="127"/>
    </row>
    <row r="2913">
      <c r="A2913" s="182"/>
      <c r="B2913" s="182"/>
      <c r="C2913" s="182"/>
      <c r="D2913" s="182"/>
      <c r="E2913" s="183"/>
      <c r="F2913" s="127"/>
      <c r="G2913" s="127"/>
      <c r="H2913" s="127"/>
      <c r="I2913" s="127"/>
    </row>
    <row r="2914">
      <c r="A2914" s="182"/>
      <c r="B2914" s="182"/>
      <c r="C2914" s="182"/>
      <c r="D2914" s="182"/>
      <c r="E2914" s="183"/>
      <c r="F2914" s="127"/>
      <c r="G2914" s="127"/>
      <c r="H2914" s="127"/>
      <c r="I2914" s="127"/>
    </row>
    <row r="2915">
      <c r="A2915" s="182"/>
      <c r="B2915" s="182"/>
      <c r="C2915" s="182"/>
      <c r="D2915" s="182"/>
      <c r="E2915" s="183"/>
      <c r="F2915" s="127"/>
      <c r="G2915" s="127"/>
      <c r="H2915" s="127"/>
      <c r="I2915" s="127"/>
    </row>
    <row r="2916">
      <c r="A2916" s="182"/>
      <c r="B2916" s="182"/>
      <c r="C2916" s="182"/>
      <c r="D2916" s="182"/>
      <c r="E2916" s="183"/>
      <c r="F2916" s="127"/>
      <c r="G2916" s="127"/>
      <c r="H2916" s="127"/>
      <c r="I2916" s="127"/>
    </row>
    <row r="2917">
      <c r="A2917" s="182"/>
      <c r="B2917" s="182"/>
      <c r="C2917" s="182"/>
      <c r="D2917" s="182"/>
      <c r="E2917" s="183"/>
      <c r="F2917" s="127"/>
      <c r="G2917" s="127"/>
      <c r="H2917" s="127"/>
      <c r="I2917" s="127"/>
    </row>
    <row r="2918">
      <c r="A2918" s="182"/>
      <c r="B2918" s="182"/>
      <c r="C2918" s="182"/>
      <c r="D2918" s="182"/>
      <c r="E2918" s="183"/>
      <c r="F2918" s="127"/>
      <c r="G2918" s="127"/>
      <c r="H2918" s="127"/>
      <c r="I2918" s="127"/>
    </row>
    <row r="2919">
      <c r="A2919" s="182"/>
      <c r="B2919" s="182"/>
      <c r="C2919" s="182"/>
      <c r="D2919" s="182"/>
      <c r="E2919" s="183"/>
      <c r="F2919" s="127"/>
      <c r="G2919" s="127"/>
      <c r="H2919" s="127"/>
      <c r="I2919" s="127"/>
    </row>
    <row r="2920">
      <c r="A2920" s="182"/>
      <c r="B2920" s="182"/>
      <c r="C2920" s="182"/>
      <c r="D2920" s="182"/>
      <c r="E2920" s="183"/>
      <c r="F2920" s="127"/>
      <c r="G2920" s="127"/>
      <c r="H2920" s="127"/>
      <c r="I2920" s="127"/>
    </row>
    <row r="2921">
      <c r="A2921" s="182"/>
      <c r="B2921" s="182"/>
      <c r="C2921" s="182"/>
      <c r="D2921" s="182"/>
      <c r="E2921" s="183"/>
      <c r="F2921" s="127"/>
      <c r="G2921" s="127"/>
      <c r="H2921" s="127"/>
      <c r="I2921" s="127"/>
    </row>
    <row r="2922">
      <c r="A2922" s="182"/>
      <c r="B2922" s="182"/>
      <c r="C2922" s="182"/>
      <c r="D2922" s="182"/>
      <c r="E2922" s="183"/>
      <c r="F2922" s="127"/>
      <c r="G2922" s="127"/>
      <c r="H2922" s="127"/>
      <c r="I2922" s="127"/>
    </row>
    <row r="2923">
      <c r="A2923" s="182"/>
      <c r="B2923" s="182"/>
      <c r="C2923" s="182"/>
      <c r="D2923" s="182"/>
      <c r="E2923" s="183"/>
      <c r="F2923" s="127"/>
      <c r="G2923" s="127"/>
      <c r="H2923" s="127"/>
      <c r="I2923" s="127"/>
    </row>
    <row r="2924">
      <c r="A2924" s="182"/>
      <c r="B2924" s="182"/>
      <c r="C2924" s="182"/>
      <c r="D2924" s="182"/>
      <c r="E2924" s="183"/>
      <c r="F2924" s="127"/>
      <c r="G2924" s="127"/>
      <c r="H2924" s="127"/>
      <c r="I2924" s="127"/>
    </row>
    <row r="2925">
      <c r="A2925" s="182"/>
      <c r="B2925" s="182"/>
      <c r="C2925" s="182"/>
      <c r="D2925" s="182"/>
      <c r="E2925" s="183"/>
      <c r="F2925" s="127"/>
      <c r="G2925" s="127"/>
      <c r="H2925" s="127"/>
      <c r="I2925" s="127"/>
    </row>
    <row r="2926">
      <c r="A2926" s="182"/>
      <c r="B2926" s="182"/>
      <c r="C2926" s="182"/>
      <c r="D2926" s="182"/>
      <c r="E2926" s="183"/>
      <c r="F2926" s="127"/>
      <c r="G2926" s="127"/>
      <c r="H2926" s="127"/>
      <c r="I2926" s="127"/>
    </row>
    <row r="2927">
      <c r="A2927" s="182"/>
      <c r="B2927" s="182"/>
      <c r="C2927" s="182"/>
      <c r="D2927" s="182"/>
      <c r="E2927" s="183"/>
      <c r="F2927" s="127"/>
      <c r="G2927" s="127"/>
      <c r="H2927" s="127"/>
      <c r="I2927" s="127"/>
    </row>
    <row r="2928">
      <c r="A2928" s="182"/>
      <c r="B2928" s="182"/>
      <c r="C2928" s="182"/>
      <c r="D2928" s="182"/>
      <c r="E2928" s="183"/>
      <c r="F2928" s="127"/>
      <c r="G2928" s="127"/>
      <c r="H2928" s="127"/>
      <c r="I2928" s="127"/>
    </row>
    <row r="2929">
      <c r="A2929" s="182"/>
      <c r="B2929" s="182"/>
      <c r="C2929" s="182"/>
      <c r="D2929" s="182"/>
      <c r="E2929" s="183"/>
      <c r="F2929" s="127"/>
      <c r="G2929" s="127"/>
      <c r="H2929" s="127"/>
      <c r="I2929" s="127"/>
    </row>
    <row r="2930">
      <c r="A2930" s="182"/>
      <c r="B2930" s="183"/>
      <c r="C2930" s="182"/>
      <c r="D2930" s="182"/>
      <c r="E2930" s="183"/>
      <c r="F2930" s="127"/>
      <c r="G2930" s="127"/>
      <c r="H2930" s="127"/>
      <c r="I2930" s="127"/>
    </row>
    <row r="2931">
      <c r="A2931" s="182"/>
      <c r="B2931" s="182"/>
      <c r="C2931" s="182"/>
      <c r="D2931" s="182"/>
      <c r="E2931" s="183"/>
      <c r="F2931" s="127"/>
      <c r="G2931" s="127"/>
      <c r="H2931" s="127"/>
      <c r="I2931" s="127"/>
    </row>
    <row r="2932">
      <c r="A2932" s="182"/>
      <c r="B2932" s="182"/>
      <c r="C2932" s="182"/>
      <c r="D2932" s="182"/>
      <c r="E2932" s="183"/>
      <c r="F2932" s="127"/>
      <c r="G2932" s="127"/>
      <c r="H2932" s="127"/>
      <c r="I2932" s="127"/>
    </row>
    <row r="2933">
      <c r="A2933" s="182"/>
      <c r="B2933" s="182"/>
      <c r="C2933" s="182"/>
      <c r="D2933" s="182"/>
      <c r="E2933" s="183"/>
      <c r="F2933" s="127"/>
      <c r="G2933" s="127"/>
      <c r="H2933" s="127"/>
      <c r="I2933" s="127"/>
    </row>
    <row r="2934">
      <c r="A2934" s="182"/>
      <c r="B2934" s="182"/>
      <c r="C2934" s="182"/>
      <c r="D2934" s="182"/>
      <c r="E2934" s="183"/>
      <c r="F2934" s="127"/>
      <c r="G2934" s="127"/>
      <c r="H2934" s="127"/>
      <c r="I2934" s="127"/>
    </row>
    <row r="2935">
      <c r="A2935" s="182"/>
      <c r="B2935" s="182"/>
      <c r="C2935" s="182"/>
      <c r="D2935" s="182"/>
      <c r="E2935" s="183"/>
      <c r="F2935" s="127"/>
      <c r="G2935" s="127"/>
      <c r="H2935" s="127"/>
      <c r="I2935" s="127"/>
    </row>
    <row r="2936">
      <c r="A2936" s="182"/>
      <c r="B2936" s="182"/>
      <c r="C2936" s="182"/>
      <c r="D2936" s="182"/>
      <c r="E2936" s="183"/>
      <c r="F2936" s="127"/>
      <c r="G2936" s="127"/>
      <c r="H2936" s="127"/>
      <c r="I2936" s="127"/>
    </row>
    <row r="2937">
      <c r="A2937" s="182"/>
      <c r="B2937" s="182"/>
      <c r="C2937" s="182"/>
      <c r="D2937" s="182"/>
      <c r="E2937" s="183"/>
      <c r="F2937" s="127"/>
      <c r="G2937" s="127"/>
      <c r="H2937" s="127"/>
      <c r="I2937" s="127"/>
    </row>
    <row r="2938">
      <c r="A2938" s="182"/>
      <c r="B2938" s="182"/>
      <c r="C2938" s="182"/>
      <c r="D2938" s="182"/>
      <c r="E2938" s="183"/>
      <c r="F2938" s="127"/>
      <c r="G2938" s="127"/>
      <c r="H2938" s="127"/>
      <c r="I2938" s="127"/>
    </row>
    <row r="2939">
      <c r="A2939" s="182"/>
      <c r="B2939" s="182"/>
      <c r="C2939" s="182"/>
      <c r="D2939" s="182"/>
      <c r="E2939" s="183"/>
      <c r="F2939" s="127"/>
      <c r="G2939" s="127"/>
      <c r="H2939" s="127"/>
      <c r="I2939" s="127"/>
    </row>
    <row r="2940">
      <c r="A2940" s="182"/>
      <c r="B2940" s="182"/>
      <c r="C2940" s="182"/>
      <c r="D2940" s="182"/>
      <c r="E2940" s="183"/>
      <c r="F2940" s="127"/>
      <c r="G2940" s="127"/>
      <c r="H2940" s="127"/>
      <c r="I2940" s="127"/>
    </row>
    <row r="2941">
      <c r="A2941" s="182"/>
      <c r="B2941" s="182"/>
      <c r="C2941" s="182"/>
      <c r="D2941" s="182"/>
      <c r="E2941" s="183"/>
      <c r="F2941" s="127"/>
      <c r="G2941" s="127"/>
      <c r="H2941" s="127"/>
      <c r="I2941" s="127"/>
    </row>
    <row r="2942">
      <c r="A2942" s="182"/>
      <c r="B2942" s="182"/>
      <c r="C2942" s="182"/>
      <c r="D2942" s="182"/>
      <c r="E2942" s="183"/>
      <c r="F2942" s="127"/>
      <c r="G2942" s="127"/>
      <c r="H2942" s="127"/>
      <c r="I2942" s="127"/>
    </row>
    <row r="2943">
      <c r="A2943" s="182"/>
      <c r="B2943" s="182"/>
      <c r="C2943" s="182"/>
      <c r="D2943" s="182"/>
      <c r="E2943" s="183"/>
      <c r="F2943" s="127"/>
      <c r="G2943" s="127"/>
      <c r="H2943" s="127"/>
      <c r="I2943" s="127"/>
    </row>
    <row r="2944">
      <c r="A2944" s="182"/>
      <c r="B2944" s="182"/>
      <c r="C2944" s="182"/>
      <c r="D2944" s="182"/>
      <c r="E2944" s="183"/>
      <c r="F2944" s="127"/>
      <c r="G2944" s="127"/>
      <c r="H2944" s="127"/>
      <c r="I2944" s="127"/>
    </row>
    <row r="2945">
      <c r="A2945" s="182"/>
      <c r="B2945" s="182"/>
      <c r="C2945" s="182"/>
      <c r="D2945" s="182"/>
      <c r="E2945" s="183"/>
      <c r="F2945" s="127"/>
      <c r="G2945" s="127"/>
      <c r="H2945" s="127"/>
      <c r="I2945" s="127"/>
    </row>
    <row r="2946">
      <c r="A2946" s="182"/>
      <c r="B2946" s="182"/>
      <c r="C2946" s="182"/>
      <c r="D2946" s="182"/>
      <c r="E2946" s="183"/>
      <c r="F2946" s="127"/>
      <c r="G2946" s="127"/>
      <c r="H2946" s="127"/>
      <c r="I2946" s="127"/>
    </row>
    <row r="2947">
      <c r="A2947" s="182"/>
      <c r="B2947" s="182"/>
      <c r="C2947" s="182"/>
      <c r="D2947" s="182"/>
      <c r="E2947" s="183"/>
      <c r="F2947" s="127"/>
      <c r="G2947" s="127"/>
      <c r="H2947" s="127"/>
      <c r="I2947" s="127"/>
    </row>
    <row r="2948">
      <c r="A2948" s="182"/>
      <c r="B2948" s="182"/>
      <c r="C2948" s="182"/>
      <c r="D2948" s="182"/>
      <c r="E2948" s="183"/>
      <c r="F2948" s="127"/>
      <c r="G2948" s="127"/>
      <c r="H2948" s="127"/>
      <c r="I2948" s="127"/>
    </row>
    <row r="2949">
      <c r="A2949" s="182"/>
      <c r="B2949" s="182"/>
      <c r="C2949" s="182"/>
      <c r="D2949" s="182"/>
      <c r="E2949" s="183"/>
      <c r="F2949" s="127"/>
      <c r="G2949" s="127"/>
      <c r="H2949" s="127"/>
      <c r="I2949" s="127"/>
    </row>
    <row r="2950">
      <c r="A2950" s="182"/>
      <c r="B2950" s="182"/>
      <c r="C2950" s="182"/>
      <c r="D2950" s="182"/>
      <c r="E2950" s="183"/>
      <c r="F2950" s="127"/>
      <c r="G2950" s="127"/>
      <c r="H2950" s="127"/>
      <c r="I2950" s="127"/>
    </row>
    <row r="2951">
      <c r="A2951" s="182"/>
      <c r="B2951" s="182"/>
      <c r="C2951" s="182"/>
      <c r="D2951" s="182"/>
      <c r="E2951" s="183"/>
      <c r="F2951" s="127"/>
      <c r="G2951" s="127"/>
      <c r="H2951" s="127"/>
      <c r="I2951" s="127"/>
    </row>
    <row r="2952">
      <c r="A2952" s="182"/>
      <c r="B2952" s="182"/>
      <c r="C2952" s="182"/>
      <c r="D2952" s="182"/>
      <c r="E2952" s="183"/>
      <c r="F2952" s="127"/>
      <c r="G2952" s="127"/>
      <c r="H2952" s="127"/>
      <c r="I2952" s="127"/>
    </row>
    <row r="2953">
      <c r="A2953" s="182"/>
      <c r="B2953" s="182"/>
      <c r="C2953" s="182"/>
      <c r="D2953" s="182"/>
      <c r="E2953" s="183"/>
      <c r="F2953" s="127"/>
      <c r="G2953" s="127"/>
      <c r="H2953" s="127"/>
      <c r="I2953" s="127"/>
    </row>
    <row r="2954">
      <c r="A2954" s="182"/>
      <c r="B2954" s="182"/>
      <c r="C2954" s="182"/>
      <c r="D2954" s="182"/>
      <c r="E2954" s="183"/>
      <c r="F2954" s="127"/>
      <c r="G2954" s="127"/>
      <c r="H2954" s="127"/>
      <c r="I2954" s="127"/>
    </row>
    <row r="2955">
      <c r="A2955" s="182"/>
      <c r="B2955" s="182"/>
      <c r="C2955" s="182"/>
      <c r="D2955" s="182"/>
      <c r="E2955" s="183"/>
      <c r="F2955" s="127"/>
      <c r="G2955" s="127"/>
      <c r="H2955" s="127"/>
      <c r="I2955" s="127"/>
    </row>
    <row r="2956">
      <c r="A2956" s="182"/>
      <c r="B2956" s="182"/>
      <c r="C2956" s="182"/>
      <c r="D2956" s="182"/>
      <c r="E2956" s="183"/>
      <c r="F2956" s="127"/>
      <c r="G2956" s="127"/>
      <c r="H2956" s="127"/>
      <c r="I2956" s="127"/>
    </row>
    <row r="2957">
      <c r="A2957" s="182"/>
      <c r="B2957" s="182"/>
      <c r="C2957" s="182"/>
      <c r="D2957" s="182"/>
      <c r="E2957" s="183"/>
      <c r="F2957" s="127"/>
      <c r="G2957" s="127"/>
      <c r="H2957" s="127"/>
      <c r="I2957" s="127"/>
    </row>
    <row r="2958">
      <c r="A2958" s="182"/>
      <c r="B2958" s="182"/>
      <c r="C2958" s="182"/>
      <c r="D2958" s="182"/>
      <c r="E2958" s="183"/>
      <c r="F2958" s="127"/>
      <c r="G2958" s="127"/>
      <c r="H2958" s="127"/>
      <c r="I2958" s="127"/>
    </row>
    <row r="2959">
      <c r="A2959" s="182"/>
      <c r="B2959" s="182"/>
      <c r="C2959" s="182"/>
      <c r="D2959" s="182"/>
      <c r="E2959" s="183"/>
      <c r="F2959" s="127"/>
      <c r="G2959" s="127"/>
      <c r="H2959" s="127"/>
      <c r="I2959" s="127"/>
    </row>
    <row r="2960">
      <c r="A2960" s="182"/>
      <c r="B2960" s="182"/>
      <c r="C2960" s="182"/>
      <c r="D2960" s="182"/>
      <c r="E2960" s="183"/>
      <c r="F2960" s="127"/>
      <c r="G2960" s="127"/>
      <c r="H2960" s="127"/>
      <c r="I2960" s="127"/>
    </row>
    <row r="2961">
      <c r="A2961" s="182"/>
      <c r="B2961" s="182"/>
      <c r="C2961" s="182"/>
      <c r="D2961" s="182"/>
      <c r="E2961" s="183"/>
      <c r="F2961" s="127"/>
      <c r="G2961" s="127"/>
      <c r="H2961" s="127"/>
      <c r="I2961" s="127"/>
    </row>
    <row r="2962">
      <c r="A2962" s="182"/>
      <c r="B2962" s="182"/>
      <c r="C2962" s="182"/>
      <c r="D2962" s="182"/>
      <c r="E2962" s="183"/>
      <c r="F2962" s="127"/>
      <c r="G2962" s="127"/>
      <c r="H2962" s="127"/>
      <c r="I2962" s="127"/>
    </row>
    <row r="2963">
      <c r="A2963" s="182"/>
      <c r="B2963" s="182"/>
      <c r="C2963" s="182"/>
      <c r="D2963" s="182"/>
      <c r="E2963" s="183"/>
      <c r="F2963" s="127"/>
      <c r="G2963" s="127"/>
      <c r="H2963" s="127"/>
      <c r="I2963" s="127"/>
    </row>
    <row r="2964">
      <c r="A2964" s="182"/>
      <c r="B2964" s="182"/>
      <c r="C2964" s="182"/>
      <c r="D2964" s="182"/>
      <c r="E2964" s="183"/>
      <c r="F2964" s="127"/>
      <c r="G2964" s="127"/>
      <c r="H2964" s="127"/>
      <c r="I2964" s="127"/>
    </row>
    <row r="2965">
      <c r="A2965" s="182"/>
      <c r="B2965" s="182"/>
      <c r="C2965" s="182"/>
      <c r="D2965" s="182"/>
      <c r="E2965" s="183"/>
      <c r="F2965" s="127"/>
      <c r="G2965" s="127"/>
      <c r="H2965" s="127"/>
      <c r="I2965" s="127"/>
    </row>
    <row r="2966">
      <c r="A2966" s="182"/>
      <c r="B2966" s="182"/>
      <c r="C2966" s="182"/>
      <c r="D2966" s="182"/>
      <c r="E2966" s="183"/>
      <c r="F2966" s="127"/>
      <c r="G2966" s="127"/>
      <c r="H2966" s="127"/>
      <c r="I2966" s="127"/>
    </row>
    <row r="2967">
      <c r="A2967" s="182"/>
      <c r="B2967" s="182"/>
      <c r="C2967" s="182"/>
      <c r="D2967" s="182"/>
      <c r="E2967" s="183"/>
      <c r="F2967" s="127"/>
      <c r="G2967" s="127"/>
      <c r="H2967" s="127"/>
      <c r="I2967" s="127"/>
    </row>
    <row r="2968">
      <c r="A2968" s="182"/>
      <c r="B2968" s="182"/>
      <c r="C2968" s="182"/>
      <c r="D2968" s="182"/>
      <c r="E2968" s="183"/>
      <c r="F2968" s="127"/>
      <c r="G2968" s="127"/>
      <c r="H2968" s="127"/>
      <c r="I2968" s="127"/>
    </row>
    <row r="2969">
      <c r="A2969" s="182"/>
      <c r="B2969" s="182"/>
      <c r="C2969" s="182"/>
      <c r="D2969" s="182"/>
      <c r="E2969" s="183"/>
      <c r="F2969" s="127"/>
      <c r="G2969" s="127"/>
      <c r="H2969" s="127"/>
      <c r="I2969" s="127"/>
    </row>
    <row r="2970">
      <c r="A2970" s="182"/>
      <c r="B2970" s="182"/>
      <c r="C2970" s="182"/>
      <c r="D2970" s="182"/>
      <c r="E2970" s="183"/>
      <c r="F2970" s="127"/>
      <c r="G2970" s="127"/>
      <c r="H2970" s="127"/>
      <c r="I2970" s="127"/>
    </row>
    <row r="2971">
      <c r="A2971" s="182"/>
      <c r="B2971" s="182"/>
      <c r="C2971" s="182"/>
      <c r="D2971" s="182"/>
      <c r="E2971" s="183"/>
      <c r="F2971" s="127"/>
      <c r="G2971" s="127"/>
      <c r="H2971" s="127"/>
      <c r="I2971" s="127"/>
    </row>
    <row r="2972">
      <c r="A2972" s="182"/>
      <c r="B2972" s="182"/>
      <c r="C2972" s="182"/>
      <c r="D2972" s="182"/>
      <c r="E2972" s="183"/>
      <c r="F2972" s="127"/>
      <c r="G2972" s="127"/>
      <c r="H2972" s="127"/>
      <c r="I2972" s="127"/>
    </row>
    <row r="2973">
      <c r="A2973" s="182"/>
      <c r="B2973" s="182"/>
      <c r="C2973" s="182"/>
      <c r="D2973" s="182"/>
      <c r="E2973" s="183"/>
      <c r="F2973" s="127"/>
      <c r="G2973" s="127"/>
      <c r="H2973" s="127"/>
      <c r="I2973" s="127"/>
    </row>
    <row r="2974">
      <c r="A2974" s="182"/>
      <c r="B2974" s="182"/>
      <c r="C2974" s="182"/>
      <c r="D2974" s="182"/>
      <c r="E2974" s="183"/>
      <c r="F2974" s="127"/>
      <c r="G2974" s="127"/>
      <c r="H2974" s="127"/>
      <c r="I2974" s="127"/>
    </row>
    <row r="2975">
      <c r="A2975" s="182"/>
      <c r="B2975" s="182"/>
      <c r="C2975" s="182"/>
      <c r="D2975" s="182"/>
      <c r="E2975" s="183"/>
      <c r="F2975" s="127"/>
      <c r="G2975" s="127"/>
      <c r="H2975" s="127"/>
      <c r="I2975" s="127"/>
    </row>
    <row r="2976">
      <c r="A2976" s="182"/>
      <c r="B2976" s="182"/>
      <c r="C2976" s="182"/>
      <c r="D2976" s="182"/>
      <c r="E2976" s="183"/>
      <c r="F2976" s="127"/>
      <c r="G2976" s="127"/>
      <c r="H2976" s="127"/>
      <c r="I2976" s="127"/>
    </row>
    <row r="2977">
      <c r="A2977" s="182"/>
      <c r="B2977" s="182"/>
      <c r="C2977" s="182"/>
      <c r="D2977" s="182"/>
      <c r="E2977" s="183"/>
      <c r="F2977" s="127"/>
      <c r="G2977" s="127"/>
      <c r="H2977" s="127"/>
      <c r="I2977" s="127"/>
    </row>
    <row r="2978">
      <c r="A2978" s="182"/>
      <c r="B2978" s="182"/>
      <c r="C2978" s="182"/>
      <c r="D2978" s="182"/>
      <c r="E2978" s="183"/>
      <c r="F2978" s="127"/>
      <c r="G2978" s="127"/>
      <c r="H2978" s="127"/>
      <c r="I2978" s="127"/>
    </row>
    <row r="2979">
      <c r="A2979" s="182"/>
      <c r="B2979" s="182"/>
      <c r="C2979" s="182"/>
      <c r="D2979" s="182"/>
      <c r="E2979" s="183"/>
      <c r="F2979" s="127"/>
      <c r="G2979" s="127"/>
      <c r="H2979" s="127"/>
      <c r="I2979" s="127"/>
    </row>
    <row r="2980">
      <c r="A2980" s="179"/>
      <c r="B2980" s="179"/>
      <c r="C2980" s="179"/>
      <c r="D2980" s="179"/>
      <c r="E2980" s="127"/>
      <c r="F2980" s="127"/>
      <c r="G2980" s="127"/>
      <c r="H2980" s="127"/>
      <c r="I2980" s="127"/>
    </row>
    <row r="2981">
      <c r="A2981" s="179"/>
      <c r="B2981" s="179"/>
      <c r="C2981" s="179"/>
      <c r="D2981" s="179"/>
      <c r="E2981" s="127"/>
      <c r="F2981" s="127"/>
      <c r="G2981" s="127"/>
      <c r="H2981" s="127"/>
      <c r="I2981" s="127"/>
    </row>
  </sheetData>
  <conditionalFormatting sqref="B1:B2981">
    <cfRule type="expression" dxfId="49" priority="1">
      <formula>COUNTIF(B:B,B1)&gt;1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28.5"/>
    <col customWidth="1" hidden="1" min="7" max="9" width="28.5"/>
  </cols>
  <sheetData>
    <row r="1">
      <c r="A1" s="184" t="s">
        <v>28</v>
      </c>
      <c r="B1" s="184" t="s">
        <v>31</v>
      </c>
      <c r="C1" s="184" t="s">
        <v>35</v>
      </c>
      <c r="D1" s="184" t="s">
        <v>39</v>
      </c>
      <c r="E1" s="184" t="s">
        <v>40</v>
      </c>
      <c r="F1" s="184" t="s">
        <v>41</v>
      </c>
      <c r="G1" s="184" t="s">
        <v>42</v>
      </c>
      <c r="H1" s="184" t="s">
        <v>43</v>
      </c>
      <c r="I1" s="184" t="s">
        <v>44</v>
      </c>
    </row>
    <row r="2">
      <c r="A2" s="185">
        <f t="shared" ref="A2:I2" si="1">IF(A3="","0",COUNTA(A3:A100))</f>
        <v>1</v>
      </c>
      <c r="B2" s="185">
        <f t="shared" si="1"/>
        <v>1</v>
      </c>
      <c r="C2" s="185" t="str">
        <f t="shared" si="1"/>
        <v>0</v>
      </c>
      <c r="D2" s="185" t="str">
        <f t="shared" si="1"/>
        <v>0</v>
      </c>
      <c r="E2" s="185" t="str">
        <f t="shared" si="1"/>
        <v>0</v>
      </c>
      <c r="F2" s="185" t="str">
        <f t="shared" si="1"/>
        <v>0</v>
      </c>
      <c r="G2" s="185" t="str">
        <f t="shared" si="1"/>
        <v>0</v>
      </c>
      <c r="H2" s="185" t="str">
        <f t="shared" si="1"/>
        <v>0</v>
      </c>
      <c r="I2" s="185" t="str">
        <f t="shared" si="1"/>
        <v>0</v>
      </c>
    </row>
    <row r="3">
      <c r="A3" s="186" t="str">
        <f>IFERROR(__xludf.DUMMYFUNCTION("(IFNA(IF(Settings!$C$5=8, QUERY('Draft (8 Teams)'!$C$2:$F100, ""select D where F ='""&amp;A1&amp;""' ""),
IF(Settings!$C$5=10, QUERY('Draft (10 Teams)'!$C$2:$F100, ""select D where F ='""&amp;A1&amp;""' ""),
IF(Settings!$C$5=12, QUERY('Draft (12 Teams)'!$C$2:$F100, ""sel"&amp;"ect D where F ='""&amp;A1&amp;""' ""),
IF(Settings!$C$5=14, QUERY('Draft '!$C$2:$F100, ""select D where F ='""&amp;A1&amp;""' ""),
""""))))))"),"Aaron Rodgers – PIT")</f>
        <v>Aaron Rodgers – PIT</v>
      </c>
      <c r="B3" s="186" t="str">
        <f>IFERROR(__xludf.DUMMYFUNCTION("(IFNA(IF(Settings!$C$5=8, QUERY('Draft (8 Teams)'!$C$2:$F100, ""select D where F ='""&amp;B1&amp;""' ""),
IF(Settings!$C$5=10, QUERY('Draft (10 Teams)'!$C$2:$F100, ""select D where F ='""&amp;B1&amp;""' ""),
IF(Settings!$C$5=12, QUERY('Draft (12 Teams)'!$C$2:$F100, ""sel"&amp;"ect D where F ='""&amp;B1&amp;""' ""),
IF(Settings!$C$5=14, QUERY('Draft '!$C$2:$F100, ""select D where F ='""&amp;B1&amp;""' ""),
""""))))))"),"Bijan Robinson – ATL")</f>
        <v>Bijan Robinson – ATL</v>
      </c>
      <c r="C3" s="186" t="str">
        <f>IFERROR(__xludf.DUMMYFUNCTION("(IFNA(IF(Settings!$C$5=8, QUERY('Draft (8 Teams)'!$C$2:$F100, ""select D where F ='""&amp;C1&amp;""' ""),
IF(Settings!$C$5=10, QUERY('Draft (10 Teams)'!$C$2:$F100, ""select D where F ='""&amp;C1&amp;""' ""),
IF(Settings!$C$5=12, QUERY('Draft (12 Teams)'!$C$2:$F100, ""sel"&amp;"ect D where F ='""&amp;C1&amp;""' ""),
IF(Settings!$C$5=14, QUERY('Draft '!$C$2:$F100, ""select D where F ='""&amp;C1&amp;""' ""),
""""))))))"),"")</f>
        <v/>
      </c>
      <c r="D3" s="186" t="str">
        <f>IFERROR(__xludf.DUMMYFUNCTION("(IFNA(IF(Settings!$C$5=8, QUERY('Draft (8 Teams)'!$C$2:$F100, ""select D where F ='""&amp;D1&amp;""' ""),
IF(Settings!$C$5=10, QUERY('Draft (10 Teams)'!$C$2:$F100, ""select D where F ='""&amp;D1&amp;""' ""),
IF(Settings!$C$5=12, QUERY('Draft (12 Teams)'!$C$2:$F100, ""sel"&amp;"ect D where F ='""&amp;D1&amp;""' ""),
IF(Settings!$C$5=14, QUERY('Draft '!$C$2:$F100, ""select D where F ='""&amp;D1&amp;""' ""),
""""))))))"),"")</f>
        <v/>
      </c>
      <c r="E3" s="186" t="str">
        <f>IFERROR(__xludf.DUMMYFUNCTION("(IFNA(IF(Settings!$C$5=8, QUERY('Draft (8 Teams)'!$C$2:$F100, ""select D where F ='""&amp;E1&amp;""' ""),
IF(Settings!$C$5=10, QUERY('Draft (10 Teams)'!$C$2:$F100, ""select D where F ='""&amp;E1&amp;""' ""),
IF(Settings!$C$5=12, QUERY('Draft (12 Teams)'!$C$2:$F100, ""sel"&amp;"ect D where F ='""&amp;E1&amp;""' ""),
IF(Settings!$C$5=14, QUERY('Draft '!$C$2:$F100, ""select D where F ='""&amp;E1&amp;""' ""),
""""))))))"),"")</f>
        <v/>
      </c>
      <c r="F3" s="186" t="str">
        <f>IFERROR(__xludf.DUMMYFUNCTION("(IFNA(IF(Settings!$C$5=8, QUERY('Draft (8 Teams)'!$C$2:$F100, ""select D where F ='""&amp;F1&amp;""' ""),
IF(Settings!$C$5=10, QUERY('Draft (10 Teams)'!$C$2:$F100, ""select D where F ='""&amp;F1&amp;""' ""),
IF(Settings!$C$5=12, QUERY('Draft (12 Teams)'!$C$2:$F100, ""sel"&amp;"ect D where F ='""&amp;F1&amp;""' ""),
IF(Settings!$C$5=14, QUERY('Draft '!$C$2:$F100, ""select D where F ='""&amp;F1&amp;""' ""),
""""))))))"),"")</f>
        <v/>
      </c>
      <c r="G3" s="186" t="str">
        <f>IFERROR(__xludf.DUMMYFUNCTION("(IFNA(IF(Settings!$C$5=8, QUERY('Draft (8 Teams)'!$C$2:$F100, ""select D where F ='""&amp;G1&amp;""' ""),
IF(Settings!$C$5=10, QUERY('Draft (10 Teams)'!$C$2:$F100, ""select D where F ='""&amp;G1&amp;""' ""),
IF(Settings!$C$5=12, QUERY('Draft (12 Teams)'!$C$2:$F100, ""sel"&amp;"ect D where F ='""&amp;G1&amp;""' ""),
IF(Settings!$C$5=14, QUERY('Draft '!$C$2:$F100, ""select D where F ='""&amp;G1&amp;""' ""),
""""))))))"),"")</f>
        <v/>
      </c>
      <c r="H3" s="186" t="str">
        <f>IFERROR(__xludf.DUMMYFUNCTION("(IFNA(IF(Settings!$C$5=8, QUERY('Draft (8 Teams)'!$C$2:$F100, ""select D where F ='""&amp;H1&amp;""' ""),
IF(Settings!$C$5=10, QUERY('Draft (10 Teams)'!$C$2:$F100, ""select D where F ='""&amp;H1&amp;""' ""),
IF(Settings!$C$5=12, QUERY('Draft (12 Teams)'!$C$2:$F100, ""sel"&amp;"ect D where F ='""&amp;H1&amp;""' ""),
IF(Settings!$C$5=14, QUERY('Draft '!$C$2:$F100, ""select D where F ='""&amp;H1&amp;""' ""),
""""))))))"),"")</f>
        <v/>
      </c>
      <c r="I3" s="186" t="str">
        <f>IFERROR(__xludf.DUMMYFUNCTION("(IFNA(IF(Settings!$C$5=8, QUERY('Draft (8 Teams)'!$C$2:$F100, ""select D where F ='""&amp;I1&amp;""' ""),
IF(Settings!$C$5=10, QUERY('Draft (10 Teams)'!$C$2:$F100, ""select D where F ='""&amp;I1&amp;""' ""),
IF(Settings!$C$5=12, QUERY('Draft (12 Teams)'!$C$2:$F100, ""sel"&amp;"ect D where F ='""&amp;I1&amp;""' ""),
IF(Settings!$C$5=14, QUERY('Draft '!$C$2:$F100, ""select D where F ='""&amp;I1&amp;""' ""),
""""))))))"),"")</f>
        <v/>
      </c>
    </row>
    <row r="4">
      <c r="A4" s="186"/>
      <c r="B4" s="186"/>
      <c r="C4" s="186"/>
      <c r="D4" s="186"/>
      <c r="E4" s="186"/>
      <c r="F4" s="186"/>
      <c r="G4" s="186"/>
      <c r="H4" s="186"/>
      <c r="I4" s="186"/>
    </row>
    <row r="5">
      <c r="A5" s="186"/>
      <c r="B5" s="186"/>
      <c r="C5" s="186"/>
      <c r="D5" s="186"/>
      <c r="E5" s="186"/>
      <c r="F5" s="186"/>
      <c r="G5" s="186"/>
      <c r="H5" s="186"/>
      <c r="I5" s="186"/>
    </row>
    <row r="6">
      <c r="A6" s="186"/>
      <c r="B6" s="186"/>
      <c r="C6" s="186"/>
      <c r="D6" s="186"/>
      <c r="E6" s="186"/>
      <c r="F6" s="186"/>
      <c r="G6" s="186"/>
      <c r="H6" s="186"/>
      <c r="I6" s="186"/>
    </row>
    <row r="7">
      <c r="A7" s="186"/>
      <c r="B7" s="186"/>
      <c r="C7" s="186"/>
      <c r="D7" s="186"/>
      <c r="E7" s="186"/>
      <c r="F7" s="186"/>
      <c r="G7" s="186"/>
      <c r="H7" s="186"/>
      <c r="I7" s="186"/>
    </row>
    <row r="8">
      <c r="A8" s="186"/>
      <c r="B8" s="186"/>
      <c r="C8" s="186"/>
      <c r="D8" s="186"/>
      <c r="E8" s="186"/>
      <c r="F8" s="186"/>
      <c r="G8" s="186"/>
      <c r="H8" s="186"/>
      <c r="I8" s="186"/>
    </row>
    <row r="9">
      <c r="A9" s="186"/>
      <c r="B9" s="186"/>
      <c r="C9" s="186"/>
      <c r="D9" s="186"/>
      <c r="E9" s="186"/>
      <c r="F9" s="186"/>
      <c r="G9" s="186"/>
      <c r="H9" s="186"/>
      <c r="I9" s="186"/>
    </row>
    <row r="10">
      <c r="A10" s="186"/>
      <c r="B10" s="186"/>
      <c r="C10" s="186"/>
      <c r="D10" s="186"/>
      <c r="E10" s="186"/>
      <c r="F10" s="186"/>
      <c r="G10" s="186"/>
      <c r="H10" s="186"/>
      <c r="I10" s="186"/>
    </row>
    <row r="11">
      <c r="A11" s="186"/>
      <c r="B11" s="186"/>
      <c r="C11" s="186"/>
      <c r="D11" s="186"/>
      <c r="E11" s="186"/>
      <c r="F11" s="186"/>
      <c r="G11" s="186"/>
      <c r="H11" s="186"/>
      <c r="I11" s="186"/>
    </row>
    <row r="12">
      <c r="A12" s="186"/>
      <c r="B12" s="186"/>
      <c r="C12" s="186"/>
      <c r="D12" s="186"/>
      <c r="E12" s="186"/>
      <c r="F12" s="186"/>
      <c r="G12" s="186"/>
      <c r="H12" s="186"/>
      <c r="I12" s="186"/>
    </row>
    <row r="13">
      <c r="A13" s="186"/>
      <c r="B13" s="186"/>
      <c r="C13" s="186"/>
      <c r="D13" s="186"/>
      <c r="E13" s="186"/>
      <c r="F13" s="186"/>
      <c r="G13" s="186"/>
      <c r="H13" s="186"/>
      <c r="I13" s="186"/>
    </row>
    <row r="14">
      <c r="A14" s="186"/>
      <c r="B14" s="186"/>
      <c r="C14" s="186"/>
      <c r="D14" s="186"/>
      <c r="E14" s="186"/>
      <c r="F14" s="186"/>
      <c r="G14" s="186"/>
      <c r="H14" s="186"/>
      <c r="I14" s="186"/>
    </row>
    <row r="15">
      <c r="A15" s="186"/>
      <c r="B15" s="186"/>
      <c r="C15" s="186"/>
      <c r="D15" s="186"/>
      <c r="E15" s="186"/>
      <c r="F15" s="186"/>
      <c r="G15" s="186"/>
      <c r="H15" s="186"/>
      <c r="I15" s="186"/>
    </row>
    <row r="16">
      <c r="A16" s="186"/>
      <c r="B16" s="186"/>
      <c r="C16" s="186"/>
      <c r="D16" s="186"/>
      <c r="E16" s="186"/>
      <c r="F16" s="186"/>
      <c r="G16" s="186"/>
      <c r="H16" s="186"/>
      <c r="I16" s="186"/>
    </row>
    <row r="17">
      <c r="A17" s="186"/>
      <c r="B17" s="186"/>
      <c r="C17" s="186"/>
      <c r="D17" s="186"/>
      <c r="E17" s="186"/>
      <c r="F17" s="186"/>
      <c r="G17" s="186"/>
      <c r="H17" s="186"/>
      <c r="I17" s="186"/>
    </row>
    <row r="18">
      <c r="A18" s="186"/>
      <c r="B18" s="186"/>
      <c r="C18" s="186"/>
      <c r="D18" s="186"/>
      <c r="E18" s="186"/>
      <c r="F18" s="186"/>
      <c r="G18" s="186"/>
      <c r="H18" s="186"/>
      <c r="I18" s="186"/>
    </row>
    <row r="19">
      <c r="A19" s="186"/>
      <c r="B19" s="186"/>
      <c r="C19" s="186"/>
      <c r="D19" s="186"/>
      <c r="E19" s="186"/>
      <c r="F19" s="186"/>
      <c r="G19" s="186"/>
      <c r="H19" s="186"/>
      <c r="I19" s="186"/>
    </row>
    <row r="20">
      <c r="A20" s="186"/>
      <c r="B20" s="186"/>
      <c r="C20" s="186"/>
      <c r="D20" s="186"/>
      <c r="E20" s="186"/>
      <c r="F20" s="186"/>
      <c r="G20" s="186"/>
      <c r="H20" s="186"/>
      <c r="I20" s="186"/>
    </row>
    <row r="21">
      <c r="A21" s="186"/>
      <c r="B21" s="186"/>
      <c r="C21" s="186"/>
      <c r="D21" s="186"/>
      <c r="E21" s="186"/>
      <c r="F21" s="186"/>
      <c r="G21" s="186"/>
      <c r="H21" s="186"/>
      <c r="I21" s="186"/>
    </row>
    <row r="22">
      <c r="A22" s="186"/>
      <c r="B22" s="186"/>
      <c r="C22" s="186"/>
      <c r="D22" s="186"/>
      <c r="E22" s="186"/>
      <c r="F22" s="186"/>
      <c r="G22" s="186"/>
      <c r="H22" s="186"/>
      <c r="I22" s="186"/>
    </row>
    <row r="23">
      <c r="A23" s="186"/>
      <c r="B23" s="186"/>
      <c r="C23" s="186"/>
      <c r="D23" s="186"/>
      <c r="E23" s="186"/>
      <c r="F23" s="186"/>
      <c r="G23" s="186"/>
      <c r="H23" s="186"/>
      <c r="I23" s="186"/>
    </row>
    <row r="24">
      <c r="A24" s="186"/>
      <c r="B24" s="186"/>
      <c r="C24" s="186"/>
      <c r="D24" s="186"/>
      <c r="E24" s="186"/>
      <c r="F24" s="186"/>
      <c r="G24" s="186"/>
      <c r="H24" s="186"/>
      <c r="I24" s="186"/>
    </row>
    <row r="25">
      <c r="A25" s="186"/>
      <c r="B25" s="186"/>
      <c r="C25" s="186"/>
      <c r="D25" s="186"/>
      <c r="E25" s="186"/>
      <c r="F25" s="186"/>
      <c r="G25" s="186"/>
      <c r="H25" s="186"/>
      <c r="I25" s="186"/>
    </row>
    <row r="26">
      <c r="A26" s="186"/>
      <c r="B26" s="186"/>
      <c r="C26" s="186"/>
      <c r="D26" s="186"/>
      <c r="E26" s="186"/>
      <c r="F26" s="186"/>
      <c r="G26" s="186"/>
      <c r="H26" s="186"/>
      <c r="I26" s="186"/>
    </row>
    <row r="27">
      <c r="A27" s="186"/>
      <c r="B27" s="186"/>
      <c r="C27" s="186"/>
      <c r="D27" s="186"/>
      <c r="E27" s="186"/>
      <c r="F27" s="186"/>
      <c r="G27" s="186"/>
      <c r="H27" s="186"/>
      <c r="I27" s="186"/>
    </row>
    <row r="28">
      <c r="A28" s="186"/>
      <c r="B28" s="186"/>
      <c r="C28" s="186"/>
      <c r="D28" s="186"/>
      <c r="E28" s="186"/>
      <c r="F28" s="186"/>
      <c r="G28" s="186"/>
      <c r="H28" s="186"/>
      <c r="I28" s="186"/>
    </row>
    <row r="29">
      <c r="A29" s="186"/>
      <c r="B29" s="186"/>
      <c r="C29" s="186"/>
      <c r="D29" s="186"/>
      <c r="E29" s="186"/>
      <c r="F29" s="186"/>
      <c r="G29" s="186"/>
      <c r="H29" s="186"/>
      <c r="I29" s="186"/>
    </row>
    <row r="30">
      <c r="A30" s="186"/>
      <c r="B30" s="186"/>
      <c r="C30" s="186"/>
      <c r="D30" s="186"/>
      <c r="E30" s="186"/>
      <c r="F30" s="186"/>
      <c r="G30" s="186"/>
      <c r="H30" s="186"/>
      <c r="I30" s="186"/>
    </row>
    <row r="31">
      <c r="A31" s="186"/>
      <c r="B31" s="186"/>
      <c r="C31" s="186"/>
      <c r="D31" s="186"/>
      <c r="E31" s="186"/>
      <c r="F31" s="186"/>
      <c r="G31" s="186"/>
      <c r="H31" s="186"/>
      <c r="I31" s="186"/>
    </row>
    <row r="32">
      <c r="A32" s="186"/>
      <c r="B32" s="186"/>
      <c r="C32" s="186"/>
      <c r="D32" s="186"/>
      <c r="E32" s="186"/>
      <c r="F32" s="186"/>
      <c r="G32" s="186"/>
      <c r="H32" s="186"/>
      <c r="I32" s="186"/>
    </row>
    <row r="33">
      <c r="A33" s="186"/>
      <c r="B33" s="186"/>
      <c r="C33" s="186"/>
      <c r="D33" s="186"/>
      <c r="E33" s="186"/>
      <c r="F33" s="186"/>
      <c r="G33" s="186"/>
      <c r="H33" s="186"/>
      <c r="I33" s="186"/>
    </row>
    <row r="34">
      <c r="A34" s="186"/>
      <c r="B34" s="186"/>
      <c r="C34" s="186"/>
      <c r="D34" s="186"/>
      <c r="E34" s="186"/>
      <c r="F34" s="186"/>
      <c r="G34" s="186"/>
      <c r="H34" s="186"/>
      <c r="I34" s="186"/>
    </row>
    <row r="35">
      <c r="A35" s="186"/>
      <c r="B35" s="186"/>
      <c r="C35" s="186"/>
      <c r="D35" s="186"/>
      <c r="E35" s="186"/>
      <c r="F35" s="186"/>
      <c r="G35" s="186"/>
      <c r="H35" s="186"/>
      <c r="I35" s="186"/>
    </row>
    <row r="36">
      <c r="A36" s="186"/>
      <c r="B36" s="186"/>
      <c r="C36" s="186"/>
      <c r="D36" s="186"/>
      <c r="E36" s="186"/>
      <c r="F36" s="186"/>
      <c r="G36" s="186"/>
      <c r="H36" s="186"/>
      <c r="I36" s="186"/>
    </row>
    <row r="37">
      <c r="A37" s="186"/>
      <c r="B37" s="186"/>
      <c r="C37" s="186"/>
      <c r="D37" s="186"/>
      <c r="E37" s="186"/>
      <c r="F37" s="186"/>
      <c r="G37" s="186"/>
      <c r="H37" s="186"/>
      <c r="I37" s="186"/>
    </row>
    <row r="38">
      <c r="A38" s="186"/>
      <c r="B38" s="186"/>
      <c r="C38" s="186"/>
      <c r="D38" s="186"/>
      <c r="E38" s="186"/>
      <c r="F38" s="186"/>
      <c r="G38" s="186"/>
      <c r="H38" s="186"/>
      <c r="I38" s="186"/>
    </row>
    <row r="39">
      <c r="A39" s="186"/>
      <c r="B39" s="186"/>
      <c r="C39" s="186"/>
      <c r="D39" s="186"/>
      <c r="E39" s="186"/>
      <c r="F39" s="186"/>
      <c r="G39" s="186"/>
      <c r="H39" s="186"/>
      <c r="I39" s="186"/>
    </row>
    <row r="40">
      <c r="A40" s="186"/>
      <c r="B40" s="186"/>
      <c r="C40" s="186"/>
      <c r="D40" s="186"/>
      <c r="E40" s="186"/>
      <c r="F40" s="186"/>
      <c r="G40" s="186"/>
      <c r="H40" s="186"/>
      <c r="I40" s="186"/>
    </row>
    <row r="41">
      <c r="A41" s="186"/>
      <c r="B41" s="186"/>
      <c r="C41" s="186"/>
      <c r="D41" s="186"/>
      <c r="E41" s="186"/>
      <c r="F41" s="186"/>
      <c r="G41" s="186"/>
      <c r="H41" s="186"/>
      <c r="I41" s="186"/>
    </row>
    <row r="42">
      <c r="A42" s="186"/>
      <c r="B42" s="186"/>
      <c r="C42" s="186"/>
      <c r="D42" s="186"/>
      <c r="E42" s="186"/>
      <c r="F42" s="186"/>
      <c r="G42" s="186"/>
      <c r="H42" s="186"/>
      <c r="I42" s="186"/>
    </row>
    <row r="43">
      <c r="A43" s="186"/>
      <c r="B43" s="186"/>
      <c r="C43" s="186"/>
      <c r="D43" s="186"/>
      <c r="E43" s="186"/>
      <c r="F43" s="186"/>
      <c r="G43" s="186"/>
      <c r="H43" s="186"/>
      <c r="I43" s="186"/>
    </row>
    <row r="44">
      <c r="A44" s="186"/>
      <c r="B44" s="186"/>
      <c r="C44" s="186"/>
      <c r="D44" s="186"/>
      <c r="E44" s="186"/>
      <c r="F44" s="186"/>
      <c r="G44" s="186"/>
      <c r="H44" s="186"/>
      <c r="I44" s="186"/>
    </row>
    <row r="45">
      <c r="A45" s="186"/>
      <c r="B45" s="186"/>
      <c r="C45" s="186"/>
      <c r="D45" s="186"/>
      <c r="E45" s="186"/>
      <c r="F45" s="186"/>
      <c r="G45" s="186"/>
      <c r="H45" s="186"/>
      <c r="I45" s="186"/>
    </row>
    <row r="46">
      <c r="A46" s="186"/>
      <c r="B46" s="186"/>
      <c r="C46" s="186"/>
      <c r="D46" s="186"/>
      <c r="E46" s="186"/>
      <c r="F46" s="186"/>
      <c r="G46" s="186"/>
      <c r="H46" s="186"/>
      <c r="I46" s="186"/>
    </row>
    <row r="47">
      <c r="A47" s="186"/>
      <c r="B47" s="186"/>
      <c r="C47" s="186"/>
      <c r="D47" s="186"/>
      <c r="E47" s="186"/>
      <c r="F47" s="186"/>
      <c r="G47" s="186"/>
      <c r="H47" s="186"/>
      <c r="I47" s="186"/>
    </row>
    <row r="48">
      <c r="A48" s="186"/>
      <c r="B48" s="186"/>
      <c r="C48" s="186"/>
      <c r="D48" s="186"/>
      <c r="E48" s="186"/>
      <c r="F48" s="186"/>
      <c r="G48" s="186"/>
      <c r="H48" s="186"/>
      <c r="I48" s="186"/>
    </row>
    <row r="49">
      <c r="A49" s="186"/>
      <c r="B49" s="186"/>
      <c r="C49" s="186"/>
      <c r="D49" s="186"/>
      <c r="E49" s="186"/>
      <c r="F49" s="186"/>
      <c r="G49" s="186"/>
      <c r="H49" s="186"/>
      <c r="I49" s="186"/>
    </row>
    <row r="50">
      <c r="A50" s="186"/>
      <c r="B50" s="186"/>
      <c r="C50" s="186"/>
      <c r="D50" s="186"/>
      <c r="E50" s="186"/>
      <c r="F50" s="186"/>
      <c r="G50" s="186"/>
      <c r="H50" s="186"/>
      <c r="I50" s="186"/>
    </row>
    <row r="51">
      <c r="A51" s="186"/>
      <c r="B51" s="186"/>
      <c r="C51" s="186"/>
      <c r="D51" s="186"/>
      <c r="E51" s="186"/>
      <c r="F51" s="186"/>
      <c r="G51" s="186"/>
      <c r="H51" s="186"/>
      <c r="I51" s="186"/>
    </row>
    <row r="52">
      <c r="A52" s="186"/>
      <c r="B52" s="186"/>
      <c r="C52" s="186"/>
      <c r="D52" s="186"/>
      <c r="E52" s="186"/>
      <c r="F52" s="186"/>
      <c r="G52" s="186"/>
      <c r="H52" s="186"/>
      <c r="I52" s="186"/>
    </row>
    <row r="53">
      <c r="A53" s="186"/>
      <c r="B53" s="186"/>
      <c r="C53" s="186"/>
      <c r="D53" s="186"/>
      <c r="E53" s="186"/>
      <c r="F53" s="186"/>
      <c r="G53" s="186"/>
      <c r="H53" s="186"/>
      <c r="I53" s="186"/>
    </row>
    <row r="54">
      <c r="A54" s="186"/>
      <c r="B54" s="186"/>
      <c r="C54" s="186"/>
      <c r="D54" s="186"/>
      <c r="E54" s="186"/>
      <c r="F54" s="186"/>
      <c r="G54" s="186"/>
      <c r="H54" s="186"/>
      <c r="I54" s="186"/>
    </row>
    <row r="55">
      <c r="A55" s="186"/>
      <c r="B55" s="186"/>
      <c r="C55" s="186"/>
      <c r="D55" s="186"/>
      <c r="E55" s="186"/>
      <c r="F55" s="186"/>
      <c r="G55" s="186"/>
      <c r="H55" s="186"/>
      <c r="I55" s="186"/>
    </row>
    <row r="56">
      <c r="A56" s="186"/>
      <c r="B56" s="186"/>
      <c r="C56" s="186"/>
      <c r="D56" s="186"/>
      <c r="E56" s="186"/>
      <c r="F56" s="186"/>
      <c r="G56" s="186"/>
      <c r="H56" s="186"/>
      <c r="I56" s="186"/>
    </row>
    <row r="57">
      <c r="A57" s="186"/>
      <c r="B57" s="186"/>
      <c r="C57" s="186"/>
      <c r="D57" s="186"/>
      <c r="E57" s="186"/>
      <c r="F57" s="186"/>
      <c r="G57" s="186"/>
      <c r="H57" s="186"/>
      <c r="I57" s="186"/>
    </row>
    <row r="58">
      <c r="A58" s="186"/>
      <c r="B58" s="186"/>
      <c r="C58" s="186"/>
      <c r="D58" s="186"/>
      <c r="E58" s="186"/>
      <c r="F58" s="186"/>
      <c r="G58" s="186"/>
      <c r="H58" s="186"/>
      <c r="I58" s="186"/>
    </row>
    <row r="59">
      <c r="A59" s="186"/>
      <c r="B59" s="186"/>
      <c r="C59" s="186"/>
      <c r="D59" s="186"/>
      <c r="E59" s="186"/>
      <c r="F59" s="186"/>
      <c r="G59" s="186"/>
      <c r="H59" s="186"/>
      <c r="I59" s="186"/>
    </row>
    <row r="60">
      <c r="A60" s="186"/>
      <c r="B60" s="186"/>
      <c r="C60" s="186"/>
      <c r="D60" s="186"/>
      <c r="E60" s="186"/>
      <c r="F60" s="186"/>
      <c r="G60" s="186"/>
      <c r="H60" s="186"/>
      <c r="I60" s="186"/>
    </row>
    <row r="61">
      <c r="A61" s="186"/>
      <c r="B61" s="186"/>
      <c r="C61" s="186"/>
      <c r="D61" s="186"/>
      <c r="E61" s="186"/>
      <c r="F61" s="186"/>
      <c r="G61" s="186"/>
      <c r="H61" s="186"/>
      <c r="I61" s="186"/>
    </row>
    <row r="62">
      <c r="A62" s="186"/>
      <c r="B62" s="186"/>
      <c r="C62" s="186"/>
      <c r="D62" s="186"/>
      <c r="E62" s="186"/>
      <c r="F62" s="186"/>
      <c r="G62" s="186"/>
      <c r="H62" s="186"/>
      <c r="I62" s="186"/>
    </row>
    <row r="63">
      <c r="A63" s="186"/>
      <c r="B63" s="186"/>
      <c r="C63" s="186"/>
      <c r="D63" s="186"/>
      <c r="E63" s="186"/>
      <c r="F63" s="186"/>
      <c r="G63" s="186"/>
      <c r="H63" s="186"/>
      <c r="I63" s="186"/>
    </row>
    <row r="64">
      <c r="A64" s="186"/>
      <c r="B64" s="186"/>
      <c r="C64" s="186"/>
      <c r="D64" s="186"/>
      <c r="E64" s="186"/>
      <c r="F64" s="186"/>
      <c r="G64" s="186"/>
      <c r="H64" s="186"/>
      <c r="I64" s="186"/>
    </row>
    <row r="65">
      <c r="A65" s="186"/>
      <c r="B65" s="186"/>
      <c r="C65" s="186"/>
      <c r="D65" s="186"/>
      <c r="E65" s="186"/>
      <c r="F65" s="186"/>
      <c r="G65" s="186"/>
      <c r="H65" s="186"/>
      <c r="I65" s="186"/>
    </row>
    <row r="66">
      <c r="A66" s="186"/>
      <c r="B66" s="186"/>
      <c r="C66" s="186"/>
      <c r="D66" s="186"/>
      <c r="E66" s="186"/>
      <c r="F66" s="186"/>
      <c r="G66" s="186"/>
      <c r="H66" s="186"/>
      <c r="I66" s="186"/>
    </row>
    <row r="67">
      <c r="A67" s="186"/>
      <c r="B67" s="186"/>
      <c r="C67" s="186"/>
      <c r="D67" s="186"/>
      <c r="E67" s="186"/>
      <c r="F67" s="186"/>
      <c r="G67" s="186"/>
      <c r="H67" s="186"/>
      <c r="I67" s="186"/>
    </row>
    <row r="68">
      <c r="A68" s="186"/>
      <c r="B68" s="186"/>
      <c r="C68" s="186"/>
      <c r="D68" s="186"/>
      <c r="E68" s="186"/>
      <c r="F68" s="186"/>
      <c r="G68" s="186"/>
      <c r="H68" s="186"/>
      <c r="I68" s="186"/>
    </row>
    <row r="69">
      <c r="A69" s="186"/>
      <c r="B69" s="186"/>
      <c r="C69" s="186"/>
      <c r="D69" s="186"/>
      <c r="E69" s="186"/>
      <c r="F69" s="186"/>
      <c r="G69" s="186"/>
      <c r="H69" s="186"/>
      <c r="I69" s="186"/>
    </row>
    <row r="70">
      <c r="A70" s="186"/>
      <c r="B70" s="186"/>
      <c r="C70" s="186"/>
      <c r="D70" s="186"/>
      <c r="E70" s="186"/>
      <c r="F70" s="186"/>
      <c r="G70" s="186"/>
      <c r="H70" s="186"/>
      <c r="I70" s="186"/>
    </row>
    <row r="71">
      <c r="A71" s="186"/>
      <c r="B71" s="186"/>
      <c r="C71" s="186"/>
      <c r="D71" s="186"/>
      <c r="E71" s="186"/>
      <c r="F71" s="186"/>
      <c r="G71" s="186"/>
      <c r="H71" s="186"/>
      <c r="I71" s="186"/>
    </row>
    <row r="72">
      <c r="A72" s="186"/>
      <c r="B72" s="186"/>
      <c r="C72" s="186"/>
      <c r="D72" s="186"/>
      <c r="E72" s="186"/>
      <c r="F72" s="186"/>
      <c r="G72" s="186"/>
      <c r="H72" s="186"/>
      <c r="I72" s="186"/>
    </row>
    <row r="73">
      <c r="A73" s="186"/>
      <c r="B73" s="186"/>
      <c r="C73" s="186"/>
      <c r="D73" s="186"/>
      <c r="E73" s="186"/>
      <c r="F73" s="186"/>
      <c r="G73" s="186"/>
      <c r="H73" s="186"/>
      <c r="I73" s="186"/>
    </row>
    <row r="74">
      <c r="A74" s="186"/>
      <c r="B74" s="186"/>
      <c r="C74" s="186"/>
      <c r="D74" s="186"/>
      <c r="E74" s="186"/>
      <c r="F74" s="186"/>
      <c r="G74" s="186"/>
      <c r="H74" s="186"/>
      <c r="I74" s="186"/>
    </row>
    <row r="75">
      <c r="A75" s="186"/>
      <c r="B75" s="186"/>
      <c r="C75" s="186"/>
      <c r="D75" s="186"/>
      <c r="E75" s="186"/>
      <c r="F75" s="186"/>
      <c r="G75" s="186"/>
      <c r="H75" s="186"/>
      <c r="I75" s="186"/>
    </row>
    <row r="76">
      <c r="A76" s="186"/>
      <c r="B76" s="186"/>
      <c r="C76" s="186"/>
      <c r="D76" s="186"/>
      <c r="E76" s="186"/>
      <c r="F76" s="186"/>
      <c r="G76" s="186"/>
      <c r="H76" s="186"/>
      <c r="I76" s="186"/>
    </row>
    <row r="77">
      <c r="A77" s="186"/>
      <c r="B77" s="186"/>
      <c r="C77" s="186"/>
      <c r="D77" s="186"/>
      <c r="E77" s="186"/>
      <c r="F77" s="186"/>
      <c r="G77" s="186"/>
      <c r="H77" s="186"/>
      <c r="I77" s="186"/>
    </row>
    <row r="78">
      <c r="A78" s="186"/>
      <c r="B78" s="186"/>
      <c r="C78" s="186"/>
      <c r="D78" s="186"/>
      <c r="E78" s="186"/>
      <c r="F78" s="186"/>
      <c r="G78" s="186"/>
      <c r="H78" s="186"/>
      <c r="I78" s="186"/>
    </row>
    <row r="79">
      <c r="A79" s="186"/>
      <c r="B79" s="186"/>
      <c r="C79" s="186"/>
      <c r="D79" s="186"/>
      <c r="E79" s="186"/>
      <c r="F79" s="186"/>
      <c r="G79" s="186"/>
      <c r="H79" s="186"/>
      <c r="I79" s="186"/>
    </row>
    <row r="80">
      <c r="A80" s="186"/>
      <c r="B80" s="186"/>
      <c r="C80" s="186"/>
      <c r="D80" s="186"/>
      <c r="E80" s="186"/>
      <c r="F80" s="186"/>
      <c r="G80" s="186"/>
      <c r="H80" s="186"/>
      <c r="I80" s="186"/>
    </row>
    <row r="81">
      <c r="A81" s="186"/>
      <c r="B81" s="186"/>
      <c r="C81" s="186"/>
      <c r="D81" s="186"/>
      <c r="E81" s="186"/>
      <c r="F81" s="186"/>
      <c r="G81" s="186"/>
      <c r="H81" s="186"/>
      <c r="I81" s="186"/>
    </row>
    <row r="82">
      <c r="A82" s="186"/>
      <c r="B82" s="186"/>
      <c r="C82" s="186"/>
      <c r="D82" s="186"/>
      <c r="E82" s="186"/>
      <c r="F82" s="186"/>
      <c r="G82" s="186"/>
      <c r="H82" s="186"/>
      <c r="I82" s="186"/>
    </row>
    <row r="83">
      <c r="A83" s="186"/>
      <c r="B83" s="186"/>
      <c r="C83" s="186"/>
      <c r="D83" s="186"/>
      <c r="E83" s="186"/>
      <c r="F83" s="186"/>
      <c r="G83" s="186"/>
      <c r="H83" s="186"/>
      <c r="I83" s="186"/>
    </row>
    <row r="84">
      <c r="A84" s="186"/>
      <c r="B84" s="186"/>
      <c r="C84" s="186"/>
      <c r="D84" s="186"/>
      <c r="E84" s="186"/>
      <c r="F84" s="186"/>
      <c r="G84" s="186"/>
      <c r="H84" s="186"/>
      <c r="I84" s="186"/>
    </row>
    <row r="85">
      <c r="A85" s="186"/>
      <c r="B85" s="186"/>
      <c r="C85" s="186"/>
      <c r="D85" s="186"/>
      <c r="E85" s="186"/>
      <c r="F85" s="186"/>
      <c r="G85" s="186"/>
      <c r="H85" s="186"/>
      <c r="I85" s="186"/>
    </row>
    <row r="86">
      <c r="A86" s="186"/>
      <c r="B86" s="186"/>
      <c r="C86" s="186"/>
      <c r="D86" s="186"/>
      <c r="E86" s="186"/>
      <c r="F86" s="186"/>
      <c r="G86" s="186"/>
      <c r="H86" s="186"/>
      <c r="I86" s="186"/>
    </row>
    <row r="87">
      <c r="A87" s="186"/>
      <c r="B87" s="186"/>
      <c r="C87" s="186"/>
      <c r="D87" s="186"/>
      <c r="E87" s="186"/>
      <c r="F87" s="186"/>
      <c r="G87" s="186"/>
      <c r="H87" s="186"/>
      <c r="I87" s="186"/>
    </row>
    <row r="88">
      <c r="A88" s="186"/>
      <c r="B88" s="186"/>
      <c r="C88" s="186"/>
      <c r="D88" s="186"/>
      <c r="E88" s="186"/>
      <c r="F88" s="186"/>
      <c r="G88" s="186"/>
      <c r="H88" s="186"/>
      <c r="I88" s="186"/>
    </row>
    <row r="89">
      <c r="A89" s="186"/>
      <c r="B89" s="186"/>
      <c r="C89" s="186"/>
      <c r="D89" s="186"/>
      <c r="E89" s="186"/>
      <c r="F89" s="186"/>
      <c r="G89" s="186"/>
      <c r="H89" s="186"/>
      <c r="I89" s="186"/>
    </row>
    <row r="90">
      <c r="A90" s="186"/>
      <c r="B90" s="186"/>
      <c r="C90" s="186"/>
      <c r="D90" s="186"/>
      <c r="E90" s="186"/>
      <c r="F90" s="186"/>
      <c r="G90" s="186"/>
      <c r="H90" s="186"/>
      <c r="I90" s="186"/>
    </row>
    <row r="91">
      <c r="A91" s="186"/>
      <c r="B91" s="186"/>
      <c r="C91" s="186"/>
      <c r="D91" s="186"/>
      <c r="E91" s="186"/>
      <c r="F91" s="186"/>
      <c r="G91" s="186"/>
      <c r="H91" s="186"/>
      <c r="I91" s="186"/>
    </row>
    <row r="92">
      <c r="A92" s="186"/>
      <c r="B92" s="186"/>
      <c r="C92" s="186"/>
      <c r="D92" s="186"/>
      <c r="E92" s="186"/>
      <c r="F92" s="186"/>
      <c r="G92" s="186"/>
      <c r="H92" s="186"/>
      <c r="I92" s="186"/>
    </row>
    <row r="93">
      <c r="A93" s="186"/>
      <c r="B93" s="186"/>
      <c r="C93" s="186"/>
      <c r="D93" s="186"/>
      <c r="E93" s="186"/>
      <c r="F93" s="186"/>
      <c r="G93" s="186"/>
      <c r="H93" s="186"/>
      <c r="I93" s="186"/>
    </row>
    <row r="94">
      <c r="A94" s="186"/>
      <c r="B94" s="186"/>
      <c r="C94" s="186"/>
      <c r="D94" s="186"/>
      <c r="E94" s="186"/>
      <c r="F94" s="186"/>
      <c r="G94" s="186"/>
      <c r="H94" s="186"/>
      <c r="I94" s="186"/>
    </row>
    <row r="95">
      <c r="A95" s="186"/>
      <c r="B95" s="186"/>
      <c r="C95" s="186"/>
      <c r="D95" s="186"/>
      <c r="E95" s="186"/>
      <c r="F95" s="186"/>
      <c r="G95" s="186"/>
      <c r="H95" s="186"/>
      <c r="I95" s="186"/>
    </row>
    <row r="96">
      <c r="A96" s="186"/>
      <c r="B96" s="186"/>
      <c r="C96" s="186"/>
      <c r="D96" s="186"/>
      <c r="E96" s="186"/>
      <c r="F96" s="186"/>
      <c r="G96" s="186"/>
      <c r="H96" s="186"/>
      <c r="I96" s="186"/>
    </row>
    <row r="97">
      <c r="A97" s="186"/>
      <c r="B97" s="186"/>
      <c r="C97" s="186"/>
      <c r="D97" s="186"/>
      <c r="E97" s="186"/>
      <c r="F97" s="186"/>
      <c r="G97" s="186"/>
      <c r="H97" s="186"/>
      <c r="I97" s="186"/>
    </row>
    <row r="98">
      <c r="A98" s="186"/>
      <c r="B98" s="186"/>
      <c r="C98" s="186"/>
      <c r="D98" s="186"/>
      <c r="E98" s="186"/>
      <c r="F98" s="186"/>
      <c r="G98" s="186"/>
      <c r="H98" s="186"/>
      <c r="I98" s="186"/>
    </row>
    <row r="99">
      <c r="A99" s="186"/>
      <c r="B99" s="186"/>
      <c r="C99" s="186"/>
      <c r="D99" s="186"/>
      <c r="E99" s="186"/>
      <c r="F99" s="186"/>
      <c r="G99" s="186"/>
      <c r="H99" s="186"/>
      <c r="I99" s="186"/>
    </row>
    <row r="100">
      <c r="A100" s="186"/>
      <c r="B100" s="186"/>
      <c r="C100" s="186"/>
      <c r="D100" s="186"/>
      <c r="E100" s="186"/>
      <c r="F100" s="186"/>
      <c r="G100" s="186"/>
      <c r="H100" s="186"/>
      <c r="I100" s="186"/>
    </row>
  </sheetData>
  <conditionalFormatting sqref="A1:I100">
    <cfRule type="cellIs" dxfId="43" priority="1" operator="equal">
      <formula>"DL"</formula>
    </cfRule>
  </conditionalFormatting>
  <conditionalFormatting sqref="A1:I100">
    <cfRule type="cellIs" dxfId="45" priority="2" operator="equal">
      <formula>"DB"</formula>
    </cfRule>
  </conditionalFormatting>
  <conditionalFormatting sqref="A1:I100">
    <cfRule type="cellIs" dxfId="46" priority="3" operator="equal">
      <formula>"K"</formula>
    </cfRule>
  </conditionalFormatting>
  <conditionalFormatting sqref="A1:I100">
    <cfRule type="cellIs" dxfId="48" priority="4" operator="equal">
      <formula>"D/ST"</formula>
    </cfRule>
  </conditionalFormatting>
  <conditionalFormatting sqref="A1:I100">
    <cfRule type="cellIs" dxfId="7" priority="5" operator="equal">
      <formula>"FA"</formula>
    </cfRule>
  </conditionalFormatting>
  <conditionalFormatting sqref="A1:I100">
    <cfRule type="cellIs" dxfId="8" priority="6" operator="equal">
      <formula>"ARI"</formula>
    </cfRule>
  </conditionalFormatting>
  <conditionalFormatting sqref="A1:I100">
    <cfRule type="cellIs" dxfId="9" priority="7" operator="equal">
      <formula>"ATL"</formula>
    </cfRule>
  </conditionalFormatting>
  <conditionalFormatting sqref="A1:I100">
    <cfRule type="cellIs" dxfId="10" priority="8" operator="equal">
      <formula>"BAL"</formula>
    </cfRule>
  </conditionalFormatting>
  <conditionalFormatting sqref="A1:I100">
    <cfRule type="cellIs" dxfId="11" priority="9" operator="equal">
      <formula>"BUF"</formula>
    </cfRule>
  </conditionalFormatting>
  <conditionalFormatting sqref="A1:I100">
    <cfRule type="cellIs" dxfId="12" priority="10" operator="equal">
      <formula>"CAR"</formula>
    </cfRule>
  </conditionalFormatting>
  <conditionalFormatting sqref="A1:I100">
    <cfRule type="cellIs" dxfId="13" priority="11" operator="equal">
      <formula>"CHI"</formula>
    </cfRule>
  </conditionalFormatting>
  <conditionalFormatting sqref="A1:I100">
    <cfRule type="cellIs" dxfId="14" priority="12" operator="equal">
      <formula>"CIN"</formula>
    </cfRule>
  </conditionalFormatting>
  <conditionalFormatting sqref="A1:I100">
    <cfRule type="cellIs" dxfId="15" priority="13" operator="equal">
      <formula>"CLE"</formula>
    </cfRule>
  </conditionalFormatting>
  <conditionalFormatting sqref="A1:I100">
    <cfRule type="cellIs" dxfId="16" priority="14" operator="equal">
      <formula>"DAL"</formula>
    </cfRule>
  </conditionalFormatting>
  <conditionalFormatting sqref="A1:I100">
    <cfRule type="cellIs" dxfId="17" priority="15" operator="equal">
      <formula>"DEN"</formula>
    </cfRule>
  </conditionalFormatting>
  <conditionalFormatting sqref="A1:I100">
    <cfRule type="cellIs" dxfId="18" priority="16" operator="equal">
      <formula>"DET"</formula>
    </cfRule>
  </conditionalFormatting>
  <conditionalFormatting sqref="A1:I100">
    <cfRule type="cellIs" dxfId="19" priority="17" operator="equal">
      <formula>"GBP"</formula>
    </cfRule>
  </conditionalFormatting>
  <conditionalFormatting sqref="A1:I100">
    <cfRule type="cellIs" dxfId="20" priority="18" operator="equal">
      <formula>"HOU"</formula>
    </cfRule>
  </conditionalFormatting>
  <conditionalFormatting sqref="A1:I100">
    <cfRule type="cellIs" dxfId="21" priority="19" operator="equal">
      <formula>"IND"</formula>
    </cfRule>
  </conditionalFormatting>
  <conditionalFormatting sqref="A1:I100">
    <cfRule type="cellIs" dxfId="22" priority="20" operator="equal">
      <formula>"JAC"</formula>
    </cfRule>
  </conditionalFormatting>
  <conditionalFormatting sqref="A1:I100">
    <cfRule type="cellIs" dxfId="23" priority="21" operator="equal">
      <formula>"KCC"</formula>
    </cfRule>
  </conditionalFormatting>
  <conditionalFormatting sqref="A1:I100">
    <cfRule type="cellIs" dxfId="24" priority="22" operator="equal">
      <formula>"LAC"</formula>
    </cfRule>
  </conditionalFormatting>
  <conditionalFormatting sqref="A1:I100">
    <cfRule type="cellIs" dxfId="25" priority="23" operator="equal">
      <formula>"LAR"</formula>
    </cfRule>
  </conditionalFormatting>
  <conditionalFormatting sqref="A1:I100">
    <cfRule type="cellIs" dxfId="26" priority="24" operator="equal">
      <formula>"MIA"</formula>
    </cfRule>
  </conditionalFormatting>
  <conditionalFormatting sqref="A1:I100">
    <cfRule type="cellIs" dxfId="27" priority="25" operator="equal">
      <formula>"MIN"</formula>
    </cfRule>
  </conditionalFormatting>
  <conditionalFormatting sqref="A1:I100">
    <cfRule type="cellIs" dxfId="28" priority="26" operator="equal">
      <formula>"NEP"</formula>
    </cfRule>
  </conditionalFormatting>
  <conditionalFormatting sqref="A1:I100">
    <cfRule type="cellIs" dxfId="29" priority="27" operator="equal">
      <formula>"NOS"</formula>
    </cfRule>
  </conditionalFormatting>
  <conditionalFormatting sqref="A1:I100">
    <cfRule type="cellIs" dxfId="30" priority="28" operator="equal">
      <formula>"NYG"</formula>
    </cfRule>
  </conditionalFormatting>
  <conditionalFormatting sqref="A1:I100">
    <cfRule type="cellIs" dxfId="31" priority="29" operator="equal">
      <formula>"NYJ"</formula>
    </cfRule>
  </conditionalFormatting>
  <conditionalFormatting sqref="A1:I100">
    <cfRule type="cellIs" dxfId="32" priority="30" operator="equal">
      <formula>"LVR"</formula>
    </cfRule>
  </conditionalFormatting>
  <conditionalFormatting sqref="A1:I100">
    <cfRule type="cellIs" dxfId="33" priority="31" operator="equal">
      <formula>"PHI"</formula>
    </cfRule>
  </conditionalFormatting>
  <conditionalFormatting sqref="A1:I100">
    <cfRule type="cellIs" dxfId="34" priority="32" operator="equal">
      <formula>"PIT"</formula>
    </cfRule>
  </conditionalFormatting>
  <conditionalFormatting sqref="A1:I100">
    <cfRule type="cellIs" dxfId="35" priority="33" operator="equal">
      <formula>"SFO"</formula>
    </cfRule>
  </conditionalFormatting>
  <conditionalFormatting sqref="A1:I100">
    <cfRule type="cellIs" dxfId="36" priority="34" operator="equal">
      <formula>"SEA"</formula>
    </cfRule>
  </conditionalFormatting>
  <conditionalFormatting sqref="A1:I100">
    <cfRule type="cellIs" dxfId="37" priority="35" operator="equal">
      <formula>"TBB"</formula>
    </cfRule>
  </conditionalFormatting>
  <conditionalFormatting sqref="A1:I100">
    <cfRule type="cellIs" dxfId="38" priority="36" operator="equal">
      <formula>"TEN"</formula>
    </cfRule>
  </conditionalFormatting>
  <conditionalFormatting sqref="A1:I100">
    <cfRule type="cellIs" dxfId="39" priority="37" operator="equal">
      <formula>"WAS"</formula>
    </cfRule>
  </conditionalFormatting>
  <conditionalFormatting sqref="A1:I100">
    <cfRule type="cellIs" dxfId="40" priority="38" operator="equal">
      <formula>"QB"</formula>
    </cfRule>
  </conditionalFormatting>
  <conditionalFormatting sqref="A1:I100">
    <cfRule type="cellIs" dxfId="41" priority="39" operator="equal">
      <formula>"WR"</formula>
    </cfRule>
  </conditionalFormatting>
  <conditionalFormatting sqref="A1:I100">
    <cfRule type="cellIs" dxfId="1" priority="40" operator="equal">
      <formula>"RB"</formula>
    </cfRule>
  </conditionalFormatting>
  <conditionalFormatting sqref="A1:I100">
    <cfRule type="cellIs" dxfId="0" priority="41" operator="equal">
      <formula>"TE"</formula>
    </cfRule>
  </conditionalFormatting>
  <conditionalFormatting sqref="A1:I1">
    <cfRule type="cellIs" dxfId="84" priority="42" operator="equal">
      <formula>"T"</formula>
    </cfRule>
  </conditionalFormatting>
  <conditionalFormatting sqref="A1:I1">
    <cfRule type="cellIs" dxfId="85" priority="43" operator="equal">
      <formula>"G"</formula>
    </cfRule>
  </conditionalFormatting>
  <conditionalFormatting sqref="A1:I1">
    <cfRule type="cellIs" dxfId="86" priority="44" operator="equal">
      <formula>"C"</formula>
    </cfRule>
  </conditionalFormatting>
  <conditionalFormatting sqref="A1:I1">
    <cfRule type="cellIs" dxfId="43" priority="45" operator="equal">
      <formula>"DI"</formula>
    </cfRule>
  </conditionalFormatting>
  <conditionalFormatting sqref="A1:I1">
    <cfRule type="cellIs" dxfId="48" priority="46" operator="equal">
      <formula>"ED"</formula>
    </cfRule>
  </conditionalFormatting>
  <conditionalFormatting sqref="A1:I100">
    <cfRule type="cellIs" dxfId="44" priority="47" operator="equal">
      <formula>"LB"</formula>
    </cfRule>
  </conditionalFormatting>
  <conditionalFormatting sqref="A1:I1">
    <cfRule type="cellIs" dxfId="90" priority="48" operator="equal">
      <formula>"CB"</formula>
    </cfRule>
  </conditionalFormatting>
  <conditionalFormatting sqref="A1:I1">
    <cfRule type="cellIs" dxfId="45" priority="49" operator="equal">
      <formula>"S"</formula>
    </cfRule>
  </conditionalFormatting>
  <conditionalFormatting sqref="A1:I1">
    <cfRule type="cellIs" dxfId="88" priority="50" operator="equal">
      <formula>"K"</formula>
    </cfRule>
  </conditionalFormatting>
  <conditionalFormatting sqref="A1:I1">
    <cfRule type="cellIs" dxfId="89" priority="51" operator="equal">
      <formula>"P"</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 customWidth="1" min="10" max="10" width="24.13"/>
  </cols>
  <sheetData>
    <row r="1">
      <c r="A1" s="187" t="s">
        <v>490</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20"/>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20"/>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c r="A26" s="20" t="str">
        <f>'Draft '!C25</f>
        <v>Buttheads</v>
      </c>
      <c r="B26" s="190" t="s">
        <v>111</v>
      </c>
      <c r="C26" s="20" t="str">
        <f>'Draft '!D25</f>
        <v/>
      </c>
      <c r="D26" s="188" t="str">
        <f>'Draft '!E25</f>
        <v/>
      </c>
      <c r="E26" s="189" t="str">
        <f>'Draft '!F25</f>
        <v/>
      </c>
      <c r="F26" s="188" t="str">
        <f>'Draft '!G25</f>
        <v/>
      </c>
      <c r="G26" s="20" t="str">
        <f>'Draft '!H25</f>
        <v/>
      </c>
      <c r="H26" s="20" t="str">
        <f>'Draft '!I25</f>
        <v>0 | 0 | 0 | 0 | 0 | 0</v>
      </c>
      <c r="J26" s="2" t="s">
        <v>133</v>
      </c>
      <c r="K26" s="2" t="s">
        <v>491</v>
      </c>
      <c r="L26" s="2" t="s">
        <v>489</v>
      </c>
      <c r="M26" s="2" t="s">
        <v>492</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c r="A35" s="20" t="str">
        <f>'Draft '!C34</f>
        <v>Buttheads</v>
      </c>
      <c r="B35" s="190" t="s">
        <v>117</v>
      </c>
      <c r="C35" s="20" t="str">
        <f>'Draft '!D34</f>
        <v/>
      </c>
      <c r="D35" s="188" t="str">
        <f>'Draft '!E34</f>
        <v/>
      </c>
      <c r="E35" s="6" t="s">
        <v>31</v>
      </c>
      <c r="F35" s="188" t="str">
        <f>'Draft '!G34</f>
        <v/>
      </c>
      <c r="G35" s="20" t="str">
        <f>'Draft '!H34</f>
        <v/>
      </c>
      <c r="H35" s="20" t="str">
        <f>'Draft '!I34</f>
        <v>0 | 0 | 0 | 0 | 0 | 0</v>
      </c>
      <c r="J35" t="s">
        <v>364</v>
      </c>
      <c r="K35" s="191">
        <v>139.4</v>
      </c>
      <c r="L35" s="192" t="s">
        <v>39</v>
      </c>
      <c r="M35" s="191">
        <v>8.0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20"/>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20"/>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c r="A54" s="20" t="str">
        <f>'Draft '!C53</f>
        <v>Buttheads</v>
      </c>
      <c r="B54" s="190" t="s">
        <v>118</v>
      </c>
      <c r="C54" s="20" t="str">
        <f>'Draft '!D53</f>
        <v/>
      </c>
      <c r="D54" s="188" t="str">
        <f>'Draft '!E53</f>
        <v/>
      </c>
      <c r="E54" s="189" t="str">
        <f>'Draft '!F53</f>
        <v/>
      </c>
      <c r="F54" s="188" t="str">
        <f>'Draft '!G53</f>
        <v/>
      </c>
      <c r="G54" s="20" t="str">
        <f>'Draft '!H53</f>
        <v/>
      </c>
      <c r="H54" s="20" t="str">
        <f>'Draft '!I53</f>
        <v>0 | 0 | 0 | 0 | 0 | 0</v>
      </c>
      <c r="J54" t="s">
        <v>234</v>
      </c>
      <c r="K54" s="191">
        <v>183.3</v>
      </c>
      <c r="L54" s="192" t="s">
        <v>35</v>
      </c>
      <c r="M54" s="191">
        <v>14.0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c r="A60" s="20" t="str">
        <f>'Draft '!C59</f>
        <v>Buttheads</v>
      </c>
      <c r="B60" s="190" t="s">
        <v>117</v>
      </c>
      <c r="C60" s="20" t="str">
        <f>'Draft '!D59</f>
        <v/>
      </c>
      <c r="D60" s="188" t="str">
        <f>'Draft '!E59</f>
        <v/>
      </c>
      <c r="E60" s="189" t="str">
        <f>'Draft '!F59</f>
        <v/>
      </c>
      <c r="F60" s="188" t="str">
        <f>'Draft '!G59</f>
        <v/>
      </c>
      <c r="G60" s="20" t="str">
        <f>'Draft '!H59</f>
        <v/>
      </c>
      <c r="H60" s="20" t="str">
        <f>'Draft '!I59</f>
        <v>0 | 0 | 0 | 0 | 0 | 0</v>
      </c>
      <c r="J60" t="s">
        <v>493</v>
      </c>
      <c r="K60" s="191" t="s">
        <v>494</v>
      </c>
      <c r="L60" s="2" t="s">
        <v>31</v>
      </c>
      <c r="M60" s="191" t="s">
        <v>494</v>
      </c>
    </row>
    <row r="61">
      <c r="A61" s="20" t="str">
        <f>'Draft '!C60</f>
        <v>Buttheads</v>
      </c>
      <c r="B61" s="20"/>
      <c r="C61" s="20" t="str">
        <f>'Draft '!D60</f>
        <v/>
      </c>
      <c r="D61" s="188" t="str">
        <f>'Draft '!E60</f>
        <v/>
      </c>
      <c r="E61" s="189" t="str">
        <f>'Draft '!F60</f>
        <v/>
      </c>
      <c r="F61" s="188" t="str">
        <f>'Draft '!G60</f>
        <v/>
      </c>
      <c r="G61" s="20" t="str">
        <f>'Draft '!H60</f>
        <v/>
      </c>
      <c r="H61" s="20" t="str">
        <f>'Draft '!I60</f>
        <v>0 | 0 | 0 | 0 | 0 | 0</v>
      </c>
      <c r="J61" t="s">
        <v>150</v>
      </c>
      <c r="K61" s="191">
        <v>177.0</v>
      </c>
      <c r="L61" s="192" t="s">
        <v>31</v>
      </c>
      <c r="M61" s="191">
        <v>8.0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c r="A63" s="20" t="str">
        <f>'Draft '!C62</f>
        <v>Buttheads</v>
      </c>
      <c r="B63" s="190" t="s">
        <v>119</v>
      </c>
      <c r="C63" s="20" t="str">
        <f>'Draft '!D62</f>
        <v/>
      </c>
      <c r="D63" s="188" t="str">
        <f>'Draft '!E62</f>
        <v/>
      </c>
      <c r="E63" s="189" t="str">
        <f>'Draft '!F62</f>
        <v/>
      </c>
      <c r="F63" s="188" t="str">
        <f>'Draft '!G62</f>
        <v/>
      </c>
      <c r="G63" s="20" t="str">
        <f>'Draft '!H62</f>
        <v/>
      </c>
      <c r="H63" s="20" t="str">
        <f>'Draft '!I62</f>
        <v>0 | 0 | 0 | 0 | 0 | 0</v>
      </c>
      <c r="J63" t="s">
        <v>337</v>
      </c>
      <c r="K63" s="191">
        <v>308.8</v>
      </c>
      <c r="L63" s="192" t="s">
        <v>28</v>
      </c>
      <c r="M63" s="191">
        <v>12.0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20"/>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20"/>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c r="A82" s="20" t="str">
        <f>'Draft '!C81</f>
        <v>Buttheads</v>
      </c>
      <c r="B82" s="190" t="s">
        <v>120</v>
      </c>
      <c r="C82" s="20" t="str">
        <f>'Draft '!D81</f>
        <v/>
      </c>
      <c r="D82" s="188" t="str">
        <f>'Draft '!E81</f>
        <v/>
      </c>
      <c r="E82" s="189" t="str">
        <f>'Draft '!F81</f>
        <v/>
      </c>
      <c r="F82" s="188" t="str">
        <f>'Draft '!G81</f>
        <v/>
      </c>
      <c r="G82" s="20"/>
      <c r="H82" s="20" t="str">
        <f>'Draft '!I81</f>
        <v>0 | 0 | 0 | 0 | 0 | 0</v>
      </c>
      <c r="J82" t="s">
        <v>246</v>
      </c>
      <c r="K82" s="191">
        <v>151.9</v>
      </c>
      <c r="L82" s="192" t="s">
        <v>35</v>
      </c>
      <c r="M82" s="191">
        <v>5.0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c r="A91" s="20" t="str">
        <f>'Draft '!C90</f>
        <v>Buttheads</v>
      </c>
      <c r="B91" s="190" t="s">
        <v>122</v>
      </c>
      <c r="C91" s="20" t="str">
        <f>'Draft '!D90</f>
        <v/>
      </c>
      <c r="D91" s="188" t="str">
        <f>'Draft '!E90</f>
        <v/>
      </c>
      <c r="E91" s="189" t="str">
        <f>'Draft '!F90</f>
        <v/>
      </c>
      <c r="F91" s="188" t="str">
        <f>'Draft '!G90</f>
        <v/>
      </c>
      <c r="G91" s="20"/>
      <c r="H91" s="20" t="str">
        <f>'Draft '!I90</f>
        <v>0 | 0 | 0 | 0 | 0 | 0</v>
      </c>
      <c r="J91" t="s">
        <v>158</v>
      </c>
      <c r="K91" s="191">
        <v>144.0</v>
      </c>
      <c r="L91" s="192" t="s">
        <v>31</v>
      </c>
      <c r="M91" s="191">
        <v>12.0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20"/>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c r="A106" s="20" t="str">
        <f>'Draft '!C105</f>
        <v>Buttheads</v>
      </c>
      <c r="B106" s="20"/>
      <c r="C106" s="20" t="str">
        <f>'Draft '!D105</f>
        <v/>
      </c>
      <c r="D106" s="188" t="str">
        <f>'Draft '!E105</f>
        <v/>
      </c>
      <c r="E106" s="189" t="str">
        <f>'Draft '!F105</f>
        <v/>
      </c>
      <c r="F106" s="188" t="str">
        <f>'Draft '!G105</f>
        <v/>
      </c>
      <c r="G106" s="20"/>
      <c r="H106" s="20" t="str">
        <f>'Draft '!I105</f>
        <v>0 | 0 | 0 | 0 | 0 | 0</v>
      </c>
      <c r="J106" t="s">
        <v>265</v>
      </c>
      <c r="K106" s="191">
        <v>122.3</v>
      </c>
      <c r="L106" s="192" t="s">
        <v>35</v>
      </c>
      <c r="M106" s="191">
        <v>5.0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20"/>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c r="A110" s="20" t="str">
        <f>'Draft '!C109</f>
        <v>Buttheads</v>
      </c>
      <c r="B110" s="190" t="s">
        <v>495</v>
      </c>
      <c r="C110" s="20" t="str">
        <f>'Draft '!D109</f>
        <v/>
      </c>
      <c r="D110" s="188" t="str">
        <f>'Draft '!E109</f>
        <v/>
      </c>
      <c r="E110" s="189" t="str">
        <f>'Draft '!F109</f>
        <v/>
      </c>
      <c r="F110" s="188" t="str">
        <f>'Draft '!G109</f>
        <v/>
      </c>
      <c r="G110" s="20"/>
      <c r="H110" s="20" t="str">
        <f>'Draft '!I109</f>
        <v>0 | 0 | 0 | 0 | 0 | 0</v>
      </c>
      <c r="J110" t="s">
        <v>347</v>
      </c>
      <c r="K110" s="191">
        <v>270.8</v>
      </c>
      <c r="L110" s="192" t="s">
        <v>28</v>
      </c>
      <c r="M110" s="191">
        <v>14.0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20"/>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20"/>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c r="A138" s="20" t="str">
        <f>'Draft '!C137</f>
        <v>Buttheads</v>
      </c>
      <c r="B138" s="190" t="s">
        <v>496</v>
      </c>
      <c r="C138" s="20" t="str">
        <f>'Draft '!D137</f>
        <v/>
      </c>
      <c r="D138" s="188" t="str">
        <f>'Draft '!E137</f>
        <v/>
      </c>
      <c r="E138" s="189" t="str">
        <f>'Draft '!F137</f>
        <v/>
      </c>
      <c r="F138" s="188" t="str">
        <f>'Draft '!G137</f>
        <v/>
      </c>
      <c r="G138" s="20"/>
      <c r="H138" s="20" t="str">
        <f>'Draft '!I137</f>
        <v>0 | 0 | 0 | 0 | 0 | 0</v>
      </c>
      <c r="J138" t="s">
        <v>398</v>
      </c>
      <c r="K138" s="191">
        <v>132.0</v>
      </c>
      <c r="L138" s="192" t="s">
        <v>40</v>
      </c>
      <c r="M138" s="191">
        <v>8.0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c r="A147" s="20" t="str">
        <f>'Draft '!C146</f>
        <v>Buttheads</v>
      </c>
      <c r="B147" s="190" t="s">
        <v>126</v>
      </c>
      <c r="C147" s="20" t="str">
        <f>'Draft '!D146</f>
        <v/>
      </c>
      <c r="D147" s="188" t="str">
        <f>'Draft '!E146</f>
        <v/>
      </c>
      <c r="E147" s="189" t="str">
        <f>'Draft '!F146</f>
        <v/>
      </c>
      <c r="F147" s="188" t="str">
        <f>'Draft '!G146</f>
        <v/>
      </c>
      <c r="G147" s="20"/>
      <c r="H147" s="20" t="str">
        <f>'Draft '!I146</f>
        <v>0 | 0 | 0 | 0 | 0 | 0</v>
      </c>
      <c r="J147" t="s">
        <v>425</v>
      </c>
      <c r="K147" s="191">
        <v>142.0</v>
      </c>
      <c r="L147" s="192" t="s">
        <v>41</v>
      </c>
      <c r="M147" s="191">
        <v>12.0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20"/>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20"/>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c r="A166" s="20" t="str">
        <f>'Draft '!C165</f>
        <v>Buttheads</v>
      </c>
      <c r="B166" s="190" t="s">
        <v>127</v>
      </c>
      <c r="C166" s="20" t="str">
        <f>'Draft '!D165</f>
        <v/>
      </c>
      <c r="D166" s="188" t="str">
        <f>'Draft '!E165</f>
        <v/>
      </c>
      <c r="E166" s="189" t="str">
        <f>'Draft '!F165</f>
        <v/>
      </c>
      <c r="F166" s="188" t="str">
        <f>'Draft '!G165</f>
        <v/>
      </c>
      <c r="G166" s="20"/>
      <c r="H166" s="20" t="str">
        <f>'Draft '!I165</f>
        <v>0 | 0 | 0 | 0 | 0 | 0</v>
      </c>
      <c r="J166" t="s">
        <v>161</v>
      </c>
      <c r="K166" s="191">
        <v>141.0</v>
      </c>
      <c r="L166" s="192" t="s">
        <v>31</v>
      </c>
      <c r="M166" s="191">
        <v>12.0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c r="A175" s="20" t="str">
        <f>'Draft '!C174</f>
        <v>Buttheads</v>
      </c>
      <c r="B175" s="190" t="s">
        <v>128</v>
      </c>
      <c r="C175" s="20" t="str">
        <f>'Draft '!D174</f>
        <v/>
      </c>
      <c r="D175" s="188" t="str">
        <f>'Draft '!E174</f>
        <v/>
      </c>
      <c r="E175" s="189" t="str">
        <f>'Draft '!F174</f>
        <v/>
      </c>
      <c r="F175" s="188" t="str">
        <f>'Draft '!G174</f>
        <v/>
      </c>
      <c r="G175" s="20"/>
      <c r="H175" s="20" t="str">
        <f>'Draft '!I174</f>
        <v>0 | 0 | 0 | 0 | 0 | 0</v>
      </c>
      <c r="J175" t="s">
        <v>179</v>
      </c>
      <c r="K175" s="191">
        <v>123.0</v>
      </c>
      <c r="L175" s="192" t="s">
        <v>31</v>
      </c>
      <c r="M175" s="191">
        <v>10.0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20"/>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20"/>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c r="A194" s="20" t="str">
        <f>'Draft '!C193</f>
        <v>Buttheads</v>
      </c>
      <c r="B194" s="190" t="s">
        <v>129</v>
      </c>
      <c r="C194" s="20" t="str">
        <f>'Draft '!D193</f>
        <v/>
      </c>
      <c r="D194" s="188" t="str">
        <f>'Draft '!E193</f>
        <v/>
      </c>
      <c r="E194" s="189" t="str">
        <f>'Draft '!F193</f>
        <v/>
      </c>
      <c r="F194" s="188" t="str">
        <f>'Draft '!G193</f>
        <v/>
      </c>
      <c r="G194" s="20"/>
      <c r="H194" s="20" t="str">
        <f>'Draft '!I193</f>
        <v>0 | 0 | 0 | 0 | 0 | 0</v>
      </c>
      <c r="J194" t="s">
        <v>169</v>
      </c>
      <c r="K194" s="191">
        <v>133.0</v>
      </c>
      <c r="L194" s="192" t="s">
        <v>31</v>
      </c>
      <c r="M194" s="191">
        <v>10.0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c r="A203" s="20" t="str">
        <f>'Draft '!C202</f>
        <v>Buttheads</v>
      </c>
      <c r="B203" s="190" t="s">
        <v>497</v>
      </c>
      <c r="C203" s="20" t="str">
        <f>'Draft '!D202</f>
        <v/>
      </c>
      <c r="D203" s="188" t="str">
        <f>'Draft '!E202</f>
        <v/>
      </c>
      <c r="E203" s="189" t="str">
        <f>'Draft '!F202</f>
        <v/>
      </c>
      <c r="F203" s="188" t="str">
        <f>'Draft '!G202</f>
        <v/>
      </c>
      <c r="G203" s="20"/>
      <c r="H203" s="20" t="str">
        <f>'Draft '!I202</f>
        <v>0 | 0 | 0 | 0 | 0 | 0</v>
      </c>
      <c r="J203" t="s">
        <v>272</v>
      </c>
      <c r="K203" s="191">
        <v>112.5</v>
      </c>
      <c r="L203" s="192" t="s">
        <v>35</v>
      </c>
      <c r="M203" s="191">
        <v>5.0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20"/>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20"/>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c r="A222" s="20" t="str">
        <f>'Draft '!C221</f>
        <v>Buttheads</v>
      </c>
      <c r="B222" s="190" t="s">
        <v>498</v>
      </c>
      <c r="C222" s="20" t="str">
        <f>'Draft '!D221</f>
        <v/>
      </c>
      <c r="D222" s="188" t="str">
        <f>'Draft '!E221</f>
        <v/>
      </c>
      <c r="E222" s="189" t="str">
        <f>'Draft '!F221</f>
        <v/>
      </c>
      <c r="F222" s="188" t="str">
        <f>'Draft '!G221</f>
        <v/>
      </c>
      <c r="G222" s="20"/>
      <c r="H222" s="20" t="str">
        <f>'Draft '!I221</f>
        <v>0 | 0 | 0 | 0 | 0 | 0</v>
      </c>
      <c r="J222" t="s">
        <v>181</v>
      </c>
      <c r="K222" s="191">
        <v>121.0</v>
      </c>
      <c r="L222" s="192" t="s">
        <v>31</v>
      </c>
      <c r="M222" s="191">
        <v>5.0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20"/>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phantasm"/>
        <filter val="Buttheads"/>
      </filters>
    </filterColumn>
  </autoFilter>
  <mergeCells count="1">
    <mergeCell ref="A1:H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499</v>
      </c>
    </row>
    <row r="2">
      <c r="A2" s="6" t="s">
        <v>81</v>
      </c>
      <c r="B2" s="6"/>
      <c r="C2" s="6" t="s">
        <v>133</v>
      </c>
      <c r="D2" s="6" t="s">
        <v>491</v>
      </c>
      <c r="E2" s="6" t="s">
        <v>489</v>
      </c>
      <c r="F2" s="6" t="s">
        <v>492</v>
      </c>
      <c r="G2" s="20"/>
      <c r="H2" s="20"/>
      <c r="J2" s="2" t="s">
        <v>500</v>
      </c>
      <c r="K2" s="2">
        <v>2.0</v>
      </c>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c r="A16" s="20" t="str">
        <f>'Draft '!C15</f>
        <v>Red Hammer</v>
      </c>
      <c r="B16" s="190" t="s">
        <v>111</v>
      </c>
      <c r="C16" s="20" t="str">
        <f>'Draft '!D15</f>
        <v/>
      </c>
      <c r="D16" s="20"/>
      <c r="E16" s="189" t="str">
        <f>'Draft '!F15</f>
        <v/>
      </c>
      <c r="F16" s="188" t="str">
        <f>'Draft '!G15</f>
        <v/>
      </c>
      <c r="G16" s="20" t="str">
        <f>'Draft '!H15</f>
        <v/>
      </c>
      <c r="H16" s="20" t="str">
        <f>'Draft '!I15</f>
        <v>0 | 0 | 0 | 0 | 0 | 0</v>
      </c>
      <c r="J16" s="2" t="s">
        <v>31</v>
      </c>
      <c r="K16" s="2">
        <v>4.0</v>
      </c>
      <c r="L16" s="2" t="s">
        <v>501</v>
      </c>
    </row>
    <row r="17">
      <c r="A17" s="20" t="str">
        <f>'Draft '!C16</f>
        <v>Red Hammer</v>
      </c>
      <c r="B17" s="190" t="s">
        <v>111</v>
      </c>
      <c r="C17" s="20" t="str">
        <f>'Draft '!D16</f>
        <v/>
      </c>
      <c r="D17" s="20"/>
      <c r="E17" s="189" t="str">
        <f>'Draft '!F16</f>
        <v/>
      </c>
      <c r="F17" s="188" t="str">
        <f>'Draft '!G16</f>
        <v/>
      </c>
      <c r="G17" s="20" t="str">
        <f>'Draft '!H16</f>
        <v/>
      </c>
      <c r="H17" s="20" t="str">
        <f>'Draft '!I16</f>
        <v>0 | 0 | 0 | 0 | 0 | 0</v>
      </c>
      <c r="J17" s="2" t="s">
        <v>35</v>
      </c>
      <c r="K17" s="2">
        <v>3.0</v>
      </c>
      <c r="L17" s="2" t="s">
        <v>502</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c r="A44" s="20" t="str">
        <f>'Draft '!C43</f>
        <v>Red Hammer</v>
      </c>
      <c r="B44" s="190" t="s">
        <v>115</v>
      </c>
      <c r="C44" s="20" t="str">
        <f>'Draft '!D43</f>
        <v/>
      </c>
      <c r="D44" s="20"/>
      <c r="E44" s="189" t="str">
        <f>'Draft '!F43</f>
        <v/>
      </c>
      <c r="F44" s="188" t="str">
        <f>'Draft '!G43</f>
        <v/>
      </c>
      <c r="G44" s="20" t="str">
        <f>'Draft '!H43</f>
        <v/>
      </c>
      <c r="H44" s="20" t="str">
        <f>'Draft '!I43</f>
        <v>0 | 0 | 0 | 0 | 0 | 0</v>
      </c>
      <c r="J44" s="2" t="s">
        <v>39</v>
      </c>
      <c r="K44" s="2">
        <v>1.0</v>
      </c>
    </row>
    <row r="45">
      <c r="A45" s="20" t="str">
        <f>'Draft '!C44</f>
        <v>Red Hammer</v>
      </c>
      <c r="B45" s="190" t="s">
        <v>116</v>
      </c>
      <c r="C45" s="20" t="str">
        <f>'Draft '!D44</f>
        <v/>
      </c>
      <c r="D45" s="20"/>
      <c r="E45" s="189" t="str">
        <f>'Draft '!F44</f>
        <v/>
      </c>
      <c r="F45" s="188" t="str">
        <f>'Draft '!G44</f>
        <v/>
      </c>
      <c r="G45" s="20" t="str">
        <f>'Draft '!H44</f>
        <v/>
      </c>
      <c r="H45" s="20" t="str">
        <f>'Draft '!I44</f>
        <v>0 | 0 | 0 | 0 | 0 | 0</v>
      </c>
      <c r="J45" s="2" t="s">
        <v>40</v>
      </c>
      <c r="K45" s="2">
        <v>1.0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c r="A72" s="20" t="str">
        <f>'Draft '!C71</f>
        <v>Red Hammer</v>
      </c>
      <c r="B72" s="190" t="s">
        <v>117</v>
      </c>
      <c r="C72" s="20" t="str">
        <f>'Draft '!D71</f>
        <v/>
      </c>
      <c r="D72" s="20"/>
      <c r="E72" s="6" t="s">
        <v>31</v>
      </c>
      <c r="F72" s="188" t="str">
        <f>'Draft '!G71</f>
        <v/>
      </c>
      <c r="G72" s="20" t="str">
        <f>'Draft '!H71</f>
        <v/>
      </c>
      <c r="H72" s="20" t="str">
        <f>'Draft '!I71</f>
        <v>0 | 0 | 0 | 0 | 0 | 0</v>
      </c>
      <c r="J72" s="2" t="s">
        <v>503</v>
      </c>
      <c r="K72" s="2">
        <v>1.0</v>
      </c>
    </row>
    <row r="73">
      <c r="A73" s="20" t="str">
        <f>'Draft '!C72</f>
        <v>Red Hammer</v>
      </c>
      <c r="B73" s="190" t="s">
        <v>118</v>
      </c>
      <c r="C73" s="20" t="str">
        <f>'Draft '!D72</f>
        <v/>
      </c>
      <c r="D73" s="20"/>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c r="A100" s="20" t="str">
        <f>'Draft '!C99</f>
        <v>Red Hammer</v>
      </c>
      <c r="B100" s="190" t="s">
        <v>119</v>
      </c>
      <c r="C100" s="20" t="str">
        <f>'Draft '!D99</f>
        <v/>
      </c>
      <c r="D100" s="20"/>
      <c r="E100" s="189" t="str">
        <f>'Draft '!F99</f>
        <v/>
      </c>
      <c r="F100" s="188" t="str">
        <f>'Draft '!G99</f>
        <v/>
      </c>
      <c r="G100" s="20"/>
      <c r="H100" s="20" t="str">
        <f>'Draft '!I99</f>
        <v>0 | 0 | 0 | 0 | 0 | 0</v>
      </c>
    </row>
    <row r="101">
      <c r="A101" s="20" t="str">
        <f>'Draft '!C100</f>
        <v>Red Hammer</v>
      </c>
      <c r="B101" s="190" t="s">
        <v>120</v>
      </c>
      <c r="C101" s="20" t="str">
        <f>'Draft '!D100</f>
        <v/>
      </c>
      <c r="D101" s="20"/>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c r="A128" s="20" t="str">
        <f>'Draft '!C127</f>
        <v>Red Hammer</v>
      </c>
      <c r="B128" s="190" t="s">
        <v>122</v>
      </c>
      <c r="C128" s="20" t="str">
        <f>'Draft '!D127</f>
        <v/>
      </c>
      <c r="D128" s="20"/>
      <c r="E128" s="189" t="str">
        <f>'Draft '!F127</f>
        <v/>
      </c>
      <c r="F128" s="188" t="str">
        <f>'Draft '!G127</f>
        <v/>
      </c>
      <c r="G128" s="20"/>
      <c r="H128" s="20" t="str">
        <f>'Draft '!I127</f>
        <v>0 | 0 | 0 | 0 | 0 | 0</v>
      </c>
    </row>
    <row r="129">
      <c r="A129" s="20" t="str">
        <f>'Draft '!C128</f>
        <v>Red Hammer</v>
      </c>
      <c r="B129" s="190" t="s">
        <v>495</v>
      </c>
      <c r="C129" s="20" t="str">
        <f>'Draft '!D128</f>
        <v/>
      </c>
      <c r="D129" s="20"/>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c r="A156" s="20" t="str">
        <f>'Draft '!C155</f>
        <v>Red Hammer</v>
      </c>
      <c r="B156" s="190" t="s">
        <v>124</v>
      </c>
      <c r="C156" s="20" t="str">
        <f>'Draft '!D155</f>
        <v/>
      </c>
      <c r="D156" s="20"/>
      <c r="E156" s="189" t="str">
        <f>'Draft '!F155</f>
        <v/>
      </c>
      <c r="F156" s="188" t="str">
        <f>'Draft '!G155</f>
        <v/>
      </c>
      <c r="G156" s="20"/>
      <c r="H156" s="20" t="str">
        <f>'Draft '!I155</f>
        <v>0 | 0 | 0 | 0 | 0 | 0</v>
      </c>
    </row>
    <row r="157">
      <c r="A157" s="20" t="str">
        <f>'Draft '!C156</f>
        <v>Red Hammer</v>
      </c>
      <c r="B157" s="190" t="s">
        <v>496</v>
      </c>
      <c r="C157" s="20" t="str">
        <f>'Draft '!D156</f>
        <v/>
      </c>
      <c r="D157" s="20"/>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c r="A184" s="20" t="str">
        <f>'Draft '!C183</f>
        <v>Red Hammer</v>
      </c>
      <c r="B184" s="190" t="s">
        <v>126</v>
      </c>
      <c r="C184" s="20" t="str">
        <f>'Draft '!D183</f>
        <v/>
      </c>
      <c r="D184" s="20"/>
      <c r="E184" s="189" t="str">
        <f>'Draft '!F183</f>
        <v/>
      </c>
      <c r="F184" s="188" t="str">
        <f>'Draft '!G183</f>
        <v/>
      </c>
      <c r="G184" s="20"/>
      <c r="H184" s="20" t="str">
        <f>'Draft '!I183</f>
        <v>0 | 0 | 0 | 0 | 0 | 0</v>
      </c>
    </row>
    <row r="185">
      <c r="A185" s="20" t="str">
        <f>'Draft '!C184</f>
        <v>Red Hammer</v>
      </c>
      <c r="B185" s="190" t="s">
        <v>127</v>
      </c>
      <c r="C185" s="20" t="str">
        <f>'Draft '!D184</f>
        <v/>
      </c>
      <c r="D185" s="20"/>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c r="A212" s="20" t="str">
        <f>'Draft '!C211</f>
        <v>Red Hammer</v>
      </c>
      <c r="B212" s="190" t="s">
        <v>128</v>
      </c>
      <c r="C212" s="20" t="str">
        <f>'Draft '!D211</f>
        <v/>
      </c>
      <c r="D212" s="20"/>
      <c r="E212" s="189" t="str">
        <f>'Draft '!F211</f>
        <v/>
      </c>
      <c r="F212" s="188" t="str">
        <f>'Draft '!G211</f>
        <v/>
      </c>
      <c r="G212" s="20"/>
      <c r="H212" s="20" t="str">
        <f>'Draft '!I211</f>
        <v>0 | 0 | 0 | 0 | 0 | 0</v>
      </c>
    </row>
    <row r="213">
      <c r="A213" s="20" t="str">
        <f>'Draft '!C212</f>
        <v>Red Hammer</v>
      </c>
      <c r="B213" s="190" t="s">
        <v>129</v>
      </c>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c r="A240" s="20" t="str">
        <f>'Draft '!C239</f>
        <v>Red Hammer</v>
      </c>
      <c r="B240" s="190" t="s">
        <v>497</v>
      </c>
      <c r="C240" s="20" t="str">
        <f>'Draft '!D239</f>
        <v/>
      </c>
      <c r="D240" s="188" t="str">
        <f>'Draft '!E239</f>
        <v/>
      </c>
      <c r="E240" s="189" t="str">
        <f>'Draft '!F239</f>
        <v/>
      </c>
      <c r="F240" s="188" t="str">
        <f>'Draft '!G239</f>
        <v/>
      </c>
      <c r="G240" s="20"/>
      <c r="H240" s="20" t="str">
        <f>'Draft '!I239</f>
        <v>0 | 0 | 0 | 0 | 0 | 0</v>
      </c>
    </row>
    <row r="241">
      <c r="A241" s="20" t="str">
        <f>'Draft '!C240</f>
        <v>Red Hammer</v>
      </c>
      <c r="B241" s="190" t="s">
        <v>498</v>
      </c>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c r="A268" s="20" t="str">
        <f>'Draft '!C267</f>
        <v>Red Hammer</v>
      </c>
      <c r="B268" s="20"/>
      <c r="C268" s="20" t="str">
        <f>'Draft '!D267</f>
        <v/>
      </c>
      <c r="D268" s="188" t="str">
        <f>'Draft '!E267</f>
        <v/>
      </c>
      <c r="E268" s="189" t="str">
        <f>'Draft '!F267</f>
        <v/>
      </c>
      <c r="F268" s="188" t="str">
        <f>'Draft '!G267</f>
        <v/>
      </c>
      <c r="G268" s="20"/>
      <c r="H268" s="20" t="str">
        <f>'Draft '!I267</f>
        <v>0 | 0 | 0 | 0 | 0 | 0</v>
      </c>
    </row>
    <row r="269">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c r="A296" s="20" t="str">
        <f>'Draft '!C295</f>
        <v>Red Hammer</v>
      </c>
      <c r="B296" s="20"/>
      <c r="C296" s="20" t="str">
        <f>'Draft '!D295</f>
        <v/>
      </c>
      <c r="D296" s="188" t="str">
        <f>'Draft '!E295</f>
        <v/>
      </c>
      <c r="E296" s="189" t="str">
        <f>'Draft '!F295</f>
        <v/>
      </c>
      <c r="F296" s="188" t="str">
        <f>'Draft '!G295</f>
        <v/>
      </c>
      <c r="G296" s="20"/>
      <c r="H296" s="20" t="str">
        <f>'Draft '!I295</f>
        <v>0 | 0 | 0 | 0 | 0 | 0</v>
      </c>
    </row>
    <row r="297">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c r="A324" s="20" t="str">
        <f>'Draft '!C323</f>
        <v>Red Hammer</v>
      </c>
      <c r="B324" s="20"/>
      <c r="C324" s="20" t="str">
        <f>'Draft '!D323</f>
        <v/>
      </c>
      <c r="D324" s="188" t="str">
        <f>'Draft '!E323</f>
        <v/>
      </c>
      <c r="E324" s="189" t="str">
        <f>'Draft '!F323</f>
        <v/>
      </c>
      <c r="F324" s="188" t="str">
        <f>'Draft '!G323</f>
        <v/>
      </c>
      <c r="G324" s="20"/>
      <c r="H324" s="20" t="str">
        <f>'Draft '!I323</f>
        <v>0 | 0 | 0 | 0 | 0 | 0</v>
      </c>
    </row>
    <row r="325">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c r="A352" s="20" t="str">
        <f>'Draft '!C351</f>
        <v>Red Hammer</v>
      </c>
      <c r="B352" s="20"/>
      <c r="C352" s="20" t="str">
        <f>'Draft '!D351</f>
        <v/>
      </c>
      <c r="D352" s="188" t="str">
        <f>'Draft '!E351</f>
        <v/>
      </c>
      <c r="E352" s="189" t="str">
        <f>'Draft '!F351</f>
        <v/>
      </c>
      <c r="F352" s="188" t="str">
        <f>'Draft '!G351</f>
        <v/>
      </c>
      <c r="G352" s="20"/>
      <c r="H352" s="20" t="str">
        <f>'Draft '!I351</f>
        <v>0 | 0 | 0 | 0 | 0 | 0</v>
      </c>
    </row>
    <row r="353">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phantasm"/>
        <filter val="Red Hammer"/>
      </filters>
    </filterColumn>
  </autoFilter>
  <mergeCells count="1">
    <mergeCell ref="A1:H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5.5"/>
    <col customWidth="1" min="3" max="3" width="23.63"/>
    <col customWidth="1" min="7" max="7" width="2.25"/>
    <col customWidth="1" min="8" max="8" width="13.63"/>
  </cols>
  <sheetData>
    <row r="1">
      <c r="A1" s="187" t="s">
        <v>52</v>
      </c>
    </row>
    <row r="2">
      <c r="A2" s="6" t="s">
        <v>81</v>
      </c>
      <c r="B2" s="6"/>
      <c r="C2" s="6" t="s">
        <v>133</v>
      </c>
      <c r="D2" s="6" t="s">
        <v>491</v>
      </c>
      <c r="E2" s="6" t="s">
        <v>489</v>
      </c>
      <c r="F2" s="6" t="s">
        <v>492</v>
      </c>
      <c r="G2" s="20"/>
      <c r="H2" s="20"/>
    </row>
    <row r="3">
      <c r="A3" s="20" t="str">
        <f>'Draft '!C2</f>
        <v>Sleeper Cell </v>
      </c>
      <c r="B3" s="6" t="s">
        <v>111</v>
      </c>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20"/>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20"/>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20"/>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20"/>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20"/>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20"/>
      <c r="C29" s="20" t="str">
        <f>'Draft '!D28</f>
        <v/>
      </c>
      <c r="D29" s="188" t="str">
        <f>'Draft '!E28</f>
        <v/>
      </c>
      <c r="E29" s="189" t="str">
        <f>'Draft '!F28</f>
        <v/>
      </c>
      <c r="F29" s="188" t="str">
        <f>'Draft '!G28</f>
        <v/>
      </c>
      <c r="G29" s="20" t="str">
        <f>'Draft '!H28</f>
        <v/>
      </c>
      <c r="H29" s="20" t="str">
        <f>'Draft '!I28</f>
        <v>0 | 0 | 0 | 0 | 0 | 0</v>
      </c>
    </row>
    <row r="30">
      <c r="A30" s="20" t="str">
        <f>'Draft '!C29</f>
        <v>Sleeper Cell </v>
      </c>
      <c r="B30" s="6" t="s">
        <v>111</v>
      </c>
      <c r="C30" s="20" t="str">
        <f>'Draft '!D29</f>
        <v/>
      </c>
      <c r="D30" s="188" t="str">
        <f>'Draft '!E29</f>
        <v/>
      </c>
      <c r="E30" s="189" t="str">
        <f>'Draft '!F29</f>
        <v/>
      </c>
      <c r="F30" s="188" t="str">
        <f>'Draft '!G29</f>
        <v/>
      </c>
      <c r="G30" s="20" t="str">
        <f>'Draft '!H29</f>
        <v/>
      </c>
      <c r="H30" s="20" t="str">
        <f>'Draft '!I29</f>
        <v>1 | 0 | 0 | 0 | 0 | 0</v>
      </c>
    </row>
    <row r="31">
      <c r="A31" s="20" t="str">
        <f>'Draft '!C30</f>
        <v>Sleeper Cell </v>
      </c>
      <c r="B31" s="6" t="s">
        <v>115</v>
      </c>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20"/>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20"/>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20"/>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20"/>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20"/>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20"/>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20"/>
      <c r="C57" s="20" t="str">
        <f>'Draft '!D56</f>
        <v/>
      </c>
      <c r="D57" s="188" t="str">
        <f>'Draft '!E56</f>
        <v/>
      </c>
      <c r="E57" s="189" t="str">
        <f>'Draft '!F56</f>
        <v/>
      </c>
      <c r="F57" s="188" t="str">
        <f>'Draft '!G56</f>
        <v/>
      </c>
      <c r="G57" s="20" t="str">
        <f>'Draft '!H56</f>
        <v/>
      </c>
      <c r="H57" s="20" t="str">
        <f>'Draft '!I56</f>
        <v>0 | 0 | 0 | 0 | 0 | 0</v>
      </c>
    </row>
    <row r="58">
      <c r="A58" s="20" t="str">
        <f>'Draft '!C57</f>
        <v>Sleeper Cell </v>
      </c>
      <c r="B58" s="6" t="s">
        <v>116</v>
      </c>
      <c r="C58" s="20" t="str">
        <f>'Draft '!D57</f>
        <v/>
      </c>
      <c r="D58" s="188" t="str">
        <f>'Draft '!E57</f>
        <v/>
      </c>
      <c r="E58" s="189" t="str">
        <f>'Draft '!F57</f>
        <v/>
      </c>
      <c r="F58" s="188" t="str">
        <f>'Draft '!G57</f>
        <v/>
      </c>
      <c r="G58" s="20" t="str">
        <f>'Draft '!H57</f>
        <v/>
      </c>
      <c r="H58" s="20" t="str">
        <f>'Draft '!I57</f>
        <v>1 | 0 | 0 | 0 | 0 | 0</v>
      </c>
    </row>
    <row r="59">
      <c r="A59" s="20" t="str">
        <f>'Draft '!C58</f>
        <v>Sleeper Cell </v>
      </c>
      <c r="B59" s="6" t="s">
        <v>117</v>
      </c>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20"/>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20"/>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20"/>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20"/>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20"/>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20"/>
      <c r="C85" s="20" t="str">
        <f>'Draft '!D84</f>
        <v/>
      </c>
      <c r="D85" s="188" t="str">
        <f>'Draft '!E84</f>
        <v/>
      </c>
      <c r="E85" s="189" t="str">
        <f>'Draft '!F84</f>
        <v/>
      </c>
      <c r="F85" s="188" t="str">
        <f>'Draft '!G84</f>
        <v/>
      </c>
      <c r="G85" s="20"/>
      <c r="H85" s="20" t="str">
        <f>'Draft '!I84</f>
        <v>0 | 0 | 0 | 0 | 0 | 0</v>
      </c>
    </row>
    <row r="86">
      <c r="A86" s="20" t="str">
        <f>'Draft '!C85</f>
        <v>Sleeper Cell </v>
      </c>
      <c r="B86" s="6" t="s">
        <v>118</v>
      </c>
      <c r="C86" s="20" t="str">
        <f>'Draft '!D85</f>
        <v/>
      </c>
      <c r="D86" s="188" t="str">
        <f>'Draft '!E85</f>
        <v/>
      </c>
      <c r="E86" s="189" t="str">
        <f>'Draft '!F85</f>
        <v/>
      </c>
      <c r="F86" s="188" t="str">
        <f>'Draft '!G85</f>
        <v/>
      </c>
      <c r="G86" s="20"/>
      <c r="H86" s="20" t="str">
        <f>'Draft '!I85</f>
        <v>1 | 0 | 0 | 0 | 0 | 0</v>
      </c>
    </row>
    <row r="87">
      <c r="A87" s="20" t="str">
        <f>'Draft '!C86</f>
        <v>Sleeper Cell </v>
      </c>
      <c r="B87" s="6" t="s">
        <v>119</v>
      </c>
      <c r="C87" s="20" t="str">
        <f>'Draft '!D86</f>
        <v/>
      </c>
      <c r="D87" s="188" t="str">
        <f>'Draft '!E86</f>
        <v/>
      </c>
      <c r="E87" s="189" t="str">
        <f>'Draft '!F86</f>
        <v/>
      </c>
      <c r="F87" s="188" t="str">
        <f>'Draft '!G86</f>
        <v/>
      </c>
      <c r="G87" s="20"/>
      <c r="H87" s="20" t="str">
        <f>'Draft '!I86</f>
        <v>1 | 0 | 0 | 0 | 0 | 0</v>
      </c>
    </row>
    <row r="88" hidden="1">
      <c r="A88" s="20" t="str">
        <f>'Draft '!C87</f>
        <v>Phantasm</v>
      </c>
      <c r="B88" s="20"/>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20"/>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20"/>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20"/>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20"/>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20"/>
      <c r="C113" s="20" t="str">
        <f>'Draft '!D112</f>
        <v/>
      </c>
      <c r="D113" s="188" t="str">
        <f>'Draft '!E112</f>
        <v/>
      </c>
      <c r="E113" s="189" t="str">
        <f>'Draft '!F112</f>
        <v/>
      </c>
      <c r="F113" s="188" t="str">
        <f>'Draft '!G112</f>
        <v/>
      </c>
      <c r="G113" s="20"/>
      <c r="H113" s="20" t="str">
        <f>'Draft '!I112</f>
        <v>0 | 0 | 0 | 0 | 0 | 0</v>
      </c>
    </row>
    <row r="114">
      <c r="A114" s="20" t="str">
        <f>'Draft '!C113</f>
        <v>Sleeper Cell </v>
      </c>
      <c r="B114" s="6" t="s">
        <v>120</v>
      </c>
      <c r="C114" s="20" t="str">
        <f>'Draft '!D113</f>
        <v/>
      </c>
      <c r="D114" s="188" t="str">
        <f>'Draft '!E113</f>
        <v/>
      </c>
      <c r="E114" s="189" t="str">
        <f>'Draft '!F113</f>
        <v/>
      </c>
      <c r="F114" s="188" t="str">
        <f>'Draft '!G113</f>
        <v/>
      </c>
      <c r="G114" s="20"/>
      <c r="H114" s="20" t="str">
        <f>'Draft '!I113</f>
        <v>1 | 0 | 0 | 0 | 0 | 0</v>
      </c>
    </row>
    <row r="115">
      <c r="A115" s="20" t="str">
        <f>'Draft '!C114</f>
        <v>Sleeper Cell </v>
      </c>
      <c r="B115" s="6" t="s">
        <v>122</v>
      </c>
      <c r="C115" s="20" t="str">
        <f>'Draft '!D114</f>
        <v/>
      </c>
      <c r="D115" s="188" t="str">
        <f>'Draft '!E114</f>
        <v/>
      </c>
      <c r="E115" s="189" t="str">
        <f>'Draft '!F114</f>
        <v/>
      </c>
      <c r="F115" s="188" t="str">
        <f>'Draft '!G114</f>
        <v/>
      </c>
      <c r="G115" s="20"/>
      <c r="H115" s="20" t="str">
        <f>'Draft '!I114</f>
        <v>1 | 0 | 0 | 0 | 0 | 0</v>
      </c>
    </row>
    <row r="116" hidden="1">
      <c r="A116" s="20" t="str">
        <f>'Draft '!C115</f>
        <v>Phantasm</v>
      </c>
      <c r="B116" s="20"/>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20"/>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20"/>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20"/>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20"/>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20"/>
      <c r="C141" s="20" t="str">
        <f>'Draft '!D140</f>
        <v/>
      </c>
      <c r="D141" s="188" t="str">
        <f>'Draft '!E140</f>
        <v/>
      </c>
      <c r="E141" s="189" t="str">
        <f>'Draft '!F140</f>
        <v/>
      </c>
      <c r="F141" s="188" t="str">
        <f>'Draft '!G140</f>
        <v/>
      </c>
      <c r="G141" s="20"/>
      <c r="H141" s="20" t="str">
        <f>'Draft '!I140</f>
        <v>0 | 0 | 0 | 0 | 0 | 0</v>
      </c>
    </row>
    <row r="142">
      <c r="A142" s="20" t="str">
        <f>'Draft '!C141</f>
        <v>Sleeper Cell </v>
      </c>
      <c r="B142" s="6" t="s">
        <v>495</v>
      </c>
      <c r="C142" s="20" t="str">
        <f>'Draft '!D141</f>
        <v/>
      </c>
      <c r="D142" s="188" t="str">
        <f>'Draft '!E141</f>
        <v/>
      </c>
      <c r="E142" s="189" t="str">
        <f>'Draft '!F141</f>
        <v/>
      </c>
      <c r="F142" s="188" t="str">
        <f>'Draft '!G141</f>
        <v/>
      </c>
      <c r="G142" s="20"/>
      <c r="H142" s="20" t="str">
        <f>'Draft '!I141</f>
        <v>1 | 0 | 0 | 0 | 0 | 0</v>
      </c>
    </row>
    <row r="143">
      <c r="A143" s="20" t="str">
        <f>'Draft '!C142</f>
        <v>Sleeper Cell </v>
      </c>
      <c r="B143" s="6" t="s">
        <v>124</v>
      </c>
      <c r="C143" s="20" t="str">
        <f>'Draft '!D142</f>
        <v/>
      </c>
      <c r="D143" s="188" t="str">
        <f>'Draft '!E142</f>
        <v/>
      </c>
      <c r="E143" s="189" t="str">
        <f>'Draft '!F142</f>
        <v/>
      </c>
      <c r="F143" s="188" t="str">
        <f>'Draft '!G142</f>
        <v/>
      </c>
      <c r="G143" s="20"/>
      <c r="H143" s="20" t="str">
        <f>'Draft '!I142</f>
        <v>1 | 0 | 0 | 0 | 0 | 0</v>
      </c>
    </row>
    <row r="144" hidden="1">
      <c r="A144" s="20" t="str">
        <f>'Draft '!C143</f>
        <v>Phantasm</v>
      </c>
      <c r="B144" s="20"/>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20"/>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20"/>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20"/>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20"/>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20"/>
      <c r="C169" s="20" t="str">
        <f>'Draft '!D168</f>
        <v/>
      </c>
      <c r="D169" s="188" t="str">
        <f>'Draft '!E168</f>
        <v/>
      </c>
      <c r="E169" s="189" t="str">
        <f>'Draft '!F168</f>
        <v/>
      </c>
      <c r="F169" s="188" t="str">
        <f>'Draft '!G168</f>
        <v/>
      </c>
      <c r="G169" s="20"/>
      <c r="H169" s="20" t="str">
        <f>'Draft '!I168</f>
        <v>0 | 0 | 0 | 0 | 0 | 0</v>
      </c>
    </row>
    <row r="170">
      <c r="A170" s="20" t="str">
        <f>'Draft '!C169</f>
        <v>Sleeper Cell </v>
      </c>
      <c r="B170" s="6" t="s">
        <v>496</v>
      </c>
      <c r="C170" s="20" t="str">
        <f>'Draft '!D169</f>
        <v/>
      </c>
      <c r="D170" s="188" t="str">
        <f>'Draft '!E169</f>
        <v/>
      </c>
      <c r="E170" s="189" t="str">
        <f>'Draft '!F169</f>
        <v/>
      </c>
      <c r="F170" s="188" t="str">
        <f>'Draft '!G169</f>
        <v/>
      </c>
      <c r="G170" s="20"/>
      <c r="H170" s="20" t="str">
        <f>'Draft '!I169</f>
        <v>1 | 0 | 0 | 0 | 0 | 0</v>
      </c>
    </row>
    <row r="171">
      <c r="A171" s="20" t="str">
        <f>'Draft '!C170</f>
        <v>Sleeper Cell </v>
      </c>
      <c r="B171" s="6" t="s">
        <v>126</v>
      </c>
      <c r="C171" s="20" t="str">
        <f>'Draft '!D170</f>
        <v/>
      </c>
      <c r="D171" s="188" t="str">
        <f>'Draft '!E170</f>
        <v/>
      </c>
      <c r="E171" s="189" t="str">
        <f>'Draft '!F170</f>
        <v/>
      </c>
      <c r="F171" s="188" t="str">
        <f>'Draft '!G170</f>
        <v/>
      </c>
      <c r="G171" s="20"/>
      <c r="H171" s="20" t="str">
        <f>'Draft '!I170</f>
        <v>1 | 0 | 0 | 0 | 0 | 0</v>
      </c>
    </row>
    <row r="172" hidden="1">
      <c r="A172" s="20" t="str">
        <f>'Draft '!C171</f>
        <v>Phantasm</v>
      </c>
      <c r="B172" s="20"/>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20"/>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20"/>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20"/>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20"/>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20"/>
      <c r="C197" s="20" t="str">
        <f>'Draft '!D196</f>
        <v/>
      </c>
      <c r="D197" s="188" t="str">
        <f>'Draft '!E196</f>
        <v/>
      </c>
      <c r="E197" s="189" t="str">
        <f>'Draft '!F196</f>
        <v/>
      </c>
      <c r="F197" s="188" t="str">
        <f>'Draft '!G196</f>
        <v/>
      </c>
      <c r="G197" s="20"/>
      <c r="H197" s="20" t="str">
        <f>'Draft '!I196</f>
        <v>0 | 0 | 0 | 0 | 0 | 0</v>
      </c>
    </row>
    <row r="198">
      <c r="A198" s="20" t="str">
        <f>'Draft '!C197</f>
        <v>Sleeper Cell </v>
      </c>
      <c r="B198" s="6" t="s">
        <v>127</v>
      </c>
      <c r="C198" s="20" t="str">
        <f>'Draft '!D197</f>
        <v/>
      </c>
      <c r="D198" s="188" t="str">
        <f>'Draft '!E197</f>
        <v/>
      </c>
      <c r="E198" s="189" t="str">
        <f>'Draft '!F197</f>
        <v/>
      </c>
      <c r="F198" s="188" t="str">
        <f>'Draft '!G197</f>
        <v/>
      </c>
      <c r="G198" s="20"/>
      <c r="H198" s="20" t="str">
        <f>'Draft '!I197</f>
        <v>1 | 0 | 0 | 0 | 0 | 0</v>
      </c>
    </row>
    <row r="199">
      <c r="A199" s="20" t="str">
        <f>'Draft '!C198</f>
        <v>Sleeper Cell </v>
      </c>
      <c r="B199" s="6" t="s">
        <v>128</v>
      </c>
      <c r="C199" s="20" t="str">
        <f>'Draft '!D198</f>
        <v/>
      </c>
      <c r="D199" s="188" t="str">
        <f>'Draft '!E198</f>
        <v/>
      </c>
      <c r="E199" s="189" t="str">
        <f>'Draft '!F198</f>
        <v/>
      </c>
      <c r="F199" s="188" t="str">
        <f>'Draft '!G198</f>
        <v/>
      </c>
      <c r="G199" s="20"/>
      <c r="H199" s="20" t="str">
        <f>'Draft '!I198</f>
        <v>1 | 0 | 0 | 0 | 0 | 0</v>
      </c>
    </row>
    <row r="200" hidden="1">
      <c r="A200" s="20" t="str">
        <f>'Draft '!C199</f>
        <v>Phantasm</v>
      </c>
      <c r="B200" s="20"/>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20"/>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20"/>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20"/>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20"/>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20"/>
      <c r="C225" s="20" t="str">
        <f>'Draft '!D224</f>
        <v/>
      </c>
      <c r="D225" s="188" t="str">
        <f>'Draft '!E224</f>
        <v/>
      </c>
      <c r="E225" s="189" t="str">
        <f>'Draft '!F224</f>
        <v/>
      </c>
      <c r="F225" s="188" t="str">
        <f>'Draft '!G224</f>
        <v/>
      </c>
      <c r="G225" s="20"/>
      <c r="H225" s="20" t="str">
        <f>'Draft '!I224</f>
        <v>0 | 0 | 0 | 0 | 0 | 0</v>
      </c>
    </row>
    <row r="226">
      <c r="A226" s="20" t="str">
        <f>'Draft '!C225</f>
        <v>Sleeper Cell </v>
      </c>
      <c r="B226" s="6" t="s">
        <v>129</v>
      </c>
      <c r="C226" s="20" t="str">
        <f>'Draft '!D225</f>
        <v/>
      </c>
      <c r="D226" s="188" t="str">
        <f>'Draft '!E225</f>
        <v/>
      </c>
      <c r="E226" s="189" t="str">
        <f>'Draft '!F225</f>
        <v/>
      </c>
      <c r="F226" s="188" t="str">
        <f>'Draft '!G225</f>
        <v/>
      </c>
      <c r="G226" s="20"/>
      <c r="H226" s="20" t="str">
        <f>'Draft '!I225</f>
        <v>1 | 0 | 0 | 0 | 0 | 0</v>
      </c>
    </row>
    <row r="227">
      <c r="A227" s="20" t="str">
        <f>'Draft '!C226</f>
        <v>Sleeper Cell </v>
      </c>
      <c r="B227" s="6" t="s">
        <v>497</v>
      </c>
      <c r="C227" s="20" t="str">
        <f>'Draft '!D226</f>
        <v/>
      </c>
      <c r="D227" s="188" t="str">
        <f>'Draft '!E226</f>
        <v/>
      </c>
      <c r="E227" s="189" t="str">
        <f>'Draft '!F226</f>
        <v/>
      </c>
      <c r="F227" s="188" t="str">
        <f>'Draft '!G226</f>
        <v/>
      </c>
      <c r="G227" s="20"/>
      <c r="H227" s="20" t="str">
        <f>'Draft '!I226</f>
        <v>1 | 0 | 0 | 0 | 0 | 0</v>
      </c>
    </row>
    <row r="228" hidden="1">
      <c r="A228" s="20" t="str">
        <f>'Draft '!C227</f>
        <v>Phantasm</v>
      </c>
      <c r="B228" s="20"/>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20"/>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20"/>
      <c r="C253" s="20" t="str">
        <f>'Draft '!D252</f>
        <v/>
      </c>
      <c r="D253" s="188" t="str">
        <f>'Draft '!E252</f>
        <v/>
      </c>
      <c r="E253" s="189" t="str">
        <f>'Draft '!F252</f>
        <v/>
      </c>
      <c r="F253" s="188" t="str">
        <f>'Draft '!G252</f>
        <v/>
      </c>
      <c r="G253" s="20"/>
      <c r="H253" s="20" t="str">
        <f>'Draft '!I252</f>
        <v>0 | 0 | 0 | 0 | 0 | 0</v>
      </c>
    </row>
    <row r="254">
      <c r="A254" s="20" t="str">
        <f>'Draft '!C253</f>
        <v>Sleeper Cell </v>
      </c>
      <c r="B254" s="6" t="s">
        <v>498</v>
      </c>
      <c r="C254" s="20" t="str">
        <f>'Draft '!D253</f>
        <v/>
      </c>
      <c r="D254" s="188" t="str">
        <f>'Draft '!E253</f>
        <v/>
      </c>
      <c r="E254" s="189" t="str">
        <f>'Draft '!F253</f>
        <v/>
      </c>
      <c r="F254" s="188" t="str">
        <f>'Draft '!G253</f>
        <v/>
      </c>
      <c r="G254" s="20"/>
      <c r="H254" s="20" t="str">
        <f>'Draft '!I253</f>
        <v>1 | 0 | 0 | 0 | 0 | 0</v>
      </c>
    </row>
    <row r="255">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c r="A282" s="20" t="str">
        <f>'Draft '!C281</f>
        <v>Sleeper Cell </v>
      </c>
      <c r="B282" s="20"/>
      <c r="C282" s="20" t="str">
        <f>'Draft '!D281</f>
        <v/>
      </c>
      <c r="D282" s="188" t="str">
        <f>'Draft '!E281</f>
        <v/>
      </c>
      <c r="E282" s="189" t="str">
        <f>'Draft '!F281</f>
        <v/>
      </c>
      <c r="F282" s="188" t="str">
        <f>'Draft '!G281</f>
        <v/>
      </c>
      <c r="G282" s="20"/>
      <c r="H282" s="20" t="str">
        <f>'Draft '!I281</f>
        <v>1 | 0 | 0 | 0 | 0 | 0</v>
      </c>
    </row>
    <row r="283">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c r="A310" s="20" t="str">
        <f>'Draft '!C309</f>
        <v>Sleeper Cell </v>
      </c>
      <c r="B310" s="20"/>
      <c r="C310" s="20" t="str">
        <f>'Draft '!D309</f>
        <v/>
      </c>
      <c r="D310" s="188" t="str">
        <f>'Draft '!E309</f>
        <v/>
      </c>
      <c r="E310" s="189" t="str">
        <f>'Draft '!F309</f>
        <v/>
      </c>
      <c r="F310" s="188" t="str">
        <f>'Draft '!G309</f>
        <v/>
      </c>
      <c r="G310" s="20"/>
      <c r="H310" s="20" t="str">
        <f>'Draft '!I309</f>
        <v>1 | 0 | 0 | 0 | 0 | 0</v>
      </c>
    </row>
    <row r="31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c r="A338" s="20" t="str">
        <f>'Draft '!C337</f>
        <v>Sleeper Cell </v>
      </c>
      <c r="B338" s="20"/>
      <c r="C338" s="20" t="str">
        <f>'Draft '!D337</f>
        <v/>
      </c>
      <c r="D338" s="188" t="str">
        <f>'Draft '!E337</f>
        <v/>
      </c>
      <c r="E338" s="189" t="str">
        <f>'Draft '!F337</f>
        <v/>
      </c>
      <c r="F338" s="188" t="str">
        <f>'Draft '!G337</f>
        <v/>
      </c>
      <c r="G338" s="20"/>
      <c r="H338" s="20" t="str">
        <f>'Draft '!I337</f>
        <v>1 | 0 | 0 | 0 | 0 | 0</v>
      </c>
    </row>
    <row r="339">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Sleeper Cell"/>
        <filter val="Phantasms"/>
        <filter val="phantasm"/>
      </filters>
    </filterColumn>
  </autoFilter>
  <mergeCells count="1">
    <mergeCell ref="A1:H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504</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20"/>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20"/>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20"/>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20"/>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20"/>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20"/>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20"/>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20"/>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20"/>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20"/>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20"/>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20"/>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20"/>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20"/>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20"/>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20"/>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20"/>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20"/>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20"/>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20"/>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20"/>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20"/>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20"/>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20"/>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20"/>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20"/>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20"/>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20"/>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20"/>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20"/>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20"/>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20"/>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20"/>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20"/>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Phantasms"/>
        <filter val="phantasm"/>
        <filter val="Phantasm"/>
      </filters>
    </filterColumn>
  </autoFilter>
  <mergeCells count="1">
    <mergeCell ref="A1:H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56</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c r="A5" s="20" t="str">
        <f>'Draft '!C4</f>
        <v>Icelanders</v>
      </c>
      <c r="B5" s="190" t="s">
        <v>111</v>
      </c>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20"/>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20"/>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20"/>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20"/>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c r="A28" s="20" t="str">
        <f>'Draft '!C27</f>
        <v>Icelanders</v>
      </c>
      <c r="B28" s="190" t="s">
        <v>111</v>
      </c>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20"/>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20"/>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20"/>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20"/>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20"/>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c r="A56" s="20" t="str">
        <f>'Draft '!C55</f>
        <v>Icelanders</v>
      </c>
      <c r="B56" s="190" t="s">
        <v>115</v>
      </c>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c r="A61" s="20" t="str">
        <f>'Draft '!C60</f>
        <v>Buttheads</v>
      </c>
      <c r="B61" s="190" t="s">
        <v>116</v>
      </c>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20"/>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20"/>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20"/>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20"/>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c r="A84" s="20" t="str">
        <f>'Draft '!C83</f>
        <v>Icelanders</v>
      </c>
      <c r="B84" s="190" t="s">
        <v>117</v>
      </c>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c r="A89" s="20" t="str">
        <f>'Draft '!C88</f>
        <v>Icelanders</v>
      </c>
      <c r="B89" s="190" t="s">
        <v>118</v>
      </c>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20"/>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20"/>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20"/>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20"/>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c r="A112" s="20" t="str">
        <f>'Draft '!C111</f>
        <v>Icelanders</v>
      </c>
      <c r="B112" s="190" t="s">
        <v>119</v>
      </c>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c r="A117" s="20" t="str">
        <f>'Draft '!C116</f>
        <v>Icelanders</v>
      </c>
      <c r="B117" s="190" t="s">
        <v>120</v>
      </c>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20"/>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20"/>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20"/>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20"/>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c r="A140" s="20" t="str">
        <f>'Draft '!C139</f>
        <v>Icelanders</v>
      </c>
      <c r="B140" s="190" t="s">
        <v>122</v>
      </c>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c r="A145" s="20" t="str">
        <f>'Draft '!C144</f>
        <v>Icelanders</v>
      </c>
      <c r="B145" s="190" t="s">
        <v>495</v>
      </c>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20"/>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20"/>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20"/>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20"/>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c r="A168" s="20" t="str">
        <f>'Draft '!C167</f>
        <v>Icelanders</v>
      </c>
      <c r="B168" s="190" t="s">
        <v>124</v>
      </c>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c r="A173" s="20" t="str">
        <f>'Draft '!C172</f>
        <v>Icelanders</v>
      </c>
      <c r="B173" s="190" t="s">
        <v>496</v>
      </c>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20"/>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20"/>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20"/>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20"/>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c r="A196" s="20" t="str">
        <f>'Draft '!C195</f>
        <v>Icelanders</v>
      </c>
      <c r="B196" s="190" t="s">
        <v>126</v>
      </c>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c r="A201" s="20" t="str">
        <f>'Draft '!C200</f>
        <v>Icelanders</v>
      </c>
      <c r="B201" s="190" t="s">
        <v>127</v>
      </c>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20"/>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20"/>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20"/>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20"/>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c r="A224" s="20" t="str">
        <f>'Draft '!C223</f>
        <v>Icelanders</v>
      </c>
      <c r="B224" s="190" t="s">
        <v>128</v>
      </c>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c r="A229" s="20" t="str">
        <f>'Draft '!C228</f>
        <v>Icelanders</v>
      </c>
      <c r="B229" s="190" t="s">
        <v>129</v>
      </c>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20"/>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c r="A252" s="20" t="str">
        <f>'Draft '!C251</f>
        <v>Icelanders</v>
      </c>
      <c r="B252" s="190" t="s">
        <v>497</v>
      </c>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c r="A257" s="20" t="str">
        <f>'Draft '!C256</f>
        <v>Icelanders</v>
      </c>
      <c r="B257" s="190" t="s">
        <v>498</v>
      </c>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Icelanders"/>
        <filter val="Phantasms"/>
        <filter val="phantasm"/>
      </filters>
    </filterColumn>
  </autoFilter>
  <mergeCells count="1">
    <mergeCell ref="A1:H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58</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190" t="s">
        <v>111</v>
      </c>
      <c r="C5" s="20" t="str">
        <f>'Draft '!D4</f>
        <v/>
      </c>
      <c r="D5" s="188" t="str">
        <f>'Draft '!E4</f>
        <v/>
      </c>
      <c r="E5" s="189" t="str">
        <f>'Draft '!F4</f>
        <v/>
      </c>
      <c r="F5" s="188" t="str">
        <f>'Draft '!G4</f>
        <v/>
      </c>
      <c r="G5" s="20" t="str">
        <f>'Draft '!H4</f>
        <v/>
      </c>
      <c r="H5" s="20" t="str">
        <f>'Draft '!I4</f>
        <v>0 | 0 | 0 | 0 | 0 | 0</v>
      </c>
    </row>
    <row r="6">
      <c r="A6" s="20" t="str">
        <f>'Draft '!C5</f>
        <v>El Nino</v>
      </c>
      <c r="B6" s="190" t="s">
        <v>111</v>
      </c>
      <c r="C6" s="20" t="str">
        <f>'Draft '!D5</f>
        <v/>
      </c>
      <c r="D6" s="188" t="str">
        <f>'Draft '!E5</f>
        <v/>
      </c>
      <c r="E6" s="189" t="str">
        <f>'Draft '!F5</f>
        <v/>
      </c>
      <c r="F6" s="188" t="str">
        <f>'Draft '!G5</f>
        <v/>
      </c>
      <c r="G6" s="20" t="str">
        <f>'Draft '!H5</f>
        <v/>
      </c>
      <c r="H6" s="20" t="str">
        <f>'Draft '!I5</f>
        <v>0 | 0 | 0 | 0 | 0 | 0</v>
      </c>
    </row>
    <row r="7" hidden="1">
      <c r="A7" s="20" t="str">
        <f>'Draft '!C6</f>
        <v>Buttheads</v>
      </c>
      <c r="B7" s="20"/>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20"/>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20"/>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20"/>
      <c r="C26" s="20" t="str">
        <f>'Draft '!D25</f>
        <v/>
      </c>
      <c r="D26" s="188" t="str">
        <f>'Draft '!E25</f>
        <v/>
      </c>
      <c r="E26" s="189" t="str">
        <f>'Draft '!F25</f>
        <v/>
      </c>
      <c r="F26" s="188" t="str">
        <f>'Draft '!G25</f>
        <v/>
      </c>
      <c r="G26" s="20" t="str">
        <f>'Draft '!H25</f>
        <v/>
      </c>
      <c r="H26" s="20" t="str">
        <f>'Draft '!I25</f>
        <v>0 | 0 | 0 | 0 | 0 | 0</v>
      </c>
    </row>
    <row r="27">
      <c r="A27" s="20" t="str">
        <f>'Draft '!C26</f>
        <v>El Nino</v>
      </c>
      <c r="B27" s="190" t="s">
        <v>111</v>
      </c>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190" t="s">
        <v>111</v>
      </c>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20"/>
      <c r="C33" s="20" t="str">
        <f>'Draft '!D32</f>
        <v/>
      </c>
      <c r="D33" s="188" t="str">
        <f>'Draft '!E32</f>
        <v/>
      </c>
      <c r="E33" s="189" t="str">
        <f>'Draft '!F32</f>
        <v/>
      </c>
      <c r="F33" s="188" t="str">
        <f>'Draft '!G32</f>
        <v/>
      </c>
      <c r="G33" s="20" t="str">
        <f>'Draft '!H32</f>
        <v/>
      </c>
      <c r="H33" s="20" t="str">
        <f>'Draft '!I32</f>
        <v>0 | 0 | 0 | 0 | 0 | 0</v>
      </c>
    </row>
    <row r="34">
      <c r="A34" s="20" t="str">
        <f>'Draft '!C33</f>
        <v>El Nino</v>
      </c>
      <c r="B34" s="190" t="s">
        <v>115</v>
      </c>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20"/>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20"/>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20"/>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20"/>
      <c r="C54" s="20" t="str">
        <f>'Draft '!D53</f>
        <v/>
      </c>
      <c r="D54" s="188" t="str">
        <f>'Draft '!E53</f>
        <v/>
      </c>
      <c r="E54" s="189" t="str">
        <f>'Draft '!F53</f>
        <v/>
      </c>
      <c r="F54" s="188" t="str">
        <f>'Draft '!G53</f>
        <v/>
      </c>
      <c r="G54" s="20" t="str">
        <f>'Draft '!H53</f>
        <v/>
      </c>
      <c r="H54" s="20" t="str">
        <f>'Draft '!I53</f>
        <v>0 | 0 | 0 | 0 | 0 | 0</v>
      </c>
    </row>
    <row r="55">
      <c r="A55" s="20" t="str">
        <f>'Draft '!C54</f>
        <v>El Nino</v>
      </c>
      <c r="B55" s="190" t="s">
        <v>116</v>
      </c>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190" t="s">
        <v>115</v>
      </c>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190" t="s">
        <v>116</v>
      </c>
      <c r="C61" s="20" t="str">
        <f>'Draft '!D60</f>
        <v/>
      </c>
      <c r="D61" s="188" t="str">
        <f>'Draft '!E60</f>
        <v/>
      </c>
      <c r="E61" s="189" t="str">
        <f>'Draft '!F60</f>
        <v/>
      </c>
      <c r="F61" s="188" t="str">
        <f>'Draft '!G60</f>
        <v/>
      </c>
      <c r="G61" s="20" t="str">
        <f>'Draft '!H60</f>
        <v/>
      </c>
      <c r="H61" s="20" t="str">
        <f>'Draft '!I60</f>
        <v>0 | 0 | 0 | 0 | 0 | 0</v>
      </c>
    </row>
    <row r="62">
      <c r="A62" s="20" t="str">
        <f>'Draft '!C61</f>
        <v>El Nino</v>
      </c>
      <c r="B62" s="190" t="s">
        <v>117</v>
      </c>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20"/>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20"/>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20"/>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20"/>
      <c r="C82" s="20" t="str">
        <f>'Draft '!D81</f>
        <v/>
      </c>
      <c r="D82" s="188" t="str">
        <f>'Draft '!E81</f>
        <v/>
      </c>
      <c r="E82" s="189" t="str">
        <f>'Draft '!F81</f>
        <v/>
      </c>
      <c r="F82" s="188" t="str">
        <f>'Draft '!G81</f>
        <v/>
      </c>
      <c r="G82" s="20"/>
      <c r="H82" s="20" t="str">
        <f>'Draft '!I81</f>
        <v>0 | 0 | 0 | 0 | 0 | 0</v>
      </c>
    </row>
    <row r="83">
      <c r="A83" s="20" t="str">
        <f>'Draft '!C82</f>
        <v>El Nino</v>
      </c>
      <c r="B83" s="190" t="s">
        <v>118</v>
      </c>
      <c r="C83" s="20" t="str">
        <f>'Draft '!D82</f>
        <v/>
      </c>
      <c r="D83" s="188" t="str">
        <f>'Draft '!E82</f>
        <v/>
      </c>
      <c r="E83" s="189" t="str">
        <f>'Draft '!F82</f>
        <v/>
      </c>
      <c r="F83" s="188" t="str">
        <f>'Draft '!G82</f>
        <v/>
      </c>
      <c r="G83" s="20"/>
      <c r="H83" s="20" t="str">
        <f>'Draft '!I82</f>
        <v>0 | 0 | 0 | 0 | 0 | 0</v>
      </c>
    </row>
    <row r="84" hidden="1">
      <c r="A84" s="20" t="str">
        <f>'Draft '!C83</f>
        <v>Icelanders</v>
      </c>
      <c r="B84" s="190" t="s">
        <v>117</v>
      </c>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190" t="s">
        <v>118</v>
      </c>
      <c r="C89" s="20" t="str">
        <f>'Draft '!D88</f>
        <v/>
      </c>
      <c r="D89" s="188" t="str">
        <f>'Draft '!E88</f>
        <v/>
      </c>
      <c r="E89" s="189" t="str">
        <f>'Draft '!F88</f>
        <v/>
      </c>
      <c r="F89" s="188" t="str">
        <f>'Draft '!G88</f>
        <v/>
      </c>
      <c r="G89" s="20"/>
      <c r="H89" s="20" t="str">
        <f>'Draft '!I88</f>
        <v>0 | 0 | 0 | 0 | 0 | 0</v>
      </c>
    </row>
    <row r="90">
      <c r="A90" s="20" t="str">
        <f>'Draft '!C89</f>
        <v>El Nino</v>
      </c>
      <c r="B90" s="190" t="s">
        <v>119</v>
      </c>
      <c r="C90" s="20" t="str">
        <f>'Draft '!D89</f>
        <v/>
      </c>
      <c r="D90" s="188" t="str">
        <f>'Draft '!E89</f>
        <v/>
      </c>
      <c r="E90" s="189" t="str">
        <f>'Draft '!F89</f>
        <v/>
      </c>
      <c r="F90" s="188" t="str">
        <f>'Draft '!G89</f>
        <v/>
      </c>
      <c r="G90" s="20"/>
      <c r="H90" s="20" t="str">
        <f>'Draft '!I89</f>
        <v>0 | 0 | 0 | 0 | 0 | 0</v>
      </c>
    </row>
    <row r="91" hidden="1">
      <c r="A91" s="20" t="str">
        <f>'Draft '!C90</f>
        <v>Buttheads</v>
      </c>
      <c r="B91" s="20"/>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20"/>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20"/>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20"/>
      <c r="C110" s="20" t="str">
        <f>'Draft '!D109</f>
        <v/>
      </c>
      <c r="D110" s="188" t="str">
        <f>'Draft '!E109</f>
        <v/>
      </c>
      <c r="E110" s="189" t="str">
        <f>'Draft '!F109</f>
        <v/>
      </c>
      <c r="F110" s="188" t="str">
        <f>'Draft '!G109</f>
        <v/>
      </c>
      <c r="G110" s="20"/>
      <c r="H110" s="20" t="str">
        <f>'Draft '!I109</f>
        <v>0 | 0 | 0 | 0 | 0 | 0</v>
      </c>
    </row>
    <row r="111">
      <c r="A111" s="20" t="str">
        <f>'Draft '!C110</f>
        <v>El Nino</v>
      </c>
      <c r="B111" s="190" t="s">
        <v>120</v>
      </c>
      <c r="C111" s="20" t="str">
        <f>'Draft '!D110</f>
        <v/>
      </c>
      <c r="D111" s="188" t="str">
        <f>'Draft '!E110</f>
        <v/>
      </c>
      <c r="E111" s="189" t="str">
        <f>'Draft '!F110</f>
        <v/>
      </c>
      <c r="F111" s="188" t="str">
        <f>'Draft '!G110</f>
        <v/>
      </c>
      <c r="G111" s="20"/>
      <c r="H111" s="20" t="str">
        <f>'Draft '!I110</f>
        <v>0 | 0 | 0 | 0 | 0 | 0</v>
      </c>
    </row>
    <row r="112" hidden="1">
      <c r="A112" s="20" t="str">
        <f>'Draft '!C111</f>
        <v>Icelanders</v>
      </c>
      <c r="B112" s="190" t="s">
        <v>119</v>
      </c>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190" t="s">
        <v>120</v>
      </c>
      <c r="C117" s="20" t="str">
        <f>'Draft '!D116</f>
        <v/>
      </c>
      <c r="D117" s="188" t="str">
        <f>'Draft '!E116</f>
        <v/>
      </c>
      <c r="E117" s="189" t="str">
        <f>'Draft '!F116</f>
        <v/>
      </c>
      <c r="F117" s="188" t="str">
        <f>'Draft '!G116</f>
        <v/>
      </c>
      <c r="G117" s="20"/>
      <c r="H117" s="20" t="str">
        <f>'Draft '!I116</f>
        <v>0 | 0 | 0 | 0 | 0 | 0</v>
      </c>
    </row>
    <row r="118">
      <c r="A118" s="20" t="str">
        <f>'Draft '!C117</f>
        <v>El Nino</v>
      </c>
      <c r="B118" s="190" t="s">
        <v>122</v>
      </c>
      <c r="C118" s="20" t="str">
        <f>'Draft '!D117</f>
        <v/>
      </c>
      <c r="D118" s="188" t="str">
        <f>'Draft '!E117</f>
        <v/>
      </c>
      <c r="E118" s="189" t="str">
        <f>'Draft '!F117</f>
        <v/>
      </c>
      <c r="F118" s="188" t="str">
        <f>'Draft '!G117</f>
        <v/>
      </c>
      <c r="G118" s="20"/>
      <c r="H118" s="20" t="str">
        <f>'Draft '!I117</f>
        <v>0 | 0 | 0 | 0 | 0 | 0</v>
      </c>
    </row>
    <row r="119" hidden="1">
      <c r="A119" s="20" t="str">
        <f>'Draft '!C118</f>
        <v>Icelanders</v>
      </c>
      <c r="B119" s="20"/>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20"/>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20"/>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20"/>
      <c r="C138" s="20" t="str">
        <f>'Draft '!D137</f>
        <v/>
      </c>
      <c r="D138" s="188" t="str">
        <f>'Draft '!E137</f>
        <v/>
      </c>
      <c r="E138" s="189" t="str">
        <f>'Draft '!F137</f>
        <v/>
      </c>
      <c r="F138" s="188" t="str">
        <f>'Draft '!G137</f>
        <v/>
      </c>
      <c r="G138" s="20"/>
      <c r="H138" s="20" t="str">
        <f>'Draft '!I137</f>
        <v>0 | 0 | 0 | 0 | 0 | 0</v>
      </c>
    </row>
    <row r="139">
      <c r="A139" s="20" t="str">
        <f>'Draft '!C138</f>
        <v>El Nino</v>
      </c>
      <c r="B139" s="190" t="s">
        <v>495</v>
      </c>
      <c r="C139" s="20" t="str">
        <f>'Draft '!D138</f>
        <v/>
      </c>
      <c r="D139" s="188" t="str">
        <f>'Draft '!E138</f>
        <v/>
      </c>
      <c r="E139" s="189" t="str">
        <f>'Draft '!F138</f>
        <v/>
      </c>
      <c r="F139" s="188" t="str">
        <f>'Draft '!G138</f>
        <v/>
      </c>
      <c r="G139" s="20"/>
      <c r="H139" s="20" t="str">
        <f>'Draft '!I138</f>
        <v>0 | 0 | 0 | 0 | 0 | 0</v>
      </c>
    </row>
    <row r="140" hidden="1">
      <c r="A140" s="20" t="str">
        <f>'Draft '!C139</f>
        <v>Icelanders</v>
      </c>
      <c r="B140" s="190" t="s">
        <v>122</v>
      </c>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190" t="s">
        <v>495</v>
      </c>
      <c r="C145" s="20" t="str">
        <f>'Draft '!D144</f>
        <v/>
      </c>
      <c r="D145" s="188" t="str">
        <f>'Draft '!E144</f>
        <v/>
      </c>
      <c r="E145" s="189" t="str">
        <f>'Draft '!F144</f>
        <v/>
      </c>
      <c r="F145" s="188" t="str">
        <f>'Draft '!G144</f>
        <v/>
      </c>
      <c r="G145" s="20"/>
      <c r="H145" s="20" t="str">
        <f>'Draft '!I144</f>
        <v>0 | 0 | 0 | 0 | 0 | 0</v>
      </c>
    </row>
    <row r="146">
      <c r="A146" s="20" t="str">
        <f>'Draft '!C145</f>
        <v>El Nino</v>
      </c>
      <c r="B146" s="190" t="s">
        <v>124</v>
      </c>
      <c r="C146" s="20" t="str">
        <f>'Draft '!D145</f>
        <v/>
      </c>
      <c r="D146" s="188" t="str">
        <f>'Draft '!E145</f>
        <v/>
      </c>
      <c r="E146" s="189" t="str">
        <f>'Draft '!F145</f>
        <v/>
      </c>
      <c r="F146" s="188" t="str">
        <f>'Draft '!G145</f>
        <v/>
      </c>
      <c r="G146" s="20"/>
      <c r="H146" s="20" t="str">
        <f>'Draft '!I145</f>
        <v>0 | 0 | 0 | 0 | 0 | 0</v>
      </c>
    </row>
    <row r="147" hidden="1">
      <c r="A147" s="20" t="str">
        <f>'Draft '!C146</f>
        <v>Buttheads</v>
      </c>
      <c r="B147" s="20"/>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20"/>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20"/>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20"/>
      <c r="C166" s="20" t="str">
        <f>'Draft '!D165</f>
        <v/>
      </c>
      <c r="D166" s="188" t="str">
        <f>'Draft '!E165</f>
        <v/>
      </c>
      <c r="E166" s="189" t="str">
        <f>'Draft '!F165</f>
        <v/>
      </c>
      <c r="F166" s="188" t="str">
        <f>'Draft '!G165</f>
        <v/>
      </c>
      <c r="G166" s="20"/>
      <c r="H166" s="20" t="str">
        <f>'Draft '!I165</f>
        <v>0 | 0 | 0 | 0 | 0 | 0</v>
      </c>
    </row>
    <row r="167">
      <c r="A167" s="20" t="str">
        <f>'Draft '!C166</f>
        <v>El Nino</v>
      </c>
      <c r="B167" s="190" t="s">
        <v>496</v>
      </c>
      <c r="C167" s="20" t="str">
        <f>'Draft '!D166</f>
        <v/>
      </c>
      <c r="D167" s="188" t="str">
        <f>'Draft '!E166</f>
        <v/>
      </c>
      <c r="E167" s="189" t="str">
        <f>'Draft '!F166</f>
        <v/>
      </c>
      <c r="F167" s="188" t="str">
        <f>'Draft '!G166</f>
        <v/>
      </c>
      <c r="G167" s="20"/>
      <c r="H167" s="20" t="str">
        <f>'Draft '!I166</f>
        <v>0 | 0 | 0 | 0 | 0 | 0</v>
      </c>
    </row>
    <row r="168" hidden="1">
      <c r="A168" s="20" t="str">
        <f>'Draft '!C167</f>
        <v>Icelanders</v>
      </c>
      <c r="B168" s="190" t="s">
        <v>124</v>
      </c>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190" t="s">
        <v>496</v>
      </c>
      <c r="C173" s="20" t="str">
        <f>'Draft '!D172</f>
        <v/>
      </c>
      <c r="D173" s="188" t="str">
        <f>'Draft '!E172</f>
        <v/>
      </c>
      <c r="E173" s="189" t="str">
        <f>'Draft '!F172</f>
        <v/>
      </c>
      <c r="F173" s="188" t="str">
        <f>'Draft '!G172</f>
        <v/>
      </c>
      <c r="G173" s="20"/>
      <c r="H173" s="20" t="str">
        <f>'Draft '!I172</f>
        <v>0 | 0 | 0 | 0 | 0 | 0</v>
      </c>
    </row>
    <row r="174">
      <c r="A174" s="20" t="str">
        <f>'Draft '!C173</f>
        <v>El Nino</v>
      </c>
      <c r="B174" s="190" t="s">
        <v>126</v>
      </c>
      <c r="C174" s="20" t="str">
        <f>'Draft '!D173</f>
        <v/>
      </c>
      <c r="D174" s="188" t="str">
        <f>'Draft '!E173</f>
        <v/>
      </c>
      <c r="E174" s="189" t="str">
        <f>'Draft '!F173</f>
        <v/>
      </c>
      <c r="F174" s="188" t="str">
        <f>'Draft '!G173</f>
        <v/>
      </c>
      <c r="G174" s="20"/>
      <c r="H174" s="20" t="str">
        <f>'Draft '!I173</f>
        <v>0 | 0 | 0 | 0 | 0 | 0</v>
      </c>
    </row>
    <row r="175" hidden="1">
      <c r="A175" s="20" t="str">
        <f>'Draft '!C174</f>
        <v>Buttheads</v>
      </c>
      <c r="B175" s="20"/>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20"/>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20"/>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20"/>
      <c r="C194" s="20" t="str">
        <f>'Draft '!D193</f>
        <v/>
      </c>
      <c r="D194" s="188" t="str">
        <f>'Draft '!E193</f>
        <v/>
      </c>
      <c r="E194" s="189" t="str">
        <f>'Draft '!F193</f>
        <v/>
      </c>
      <c r="F194" s="188" t="str">
        <f>'Draft '!G193</f>
        <v/>
      </c>
      <c r="G194" s="20"/>
      <c r="H194" s="20" t="str">
        <f>'Draft '!I193</f>
        <v>0 | 0 | 0 | 0 | 0 | 0</v>
      </c>
    </row>
    <row r="195">
      <c r="A195" s="20" t="str">
        <f>'Draft '!C194</f>
        <v>El Nino</v>
      </c>
      <c r="B195" s="190" t="s">
        <v>127</v>
      </c>
      <c r="C195" s="20" t="str">
        <f>'Draft '!D194</f>
        <v/>
      </c>
      <c r="D195" s="188" t="str">
        <f>'Draft '!E194</f>
        <v/>
      </c>
      <c r="E195" s="189" t="str">
        <f>'Draft '!F194</f>
        <v/>
      </c>
      <c r="F195" s="188" t="str">
        <f>'Draft '!G194</f>
        <v/>
      </c>
      <c r="G195" s="20"/>
      <c r="H195" s="20" t="str">
        <f>'Draft '!I194</f>
        <v>0 | 0 | 0 | 0 | 0 | 0</v>
      </c>
    </row>
    <row r="196" hidden="1">
      <c r="A196" s="20" t="str">
        <f>'Draft '!C195</f>
        <v>Icelanders</v>
      </c>
      <c r="B196" s="190" t="s">
        <v>126</v>
      </c>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190" t="s">
        <v>127</v>
      </c>
      <c r="C201" s="20" t="str">
        <f>'Draft '!D200</f>
        <v/>
      </c>
      <c r="D201" s="188" t="str">
        <f>'Draft '!E200</f>
        <v/>
      </c>
      <c r="E201" s="189" t="str">
        <f>'Draft '!F200</f>
        <v/>
      </c>
      <c r="F201" s="188" t="str">
        <f>'Draft '!G200</f>
        <v/>
      </c>
      <c r="G201" s="20"/>
      <c r="H201" s="20" t="str">
        <f>'Draft '!I200</f>
        <v>0 | 0 | 0 | 0 | 0 | 0</v>
      </c>
    </row>
    <row r="202">
      <c r="A202" s="20" t="str">
        <f>'Draft '!C201</f>
        <v>El Nino</v>
      </c>
      <c r="B202" s="190" t="s">
        <v>128</v>
      </c>
      <c r="C202" s="20" t="str">
        <f>'Draft '!D201</f>
        <v/>
      </c>
      <c r="D202" s="188" t="str">
        <f>'Draft '!E201</f>
        <v/>
      </c>
      <c r="E202" s="189" t="str">
        <f>'Draft '!F201</f>
        <v/>
      </c>
      <c r="F202" s="188" t="str">
        <f>'Draft '!G201</f>
        <v/>
      </c>
      <c r="G202" s="20"/>
      <c r="H202" s="20" t="str">
        <f>'Draft '!I201</f>
        <v>0 | 0 | 0 | 0 | 0 | 0</v>
      </c>
    </row>
    <row r="203" hidden="1">
      <c r="A203" s="20" t="str">
        <f>'Draft '!C202</f>
        <v>Buttheads</v>
      </c>
      <c r="B203" s="20"/>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20"/>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20"/>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20"/>
      <c r="C222" s="20" t="str">
        <f>'Draft '!D221</f>
        <v/>
      </c>
      <c r="D222" s="188" t="str">
        <f>'Draft '!E221</f>
        <v/>
      </c>
      <c r="E222" s="189" t="str">
        <f>'Draft '!F221</f>
        <v/>
      </c>
      <c r="F222" s="188" t="str">
        <f>'Draft '!G221</f>
        <v/>
      </c>
      <c r="G222" s="20"/>
      <c r="H222" s="20" t="str">
        <f>'Draft '!I221</f>
        <v>0 | 0 | 0 | 0 | 0 | 0</v>
      </c>
    </row>
    <row r="223">
      <c r="A223" s="20" t="str">
        <f>'Draft '!C222</f>
        <v>El Nino</v>
      </c>
      <c r="B223" s="190" t="s">
        <v>129</v>
      </c>
      <c r="C223" s="20" t="str">
        <f>'Draft '!D222</f>
        <v/>
      </c>
      <c r="D223" s="188" t="str">
        <f>'Draft '!E222</f>
        <v/>
      </c>
      <c r="E223" s="189" t="str">
        <f>'Draft '!F222</f>
        <v/>
      </c>
      <c r="F223" s="188" t="str">
        <f>'Draft '!G222</f>
        <v/>
      </c>
      <c r="G223" s="20"/>
      <c r="H223" s="20" t="str">
        <f>'Draft '!I222</f>
        <v>0 | 0 | 0 | 0 | 0 | 0</v>
      </c>
    </row>
    <row r="224" hidden="1">
      <c r="A224" s="20" t="str">
        <f>'Draft '!C223</f>
        <v>Icelanders</v>
      </c>
      <c r="B224" s="190" t="s">
        <v>128</v>
      </c>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190" t="s">
        <v>129</v>
      </c>
      <c r="C229" s="20" t="str">
        <f>'Draft '!D228</f>
        <v/>
      </c>
      <c r="D229" s="188" t="str">
        <f>'Draft '!E228</f>
        <v/>
      </c>
      <c r="E229" s="189" t="str">
        <f>'Draft '!F228</f>
        <v/>
      </c>
      <c r="F229" s="188" t="str">
        <f>'Draft '!G228</f>
        <v/>
      </c>
      <c r="G229" s="20"/>
      <c r="H229" s="20" t="str">
        <f>'Draft '!I228</f>
        <v>0 | 0 | 0 | 0 | 0 | 0</v>
      </c>
    </row>
    <row r="230">
      <c r="A230" s="20" t="str">
        <f>'Draft '!C229</f>
        <v>El Nino</v>
      </c>
      <c r="B230" s="190" t="s">
        <v>497</v>
      </c>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20"/>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c r="A251" s="20" t="str">
        <f>'Draft '!C250</f>
        <v>El Nino</v>
      </c>
      <c r="B251" s="190" t="s">
        <v>498</v>
      </c>
      <c r="C251" s="20" t="str">
        <f>'Draft '!D250</f>
        <v/>
      </c>
      <c r="D251" s="188" t="str">
        <f>'Draft '!E250</f>
        <v/>
      </c>
      <c r="E251" s="189" t="str">
        <f>'Draft '!F250</f>
        <v/>
      </c>
      <c r="F251" s="188" t="str">
        <f>'Draft '!G250</f>
        <v/>
      </c>
      <c r="G251" s="20"/>
      <c r="H251" s="20" t="str">
        <f>'Draft '!I250</f>
        <v>0 | 0 | 0 | 0 | 0 | 0</v>
      </c>
    </row>
    <row r="252" hidden="1">
      <c r="A252" s="20" t="str">
        <f>'Draft '!C251</f>
        <v>Icelanders</v>
      </c>
      <c r="B252" s="190" t="s">
        <v>497</v>
      </c>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190" t="s">
        <v>498</v>
      </c>
      <c r="C257" s="20" t="str">
        <f>'Draft '!D256</f>
        <v/>
      </c>
      <c r="D257" s="188" t="str">
        <f>'Draft '!E256</f>
        <v/>
      </c>
      <c r="E257" s="189" t="str">
        <f>'Draft '!F256</f>
        <v/>
      </c>
      <c r="F257" s="188" t="str">
        <f>'Draft '!G256</f>
        <v/>
      </c>
      <c r="G257" s="20"/>
      <c r="H257" s="20" t="str">
        <f>'Draft '!I256</f>
        <v>0 | 0 | 0 | 0 | 0 | 0</v>
      </c>
    </row>
    <row r="258">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El Nino"/>
        <filter val="Phantasms"/>
        <filter val="phantasm"/>
      </filters>
    </filterColumn>
  </autoFilter>
  <mergeCells count="1">
    <mergeCell ref="A1:H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62</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20"/>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20"/>
      <c r="C24" s="20" t="str">
        <f>'Draft '!D23</f>
        <v/>
      </c>
      <c r="D24" s="188" t="str">
        <f>'Draft '!E23</f>
        <v/>
      </c>
      <c r="E24" s="189" t="str">
        <f>'Draft '!F23</f>
        <v/>
      </c>
      <c r="F24" s="188" t="str">
        <f>'Draft '!G23</f>
        <v/>
      </c>
      <c r="G24" s="20" t="str">
        <f>'Draft '!H23</f>
        <v/>
      </c>
      <c r="H24" s="20" t="str">
        <f>'Draft '!I23</f>
        <v>0 | 0 | 0 | 0 | 0 | 0</v>
      </c>
    </row>
    <row r="25">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20"/>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20"/>
      <c r="C52" s="20" t="str">
        <f>'Draft '!D51</f>
        <v/>
      </c>
      <c r="D52" s="188" t="str">
        <f>'Draft '!E51</f>
        <v/>
      </c>
      <c r="E52" s="189" t="str">
        <f>'Draft '!F51</f>
        <v/>
      </c>
      <c r="F52" s="188" t="str">
        <f>'Draft '!G51</f>
        <v/>
      </c>
      <c r="G52" s="20" t="str">
        <f>'Draft '!H51</f>
        <v/>
      </c>
      <c r="H52" s="20" t="str">
        <f>'Draft '!I51</f>
        <v>0 | 0 | 0 | 0 | 0 | 0</v>
      </c>
    </row>
    <row r="53">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20"/>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20"/>
      <c r="C80" s="20" t="str">
        <f>'Draft '!D79</f>
        <v/>
      </c>
      <c r="D80" s="188" t="str">
        <f>'Draft '!E79</f>
        <v/>
      </c>
      <c r="E80" s="189" t="str">
        <f>'Draft '!F79</f>
        <v/>
      </c>
      <c r="F80" s="188" t="str">
        <f>'Draft '!G79</f>
        <v/>
      </c>
      <c r="G80" s="20"/>
      <c r="H80" s="20" t="str">
        <f>'Draft '!I79</f>
        <v>0 | 0 | 0 | 0 | 0 | 0</v>
      </c>
    </row>
    <row r="8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20"/>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20"/>
      <c r="C108" s="20" t="str">
        <f>'Draft '!D107</f>
        <v/>
      </c>
      <c r="D108" s="188" t="str">
        <f>'Draft '!E107</f>
        <v/>
      </c>
      <c r="E108" s="189" t="str">
        <f>'Draft '!F107</f>
        <v/>
      </c>
      <c r="F108" s="188" t="str">
        <f>'Draft '!G107</f>
        <v/>
      </c>
      <c r="G108" s="20"/>
      <c r="H108" s="20" t="str">
        <f>'Draft '!I107</f>
        <v>0 | 0 | 0 | 0 | 0 | 0</v>
      </c>
    </row>
    <row r="109">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20"/>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20"/>
      <c r="C136" s="20" t="str">
        <f>'Draft '!D135</f>
        <v/>
      </c>
      <c r="D136" s="188" t="str">
        <f>'Draft '!E135</f>
        <v/>
      </c>
      <c r="E136" s="189" t="str">
        <f>'Draft '!F135</f>
        <v/>
      </c>
      <c r="F136" s="188" t="str">
        <f>'Draft '!G135</f>
        <v/>
      </c>
      <c r="G136" s="20"/>
      <c r="H136" s="20" t="str">
        <f>'Draft '!I135</f>
        <v>0 | 0 | 0 | 0 | 0 | 0</v>
      </c>
    </row>
    <row r="137">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20"/>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20"/>
      <c r="C164" s="20" t="str">
        <f>'Draft '!D163</f>
        <v/>
      </c>
      <c r="D164" s="188" t="str">
        <f>'Draft '!E163</f>
        <v/>
      </c>
      <c r="E164" s="189" t="str">
        <f>'Draft '!F163</f>
        <v/>
      </c>
      <c r="F164" s="188" t="str">
        <f>'Draft '!G163</f>
        <v/>
      </c>
      <c r="G164" s="20"/>
      <c r="H164" s="20" t="str">
        <f>'Draft '!I163</f>
        <v>0 | 0 | 0 | 0 | 0 | 0</v>
      </c>
    </row>
    <row r="165">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20"/>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20"/>
      <c r="C192" s="20" t="str">
        <f>'Draft '!D191</f>
        <v/>
      </c>
      <c r="D192" s="188" t="str">
        <f>'Draft '!E191</f>
        <v/>
      </c>
      <c r="E192" s="189" t="str">
        <f>'Draft '!F191</f>
        <v/>
      </c>
      <c r="F192" s="188" t="str">
        <f>'Draft '!G191</f>
        <v/>
      </c>
      <c r="G192" s="20"/>
      <c r="H192" s="20" t="str">
        <f>'Draft '!I191</f>
        <v>0 | 0 | 0 | 0 | 0 | 0</v>
      </c>
    </row>
    <row r="193">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20"/>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20"/>
      <c r="C220" s="20" t="str">
        <f>'Draft '!D219</f>
        <v/>
      </c>
      <c r="D220" s="188" t="str">
        <f>'Draft '!E219</f>
        <v/>
      </c>
      <c r="E220" s="189" t="str">
        <f>'Draft '!F219</f>
        <v/>
      </c>
      <c r="F220" s="188" t="str">
        <f>'Draft '!G219</f>
        <v/>
      </c>
      <c r="G220" s="20"/>
      <c r="H220" s="20" t="str">
        <f>'Draft '!I219</f>
        <v>0 | 0 | 0 | 0 | 0 | 0</v>
      </c>
    </row>
    <row r="22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20"/>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Big Boys Big Work"/>
        <filter val="Phantasms"/>
        <filter val="phantasm"/>
      </filters>
    </filterColumn>
  </autoFilter>
  <mergeCells count="1">
    <mergeCell ref="A1:H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505</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Turbo-Ginz"/>
        <filter val="phantasm"/>
      </filters>
    </filterColumn>
  </autoFilter>
  <mergeCells count="1">
    <mergeCell ref="A1:H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66</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c r="A10" s="20" t="str">
        <f>'Draft '!C9</f>
        <v>Luddite</v>
      </c>
      <c r="B10" s="190" t="s">
        <v>111</v>
      </c>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c r="A23" s="20" t="str">
        <f>'Draft '!C22</f>
        <v>Luddite</v>
      </c>
      <c r="B23" s="190" t="s">
        <v>111</v>
      </c>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c r="A38" s="20" t="str">
        <f>'Draft '!C37</f>
        <v>Luddite</v>
      </c>
      <c r="B38" s="190" t="s">
        <v>115</v>
      </c>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c r="A51" s="20" t="str">
        <f>'Draft '!C50</f>
        <v>Luddite</v>
      </c>
      <c r="B51" s="190" t="s">
        <v>116</v>
      </c>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c r="A66" s="20" t="str">
        <f>'Draft '!C65</f>
        <v>Luddite</v>
      </c>
      <c r="B66" s="190" t="s">
        <v>117</v>
      </c>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c r="A79" s="20" t="str">
        <f>'Draft '!C78</f>
        <v>Phantasm</v>
      </c>
      <c r="B79" s="190" t="s">
        <v>118</v>
      </c>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c r="A94" s="20" t="str">
        <f>'Draft '!C93</f>
        <v>Luddite</v>
      </c>
      <c r="B94" s="190" t="s">
        <v>119</v>
      </c>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c r="A107" s="20" t="str">
        <f>'Draft '!C106</f>
        <v>phantasm</v>
      </c>
      <c r="B107" s="190" t="s">
        <v>120</v>
      </c>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c r="A122" s="20" t="str">
        <f>'Draft '!C121</f>
        <v>Luddite</v>
      </c>
      <c r="B122" s="190" t="s">
        <v>122</v>
      </c>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c r="A135" s="20" t="str">
        <f>'Draft '!C134</f>
        <v>Luddite</v>
      </c>
      <c r="B135" s="190" t="s">
        <v>495</v>
      </c>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c r="A150" s="20" t="str">
        <f>'Draft '!C149</f>
        <v>Luddite</v>
      </c>
      <c r="B150" s="190" t="s">
        <v>124</v>
      </c>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c r="A163" s="20" t="str">
        <f>'Draft '!C162</f>
        <v>Luddite</v>
      </c>
      <c r="B163" s="190" t="s">
        <v>496</v>
      </c>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c r="A178" s="20" t="str">
        <f>'Draft '!C177</f>
        <v>Luddite</v>
      </c>
      <c r="B178" s="190" t="s">
        <v>126</v>
      </c>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c r="A191" s="20" t="str">
        <f>'Draft '!C190</f>
        <v>Luddite</v>
      </c>
      <c r="B191" s="190" t="s">
        <v>127</v>
      </c>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c r="A206" s="20" t="str">
        <f>'Draft '!C205</f>
        <v>Luddite</v>
      </c>
      <c r="B206" s="190" t="s">
        <v>128</v>
      </c>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c r="A219" s="20" t="str">
        <f>'Draft '!C218</f>
        <v>Luddite</v>
      </c>
      <c r="B219" s="190" t="s">
        <v>129</v>
      </c>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c r="A234" s="20" t="str">
        <f>'Draft '!C233</f>
        <v>Luddite</v>
      </c>
      <c r="B234" s="190" t="s">
        <v>497</v>
      </c>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c r="A247" s="20" t="str">
        <f>'Draft '!C246</f>
        <v>Luddite</v>
      </c>
      <c r="B247" s="190" t="s">
        <v>498</v>
      </c>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Luddite"/>
        <filter val="phantasm"/>
      </filters>
    </filterColumn>
  </autoFilter>
  <mergeCells count="1">
    <mergeCell ref="A1:H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74</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190" t="s">
        <v>111</v>
      </c>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c r="A14" s="20" t="str">
        <f>'Draft '!C13</f>
        <v>DD Riders</v>
      </c>
      <c r="B14" s="190" t="s">
        <v>111</v>
      </c>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c r="A19" s="20" t="str">
        <f>'Draft '!C18</f>
        <v>DD Riders</v>
      </c>
      <c r="B19" s="190" t="s">
        <v>111</v>
      </c>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190" t="s">
        <v>111</v>
      </c>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190" t="s">
        <v>115</v>
      </c>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c r="A42" s="20" t="str">
        <f>'Draft '!C41</f>
        <v>DD Riders</v>
      </c>
      <c r="B42" s="190" t="s">
        <v>115</v>
      </c>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c r="A47" s="20" t="str">
        <f>'Draft '!C46</f>
        <v>DD Riders</v>
      </c>
      <c r="B47" s="190" t="s">
        <v>116</v>
      </c>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190" t="s">
        <v>116</v>
      </c>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190" t="s">
        <v>117</v>
      </c>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c r="A70" s="20" t="str">
        <f>'Draft '!C69</f>
        <v>DD Riders</v>
      </c>
      <c r="B70" s="190" t="s">
        <v>117</v>
      </c>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c r="A75" s="20" t="str">
        <f>'Draft '!C74</f>
        <v>DD Riders</v>
      </c>
      <c r="B75" s="190" t="s">
        <v>118</v>
      </c>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190" t="s">
        <v>118</v>
      </c>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190" t="s">
        <v>119</v>
      </c>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c r="A98" s="20" t="str">
        <f>'Draft '!C97</f>
        <v>DD Riders</v>
      </c>
      <c r="B98" s="190" t="s">
        <v>119</v>
      </c>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c r="A103" s="20" t="str">
        <f>'Draft '!C102</f>
        <v>DD Riders</v>
      </c>
      <c r="B103" s="190" t="s">
        <v>120</v>
      </c>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190" t="s">
        <v>120</v>
      </c>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190" t="s">
        <v>122</v>
      </c>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c r="A126" s="20" t="str">
        <f>'Draft '!C125</f>
        <v>DD Riders</v>
      </c>
      <c r="B126" s="190" t="s">
        <v>122</v>
      </c>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c r="A131" s="20" t="str">
        <f>'Draft '!C130</f>
        <v>DD Riders</v>
      </c>
      <c r="B131" s="190" t="s">
        <v>495</v>
      </c>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190" t="s">
        <v>495</v>
      </c>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190" t="s">
        <v>124</v>
      </c>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c r="A154" s="20" t="str">
        <f>'Draft '!C153</f>
        <v>DD Riders</v>
      </c>
      <c r="B154" s="190" t="s">
        <v>124</v>
      </c>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c r="A159" s="20" t="str">
        <f>'Draft '!C158</f>
        <v>DD Riders</v>
      </c>
      <c r="B159" s="190" t="s">
        <v>496</v>
      </c>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190" t="s">
        <v>496</v>
      </c>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190" t="s">
        <v>126</v>
      </c>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c r="A182" s="20" t="str">
        <f>'Draft '!C181</f>
        <v>DD Riders</v>
      </c>
      <c r="B182" s="190" t="s">
        <v>126</v>
      </c>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c r="A187" s="20" t="str">
        <f>'Draft '!C186</f>
        <v>DD Riders</v>
      </c>
      <c r="B187" s="190" t="s">
        <v>127</v>
      </c>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190" t="s">
        <v>127</v>
      </c>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190" t="s">
        <v>128</v>
      </c>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c r="A210" s="20" t="str">
        <f>'Draft '!C209</f>
        <v>DD Riders</v>
      </c>
      <c r="B210" s="190" t="s">
        <v>128</v>
      </c>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c r="A215" s="20" t="str">
        <f>'Draft '!C214</f>
        <v>DD Riders</v>
      </c>
      <c r="B215" s="190" t="s">
        <v>129</v>
      </c>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190" t="s">
        <v>129</v>
      </c>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190" t="s">
        <v>497</v>
      </c>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c r="A238" s="20" t="str">
        <f>'Draft '!C237</f>
        <v>DD Riders</v>
      </c>
      <c r="B238" s="190" t="s">
        <v>497</v>
      </c>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c r="A243" s="20" t="str">
        <f>'Draft '!C242</f>
        <v>DD Riders</v>
      </c>
      <c r="B243" s="190" t="s">
        <v>498</v>
      </c>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190" t="s">
        <v>498</v>
      </c>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DD Riders"/>
        <filter val="phantasm"/>
      </filters>
    </filterColumn>
  </autoFilter>
  <mergeCells count="1">
    <mergeCell ref="A1:H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506</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190" t="s">
        <v>111</v>
      </c>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c r="A13" s="20" t="str">
        <f>'Draft '!C12</f>
        <v>TDs and Beers</v>
      </c>
      <c r="B13" s="190" t="s">
        <v>111</v>
      </c>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c r="A20" s="20" t="str">
        <f>'Draft '!C19</f>
        <v>TDs and Beers</v>
      </c>
      <c r="B20" s="190" t="s">
        <v>111</v>
      </c>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190" t="s">
        <v>111</v>
      </c>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190" t="s">
        <v>115</v>
      </c>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c r="A41" s="20" t="str">
        <f>'Draft '!C40</f>
        <v>TDs and Beers</v>
      </c>
      <c r="B41" s="190" t="s">
        <v>115</v>
      </c>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c r="A48" s="20" t="str">
        <f>'Draft '!C47</f>
        <v>TDs and Beers</v>
      </c>
      <c r="B48" s="190" t="s">
        <v>116</v>
      </c>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190" t="s">
        <v>116</v>
      </c>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190" t="s">
        <v>117</v>
      </c>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c r="A69" s="20" t="str">
        <f>'Draft '!C68</f>
        <v>TDs and Beers</v>
      </c>
      <c r="B69" s="190" t="s">
        <v>117</v>
      </c>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c r="A76" s="20" t="str">
        <f>'Draft '!C75</f>
        <v>TDs and Beers</v>
      </c>
      <c r="B76" s="190" t="s">
        <v>118</v>
      </c>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190" t="s">
        <v>118</v>
      </c>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190" t="s">
        <v>119</v>
      </c>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c r="A97" s="20" t="str">
        <f>'Draft '!C96</f>
        <v>TDs and Beers</v>
      </c>
      <c r="B97" s="190" t="s">
        <v>119</v>
      </c>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c r="A104" s="20" t="str">
        <f>'Draft '!C103</f>
        <v>TDs and Beers</v>
      </c>
      <c r="B104" s="190" t="s">
        <v>120</v>
      </c>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190" t="s">
        <v>120</v>
      </c>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190" t="s">
        <v>122</v>
      </c>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c r="A125" s="20" t="str">
        <f>'Draft '!C124</f>
        <v>TDs and Beers</v>
      </c>
      <c r="B125" s="190" t="s">
        <v>122</v>
      </c>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c r="A132" s="20" t="str">
        <f>'Draft '!C131</f>
        <v>TDs and Beers</v>
      </c>
      <c r="B132" s="190" t="s">
        <v>495</v>
      </c>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190" t="s">
        <v>495</v>
      </c>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190" t="s">
        <v>124</v>
      </c>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c r="A153" s="20" t="str">
        <f>'Draft '!C152</f>
        <v>TDs and Beers</v>
      </c>
      <c r="B153" s="190" t="s">
        <v>124</v>
      </c>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c r="A160" s="20" t="str">
        <f>'Draft '!C159</f>
        <v>TDs and Beers</v>
      </c>
      <c r="B160" s="190" t="s">
        <v>496</v>
      </c>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190" t="s">
        <v>496</v>
      </c>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190" t="s">
        <v>126</v>
      </c>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c r="A181" s="20" t="str">
        <f>'Draft '!C180</f>
        <v>TDs and Beers</v>
      </c>
      <c r="B181" s="190" t="s">
        <v>126</v>
      </c>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c r="A188" s="20" t="str">
        <f>'Draft '!C187</f>
        <v>TDs and Beers</v>
      </c>
      <c r="B188" s="190" t="s">
        <v>127</v>
      </c>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190" t="s">
        <v>127</v>
      </c>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190" t="s">
        <v>128</v>
      </c>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c r="A209" s="20" t="str">
        <f>'Draft '!C208</f>
        <v>TDs and Beers</v>
      </c>
      <c r="B209" s="190" t="s">
        <v>128</v>
      </c>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c r="A216" s="20" t="str">
        <f>'Draft '!C215</f>
        <v>TDs and Beers</v>
      </c>
      <c r="B216" s="190" t="s">
        <v>129</v>
      </c>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190" t="s">
        <v>129</v>
      </c>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190" t="s">
        <v>497</v>
      </c>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c r="A237" s="20" t="str">
        <f>'Draft '!C236</f>
        <v>TDs and Beers</v>
      </c>
      <c r="B237" s="190" t="s">
        <v>497</v>
      </c>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c r="A244" s="20" t="str">
        <f>'Draft '!C243</f>
        <v>TDs and Beers</v>
      </c>
      <c r="B244" s="190" t="s">
        <v>498</v>
      </c>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190" t="s">
        <v>498</v>
      </c>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phantasm"/>
        <filter val="TDs and Beers"/>
      </filters>
    </filterColumn>
  </autoFilter>
  <mergeCells count="1">
    <mergeCell ref="A1:H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70</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190" t="s">
        <v>111</v>
      </c>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190" t="s">
        <v>111</v>
      </c>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190" t="s">
        <v>115</v>
      </c>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190" t="s">
        <v>116</v>
      </c>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190" t="s">
        <v>117</v>
      </c>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190" t="s">
        <v>118</v>
      </c>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190" t="s">
        <v>119</v>
      </c>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190" t="s">
        <v>120</v>
      </c>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190" t="s">
        <v>122</v>
      </c>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190" t="s">
        <v>495</v>
      </c>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190" t="s">
        <v>124</v>
      </c>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190" t="s">
        <v>496</v>
      </c>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190" t="s">
        <v>126</v>
      </c>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190" t="s">
        <v>127</v>
      </c>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190" t="s">
        <v>128</v>
      </c>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190" t="s">
        <v>129</v>
      </c>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190" t="s">
        <v>497</v>
      </c>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190" t="s">
        <v>498</v>
      </c>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Daddy's Dogs"/>
        <filter val="phantasm"/>
      </filters>
    </filterColumn>
  </autoFilter>
  <mergeCells count="1">
    <mergeCell ref="A1:H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68</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190" t="s">
        <v>111</v>
      </c>
      <c r="C10" s="20" t="str">
        <f>'Draft '!D9</f>
        <v/>
      </c>
      <c r="D10" s="188" t="str">
        <f>'Draft '!E9</f>
        <v/>
      </c>
      <c r="E10" s="189" t="str">
        <f>'Draft '!F9</f>
        <v/>
      </c>
      <c r="F10" s="188" t="str">
        <f>'Draft '!G9</f>
        <v/>
      </c>
      <c r="G10" s="20" t="str">
        <f>'Draft '!H9</f>
        <v/>
      </c>
      <c r="H10" s="20" t="str">
        <f>'Draft '!I9</f>
        <v>0 | 0 | 0 | 0 | 0 | 0</v>
      </c>
    </row>
    <row r="11">
      <c r="A11" s="20" t="str">
        <f>'Draft '!C10</f>
        <v>Achaians</v>
      </c>
      <c r="B11" s="190" t="s">
        <v>111</v>
      </c>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hidden="1">
      <c r="A15" s="20" t="str">
        <f>'Draft '!C14</f>
        <v>Nasty</v>
      </c>
      <c r="B15" s="20"/>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hidden="1">
      <c r="A18" s="20" t="str">
        <f>'Draft '!C17</f>
        <v>Nasty</v>
      </c>
      <c r="B18" s="20"/>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c r="A22" s="20" t="str">
        <f>'Draft '!C21</f>
        <v>Achaians</v>
      </c>
      <c r="B22" s="190" t="s">
        <v>111</v>
      </c>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190" t="s">
        <v>111</v>
      </c>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190" t="s">
        <v>115</v>
      </c>
      <c r="C38" s="20" t="str">
        <f>'Draft '!D37</f>
        <v/>
      </c>
      <c r="D38" s="188" t="str">
        <f>'Draft '!E37</f>
        <v/>
      </c>
      <c r="E38" s="189" t="str">
        <f>'Draft '!F37</f>
        <v/>
      </c>
      <c r="F38" s="188" t="str">
        <f>'Draft '!G37</f>
        <v/>
      </c>
      <c r="G38" s="20" t="str">
        <f>'Draft '!H37</f>
        <v/>
      </c>
      <c r="H38" s="20" t="str">
        <f>'Draft '!I37</f>
        <v>0 | 0 | 0 | 0 | 0 | 0</v>
      </c>
    </row>
    <row r="39">
      <c r="A39" s="20" t="str">
        <f>'Draft '!C38</f>
        <v>Achaians</v>
      </c>
      <c r="B39" s="190" t="s">
        <v>115</v>
      </c>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hidden="1">
      <c r="A43" s="20" t="str">
        <f>'Draft '!C42</f>
        <v>Nasty</v>
      </c>
      <c r="B43" s="20"/>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hidden="1">
      <c r="A46" s="20" t="str">
        <f>'Draft '!C45</f>
        <v>Nasty</v>
      </c>
      <c r="B46" s="20"/>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c r="A50" s="20" t="str">
        <f>'Draft '!C49</f>
        <v>Achaians</v>
      </c>
      <c r="B50" s="190" t="s">
        <v>116</v>
      </c>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190" t="s">
        <v>116</v>
      </c>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190" t="s">
        <v>117</v>
      </c>
      <c r="C66" s="20" t="str">
        <f>'Draft '!D65</f>
        <v/>
      </c>
      <c r="D66" s="188" t="str">
        <f>'Draft '!E65</f>
        <v/>
      </c>
      <c r="E66" s="189" t="str">
        <f>'Draft '!F65</f>
        <v/>
      </c>
      <c r="F66" s="188" t="str">
        <f>'Draft '!G65</f>
        <v/>
      </c>
      <c r="G66" s="20" t="str">
        <f>'Draft '!H65</f>
        <v/>
      </c>
      <c r="H66" s="20" t="str">
        <f>'Draft '!I65</f>
        <v>0 | 0 | 0 | 0 | 0 | 0</v>
      </c>
    </row>
    <row r="67">
      <c r="A67" s="20" t="str">
        <f>'Draft '!C66</f>
        <v>Achaians</v>
      </c>
      <c r="B67" s="190" t="s">
        <v>117</v>
      </c>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hidden="1">
      <c r="A71" s="20" t="str">
        <f>'Draft '!C70</f>
        <v>Nasty</v>
      </c>
      <c r="B71" s="20"/>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hidden="1">
      <c r="A74" s="20" t="str">
        <f>'Draft '!C73</f>
        <v>Nasty</v>
      </c>
      <c r="B74" s="20"/>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c r="A78" s="20" t="str">
        <f>'Draft '!C77</f>
        <v>Achaians</v>
      </c>
      <c r="B78" s="190" t="s">
        <v>118</v>
      </c>
      <c r="C78" s="20" t="str">
        <f>'Draft '!D77</f>
        <v/>
      </c>
      <c r="D78" s="188" t="str">
        <f>'Draft '!E77</f>
        <v/>
      </c>
      <c r="E78" s="189" t="str">
        <f>'Draft '!F77</f>
        <v/>
      </c>
      <c r="F78" s="188" t="str">
        <f>'Draft '!G77</f>
        <v/>
      </c>
      <c r="G78" s="20"/>
      <c r="H78" s="20" t="str">
        <f>'Draft '!I77</f>
        <v>0 | 0 | 0 | 0 | 0 | 0</v>
      </c>
    </row>
    <row r="79" hidden="1">
      <c r="A79" s="20" t="str">
        <f>'Draft '!C78</f>
        <v>Phantasm</v>
      </c>
      <c r="B79" s="190" t="s">
        <v>118</v>
      </c>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190" t="s">
        <v>119</v>
      </c>
      <c r="C94" s="20" t="str">
        <f>'Draft '!D93</f>
        <v/>
      </c>
      <c r="D94" s="188" t="str">
        <f>'Draft '!E93</f>
        <v/>
      </c>
      <c r="E94" s="189" t="str">
        <f>'Draft '!F93</f>
        <v/>
      </c>
      <c r="F94" s="188" t="str">
        <f>'Draft '!G93</f>
        <v/>
      </c>
      <c r="G94" s="20"/>
      <c r="H94" s="20" t="str">
        <f>'Draft '!I93</f>
        <v>0 | 0 | 0 | 0 | 0 | 0</v>
      </c>
    </row>
    <row r="95">
      <c r="A95" s="20" t="str">
        <f>'Draft '!C94</f>
        <v>El Nino</v>
      </c>
      <c r="B95" s="190" t="s">
        <v>119</v>
      </c>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hidden="1">
      <c r="A99" s="20" t="str">
        <f>'Draft '!C98</f>
        <v>Nasty</v>
      </c>
      <c r="B99" s="20"/>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hidden="1">
      <c r="A102" s="20" t="str">
        <f>'Draft '!C101</f>
        <v>Nasty</v>
      </c>
      <c r="B102" s="20"/>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190" t="s">
        <v>120</v>
      </c>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190" t="s">
        <v>122</v>
      </c>
      <c r="C122" s="20" t="str">
        <f>'Draft '!D121</f>
        <v/>
      </c>
      <c r="D122" s="188" t="str">
        <f>'Draft '!E121</f>
        <v/>
      </c>
      <c r="E122" s="189" t="str">
        <f>'Draft '!F121</f>
        <v/>
      </c>
      <c r="F122" s="188" t="str">
        <f>'Draft '!G121</f>
        <v/>
      </c>
      <c r="G122" s="20"/>
      <c r="H122" s="20" t="str">
        <f>'Draft '!I121</f>
        <v>0 | 0 | 0 | 0 | 0 | 0</v>
      </c>
    </row>
    <row r="123">
      <c r="A123" s="20" t="str">
        <f>'Draft '!C122</f>
        <v>Achaians</v>
      </c>
      <c r="B123" s="190" t="s">
        <v>120</v>
      </c>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hidden="1">
      <c r="A127" s="20" t="str">
        <f>'Draft '!C126</f>
        <v>Nasty</v>
      </c>
      <c r="B127" s="20"/>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hidden="1">
      <c r="A130" s="20" t="str">
        <f>'Draft '!C129</f>
        <v>Nasty</v>
      </c>
      <c r="B130" s="20"/>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c r="A134" s="20" t="str">
        <f>'Draft '!C133</f>
        <v>Achaians</v>
      </c>
      <c r="B134" s="190" t="s">
        <v>122</v>
      </c>
      <c r="C134" s="20" t="str">
        <f>'Draft '!D133</f>
        <v/>
      </c>
      <c r="D134" s="188" t="str">
        <f>'Draft '!E133</f>
        <v/>
      </c>
      <c r="E134" s="189" t="str">
        <f>'Draft '!F133</f>
        <v/>
      </c>
      <c r="F134" s="188" t="str">
        <f>'Draft '!G133</f>
        <v/>
      </c>
      <c r="G134" s="20"/>
      <c r="H134" s="20" t="str">
        <f>'Draft '!I133</f>
        <v>0 | 0 | 0 | 0 | 0 | 0</v>
      </c>
    </row>
    <row r="135" hidden="1">
      <c r="A135" s="20" t="str">
        <f>'Draft '!C134</f>
        <v>Luddite</v>
      </c>
      <c r="B135" s="190" t="s">
        <v>495</v>
      </c>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190" t="s">
        <v>124</v>
      </c>
      <c r="C150" s="20" t="str">
        <f>'Draft '!D149</f>
        <v/>
      </c>
      <c r="D150" s="188" t="str">
        <f>'Draft '!E149</f>
        <v/>
      </c>
      <c r="E150" s="189" t="str">
        <f>'Draft '!F149</f>
        <v/>
      </c>
      <c r="F150" s="188" t="str">
        <f>'Draft '!G149</f>
        <v/>
      </c>
      <c r="G150" s="20"/>
      <c r="H150" s="20" t="str">
        <f>'Draft '!I149</f>
        <v>0 | 0 | 0 | 0 | 0 | 0</v>
      </c>
    </row>
    <row r="151">
      <c r="A151" s="20" t="str">
        <f>'Draft '!C150</f>
        <v>Achaians</v>
      </c>
      <c r="B151" s="190" t="s">
        <v>495</v>
      </c>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hidden="1">
      <c r="A155" s="20" t="str">
        <f>'Draft '!C154</f>
        <v>Nasty</v>
      </c>
      <c r="B155" s="20"/>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hidden="1">
      <c r="A158" s="20" t="str">
        <f>'Draft '!C157</f>
        <v>Nasty</v>
      </c>
      <c r="B158" s="20"/>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c r="A162" s="20" t="str">
        <f>'Draft '!C161</f>
        <v>Achaians</v>
      </c>
      <c r="B162" s="190" t="s">
        <v>124</v>
      </c>
      <c r="C162" s="20" t="str">
        <f>'Draft '!D161</f>
        <v/>
      </c>
      <c r="D162" s="188" t="str">
        <f>'Draft '!E161</f>
        <v/>
      </c>
      <c r="E162" s="189" t="str">
        <f>'Draft '!F161</f>
        <v/>
      </c>
      <c r="F162" s="188" t="str">
        <f>'Draft '!G161</f>
        <v/>
      </c>
      <c r="G162" s="20"/>
      <c r="H162" s="20" t="str">
        <f>'Draft '!I161</f>
        <v>0 | 0 | 0 | 0 | 0 | 0</v>
      </c>
    </row>
    <row r="163" hidden="1">
      <c r="A163" s="20" t="str">
        <f>'Draft '!C162</f>
        <v>Luddite</v>
      </c>
      <c r="B163" s="190" t="s">
        <v>496</v>
      </c>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190" t="s">
        <v>126</v>
      </c>
      <c r="C178" s="20" t="str">
        <f>'Draft '!D177</f>
        <v/>
      </c>
      <c r="D178" s="188" t="str">
        <f>'Draft '!E177</f>
        <v/>
      </c>
      <c r="E178" s="189" t="str">
        <f>'Draft '!F177</f>
        <v/>
      </c>
      <c r="F178" s="188" t="str">
        <f>'Draft '!G177</f>
        <v/>
      </c>
      <c r="G178" s="20"/>
      <c r="H178" s="20" t="str">
        <f>'Draft '!I177</f>
        <v>0 | 0 | 0 | 0 | 0 | 0</v>
      </c>
    </row>
    <row r="179">
      <c r="A179" s="20" t="str">
        <f>'Draft '!C178</f>
        <v>Achaians</v>
      </c>
      <c r="B179" s="190" t="s">
        <v>496</v>
      </c>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hidden="1">
      <c r="A183" s="20" t="str">
        <f>'Draft '!C182</f>
        <v>Nasty</v>
      </c>
      <c r="B183" s="20"/>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hidden="1">
      <c r="A186" s="20" t="str">
        <f>'Draft '!C185</f>
        <v>Nasty</v>
      </c>
      <c r="B186" s="20"/>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c r="A190" s="20" t="str">
        <f>'Draft '!C189</f>
        <v>Achaians</v>
      </c>
      <c r="B190" s="190" t="s">
        <v>126</v>
      </c>
      <c r="C190" s="20" t="str">
        <f>#REF!</f>
        <v>#REF!</v>
      </c>
      <c r="D190" s="188" t="str">
        <f>'Draft '!E189</f>
        <v/>
      </c>
      <c r="E190" s="189" t="str">
        <f>'Draft '!F189</f>
        <v/>
      </c>
      <c r="F190" s="188" t="str">
        <f>'Draft '!G189</f>
        <v/>
      </c>
      <c r="G190" s="20"/>
      <c r="H190" s="20" t="str">
        <f>'Draft '!I189</f>
        <v>0 | 0 | 0 | 0 | 0 | 0</v>
      </c>
    </row>
    <row r="191" hidden="1">
      <c r="A191" s="20" t="str">
        <f>'Draft '!C190</f>
        <v>Luddite</v>
      </c>
      <c r="B191" s="190" t="s">
        <v>127</v>
      </c>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190" t="s">
        <v>128</v>
      </c>
      <c r="C206" s="20" t="str">
        <f>'Draft '!D205</f>
        <v/>
      </c>
      <c r="D206" s="188" t="str">
        <f>'Draft '!E205</f>
        <v/>
      </c>
      <c r="E206" s="189" t="str">
        <f>'Draft '!F205</f>
        <v/>
      </c>
      <c r="F206" s="188" t="str">
        <f>'Draft '!G205</f>
        <v/>
      </c>
      <c r="G206" s="20"/>
      <c r="H206" s="20" t="str">
        <f>'Draft '!I205</f>
        <v>0 | 0 | 0 | 0 | 0 | 0</v>
      </c>
    </row>
    <row r="207">
      <c r="A207" s="20" t="str">
        <f>'Draft '!C206</f>
        <v>Achaians</v>
      </c>
      <c r="B207" s="190" t="s">
        <v>127</v>
      </c>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hidden="1">
      <c r="A211" s="20" t="str">
        <f>'Draft '!C210</f>
        <v>Nasty</v>
      </c>
      <c r="B211" s="20"/>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hidden="1">
      <c r="A214" s="20" t="str">
        <f>'Draft '!C213</f>
        <v>Nasty</v>
      </c>
      <c r="B214" s="20"/>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c r="A218" s="20" t="str">
        <f>'Draft '!C217</f>
        <v>Achaians</v>
      </c>
      <c r="B218" s="190" t="s">
        <v>128</v>
      </c>
      <c r="C218" s="20" t="str">
        <f>'Draft '!D217</f>
        <v/>
      </c>
      <c r="D218" s="188" t="str">
        <f>'Draft '!E217</f>
        <v/>
      </c>
      <c r="E218" s="189" t="str">
        <f>'Draft '!F217</f>
        <v/>
      </c>
      <c r="F218" s="188" t="str">
        <f>'Draft '!G217</f>
        <v/>
      </c>
      <c r="G218" s="20"/>
      <c r="H218" s="20" t="str">
        <f>'Draft '!I217</f>
        <v>0 | 0 | 0 | 0 | 0 | 0</v>
      </c>
    </row>
    <row r="219" hidden="1">
      <c r="A219" s="20" t="str">
        <f>'Draft '!C218</f>
        <v>Luddite</v>
      </c>
      <c r="B219" s="190" t="s">
        <v>129</v>
      </c>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190" t="s">
        <v>497</v>
      </c>
      <c r="C234" s="20" t="str">
        <f>'Draft '!D233</f>
        <v/>
      </c>
      <c r="D234" s="188" t="str">
        <f>'Draft '!E233</f>
        <v/>
      </c>
      <c r="E234" s="189" t="str">
        <f>'Draft '!F233</f>
        <v/>
      </c>
      <c r="F234" s="188" t="str">
        <f>'Draft '!G233</f>
        <v/>
      </c>
      <c r="G234" s="20"/>
      <c r="H234" s="20" t="str">
        <f>'Draft '!I233</f>
        <v>0 | 0 | 0 | 0 | 0 | 0</v>
      </c>
    </row>
    <row r="235">
      <c r="A235" s="20" t="str">
        <f>'Draft '!C234</f>
        <v>Achaians</v>
      </c>
      <c r="B235" s="190" t="s">
        <v>129</v>
      </c>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hidden="1">
      <c r="A239" s="20" t="str">
        <f>'Draft '!C238</f>
        <v>Nasty</v>
      </c>
      <c r="B239" s="20"/>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hidden="1">
      <c r="A242" s="20" t="str">
        <f>'Draft '!C241</f>
        <v>Nasty</v>
      </c>
      <c r="B242" s="20"/>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c r="A246" s="20" t="str">
        <f>'Draft '!C245</f>
        <v>Achaians</v>
      </c>
      <c r="B246" s="190" t="s">
        <v>497</v>
      </c>
      <c r="C246" s="20" t="str">
        <f>'Draft '!D245</f>
        <v/>
      </c>
      <c r="D246" s="188" t="str">
        <f>'Draft '!E245</f>
        <v/>
      </c>
      <c r="E246" s="189" t="str">
        <f>'Draft '!F245</f>
        <v/>
      </c>
      <c r="F246" s="188" t="str">
        <f>'Draft '!G245</f>
        <v/>
      </c>
      <c r="G246" s="20"/>
      <c r="H246" s="20" t="str">
        <f>'Draft '!I245</f>
        <v>0 | 0 | 0 | 0 | 0 | 0</v>
      </c>
    </row>
    <row r="247" hidden="1">
      <c r="A247" s="20" t="str">
        <f>'Draft '!C246</f>
        <v>Luddite</v>
      </c>
      <c r="B247" s="190" t="s">
        <v>498</v>
      </c>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c r="A263" s="20" t="str">
        <f>'Draft '!C262</f>
        <v>Achaians</v>
      </c>
      <c r="B263" s="190" t="s">
        <v>498</v>
      </c>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hidden="1">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hidden="1">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hidden="1">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hidden="1">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hidden="1">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hidden="1">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hidden="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hidden="1">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Achaians"/>
        <filter val="phantasm"/>
      </filters>
    </filterColumn>
  </autoFilter>
  <mergeCells count="1">
    <mergeCell ref="A1:H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7" max="7" width="2.25"/>
    <col customWidth="1" min="8" max="8" width="13.63"/>
  </cols>
  <sheetData>
    <row r="1">
      <c r="A1" s="187" t="s">
        <v>76</v>
      </c>
    </row>
    <row r="2">
      <c r="A2" s="6" t="s">
        <v>81</v>
      </c>
      <c r="B2" s="6"/>
      <c r="C2" s="6" t="s">
        <v>133</v>
      </c>
      <c r="D2" s="6" t="s">
        <v>491</v>
      </c>
      <c r="E2" s="6" t="s">
        <v>489</v>
      </c>
      <c r="F2" s="6" t="s">
        <v>492</v>
      </c>
      <c r="G2" s="20"/>
      <c r="H2" s="20"/>
    </row>
    <row r="3" hidden="1">
      <c r="A3" s="20" t="str">
        <f>'Draft '!C2</f>
        <v>Sleeper Cell </v>
      </c>
      <c r="B3" s="20"/>
      <c r="C3" s="20" t="str">
        <f>'Draft '!D2</f>
        <v>Aaron Rodgers – PIT</v>
      </c>
      <c r="D3" s="188">
        <f>'Draft '!E2</f>
        <v>237.1</v>
      </c>
      <c r="E3" s="189" t="str">
        <f>'Draft '!F2</f>
        <v>QB</v>
      </c>
      <c r="F3" s="188">
        <f>'Draft '!G2</f>
        <v>5</v>
      </c>
      <c r="G3" s="20" t="str">
        <f>'Draft '!H2</f>
        <v/>
      </c>
      <c r="H3" s="20" t="str">
        <f>'Draft '!I2</f>
        <v>1 | 0 | 0 | 0 | 0 | 0</v>
      </c>
      <c r="J3" t="str">
        <f>'Draft '!K2</f>
        <v/>
      </c>
    </row>
    <row r="4" hidden="1">
      <c r="A4" s="20" t="str">
        <f>'Draft '!C3</f>
        <v>Phantasms</v>
      </c>
      <c r="B4" s="190" t="s">
        <v>111</v>
      </c>
      <c r="C4" s="20" t="str">
        <f>'Draft '!D3</f>
        <v>Bijan Robinson – ATL</v>
      </c>
      <c r="D4" s="188">
        <f>'Draft '!E3</f>
        <v>264</v>
      </c>
      <c r="E4" s="189" t="str">
        <f>'Draft '!F3</f>
        <v>RB</v>
      </c>
      <c r="F4" s="188">
        <f>'Draft '!G3</f>
        <v>5</v>
      </c>
      <c r="G4" s="20" t="str">
        <f>'Draft '!H3</f>
        <v/>
      </c>
      <c r="H4" s="20" t="str">
        <f>'Draft '!I3</f>
        <v>0 | 0 | 0 | 0 | 0 | 0</v>
      </c>
    </row>
    <row r="5" hidden="1">
      <c r="A5" s="20" t="str">
        <f>'Draft '!C4</f>
        <v>Icelanders</v>
      </c>
      <c r="B5" s="20"/>
      <c r="C5" s="20" t="str">
        <f>'Draft '!D4</f>
        <v/>
      </c>
      <c r="D5" s="188" t="str">
        <f>'Draft '!E4</f>
        <v/>
      </c>
      <c r="E5" s="189" t="str">
        <f>'Draft '!F4</f>
        <v/>
      </c>
      <c r="F5" s="188" t="str">
        <f>'Draft '!G4</f>
        <v/>
      </c>
      <c r="G5" s="20" t="str">
        <f>'Draft '!H4</f>
        <v/>
      </c>
      <c r="H5" s="20" t="str">
        <f>'Draft '!I4</f>
        <v>0 | 0 | 0 | 0 | 0 | 0</v>
      </c>
    </row>
    <row r="6" hidden="1">
      <c r="A6" s="20" t="str">
        <f>'Draft '!C5</f>
        <v>El Nino</v>
      </c>
      <c r="B6" s="20"/>
      <c r="C6" s="20" t="str">
        <f>'Draft '!D5</f>
        <v/>
      </c>
      <c r="D6" s="188" t="str">
        <f>'Draft '!E5</f>
        <v/>
      </c>
      <c r="E6" s="189" t="str">
        <f>'Draft '!F5</f>
        <v/>
      </c>
      <c r="F6" s="188" t="str">
        <f>'Draft '!G5</f>
        <v/>
      </c>
      <c r="G6" s="20" t="str">
        <f>'Draft '!H5</f>
        <v/>
      </c>
      <c r="H6" s="20" t="str">
        <f>'Draft '!I5</f>
        <v>0 | 0 | 0 | 0 | 0 | 0</v>
      </c>
    </row>
    <row r="7" hidden="1">
      <c r="A7" s="20" t="str">
        <f>'Draft '!C6</f>
        <v>Buttheads</v>
      </c>
      <c r="B7" s="190" t="s">
        <v>111</v>
      </c>
      <c r="C7" s="20" t="str">
        <f>'Draft '!D6</f>
        <v/>
      </c>
      <c r="D7" s="188" t="str">
        <f>'Draft '!E6</f>
        <v/>
      </c>
      <c r="E7" s="189" t="str">
        <f>'Draft '!F6</f>
        <v/>
      </c>
      <c r="F7" s="188" t="str">
        <f>'Draft '!G6</f>
        <v/>
      </c>
      <c r="G7" s="20" t="str">
        <f>'Draft '!H6</f>
        <v/>
      </c>
      <c r="H7" s="20" t="str">
        <f>'Draft '!I6</f>
        <v>0 | 0 | 0 | 0 | 0 | 0</v>
      </c>
    </row>
    <row r="8" hidden="1">
      <c r="A8" s="20" t="str">
        <f>'Draft '!C7</f>
        <v>Big Boys Big Work</v>
      </c>
      <c r="B8" s="20"/>
      <c r="C8" s="20" t="str">
        <f>'Draft '!D7</f>
        <v/>
      </c>
      <c r="D8" s="188" t="str">
        <f>'Draft '!E7</f>
        <v/>
      </c>
      <c r="E8" s="189" t="str">
        <f>'Draft '!F7</f>
        <v/>
      </c>
      <c r="F8" s="188" t="str">
        <f>'Draft '!G7</f>
        <v/>
      </c>
      <c r="G8" s="20" t="str">
        <f>'Draft '!H7</f>
        <v/>
      </c>
      <c r="H8" s="20" t="str">
        <f>'Draft '!I7</f>
        <v>0 | 0 | 0 | 0 | 0 | 0</v>
      </c>
    </row>
    <row r="9" hidden="1">
      <c r="A9" s="20" t="str">
        <f>'Draft '!C8</f>
        <v>Turbo-Ginz</v>
      </c>
      <c r="B9" s="190" t="s">
        <v>111</v>
      </c>
      <c r="C9" s="20" t="str">
        <f>'Draft '!D8</f>
        <v/>
      </c>
      <c r="D9" s="188" t="str">
        <f>'Draft '!E8</f>
        <v/>
      </c>
      <c r="E9" s="189" t="str">
        <f>'Draft '!F8</f>
        <v/>
      </c>
      <c r="F9" s="188" t="str">
        <f>'Draft '!G8</f>
        <v/>
      </c>
      <c r="G9" s="20" t="str">
        <f>'Draft '!H8</f>
        <v/>
      </c>
      <c r="H9" s="20" t="str">
        <f>'Draft '!I8</f>
        <v>0 | 0 | 0 | 0 | 0 | 0</v>
      </c>
    </row>
    <row r="10" hidden="1">
      <c r="A10" s="20" t="str">
        <f>'Draft '!C9</f>
        <v>Luddite</v>
      </c>
      <c r="B10" s="20"/>
      <c r="C10" s="20" t="str">
        <f>'Draft '!D9</f>
        <v/>
      </c>
      <c r="D10" s="188" t="str">
        <f>'Draft '!E9</f>
        <v/>
      </c>
      <c r="E10" s="189" t="str">
        <f>'Draft '!F9</f>
        <v/>
      </c>
      <c r="F10" s="188" t="str">
        <f>'Draft '!G9</f>
        <v/>
      </c>
      <c r="G10" s="20" t="str">
        <f>'Draft '!H9</f>
        <v/>
      </c>
      <c r="H10" s="20" t="str">
        <f>'Draft '!I9</f>
        <v>0 | 0 | 0 | 0 | 0 | 0</v>
      </c>
    </row>
    <row r="11" hidden="1">
      <c r="A11" s="20" t="str">
        <f>'Draft '!C10</f>
        <v>Achaians</v>
      </c>
      <c r="B11" s="20"/>
      <c r="C11" s="20" t="str">
        <f>'Draft '!D10</f>
        <v/>
      </c>
      <c r="D11" s="188" t="str">
        <f>'Draft '!E10</f>
        <v/>
      </c>
      <c r="E11" s="189" t="str">
        <f>'Draft '!F10</f>
        <v/>
      </c>
      <c r="F11" s="188" t="str">
        <f>'Draft '!G10</f>
        <v/>
      </c>
      <c r="G11" s="20" t="str">
        <f>'Draft '!H10</f>
        <v/>
      </c>
      <c r="H11" s="20" t="str">
        <f>'Draft '!I10</f>
        <v>0 | 0 | 0 | 0 | 0 | 0</v>
      </c>
    </row>
    <row r="12" hidden="1">
      <c r="A12" s="20" t="str">
        <f>'Draft '!C11</f>
        <v>Daddy's Dogs</v>
      </c>
      <c r="B12" s="20"/>
      <c r="C12" s="20" t="str">
        <f>'Draft '!D11</f>
        <v/>
      </c>
      <c r="D12" s="188" t="str">
        <f>'Draft '!E11</f>
        <v/>
      </c>
      <c r="E12" s="189" t="str">
        <f>'Draft '!F11</f>
        <v/>
      </c>
      <c r="F12" s="188" t="str">
        <f>'Draft '!G11</f>
        <v/>
      </c>
      <c r="G12" s="20" t="str">
        <f>'Draft '!H11</f>
        <v/>
      </c>
      <c r="H12" s="20" t="str">
        <f>'Draft '!I11</f>
        <v>0 | 0 | 0 | 0 | 0 | 0</v>
      </c>
    </row>
    <row r="13" hidden="1">
      <c r="A13" s="20" t="str">
        <f>'Draft '!C12</f>
        <v>TDs and Beers</v>
      </c>
      <c r="B13" s="20"/>
      <c r="C13" s="20" t="str">
        <f>'Draft '!D12</f>
        <v/>
      </c>
      <c r="D13" s="188" t="str">
        <f>'Draft '!E12</f>
        <v/>
      </c>
      <c r="E13" s="189" t="str">
        <f>'Draft '!F12</f>
        <v/>
      </c>
      <c r="F13" s="188" t="str">
        <f>'Draft '!G12</f>
        <v/>
      </c>
      <c r="G13" s="20" t="str">
        <f>'Draft '!H12</f>
        <v/>
      </c>
      <c r="H13" s="20" t="str">
        <f>'Draft '!I12</f>
        <v>0 | 0 | 0 | 0 | 0 | 0</v>
      </c>
    </row>
    <row r="14" hidden="1">
      <c r="A14" s="20" t="str">
        <f>'Draft '!C13</f>
        <v>DD Riders</v>
      </c>
      <c r="B14" s="20"/>
      <c r="C14" s="20" t="str">
        <f>'Draft '!D13</f>
        <v/>
      </c>
      <c r="D14" s="188" t="str">
        <f>'Draft '!E13</f>
        <v/>
      </c>
      <c r="E14" s="189" t="str">
        <f>'Draft '!F13</f>
        <v/>
      </c>
      <c r="F14" s="188" t="str">
        <f>'Draft '!G13</f>
        <v/>
      </c>
      <c r="G14" s="20" t="str">
        <f>'Draft '!H13</f>
        <v/>
      </c>
      <c r="H14" s="20" t="str">
        <f>'Draft '!I13</f>
        <v>0 | 0 | 0 | 0 | 0 | 0</v>
      </c>
    </row>
    <row r="15">
      <c r="A15" s="20" t="str">
        <f>'Draft '!C14</f>
        <v>Nasty</v>
      </c>
      <c r="B15" s="190" t="s">
        <v>111</v>
      </c>
      <c r="C15" s="20" t="str">
        <f>'Draft '!D14</f>
        <v/>
      </c>
      <c r="D15" s="188" t="str">
        <f>'Draft '!E14</f>
        <v/>
      </c>
      <c r="E15" s="189" t="str">
        <f>'Draft '!F14</f>
        <v/>
      </c>
      <c r="F15" s="188" t="str">
        <f>'Draft '!G14</f>
        <v/>
      </c>
      <c r="G15" s="20" t="str">
        <f>'Draft '!H14</f>
        <v/>
      </c>
      <c r="H15" s="20" t="str">
        <f>'Draft '!I14</f>
        <v>0 | 0 | 0 | 0 | 0 | 0</v>
      </c>
    </row>
    <row r="16" hidden="1">
      <c r="A16" s="20" t="str">
        <f>'Draft '!C15</f>
        <v>Red Hammer</v>
      </c>
      <c r="B16" s="20"/>
      <c r="C16" s="20" t="str">
        <f>'Draft '!D15</f>
        <v/>
      </c>
      <c r="D16" s="188" t="str">
        <f>'Draft '!E15</f>
        <v/>
      </c>
      <c r="E16" s="189" t="str">
        <f>'Draft '!F15</f>
        <v/>
      </c>
      <c r="F16" s="188" t="str">
        <f>'Draft '!G15</f>
        <v/>
      </c>
      <c r="G16" s="20" t="str">
        <f>'Draft '!H15</f>
        <v/>
      </c>
      <c r="H16" s="20" t="str">
        <f>'Draft '!I15</f>
        <v>0 | 0 | 0 | 0 | 0 | 0</v>
      </c>
    </row>
    <row r="17" hidden="1">
      <c r="A17" s="20" t="str">
        <f>'Draft '!C16</f>
        <v>Red Hammer</v>
      </c>
      <c r="B17" s="20"/>
      <c r="C17" s="20" t="str">
        <f>'Draft '!D16</f>
        <v/>
      </c>
      <c r="D17" s="188" t="str">
        <f>'Draft '!E16</f>
        <v/>
      </c>
      <c r="E17" s="189" t="str">
        <f>'Draft '!F16</f>
        <v/>
      </c>
      <c r="F17" s="188" t="str">
        <f>'Draft '!G16</f>
        <v/>
      </c>
      <c r="G17" s="20" t="str">
        <f>'Draft '!H16</f>
        <v/>
      </c>
      <c r="H17" s="20" t="str">
        <f>'Draft '!I16</f>
        <v>0 | 0 | 0 | 0 | 0 | 0</v>
      </c>
    </row>
    <row r="18">
      <c r="A18" s="20" t="str">
        <f>'Draft '!C17</f>
        <v>Nasty</v>
      </c>
      <c r="B18" s="190" t="s">
        <v>111</v>
      </c>
      <c r="C18" s="20" t="str">
        <f>'Draft '!D17</f>
        <v/>
      </c>
      <c r="D18" s="188" t="str">
        <f>'Draft '!E17</f>
        <v/>
      </c>
      <c r="E18" s="189" t="str">
        <f>'Draft '!F17</f>
        <v/>
      </c>
      <c r="F18" s="188" t="str">
        <f>'Draft '!G17</f>
        <v/>
      </c>
      <c r="G18" s="20" t="str">
        <f>'Draft '!H17</f>
        <v/>
      </c>
      <c r="H18" s="20" t="str">
        <f>'Draft '!I17</f>
        <v>0 | 0 | 0 | 0 | 0 | 0</v>
      </c>
    </row>
    <row r="19" hidden="1">
      <c r="A19" s="20" t="str">
        <f>'Draft '!C18</f>
        <v>DD Riders</v>
      </c>
      <c r="B19" s="20"/>
      <c r="C19" s="20" t="str">
        <f>'Draft '!D18</f>
        <v/>
      </c>
      <c r="D19" s="188" t="str">
        <f>'Draft '!E18</f>
        <v/>
      </c>
      <c r="E19" s="189" t="str">
        <f>'Draft '!F18</f>
        <v/>
      </c>
      <c r="F19" s="188" t="str">
        <f>'Draft '!G18</f>
        <v/>
      </c>
      <c r="G19" s="20" t="str">
        <f>'Draft '!H18</f>
        <v/>
      </c>
      <c r="H19" s="20" t="str">
        <f>'Draft '!I18</f>
        <v>0 | 0 | 0 | 0 | 0 | 0</v>
      </c>
    </row>
    <row r="20" hidden="1">
      <c r="A20" s="20" t="str">
        <f>'Draft '!C19</f>
        <v>TDs and Beers</v>
      </c>
      <c r="B20" s="20"/>
      <c r="C20" s="20" t="str">
        <f>'Draft '!D19</f>
        <v/>
      </c>
      <c r="D20" s="188" t="str">
        <f>'Draft '!E19</f>
        <v/>
      </c>
      <c r="E20" s="189" t="str">
        <f>'Draft '!F19</f>
        <v/>
      </c>
      <c r="F20" s="188" t="str">
        <f>'Draft '!G19</f>
        <v/>
      </c>
      <c r="G20" s="20" t="str">
        <f>'Draft '!H19</f>
        <v/>
      </c>
      <c r="H20" s="20" t="str">
        <f>'Draft '!I19</f>
        <v>0 | 0 | 0 | 0 | 0 | 0</v>
      </c>
    </row>
    <row r="21" hidden="1">
      <c r="A21" s="20" t="str">
        <f>'Draft '!C20</f>
        <v>Daddy's Dogs</v>
      </c>
      <c r="B21" s="20"/>
      <c r="C21" s="20" t="str">
        <f>'Draft '!D20</f>
        <v/>
      </c>
      <c r="D21" s="188" t="str">
        <f>'Draft '!E20</f>
        <v/>
      </c>
      <c r="E21" s="189" t="str">
        <f>'Draft '!F20</f>
        <v/>
      </c>
      <c r="F21" s="188" t="str">
        <f>'Draft '!G20</f>
        <v/>
      </c>
      <c r="G21" s="20" t="str">
        <f>'Draft '!H20</f>
        <v/>
      </c>
      <c r="H21" s="20" t="str">
        <f>'Draft '!I20</f>
        <v>0 | 0 | 0 | 0 | 0 | 0</v>
      </c>
    </row>
    <row r="22" hidden="1">
      <c r="A22" s="20" t="str">
        <f>'Draft '!C21</f>
        <v>Achaians</v>
      </c>
      <c r="B22" s="20"/>
      <c r="C22" s="20" t="str">
        <f>'Draft '!D21</f>
        <v/>
      </c>
      <c r="D22" s="188" t="str">
        <f>'Draft '!E21</f>
        <v/>
      </c>
      <c r="E22" s="189" t="str">
        <f>'Draft '!F21</f>
        <v/>
      </c>
      <c r="F22" s="188" t="str">
        <f>'Draft '!G21</f>
        <v/>
      </c>
      <c r="G22" s="20" t="str">
        <f>'Draft '!H21</f>
        <v/>
      </c>
      <c r="H22" s="20" t="str">
        <f>'Draft '!I21</f>
        <v>0 | 0 | 0 | 0 | 0 | 0</v>
      </c>
    </row>
    <row r="23" hidden="1">
      <c r="A23" s="20" t="str">
        <f>'Draft '!C22</f>
        <v>Luddite</v>
      </c>
      <c r="B23" s="20"/>
      <c r="C23" s="20" t="str">
        <f>'Draft '!D22</f>
        <v/>
      </c>
      <c r="D23" s="188" t="str">
        <f>'Draft '!E22</f>
        <v/>
      </c>
      <c r="E23" s="189" t="str">
        <f>'Draft '!F22</f>
        <v/>
      </c>
      <c r="F23" s="188" t="str">
        <f>'Draft '!G22</f>
        <v/>
      </c>
      <c r="G23" s="20" t="str">
        <f>'Draft '!H22</f>
        <v/>
      </c>
      <c r="H23" s="20" t="str">
        <f>'Draft '!I22</f>
        <v>0 | 0 | 0 | 0 | 0 | 0</v>
      </c>
    </row>
    <row r="24" hidden="1">
      <c r="A24" s="20" t="str">
        <f>'Draft '!C23</f>
        <v>Turbo-Ginz</v>
      </c>
      <c r="B24" s="190" t="s">
        <v>115</v>
      </c>
      <c r="C24" s="20" t="str">
        <f>'Draft '!D23</f>
        <v/>
      </c>
      <c r="D24" s="188" t="str">
        <f>'Draft '!E23</f>
        <v/>
      </c>
      <c r="E24" s="189" t="str">
        <f>'Draft '!F23</f>
        <v/>
      </c>
      <c r="F24" s="188" t="str">
        <f>'Draft '!G23</f>
        <v/>
      </c>
      <c r="G24" s="20" t="str">
        <f>'Draft '!H23</f>
        <v/>
      </c>
      <c r="H24" s="20" t="str">
        <f>'Draft '!I23</f>
        <v>0 | 0 | 0 | 0 | 0 | 0</v>
      </c>
    </row>
    <row r="25" hidden="1">
      <c r="A25" s="20" t="str">
        <f>'Draft '!C24</f>
        <v>Big Boys Big Work</v>
      </c>
      <c r="B25" s="20"/>
      <c r="C25" s="20" t="str">
        <f>'Draft '!D24</f>
        <v/>
      </c>
      <c r="D25" s="188" t="str">
        <f>'Draft '!E24</f>
        <v/>
      </c>
      <c r="E25" s="189" t="str">
        <f>'Draft '!F24</f>
        <v/>
      </c>
      <c r="F25" s="188" t="str">
        <f>'Draft '!G24</f>
        <v/>
      </c>
      <c r="G25" s="20" t="str">
        <f>'Draft '!H24</f>
        <v/>
      </c>
      <c r="H25" s="20" t="str">
        <f>'Draft '!I24</f>
        <v>0 | 0 | 0 | 0 | 0 | 0</v>
      </c>
    </row>
    <row r="26" hidden="1">
      <c r="A26" s="20" t="str">
        <f>'Draft '!C25</f>
        <v>Buttheads</v>
      </c>
      <c r="B26" s="190" t="s">
        <v>111</v>
      </c>
      <c r="C26" s="20" t="str">
        <f>'Draft '!D25</f>
        <v/>
      </c>
      <c r="D26" s="188" t="str">
        <f>'Draft '!E25</f>
        <v/>
      </c>
      <c r="E26" s="189" t="str">
        <f>'Draft '!F25</f>
        <v/>
      </c>
      <c r="F26" s="188" t="str">
        <f>'Draft '!G25</f>
        <v/>
      </c>
      <c r="G26" s="20" t="str">
        <f>'Draft '!H25</f>
        <v/>
      </c>
      <c r="H26" s="20" t="str">
        <f>'Draft '!I25</f>
        <v>0 | 0 | 0 | 0 | 0 | 0</v>
      </c>
    </row>
    <row r="27" hidden="1">
      <c r="A27" s="20" t="str">
        <f>'Draft '!C26</f>
        <v>El Nino</v>
      </c>
      <c r="B27" s="20"/>
      <c r="C27" s="20" t="str">
        <f>'Draft '!D26</f>
        <v/>
      </c>
      <c r="D27" s="188" t="str">
        <f>'Draft '!E26</f>
        <v/>
      </c>
      <c r="E27" s="189" t="str">
        <f>'Draft '!F26</f>
        <v/>
      </c>
      <c r="F27" s="188" t="str">
        <f>'Draft '!G26</f>
        <v/>
      </c>
      <c r="G27" s="20" t="str">
        <f>'Draft '!H26</f>
        <v/>
      </c>
      <c r="H27" s="20" t="str">
        <f>'Draft '!I26</f>
        <v>0 | 0 | 0 | 0 | 0 | 0</v>
      </c>
    </row>
    <row r="28" hidden="1">
      <c r="A28" s="20" t="str">
        <f>'Draft '!C27</f>
        <v>Icelanders</v>
      </c>
      <c r="B28" s="20"/>
      <c r="C28" s="20" t="str">
        <f>'Draft '!D27</f>
        <v/>
      </c>
      <c r="D28" s="188" t="str">
        <f>'Draft '!E27</f>
        <v/>
      </c>
      <c r="E28" s="189" t="str">
        <f>'Draft '!F27</f>
        <v/>
      </c>
      <c r="F28" s="188" t="str">
        <f>'Draft '!G27</f>
        <v/>
      </c>
      <c r="G28" s="20" t="str">
        <f>'Draft '!H27</f>
        <v/>
      </c>
      <c r="H28" s="20" t="str">
        <f>'Draft '!I27</f>
        <v>0 | 0 | 0 | 0 | 0 | 0</v>
      </c>
    </row>
    <row r="29" hidden="1">
      <c r="A29" s="20" t="str">
        <f>'Draft '!C28</f>
        <v>Phantasm</v>
      </c>
      <c r="B29" s="190" t="s">
        <v>111</v>
      </c>
      <c r="C29" s="20" t="str">
        <f>'Draft '!D28</f>
        <v/>
      </c>
      <c r="D29" s="188" t="str">
        <f>'Draft '!E28</f>
        <v/>
      </c>
      <c r="E29" s="189" t="str">
        <f>'Draft '!F28</f>
        <v/>
      </c>
      <c r="F29" s="188" t="str">
        <f>'Draft '!G28</f>
        <v/>
      </c>
      <c r="G29" s="20" t="str">
        <f>'Draft '!H28</f>
        <v/>
      </c>
      <c r="H29" s="20" t="str">
        <f>'Draft '!I28</f>
        <v>0 | 0 | 0 | 0 | 0 | 0</v>
      </c>
    </row>
    <row r="30" hidden="1">
      <c r="A30" s="20" t="str">
        <f>'Draft '!C29</f>
        <v>Sleeper Cell </v>
      </c>
      <c r="B30" s="20"/>
      <c r="C30" s="20" t="str">
        <f>'Draft '!D29</f>
        <v/>
      </c>
      <c r="D30" s="188" t="str">
        <f>'Draft '!E29</f>
        <v/>
      </c>
      <c r="E30" s="189" t="str">
        <f>'Draft '!F29</f>
        <v/>
      </c>
      <c r="F30" s="188" t="str">
        <f>'Draft '!G29</f>
        <v/>
      </c>
      <c r="G30" s="20" t="str">
        <f>'Draft '!H29</f>
        <v/>
      </c>
      <c r="H30" s="20" t="str">
        <f>'Draft '!I29</f>
        <v>1 | 0 | 0 | 0 | 0 | 0</v>
      </c>
    </row>
    <row r="31" hidden="1">
      <c r="A31" s="20" t="str">
        <f>'Draft '!C30</f>
        <v>Sleeper Cell </v>
      </c>
      <c r="B31" s="20"/>
      <c r="C31" s="20" t="str">
        <f>'Draft '!D30</f>
        <v/>
      </c>
      <c r="D31" s="188" t="str">
        <f>'Draft '!E30</f>
        <v/>
      </c>
      <c r="E31" s="189" t="str">
        <f>'Draft '!F30</f>
        <v/>
      </c>
      <c r="F31" s="188" t="str">
        <f>'Draft '!G30</f>
        <v/>
      </c>
      <c r="G31" s="20" t="str">
        <f>'Draft '!H30</f>
        <v/>
      </c>
      <c r="H31" s="20" t="str">
        <f>'Draft '!I30</f>
        <v>1 | 0 | 0 | 0 | 0 | 0</v>
      </c>
    </row>
    <row r="32" hidden="1">
      <c r="A32" s="20" t="str">
        <f>'Draft '!C31</f>
        <v>Phantasm</v>
      </c>
      <c r="B32" s="190" t="s">
        <v>115</v>
      </c>
      <c r="C32" s="20" t="str">
        <f>'Draft '!D31</f>
        <v/>
      </c>
      <c r="D32" s="188" t="str">
        <f>'Draft '!E31</f>
        <v/>
      </c>
      <c r="E32" s="189" t="str">
        <f>'Draft '!F31</f>
        <v/>
      </c>
      <c r="F32" s="188" t="str">
        <f>'Draft '!G31</f>
        <v/>
      </c>
      <c r="G32" s="20" t="str">
        <f>'Draft '!H31</f>
        <v/>
      </c>
      <c r="H32" s="20" t="str">
        <f>'Draft '!I31</f>
        <v>0 | 0 | 0 | 0 | 0 | 0</v>
      </c>
    </row>
    <row r="33" hidden="1">
      <c r="A33" s="20" t="str">
        <f>'Draft '!C32</f>
        <v>Icelanders</v>
      </c>
      <c r="B33" s="190" t="s">
        <v>116</v>
      </c>
      <c r="C33" s="20" t="str">
        <f>'Draft '!D32</f>
        <v/>
      </c>
      <c r="D33" s="188" t="str">
        <f>'Draft '!E32</f>
        <v/>
      </c>
      <c r="E33" s="189" t="str">
        <f>'Draft '!F32</f>
        <v/>
      </c>
      <c r="F33" s="188" t="str">
        <f>'Draft '!G32</f>
        <v/>
      </c>
      <c r="G33" s="20" t="str">
        <f>'Draft '!H32</f>
        <v/>
      </c>
      <c r="H33" s="20" t="str">
        <f>'Draft '!I32</f>
        <v>0 | 0 | 0 | 0 | 0 | 0</v>
      </c>
    </row>
    <row r="34" hidden="1">
      <c r="A34" s="20" t="str">
        <f>'Draft '!C33</f>
        <v>El Nino</v>
      </c>
      <c r="B34" s="20"/>
      <c r="C34" s="20" t="str">
        <f>'Draft '!D33</f>
        <v/>
      </c>
      <c r="D34" s="188" t="str">
        <f>'Draft '!E33</f>
        <v/>
      </c>
      <c r="E34" s="189" t="str">
        <f>'Draft '!F33</f>
        <v/>
      </c>
      <c r="F34" s="188" t="str">
        <f>'Draft '!G33</f>
        <v/>
      </c>
      <c r="G34" s="20" t="str">
        <f>'Draft '!H33</f>
        <v/>
      </c>
      <c r="H34" s="20" t="str">
        <f>'Draft '!I33</f>
        <v>0 | 0 | 0 | 0 | 0 | 0</v>
      </c>
    </row>
    <row r="35" hidden="1">
      <c r="A35" s="20" t="str">
        <f>'Draft '!C34</f>
        <v>Buttheads</v>
      </c>
      <c r="B35" s="190" t="s">
        <v>117</v>
      </c>
      <c r="C35" s="20" t="str">
        <f>'Draft '!D34</f>
        <v/>
      </c>
      <c r="D35" s="188" t="str">
        <f>'Draft '!E34</f>
        <v/>
      </c>
      <c r="E35" s="189" t="str">
        <f>'Draft '!F34</f>
        <v/>
      </c>
      <c r="F35" s="188" t="str">
        <f>'Draft '!G34</f>
        <v/>
      </c>
      <c r="G35" s="20" t="str">
        <f>'Draft '!H34</f>
        <v/>
      </c>
      <c r="H35" s="20" t="str">
        <f>'Draft '!I34</f>
        <v>0 | 0 | 0 | 0 | 0 | 0</v>
      </c>
    </row>
    <row r="36" hidden="1">
      <c r="A36" s="20" t="str">
        <f>'Draft '!C35</f>
        <v>Big Boys Big Work</v>
      </c>
      <c r="B36" s="20"/>
      <c r="C36" s="20" t="str">
        <f>'Draft '!D35</f>
        <v/>
      </c>
      <c r="D36" s="188" t="str">
        <f>'Draft '!E35</f>
        <v/>
      </c>
      <c r="E36" s="189" t="str">
        <f>'Draft '!F35</f>
        <v/>
      </c>
      <c r="F36" s="188" t="str">
        <f>'Draft '!G35</f>
        <v/>
      </c>
      <c r="G36" s="20" t="str">
        <f>'Draft '!H35</f>
        <v/>
      </c>
      <c r="H36" s="20" t="str">
        <f>'Draft '!I35</f>
        <v>0 | 0 | 0 | 0 | 0 | 0</v>
      </c>
    </row>
    <row r="37" hidden="1">
      <c r="A37" s="20" t="str">
        <f>'Draft '!C36</f>
        <v>Turbo-Ginz</v>
      </c>
      <c r="B37" s="190" t="s">
        <v>116</v>
      </c>
      <c r="C37" s="20" t="str">
        <f>'Draft '!D36</f>
        <v/>
      </c>
      <c r="D37" s="188" t="str">
        <f>'Draft '!E36</f>
        <v/>
      </c>
      <c r="E37" s="189" t="str">
        <f>'Draft '!F36</f>
        <v/>
      </c>
      <c r="F37" s="188" t="str">
        <f>'Draft '!G36</f>
        <v/>
      </c>
      <c r="G37" s="20" t="str">
        <f>'Draft '!H36</f>
        <v/>
      </c>
      <c r="H37" s="20" t="str">
        <f>'Draft '!I36</f>
        <v>0 | 0 | 0 | 0 | 0 | 0</v>
      </c>
    </row>
    <row r="38" hidden="1">
      <c r="A38" s="20" t="str">
        <f>'Draft '!C37</f>
        <v>Luddite</v>
      </c>
      <c r="B38" s="20"/>
      <c r="C38" s="20" t="str">
        <f>'Draft '!D37</f>
        <v/>
      </c>
      <c r="D38" s="188" t="str">
        <f>'Draft '!E37</f>
        <v/>
      </c>
      <c r="E38" s="189" t="str">
        <f>'Draft '!F37</f>
        <v/>
      </c>
      <c r="F38" s="188" t="str">
        <f>'Draft '!G37</f>
        <v/>
      </c>
      <c r="G38" s="20" t="str">
        <f>'Draft '!H37</f>
        <v/>
      </c>
      <c r="H38" s="20" t="str">
        <f>'Draft '!I37</f>
        <v>0 | 0 | 0 | 0 | 0 | 0</v>
      </c>
    </row>
    <row r="39" hidden="1">
      <c r="A39" s="20" t="str">
        <f>'Draft '!C38</f>
        <v>Achaians</v>
      </c>
      <c r="B39" s="20"/>
      <c r="C39" s="20" t="str">
        <f>'Draft '!D38</f>
        <v/>
      </c>
      <c r="D39" s="188" t="str">
        <f>'Draft '!E38</f>
        <v/>
      </c>
      <c r="E39" s="189" t="str">
        <f>'Draft '!F38</f>
        <v/>
      </c>
      <c r="F39" s="188" t="str">
        <f>'Draft '!G38</f>
        <v/>
      </c>
      <c r="G39" s="20" t="str">
        <f>'Draft '!H38</f>
        <v/>
      </c>
      <c r="H39" s="20" t="str">
        <f>'Draft '!I38</f>
        <v>0 | 0 | 0 | 0 | 0 | 0</v>
      </c>
    </row>
    <row r="40" hidden="1">
      <c r="A40" s="20" t="str">
        <f>'Draft '!C39</f>
        <v>Daddy's Dogs</v>
      </c>
      <c r="B40" s="20"/>
      <c r="C40" s="20" t="str">
        <f>'Draft '!D39</f>
        <v/>
      </c>
      <c r="D40" s="188" t="str">
        <f>'Draft '!E39</f>
        <v/>
      </c>
      <c r="E40" s="189" t="str">
        <f>'Draft '!F39</f>
        <v/>
      </c>
      <c r="F40" s="188" t="str">
        <f>'Draft '!G39</f>
        <v/>
      </c>
      <c r="G40" s="20" t="str">
        <f>'Draft '!H39</f>
        <v/>
      </c>
      <c r="H40" s="20" t="str">
        <f>'Draft '!I39</f>
        <v>0 | 0 | 0 | 0 | 0 | 0</v>
      </c>
    </row>
    <row r="41" hidden="1">
      <c r="A41" s="20" t="str">
        <f>'Draft '!C40</f>
        <v>TDs and Beers</v>
      </c>
      <c r="B41" s="20"/>
      <c r="C41" s="20" t="str">
        <f>'Draft '!D40</f>
        <v/>
      </c>
      <c r="D41" s="188" t="str">
        <f>'Draft '!E40</f>
        <v/>
      </c>
      <c r="E41" s="189" t="str">
        <f>'Draft '!F40</f>
        <v/>
      </c>
      <c r="F41" s="188" t="str">
        <f>'Draft '!G40</f>
        <v/>
      </c>
      <c r="G41" s="20" t="str">
        <f>'Draft '!H40</f>
        <v/>
      </c>
      <c r="H41" s="20" t="str">
        <f>'Draft '!I40</f>
        <v>0 | 0 | 0 | 0 | 0 | 0</v>
      </c>
    </row>
    <row r="42" hidden="1">
      <c r="A42" s="20" t="str">
        <f>'Draft '!C41</f>
        <v>DD Riders</v>
      </c>
      <c r="B42" s="20"/>
      <c r="C42" s="20" t="str">
        <f>'Draft '!D41</f>
        <v/>
      </c>
      <c r="D42" s="188" t="str">
        <f>'Draft '!E41</f>
        <v/>
      </c>
      <c r="E42" s="189" t="str">
        <f>'Draft '!F41</f>
        <v/>
      </c>
      <c r="F42" s="188" t="str">
        <f>'Draft '!G41</f>
        <v/>
      </c>
      <c r="G42" s="20" t="str">
        <f>'Draft '!H41</f>
        <v/>
      </c>
      <c r="H42" s="20" t="str">
        <f>'Draft '!I41</f>
        <v>0 | 0 | 0 | 0 | 0 | 0</v>
      </c>
    </row>
    <row r="43">
      <c r="A43" s="20" t="str">
        <f>'Draft '!C42</f>
        <v>Nasty</v>
      </c>
      <c r="B43" s="190" t="s">
        <v>115</v>
      </c>
      <c r="C43" s="20" t="str">
        <f>'Draft '!D42</f>
        <v/>
      </c>
      <c r="D43" s="188" t="str">
        <f>'Draft '!E42</f>
        <v/>
      </c>
      <c r="E43" s="189" t="str">
        <f>'Draft '!F42</f>
        <v/>
      </c>
      <c r="F43" s="188" t="str">
        <f>'Draft '!G42</f>
        <v/>
      </c>
      <c r="G43" s="20" t="str">
        <f>'Draft '!H42</f>
        <v/>
      </c>
      <c r="H43" s="20" t="str">
        <f>'Draft '!I42</f>
        <v>0 | 0 | 0 | 0 | 0 | 0</v>
      </c>
    </row>
    <row r="44" hidden="1">
      <c r="A44" s="20" t="str">
        <f>'Draft '!C43</f>
        <v>Red Hammer</v>
      </c>
      <c r="B44" s="20"/>
      <c r="C44" s="20" t="str">
        <f>'Draft '!D43</f>
        <v/>
      </c>
      <c r="D44" s="188" t="str">
        <f>'Draft '!E43</f>
        <v/>
      </c>
      <c r="E44" s="189" t="str">
        <f>'Draft '!F43</f>
        <v/>
      </c>
      <c r="F44" s="188" t="str">
        <f>'Draft '!G43</f>
        <v/>
      </c>
      <c r="G44" s="20" t="str">
        <f>'Draft '!H43</f>
        <v/>
      </c>
      <c r="H44" s="20" t="str">
        <f>'Draft '!I43</f>
        <v>0 | 0 | 0 | 0 | 0 | 0</v>
      </c>
    </row>
    <row r="45" hidden="1">
      <c r="A45" s="20" t="str">
        <f>'Draft '!C44</f>
        <v>Red Hammer</v>
      </c>
      <c r="B45" s="20"/>
      <c r="C45" s="20" t="str">
        <f>'Draft '!D44</f>
        <v/>
      </c>
      <c r="D45" s="188" t="str">
        <f>'Draft '!E44</f>
        <v/>
      </c>
      <c r="E45" s="189" t="str">
        <f>'Draft '!F44</f>
        <v/>
      </c>
      <c r="F45" s="188" t="str">
        <f>'Draft '!G44</f>
        <v/>
      </c>
      <c r="G45" s="20" t="str">
        <f>'Draft '!H44</f>
        <v/>
      </c>
      <c r="H45" s="20" t="str">
        <f>'Draft '!I44</f>
        <v>0 | 0 | 0 | 0 | 0 | 0</v>
      </c>
    </row>
    <row r="46">
      <c r="A46" s="20" t="str">
        <f>'Draft '!C45</f>
        <v>Nasty</v>
      </c>
      <c r="B46" s="190" t="s">
        <v>116</v>
      </c>
      <c r="C46" s="20" t="str">
        <f>'Draft '!D45</f>
        <v/>
      </c>
      <c r="D46" s="188" t="str">
        <f>'Draft '!E45</f>
        <v/>
      </c>
      <c r="E46" s="189" t="str">
        <f>'Draft '!F45</f>
        <v/>
      </c>
      <c r="F46" s="188" t="str">
        <f>'Draft '!G45</f>
        <v/>
      </c>
      <c r="G46" s="20" t="str">
        <f>'Draft '!H45</f>
        <v/>
      </c>
      <c r="H46" s="20" t="str">
        <f>'Draft '!I45</f>
        <v>0 | 0 | 0 | 0 | 0 | 0</v>
      </c>
    </row>
    <row r="47" hidden="1">
      <c r="A47" s="20" t="str">
        <f>'Draft '!C46</f>
        <v>DD Riders</v>
      </c>
      <c r="B47" s="20"/>
      <c r="C47" s="20" t="str">
        <f>'Draft '!D46</f>
        <v/>
      </c>
      <c r="D47" s="188" t="str">
        <f>'Draft '!E46</f>
        <v/>
      </c>
      <c r="E47" s="189" t="str">
        <f>'Draft '!F46</f>
        <v/>
      </c>
      <c r="F47" s="188" t="str">
        <f>'Draft '!G46</f>
        <v/>
      </c>
      <c r="G47" s="20" t="str">
        <f>'Draft '!H46</f>
        <v/>
      </c>
      <c r="H47" s="20" t="str">
        <f>'Draft '!I46</f>
        <v>0 | 0 | 0 | 0 | 0 | 0</v>
      </c>
    </row>
    <row r="48" hidden="1">
      <c r="A48" s="20" t="str">
        <f>'Draft '!C47</f>
        <v>TDs and Beers</v>
      </c>
      <c r="B48" s="20"/>
      <c r="C48" s="20" t="str">
        <f>'Draft '!D47</f>
        <v/>
      </c>
      <c r="D48" s="188" t="str">
        <f>'Draft '!E47</f>
        <v/>
      </c>
      <c r="E48" s="189" t="str">
        <f>'Draft '!F47</f>
        <v/>
      </c>
      <c r="F48" s="188" t="str">
        <f>'Draft '!G47</f>
        <v/>
      </c>
      <c r="G48" s="20" t="str">
        <f>'Draft '!H47</f>
        <v/>
      </c>
      <c r="H48" s="20" t="str">
        <f>'Draft '!I47</f>
        <v>0 | 0 | 0 | 0 | 0 | 0</v>
      </c>
    </row>
    <row r="49" hidden="1">
      <c r="A49" s="20" t="str">
        <f>'Draft '!C48</f>
        <v>Daddy's Dogs</v>
      </c>
      <c r="B49" s="20"/>
      <c r="C49" s="20" t="str">
        <f>'Draft '!D48</f>
        <v/>
      </c>
      <c r="D49" s="188" t="str">
        <f>'Draft '!E48</f>
        <v/>
      </c>
      <c r="E49" s="189" t="str">
        <f>'Draft '!F48</f>
        <v/>
      </c>
      <c r="F49" s="188" t="str">
        <f>'Draft '!G48</f>
        <v/>
      </c>
      <c r="G49" s="20" t="str">
        <f>'Draft '!H48</f>
        <v/>
      </c>
      <c r="H49" s="20" t="str">
        <f>'Draft '!I48</f>
        <v>0 | 0 | 0 | 0 | 0 | 0</v>
      </c>
    </row>
    <row r="50" hidden="1">
      <c r="A50" s="20" t="str">
        <f>'Draft '!C49</f>
        <v>Achaians</v>
      </c>
      <c r="B50" s="20"/>
      <c r="C50" s="20" t="str">
        <f>'Draft '!D49</f>
        <v/>
      </c>
      <c r="D50" s="188" t="str">
        <f>'Draft '!E49</f>
        <v/>
      </c>
      <c r="E50" s="189" t="str">
        <f>'Draft '!F49</f>
        <v/>
      </c>
      <c r="F50" s="188" t="str">
        <f>'Draft '!G49</f>
        <v/>
      </c>
      <c r="G50" s="20" t="str">
        <f>'Draft '!H49</f>
        <v/>
      </c>
      <c r="H50" s="20" t="str">
        <f>'Draft '!I49</f>
        <v>0 | 0 | 0 | 0 | 0 | 0</v>
      </c>
    </row>
    <row r="51" hidden="1">
      <c r="A51" s="20" t="str">
        <f>'Draft '!C50</f>
        <v>Luddite</v>
      </c>
      <c r="B51" s="20"/>
      <c r="C51" s="20" t="str">
        <f>'Draft '!D50</f>
        <v/>
      </c>
      <c r="D51" s="188" t="str">
        <f>'Draft '!E50</f>
        <v/>
      </c>
      <c r="E51" s="189" t="str">
        <f>'Draft '!F50</f>
        <v/>
      </c>
      <c r="F51" s="188" t="str">
        <f>'Draft '!G50</f>
        <v/>
      </c>
      <c r="G51" s="20" t="str">
        <f>'Draft '!H50</f>
        <v/>
      </c>
      <c r="H51" s="20" t="str">
        <f>'Draft '!I50</f>
        <v>0 | 0 | 0 | 0 | 0 | 0</v>
      </c>
    </row>
    <row r="52" hidden="1">
      <c r="A52" s="20" t="str">
        <f>'Draft '!C51</f>
        <v>Turbo-Ginz</v>
      </c>
      <c r="B52" s="190" t="s">
        <v>117</v>
      </c>
      <c r="C52" s="20" t="str">
        <f>'Draft '!D51</f>
        <v/>
      </c>
      <c r="D52" s="188" t="str">
        <f>'Draft '!E51</f>
        <v/>
      </c>
      <c r="E52" s="189" t="str">
        <f>'Draft '!F51</f>
        <v/>
      </c>
      <c r="F52" s="188" t="str">
        <f>'Draft '!G51</f>
        <v/>
      </c>
      <c r="G52" s="20" t="str">
        <f>'Draft '!H51</f>
        <v/>
      </c>
      <c r="H52" s="20" t="str">
        <f>'Draft '!I51</f>
        <v>0 | 0 | 0 | 0 | 0 | 0</v>
      </c>
    </row>
    <row r="53" hidden="1">
      <c r="A53" s="20" t="str">
        <f>'Draft '!C52</f>
        <v>Big Boys Big Work</v>
      </c>
      <c r="B53" s="20"/>
      <c r="C53" s="20" t="str">
        <f>'Draft '!D52</f>
        <v/>
      </c>
      <c r="D53" s="188" t="str">
        <f>'Draft '!E52</f>
        <v/>
      </c>
      <c r="E53" s="189" t="str">
        <f>'Draft '!F52</f>
        <v/>
      </c>
      <c r="F53" s="188" t="str">
        <f>'Draft '!G52</f>
        <v/>
      </c>
      <c r="G53" s="20" t="str">
        <f>'Draft '!H52</f>
        <v/>
      </c>
      <c r="H53" s="20" t="str">
        <f>'Draft '!I52</f>
        <v>0 | 0 | 0 | 0 | 0 | 0</v>
      </c>
    </row>
    <row r="54" hidden="1">
      <c r="A54" s="20" t="str">
        <f>'Draft '!C53</f>
        <v>Buttheads</v>
      </c>
      <c r="B54" s="190" t="s">
        <v>118</v>
      </c>
      <c r="C54" s="20" t="str">
        <f>'Draft '!D53</f>
        <v/>
      </c>
      <c r="D54" s="188" t="str">
        <f>'Draft '!E53</f>
        <v/>
      </c>
      <c r="E54" s="189" t="str">
        <f>'Draft '!F53</f>
        <v/>
      </c>
      <c r="F54" s="188" t="str">
        <f>'Draft '!G53</f>
        <v/>
      </c>
      <c r="G54" s="20" t="str">
        <f>'Draft '!H53</f>
        <v/>
      </c>
      <c r="H54" s="20" t="str">
        <f>'Draft '!I53</f>
        <v>0 | 0 | 0 | 0 | 0 | 0</v>
      </c>
    </row>
    <row r="55" hidden="1">
      <c r="A55" s="20" t="str">
        <f>'Draft '!C54</f>
        <v>El Nino</v>
      </c>
      <c r="B55" s="20"/>
      <c r="C55" s="20" t="str">
        <f>'Draft '!D54</f>
        <v/>
      </c>
      <c r="D55" s="188" t="str">
        <f>'Draft '!E54</f>
        <v/>
      </c>
      <c r="E55" s="189" t="str">
        <f>'Draft '!F54</f>
        <v/>
      </c>
      <c r="F55" s="188" t="str">
        <f>'Draft '!G54</f>
        <v/>
      </c>
      <c r="G55" s="20" t="str">
        <f>'Draft '!H54</f>
        <v/>
      </c>
      <c r="H55" s="20" t="str">
        <f>'Draft '!I54</f>
        <v>0 | 0 | 0 | 0 | 0 | 0</v>
      </c>
    </row>
    <row r="56" hidden="1">
      <c r="A56" s="20" t="str">
        <f>'Draft '!C55</f>
        <v>Icelanders</v>
      </c>
      <c r="B56" s="20"/>
      <c r="C56" s="20" t="str">
        <f>'Draft '!D55</f>
        <v/>
      </c>
      <c r="D56" s="188" t="str">
        <f>'Draft '!E55</f>
        <v/>
      </c>
      <c r="E56" s="189" t="str">
        <f>'Draft '!F55</f>
        <v/>
      </c>
      <c r="F56" s="188" t="str">
        <f>'Draft '!G55</f>
        <v/>
      </c>
      <c r="G56" s="20" t="str">
        <f>'Draft '!H55</f>
        <v/>
      </c>
      <c r="H56" s="20" t="str">
        <f>'Draft '!I55</f>
        <v>0 | 0 | 0 | 0 | 0 | 0</v>
      </c>
    </row>
    <row r="57" hidden="1">
      <c r="A57" s="20" t="str">
        <f>'Draft '!C56</f>
        <v>Phantasm</v>
      </c>
      <c r="B57" s="190" t="s">
        <v>116</v>
      </c>
      <c r="C57" s="20" t="str">
        <f>'Draft '!D56</f>
        <v/>
      </c>
      <c r="D57" s="188" t="str">
        <f>'Draft '!E56</f>
        <v/>
      </c>
      <c r="E57" s="189" t="str">
        <f>'Draft '!F56</f>
        <v/>
      </c>
      <c r="F57" s="188" t="str">
        <f>'Draft '!G56</f>
        <v/>
      </c>
      <c r="G57" s="20" t="str">
        <f>'Draft '!H56</f>
        <v/>
      </c>
      <c r="H57" s="20" t="str">
        <f>'Draft '!I56</f>
        <v>0 | 0 | 0 | 0 | 0 | 0</v>
      </c>
    </row>
    <row r="58" hidden="1">
      <c r="A58" s="20" t="str">
        <f>'Draft '!C57</f>
        <v>Sleeper Cell </v>
      </c>
      <c r="B58" s="20"/>
      <c r="C58" s="20" t="str">
        <f>'Draft '!D57</f>
        <v/>
      </c>
      <c r="D58" s="188" t="str">
        <f>'Draft '!E57</f>
        <v/>
      </c>
      <c r="E58" s="189" t="str">
        <f>'Draft '!F57</f>
        <v/>
      </c>
      <c r="F58" s="188" t="str">
        <f>'Draft '!G57</f>
        <v/>
      </c>
      <c r="G58" s="20" t="str">
        <f>'Draft '!H57</f>
        <v/>
      </c>
      <c r="H58" s="20" t="str">
        <f>'Draft '!I57</f>
        <v>1 | 0 | 0 | 0 | 0 | 0</v>
      </c>
    </row>
    <row r="59" hidden="1">
      <c r="A59" s="20" t="str">
        <f>'Draft '!C58</f>
        <v>Sleeper Cell </v>
      </c>
      <c r="B59" s="20"/>
      <c r="C59" s="20" t="str">
        <f>'Draft '!D58</f>
        <v/>
      </c>
      <c r="D59" s="188" t="str">
        <f>'Draft '!E58</f>
        <v/>
      </c>
      <c r="E59" s="189" t="str">
        <f>'Draft '!F58</f>
        <v/>
      </c>
      <c r="F59" s="188" t="str">
        <f>'Draft '!G58</f>
        <v/>
      </c>
      <c r="G59" s="20" t="str">
        <f>'Draft '!H58</f>
        <v/>
      </c>
      <c r="H59" s="20" t="str">
        <f>'Draft '!I58</f>
        <v>1 | 0 | 0 | 0 | 0 | 0</v>
      </c>
    </row>
    <row r="60" hidden="1">
      <c r="A60" s="20" t="str">
        <f>'Draft '!C59</f>
        <v>Buttheads</v>
      </c>
      <c r="B60" s="190" t="s">
        <v>117</v>
      </c>
      <c r="C60" s="20" t="str">
        <f>'Draft '!D59</f>
        <v/>
      </c>
      <c r="D60" s="188" t="str">
        <f>'Draft '!E59</f>
        <v/>
      </c>
      <c r="E60" s="189" t="str">
        <f>'Draft '!F59</f>
        <v/>
      </c>
      <c r="F60" s="188" t="str">
        <f>'Draft '!G59</f>
        <v/>
      </c>
      <c r="G60" s="20" t="str">
        <f>'Draft '!H59</f>
        <v/>
      </c>
      <c r="H60" s="20" t="str">
        <f>'Draft '!I59</f>
        <v>0 | 0 | 0 | 0 | 0 | 0</v>
      </c>
    </row>
    <row r="61" hidden="1">
      <c r="A61" s="20" t="str">
        <f>'Draft '!C60</f>
        <v>Buttheads</v>
      </c>
      <c r="B61" s="20"/>
      <c r="C61" s="20" t="str">
        <f>'Draft '!D60</f>
        <v/>
      </c>
      <c r="D61" s="188" t="str">
        <f>'Draft '!E60</f>
        <v/>
      </c>
      <c r="E61" s="189" t="str">
        <f>'Draft '!F60</f>
        <v/>
      </c>
      <c r="F61" s="188" t="str">
        <f>'Draft '!G60</f>
        <v/>
      </c>
      <c r="G61" s="20" t="str">
        <f>'Draft '!H60</f>
        <v/>
      </c>
      <c r="H61" s="20" t="str">
        <f>'Draft '!I60</f>
        <v>0 | 0 | 0 | 0 | 0 | 0</v>
      </c>
    </row>
    <row r="62" hidden="1">
      <c r="A62" s="20" t="str">
        <f>'Draft '!C61</f>
        <v>El Nino</v>
      </c>
      <c r="B62" s="20"/>
      <c r="C62" s="20" t="str">
        <f>'Draft '!D61</f>
        <v/>
      </c>
      <c r="D62" s="188" t="str">
        <f>'Draft '!E61</f>
        <v/>
      </c>
      <c r="E62" s="189" t="str">
        <f>'Draft '!F61</f>
        <v/>
      </c>
      <c r="F62" s="188" t="str">
        <f>'Draft '!G61</f>
        <v/>
      </c>
      <c r="G62" s="20" t="str">
        <f>'Draft '!H61</f>
        <v/>
      </c>
      <c r="H62" s="20" t="str">
        <f>'Draft '!I61</f>
        <v>0 | 0 | 0 | 0 | 0 | 0</v>
      </c>
    </row>
    <row r="63" hidden="1">
      <c r="A63" s="20" t="str">
        <f>'Draft '!C62</f>
        <v>Buttheads</v>
      </c>
      <c r="B63" s="190" t="s">
        <v>119</v>
      </c>
      <c r="C63" s="20" t="str">
        <f>'Draft '!D62</f>
        <v/>
      </c>
      <c r="D63" s="188" t="str">
        <f>'Draft '!E62</f>
        <v/>
      </c>
      <c r="E63" s="189" t="str">
        <f>'Draft '!F62</f>
        <v/>
      </c>
      <c r="F63" s="188" t="str">
        <f>'Draft '!G62</f>
        <v/>
      </c>
      <c r="G63" s="20" t="str">
        <f>'Draft '!H62</f>
        <v/>
      </c>
      <c r="H63" s="20" t="str">
        <f>'Draft '!I62</f>
        <v>0 | 0 | 0 | 0 | 0 | 0</v>
      </c>
    </row>
    <row r="64" hidden="1">
      <c r="A64" s="20" t="str">
        <f>'Draft '!C63</f>
        <v>Big Boys Big Work</v>
      </c>
      <c r="B64" s="20"/>
      <c r="C64" s="20" t="str">
        <f>'Draft '!D63</f>
        <v/>
      </c>
      <c r="D64" s="188" t="str">
        <f>'Draft '!E63</f>
        <v/>
      </c>
      <c r="E64" s="189" t="str">
        <f>'Draft '!F63</f>
        <v/>
      </c>
      <c r="F64" s="188" t="str">
        <f>'Draft '!G63</f>
        <v/>
      </c>
      <c r="G64" s="20" t="str">
        <f>'Draft '!H63</f>
        <v/>
      </c>
      <c r="H64" s="20" t="str">
        <f>'Draft '!I63</f>
        <v>0 | 0 | 0 | 0 | 0 | 0</v>
      </c>
    </row>
    <row r="65" hidden="1">
      <c r="A65" s="20" t="str">
        <f>'Draft '!C64</f>
        <v>Turbo-Ginz</v>
      </c>
      <c r="B65" s="190" t="s">
        <v>118</v>
      </c>
      <c r="C65" s="20" t="str">
        <f>'Draft '!D64</f>
        <v/>
      </c>
      <c r="D65" s="188" t="str">
        <f>'Draft '!E64</f>
        <v/>
      </c>
      <c r="E65" s="189" t="str">
        <f>'Draft '!F64</f>
        <v/>
      </c>
      <c r="F65" s="188" t="str">
        <f>'Draft '!G64</f>
        <v/>
      </c>
      <c r="G65" s="20" t="str">
        <f>'Draft '!H64</f>
        <v/>
      </c>
      <c r="H65" s="20" t="str">
        <f>'Draft '!I64</f>
        <v>0 | 0 | 0 | 0 | 0 | 0</v>
      </c>
    </row>
    <row r="66" hidden="1">
      <c r="A66" s="20" t="str">
        <f>'Draft '!C65</f>
        <v>Luddite</v>
      </c>
      <c r="B66" s="20"/>
      <c r="C66" s="20" t="str">
        <f>'Draft '!D65</f>
        <v/>
      </c>
      <c r="D66" s="188" t="str">
        <f>'Draft '!E65</f>
        <v/>
      </c>
      <c r="E66" s="189" t="str">
        <f>'Draft '!F65</f>
        <v/>
      </c>
      <c r="F66" s="188" t="str">
        <f>'Draft '!G65</f>
        <v/>
      </c>
      <c r="G66" s="20" t="str">
        <f>'Draft '!H65</f>
        <v/>
      </c>
      <c r="H66" s="20" t="str">
        <f>'Draft '!I65</f>
        <v>0 | 0 | 0 | 0 | 0 | 0</v>
      </c>
    </row>
    <row r="67" hidden="1">
      <c r="A67" s="20" t="str">
        <f>'Draft '!C66</f>
        <v>Achaians</v>
      </c>
      <c r="B67" s="20"/>
      <c r="C67" s="20" t="str">
        <f>'Draft '!D66</f>
        <v/>
      </c>
      <c r="D67" s="188" t="str">
        <f>'Draft '!E66</f>
        <v/>
      </c>
      <c r="E67" s="189" t="str">
        <f>'Draft '!F66</f>
        <v/>
      </c>
      <c r="F67" s="188" t="str">
        <f>'Draft '!G66</f>
        <v/>
      </c>
      <c r="G67" s="20" t="str">
        <f>'Draft '!H66</f>
        <v/>
      </c>
      <c r="H67" s="20" t="str">
        <f>'Draft '!I66</f>
        <v>0 | 0 | 0 | 0 | 0 | 0</v>
      </c>
    </row>
    <row r="68" hidden="1">
      <c r="A68" s="20" t="str">
        <f>'Draft '!C67</f>
        <v>Daddy's Dogs</v>
      </c>
      <c r="B68" s="20"/>
      <c r="C68" s="20" t="str">
        <f>'Draft '!D67</f>
        <v/>
      </c>
      <c r="D68" s="188" t="str">
        <f>'Draft '!E67</f>
        <v/>
      </c>
      <c r="E68" s="189" t="str">
        <f>'Draft '!F67</f>
        <v/>
      </c>
      <c r="F68" s="188" t="str">
        <f>'Draft '!G67</f>
        <v/>
      </c>
      <c r="G68" s="20" t="str">
        <f>'Draft '!H67</f>
        <v/>
      </c>
      <c r="H68" s="20" t="str">
        <f>'Draft '!I67</f>
        <v>0 | 0 | 0 | 0 | 0 | 0</v>
      </c>
    </row>
    <row r="69" hidden="1">
      <c r="A69" s="20" t="str">
        <f>'Draft '!C68</f>
        <v>TDs and Beers</v>
      </c>
      <c r="B69" s="20"/>
      <c r="C69" s="20" t="str">
        <f>'Draft '!D68</f>
        <v/>
      </c>
      <c r="D69" s="188" t="str">
        <f>'Draft '!E68</f>
        <v/>
      </c>
      <c r="E69" s="189" t="str">
        <f>'Draft '!F68</f>
        <v/>
      </c>
      <c r="F69" s="188" t="str">
        <f>'Draft '!G68</f>
        <v/>
      </c>
      <c r="G69" s="20" t="str">
        <f>'Draft '!H68</f>
        <v/>
      </c>
      <c r="H69" s="20" t="str">
        <f>'Draft '!I68</f>
        <v>0 | 0 | 0 | 0 | 0 | 0</v>
      </c>
    </row>
    <row r="70" hidden="1">
      <c r="A70" s="20" t="str">
        <f>'Draft '!C69</f>
        <v>DD Riders</v>
      </c>
      <c r="B70" s="20"/>
      <c r="C70" s="20" t="str">
        <f>'Draft '!D69</f>
        <v/>
      </c>
      <c r="D70" s="188" t="str">
        <f>'Draft '!E69</f>
        <v/>
      </c>
      <c r="E70" s="189" t="str">
        <f>'Draft '!F69</f>
        <v/>
      </c>
      <c r="F70" s="188" t="str">
        <f>'Draft '!G69</f>
        <v/>
      </c>
      <c r="G70" s="20" t="str">
        <f>'Draft '!H69</f>
        <v/>
      </c>
      <c r="H70" s="20" t="str">
        <f>'Draft '!I69</f>
        <v>0 | 0 | 0 | 0 | 0 | 0</v>
      </c>
    </row>
    <row r="71">
      <c r="A71" s="20" t="str">
        <f>'Draft '!C70</f>
        <v>Nasty</v>
      </c>
      <c r="B71" s="190" t="s">
        <v>117</v>
      </c>
      <c r="C71" s="20" t="str">
        <f>'Draft '!D70</f>
        <v/>
      </c>
      <c r="D71" s="188" t="str">
        <f>'Draft '!E70</f>
        <v/>
      </c>
      <c r="E71" s="189" t="str">
        <f>'Draft '!F70</f>
        <v/>
      </c>
      <c r="F71" s="188" t="str">
        <f>'Draft '!G70</f>
        <v/>
      </c>
      <c r="G71" s="20" t="str">
        <f>'Draft '!H70</f>
        <v/>
      </c>
      <c r="H71" s="20" t="str">
        <f>'Draft '!I70</f>
        <v>0 | 0 | 0 | 0 | 0 | 0</v>
      </c>
    </row>
    <row r="72" hidden="1">
      <c r="A72" s="20" t="str">
        <f>'Draft '!C71</f>
        <v>Red Hammer</v>
      </c>
      <c r="B72" s="20"/>
      <c r="C72" s="20" t="str">
        <f>'Draft '!D71</f>
        <v/>
      </c>
      <c r="D72" s="188" t="str">
        <f>'Draft '!E71</f>
        <v/>
      </c>
      <c r="E72" s="189" t="str">
        <f>'Draft '!F71</f>
        <v/>
      </c>
      <c r="F72" s="188" t="str">
        <f>'Draft '!G71</f>
        <v/>
      </c>
      <c r="G72" s="20" t="str">
        <f>'Draft '!H71</f>
        <v/>
      </c>
      <c r="H72" s="20" t="str">
        <f>'Draft '!I71</f>
        <v>0 | 0 | 0 | 0 | 0 | 0</v>
      </c>
    </row>
    <row r="73" hidden="1">
      <c r="A73" s="20" t="str">
        <f>'Draft '!C72</f>
        <v>Red Hammer</v>
      </c>
      <c r="B73" s="20"/>
      <c r="C73" s="20" t="str">
        <f>'Draft '!D72</f>
        <v/>
      </c>
      <c r="D73" s="188" t="str">
        <f>'Draft '!E72</f>
        <v/>
      </c>
      <c r="E73" s="189" t="str">
        <f>'Draft '!F72</f>
        <v/>
      </c>
      <c r="F73" s="188" t="str">
        <f>'Draft '!G72</f>
        <v/>
      </c>
      <c r="G73" s="20" t="str">
        <f>'Draft '!H72</f>
        <v/>
      </c>
      <c r="H73" s="20" t="str">
        <f>'Draft '!I72</f>
        <v>0 | 0 | 0 | 0 | 0 | 0</v>
      </c>
    </row>
    <row r="74">
      <c r="A74" s="20" t="str">
        <f>'Draft '!C73</f>
        <v>Nasty</v>
      </c>
      <c r="B74" s="190" t="s">
        <v>118</v>
      </c>
      <c r="C74" s="20" t="str">
        <f>'Draft '!D73</f>
        <v/>
      </c>
      <c r="D74" s="188" t="str">
        <f>'Draft '!E73</f>
        <v/>
      </c>
      <c r="E74" s="189" t="str">
        <f>'Draft '!F73</f>
        <v/>
      </c>
      <c r="F74" s="188" t="str">
        <f>'Draft '!G73</f>
        <v/>
      </c>
      <c r="G74" s="20" t="str">
        <f>'Draft '!H73</f>
        <v/>
      </c>
      <c r="H74" s="20" t="str">
        <f>'Draft '!I73</f>
        <v>0 | 0 | 0 | 0 | 0 | 0</v>
      </c>
    </row>
    <row r="75" hidden="1">
      <c r="A75" s="20" t="str">
        <f>'Draft '!C74</f>
        <v>DD Riders</v>
      </c>
      <c r="B75" s="20"/>
      <c r="C75" s="20" t="str">
        <f>'Draft '!D74</f>
        <v/>
      </c>
      <c r="D75" s="188" t="str">
        <f>'Draft '!E74</f>
        <v/>
      </c>
      <c r="E75" s="189" t="str">
        <f>'Draft '!F74</f>
        <v/>
      </c>
      <c r="F75" s="188" t="str">
        <f>'Draft '!G74</f>
        <v/>
      </c>
      <c r="G75" s="20" t="str">
        <f>'Draft '!H74</f>
        <v/>
      </c>
      <c r="H75" s="20" t="str">
        <f>'Draft '!I74</f>
        <v>0 | 0 | 0 | 0 | 0 | 0</v>
      </c>
    </row>
    <row r="76" hidden="1">
      <c r="A76" s="20" t="str">
        <f>'Draft '!C75</f>
        <v>TDs and Beers</v>
      </c>
      <c r="B76" s="20"/>
      <c r="C76" s="20" t="str">
        <f>'Draft '!D75</f>
        <v/>
      </c>
      <c r="D76" s="188" t="str">
        <f>'Draft '!E75</f>
        <v/>
      </c>
      <c r="E76" s="189" t="str">
        <f>'Draft '!F75</f>
        <v/>
      </c>
      <c r="F76" s="188" t="str">
        <f>'Draft '!G75</f>
        <v/>
      </c>
      <c r="G76" s="20" t="str">
        <f>'Draft '!H75</f>
        <v/>
      </c>
      <c r="H76" s="20" t="str">
        <f>'Draft '!I75</f>
        <v>0 | 0 | 0 | 0 | 0 | 0</v>
      </c>
    </row>
    <row r="77" hidden="1">
      <c r="A77" s="20" t="str">
        <f>'Draft '!C76</f>
        <v>Daddy's Dogs</v>
      </c>
      <c r="B77" s="20"/>
      <c r="C77" s="20" t="str">
        <f>'Draft '!D76</f>
        <v/>
      </c>
      <c r="D77" s="188" t="str">
        <f>'Draft '!E76</f>
        <v/>
      </c>
      <c r="E77" s="189" t="str">
        <f>'Draft '!F76</f>
        <v/>
      </c>
      <c r="F77" s="188" t="str">
        <f>'Draft '!G76</f>
        <v/>
      </c>
      <c r="G77" s="20" t="str">
        <f>'Draft '!H76</f>
        <v/>
      </c>
      <c r="H77" s="20" t="str">
        <f>'Draft '!I76</f>
        <v>0 | 0 | 0 | 0 | 0 | 0</v>
      </c>
    </row>
    <row r="78" hidden="1">
      <c r="A78" s="20" t="str">
        <f>'Draft '!C77</f>
        <v>Achaians</v>
      </c>
      <c r="B78" s="20"/>
      <c r="C78" s="20" t="str">
        <f>'Draft '!D77</f>
        <v/>
      </c>
      <c r="D78" s="188" t="str">
        <f>'Draft '!E77</f>
        <v/>
      </c>
      <c r="E78" s="189" t="str">
        <f>'Draft '!F77</f>
        <v/>
      </c>
      <c r="F78" s="188" t="str">
        <f>'Draft '!G77</f>
        <v/>
      </c>
      <c r="G78" s="20"/>
      <c r="H78" s="20" t="str">
        <f>'Draft '!I77</f>
        <v>0 | 0 | 0 | 0 | 0 | 0</v>
      </c>
    </row>
    <row r="79" hidden="1">
      <c r="A79" s="20" t="str">
        <f>'Draft '!C78</f>
        <v>Phantasm</v>
      </c>
      <c r="B79" s="20"/>
      <c r="C79" s="20" t="str">
        <f>'Draft '!D78</f>
        <v/>
      </c>
      <c r="D79" s="188" t="str">
        <f>'Draft '!E78</f>
        <v/>
      </c>
      <c r="E79" s="189" t="str">
        <f>'Draft '!F78</f>
        <v/>
      </c>
      <c r="F79" s="188" t="str">
        <f>'Draft '!G78</f>
        <v/>
      </c>
      <c r="G79" s="20"/>
      <c r="H79" s="20" t="str">
        <f>'Draft '!I78</f>
        <v>0 | 0 | 0 | 0 | 0 | 0</v>
      </c>
    </row>
    <row r="80" hidden="1">
      <c r="A80" s="20" t="str">
        <f>'Draft '!C79</f>
        <v>Turbo-Ginz</v>
      </c>
      <c r="B80" s="190" t="s">
        <v>119</v>
      </c>
      <c r="C80" s="20" t="str">
        <f>'Draft '!D79</f>
        <v/>
      </c>
      <c r="D80" s="188" t="str">
        <f>'Draft '!E79</f>
        <v/>
      </c>
      <c r="E80" s="189" t="str">
        <f>'Draft '!F79</f>
        <v/>
      </c>
      <c r="F80" s="188" t="str">
        <f>'Draft '!G79</f>
        <v/>
      </c>
      <c r="G80" s="20"/>
      <c r="H80" s="20" t="str">
        <f>'Draft '!I79</f>
        <v>0 | 0 | 0 | 0 | 0 | 0</v>
      </c>
    </row>
    <row r="81" hidden="1">
      <c r="A81" s="20" t="str">
        <f>'Draft '!C80</f>
        <v>Big Boys Big Work</v>
      </c>
      <c r="B81" s="20"/>
      <c r="C81" s="20" t="str">
        <f>'Draft '!D80</f>
        <v/>
      </c>
      <c r="D81" s="188" t="str">
        <f>'Draft '!E80</f>
        <v/>
      </c>
      <c r="E81" s="189" t="str">
        <f>'Draft '!F80</f>
        <v/>
      </c>
      <c r="F81" s="188" t="str">
        <f>'Draft '!G80</f>
        <v/>
      </c>
      <c r="G81" s="20"/>
      <c r="H81" s="20" t="str">
        <f>'Draft '!I80</f>
        <v>0 | 0 | 0 | 0 | 0 | 0</v>
      </c>
    </row>
    <row r="82" hidden="1">
      <c r="A82" s="20" t="str">
        <f>'Draft '!C81</f>
        <v>Buttheads</v>
      </c>
      <c r="B82" s="190" t="s">
        <v>120</v>
      </c>
      <c r="C82" s="20" t="str">
        <f>'Draft '!D81</f>
        <v/>
      </c>
      <c r="D82" s="188" t="str">
        <f>'Draft '!E81</f>
        <v/>
      </c>
      <c r="E82" s="189" t="str">
        <f>'Draft '!F81</f>
        <v/>
      </c>
      <c r="F82" s="188" t="str">
        <f>'Draft '!G81</f>
        <v/>
      </c>
      <c r="G82" s="20"/>
      <c r="H82" s="20" t="str">
        <f>'Draft '!I81</f>
        <v>0 | 0 | 0 | 0 | 0 | 0</v>
      </c>
    </row>
    <row r="83" hidden="1">
      <c r="A83" s="20" t="str">
        <f>'Draft '!C82</f>
        <v>El Nino</v>
      </c>
      <c r="B83" s="20"/>
      <c r="C83" s="20" t="str">
        <f>'Draft '!D82</f>
        <v/>
      </c>
      <c r="D83" s="188" t="str">
        <f>'Draft '!E82</f>
        <v/>
      </c>
      <c r="E83" s="189" t="str">
        <f>'Draft '!F82</f>
        <v/>
      </c>
      <c r="F83" s="188" t="str">
        <f>'Draft '!G82</f>
        <v/>
      </c>
      <c r="G83" s="20"/>
      <c r="H83" s="20" t="str">
        <f>'Draft '!I82</f>
        <v>0 | 0 | 0 | 0 | 0 | 0</v>
      </c>
    </row>
    <row r="84" hidden="1">
      <c r="A84" s="20" t="str">
        <f>'Draft '!C83</f>
        <v>Icelanders</v>
      </c>
      <c r="B84" s="20"/>
      <c r="C84" s="20" t="str">
        <f>'Draft '!D83</f>
        <v/>
      </c>
      <c r="D84" s="188" t="str">
        <f>'Draft '!E83</f>
        <v/>
      </c>
      <c r="E84" s="189" t="str">
        <f>'Draft '!F83</f>
        <v/>
      </c>
      <c r="F84" s="188" t="str">
        <f>'Draft '!G83</f>
        <v/>
      </c>
      <c r="G84" s="20"/>
      <c r="H84" s="20" t="str">
        <f>'Draft '!I83</f>
        <v>0 | 0 | 0 | 0 | 0 | 0</v>
      </c>
    </row>
    <row r="85" hidden="1">
      <c r="A85" s="20" t="str">
        <f>'Draft '!C84</f>
        <v>Phantasm</v>
      </c>
      <c r="B85" s="190" t="s">
        <v>118</v>
      </c>
      <c r="C85" s="20" t="str">
        <f>'Draft '!D84</f>
        <v/>
      </c>
      <c r="D85" s="188" t="str">
        <f>'Draft '!E84</f>
        <v/>
      </c>
      <c r="E85" s="189" t="str">
        <f>'Draft '!F84</f>
        <v/>
      </c>
      <c r="F85" s="188" t="str">
        <f>'Draft '!G84</f>
        <v/>
      </c>
      <c r="G85" s="20"/>
      <c r="H85" s="20" t="str">
        <f>'Draft '!I84</f>
        <v>0 | 0 | 0 | 0 | 0 | 0</v>
      </c>
    </row>
    <row r="86" hidden="1">
      <c r="A86" s="20" t="str">
        <f>'Draft '!C85</f>
        <v>Sleeper Cell </v>
      </c>
      <c r="B86" s="20"/>
      <c r="C86" s="20" t="str">
        <f>'Draft '!D85</f>
        <v/>
      </c>
      <c r="D86" s="188" t="str">
        <f>'Draft '!E85</f>
        <v/>
      </c>
      <c r="E86" s="189" t="str">
        <f>'Draft '!F85</f>
        <v/>
      </c>
      <c r="F86" s="188" t="str">
        <f>'Draft '!G85</f>
        <v/>
      </c>
      <c r="G86" s="20"/>
      <c r="H86" s="20" t="str">
        <f>'Draft '!I85</f>
        <v>1 | 0 | 0 | 0 | 0 | 0</v>
      </c>
    </row>
    <row r="87" hidden="1">
      <c r="A87" s="20" t="str">
        <f>'Draft '!C86</f>
        <v>Sleeper Cell </v>
      </c>
      <c r="B87" s="20"/>
      <c r="C87" s="20" t="str">
        <f>'Draft '!D86</f>
        <v/>
      </c>
      <c r="D87" s="188" t="str">
        <f>'Draft '!E86</f>
        <v/>
      </c>
      <c r="E87" s="189" t="str">
        <f>'Draft '!F86</f>
        <v/>
      </c>
      <c r="F87" s="188" t="str">
        <f>'Draft '!G86</f>
        <v/>
      </c>
      <c r="G87" s="20"/>
      <c r="H87" s="20" t="str">
        <f>'Draft '!I86</f>
        <v>1 | 0 | 0 | 0 | 0 | 0</v>
      </c>
    </row>
    <row r="88" hidden="1">
      <c r="A88" s="20" t="str">
        <f>'Draft '!C87</f>
        <v>Phantasm</v>
      </c>
      <c r="B88" s="190" t="s">
        <v>119</v>
      </c>
      <c r="C88" s="20" t="str">
        <f>'Draft '!D87</f>
        <v/>
      </c>
      <c r="D88" s="188" t="str">
        <f>'Draft '!E87</f>
        <v/>
      </c>
      <c r="E88" s="189" t="str">
        <f>'Draft '!F87</f>
        <v/>
      </c>
      <c r="F88" s="188" t="str">
        <f>'Draft '!G87</f>
        <v/>
      </c>
      <c r="G88" s="20"/>
      <c r="H88" s="20" t="str">
        <f>'Draft '!I87</f>
        <v>0 | 0 | 0 | 0 | 0 | 0</v>
      </c>
    </row>
    <row r="89" hidden="1">
      <c r="A89" s="20" t="str">
        <f>'Draft '!C88</f>
        <v>Icelanders</v>
      </c>
      <c r="B89" s="20"/>
      <c r="C89" s="20" t="str">
        <f>'Draft '!D88</f>
        <v/>
      </c>
      <c r="D89" s="188" t="str">
        <f>'Draft '!E88</f>
        <v/>
      </c>
      <c r="E89" s="189" t="str">
        <f>'Draft '!F88</f>
        <v/>
      </c>
      <c r="F89" s="188" t="str">
        <f>'Draft '!G88</f>
        <v/>
      </c>
      <c r="G89" s="20"/>
      <c r="H89" s="20" t="str">
        <f>'Draft '!I88</f>
        <v>0 | 0 | 0 | 0 | 0 | 0</v>
      </c>
    </row>
    <row r="90" hidden="1">
      <c r="A90" s="20" t="str">
        <f>'Draft '!C89</f>
        <v>El Nino</v>
      </c>
      <c r="B90" s="20"/>
      <c r="C90" s="20" t="str">
        <f>'Draft '!D89</f>
        <v/>
      </c>
      <c r="D90" s="188" t="str">
        <f>'Draft '!E89</f>
        <v/>
      </c>
      <c r="E90" s="189" t="str">
        <f>'Draft '!F89</f>
        <v/>
      </c>
      <c r="F90" s="188" t="str">
        <f>'Draft '!G89</f>
        <v/>
      </c>
      <c r="G90" s="20"/>
      <c r="H90" s="20" t="str">
        <f>'Draft '!I89</f>
        <v>0 | 0 | 0 | 0 | 0 | 0</v>
      </c>
    </row>
    <row r="91" hidden="1">
      <c r="A91" s="20" t="str">
        <f>'Draft '!C90</f>
        <v>Buttheads</v>
      </c>
      <c r="B91" s="190" t="s">
        <v>122</v>
      </c>
      <c r="C91" s="20" t="str">
        <f>'Draft '!D90</f>
        <v/>
      </c>
      <c r="D91" s="188" t="str">
        <f>'Draft '!E90</f>
        <v/>
      </c>
      <c r="E91" s="189" t="str">
        <f>'Draft '!F90</f>
        <v/>
      </c>
      <c r="F91" s="188" t="str">
        <f>'Draft '!G90</f>
        <v/>
      </c>
      <c r="G91" s="20"/>
      <c r="H91" s="20" t="str">
        <f>'Draft '!I90</f>
        <v>0 | 0 | 0 | 0 | 0 | 0</v>
      </c>
    </row>
    <row r="92" hidden="1">
      <c r="A92" s="20" t="str">
        <f>'Draft '!C91</f>
        <v>Big Boys Big Work</v>
      </c>
      <c r="B92" s="20"/>
      <c r="C92" s="20" t="str">
        <f>'Draft '!D91</f>
        <v/>
      </c>
      <c r="D92" s="188" t="str">
        <f>'Draft '!E91</f>
        <v/>
      </c>
      <c r="E92" s="189" t="str">
        <f>'Draft '!F91</f>
        <v/>
      </c>
      <c r="F92" s="188" t="str">
        <f>'Draft '!G91</f>
        <v/>
      </c>
      <c r="G92" s="20"/>
      <c r="H92" s="20" t="str">
        <f>'Draft '!I91</f>
        <v>0 | 0 | 0 | 0 | 0 | 0</v>
      </c>
    </row>
    <row r="93" hidden="1">
      <c r="A93" s="20" t="str">
        <f>'Draft '!C92</f>
        <v>Turbo-Ginz</v>
      </c>
      <c r="B93" s="190" t="s">
        <v>120</v>
      </c>
      <c r="C93" s="20" t="str">
        <f>'Draft '!D92</f>
        <v/>
      </c>
      <c r="D93" s="188" t="str">
        <f>'Draft '!E92</f>
        <v/>
      </c>
      <c r="E93" s="189" t="str">
        <f>'Draft '!F92</f>
        <v/>
      </c>
      <c r="F93" s="188" t="str">
        <f>'Draft '!G92</f>
        <v/>
      </c>
      <c r="G93" s="20"/>
      <c r="H93" s="20" t="str">
        <f>'Draft '!I92</f>
        <v>0 | 0 | 0 | 0 | 0 | 0</v>
      </c>
    </row>
    <row r="94" hidden="1">
      <c r="A94" s="20" t="str">
        <f>'Draft '!C93</f>
        <v>Luddite</v>
      </c>
      <c r="B94" s="20"/>
      <c r="C94" s="20" t="str">
        <f>'Draft '!D93</f>
        <v/>
      </c>
      <c r="D94" s="188" t="str">
        <f>'Draft '!E93</f>
        <v/>
      </c>
      <c r="E94" s="189" t="str">
        <f>'Draft '!F93</f>
        <v/>
      </c>
      <c r="F94" s="188" t="str">
        <f>'Draft '!G93</f>
        <v/>
      </c>
      <c r="G94" s="20"/>
      <c r="H94" s="20" t="str">
        <f>'Draft '!I93</f>
        <v>0 | 0 | 0 | 0 | 0 | 0</v>
      </c>
    </row>
    <row r="95" hidden="1">
      <c r="A95" s="20" t="str">
        <f>'Draft '!C94</f>
        <v>El Nino</v>
      </c>
      <c r="B95" s="20"/>
      <c r="C95" s="20" t="str">
        <f>'Draft '!D94</f>
        <v/>
      </c>
      <c r="D95" s="188" t="str">
        <f>'Draft '!E94</f>
        <v/>
      </c>
      <c r="E95" s="189" t="str">
        <f>'Draft '!F94</f>
        <v/>
      </c>
      <c r="F95" s="188" t="str">
        <f>'Draft '!G94</f>
        <v/>
      </c>
      <c r="G95" s="20"/>
      <c r="H95" s="20" t="str">
        <f>'Draft '!I94</f>
        <v>0 | 0 | 0 | 0 | 0 | 0</v>
      </c>
    </row>
    <row r="96" hidden="1">
      <c r="A96" s="20" t="str">
        <f>'Draft '!C95</f>
        <v>Daddy's Dogs</v>
      </c>
      <c r="B96" s="20"/>
      <c r="C96" s="20" t="str">
        <f>'Draft '!D95</f>
        <v/>
      </c>
      <c r="D96" s="188" t="str">
        <f>'Draft '!E95</f>
        <v/>
      </c>
      <c r="E96" s="189" t="str">
        <f>'Draft '!F95</f>
        <v/>
      </c>
      <c r="F96" s="188" t="str">
        <f>'Draft '!G95</f>
        <v/>
      </c>
      <c r="G96" s="20"/>
      <c r="H96" s="20" t="str">
        <f>'Draft '!I95</f>
        <v>0 | 0 | 0 | 0 | 0 | 0</v>
      </c>
    </row>
    <row r="97" hidden="1">
      <c r="A97" s="20" t="str">
        <f>'Draft '!C96</f>
        <v>TDs and Beers</v>
      </c>
      <c r="B97" s="20"/>
      <c r="C97" s="20" t="str">
        <f>'Draft '!D96</f>
        <v/>
      </c>
      <c r="D97" s="188" t="str">
        <f>'Draft '!E96</f>
        <v/>
      </c>
      <c r="E97" s="189" t="str">
        <f>'Draft '!F96</f>
        <v/>
      </c>
      <c r="F97" s="188" t="str">
        <f>'Draft '!G96</f>
        <v/>
      </c>
      <c r="G97" s="20"/>
      <c r="H97" s="20" t="str">
        <f>'Draft '!I96</f>
        <v>0 | 0 | 0 | 0 | 0 | 0</v>
      </c>
    </row>
    <row r="98" hidden="1">
      <c r="A98" s="20" t="str">
        <f>'Draft '!C97</f>
        <v>DD Riders</v>
      </c>
      <c r="B98" s="20"/>
      <c r="C98" s="20" t="str">
        <f>'Draft '!D97</f>
        <v/>
      </c>
      <c r="D98" s="188" t="str">
        <f>'Draft '!E97</f>
        <v/>
      </c>
      <c r="E98" s="189" t="str">
        <f>'Draft '!F97</f>
        <v/>
      </c>
      <c r="F98" s="188" t="str">
        <f>'Draft '!G97</f>
        <v/>
      </c>
      <c r="G98" s="20"/>
      <c r="H98" s="20" t="str">
        <f>'Draft '!I97</f>
        <v>0 | 0 | 0 | 0 | 0 | 0</v>
      </c>
    </row>
    <row r="99">
      <c r="A99" s="20" t="str">
        <f>'Draft '!C98</f>
        <v>Nasty</v>
      </c>
      <c r="B99" s="190" t="s">
        <v>119</v>
      </c>
      <c r="C99" s="20" t="str">
        <f>'Draft '!D98</f>
        <v/>
      </c>
      <c r="D99" s="188" t="str">
        <f>'Draft '!E98</f>
        <v/>
      </c>
      <c r="E99" s="189" t="str">
        <f>'Draft '!F98</f>
        <v/>
      </c>
      <c r="F99" s="188" t="str">
        <f>'Draft '!G98</f>
        <v/>
      </c>
      <c r="G99" s="20"/>
      <c r="H99" s="20" t="str">
        <f>'Draft '!I98</f>
        <v>0 | 0 | 0 | 0 | 0 | 0</v>
      </c>
    </row>
    <row r="100" hidden="1">
      <c r="A100" s="20" t="str">
        <f>'Draft '!C99</f>
        <v>Red Hammer</v>
      </c>
      <c r="B100" s="20"/>
      <c r="C100" s="20" t="str">
        <f>'Draft '!D99</f>
        <v/>
      </c>
      <c r="D100" s="188" t="str">
        <f>'Draft '!E99</f>
        <v/>
      </c>
      <c r="E100" s="189" t="str">
        <f>'Draft '!F99</f>
        <v/>
      </c>
      <c r="F100" s="188" t="str">
        <f>'Draft '!G99</f>
        <v/>
      </c>
      <c r="G100" s="20"/>
      <c r="H100" s="20" t="str">
        <f>'Draft '!I99</f>
        <v>0 | 0 | 0 | 0 | 0 | 0</v>
      </c>
    </row>
    <row r="101" hidden="1">
      <c r="A101" s="20" t="str">
        <f>'Draft '!C100</f>
        <v>Red Hammer</v>
      </c>
      <c r="B101" s="20"/>
      <c r="C101" s="20" t="str">
        <f>'Draft '!D100</f>
        <v/>
      </c>
      <c r="D101" s="188" t="str">
        <f>'Draft '!E100</f>
        <v/>
      </c>
      <c r="E101" s="189" t="str">
        <f>'Draft '!F100</f>
        <v/>
      </c>
      <c r="F101" s="188" t="str">
        <f>'Draft '!G100</f>
        <v/>
      </c>
      <c r="G101" s="20"/>
      <c r="H101" s="20" t="str">
        <f>'Draft '!I100</f>
        <v>0 | 0 | 0 | 0 | 0 | 0</v>
      </c>
    </row>
    <row r="102">
      <c r="A102" s="20" t="str">
        <f>'Draft '!C101</f>
        <v>Nasty</v>
      </c>
      <c r="B102" s="190" t="s">
        <v>120</v>
      </c>
      <c r="C102" s="20" t="str">
        <f>'Draft '!D101</f>
        <v/>
      </c>
      <c r="D102" s="188" t="str">
        <f>'Draft '!E101</f>
        <v/>
      </c>
      <c r="E102" s="189" t="str">
        <f>'Draft '!F101</f>
        <v/>
      </c>
      <c r="F102" s="188" t="str">
        <f>'Draft '!G101</f>
        <v/>
      </c>
      <c r="G102" s="20"/>
      <c r="H102" s="20" t="str">
        <f>'Draft '!I101</f>
        <v>0 | 0 | 0 | 0 | 0 | 0</v>
      </c>
    </row>
    <row r="103" hidden="1">
      <c r="A103" s="20" t="str">
        <f>'Draft '!C102</f>
        <v>DD Riders</v>
      </c>
      <c r="B103" s="20"/>
      <c r="C103" s="20" t="str">
        <f>'Draft '!D102</f>
        <v/>
      </c>
      <c r="D103" s="188" t="str">
        <f>'Draft '!E102</f>
        <v/>
      </c>
      <c r="E103" s="189" t="str">
        <f>'Draft '!F102</f>
        <v/>
      </c>
      <c r="F103" s="188" t="str">
        <f>'Draft '!G102</f>
        <v/>
      </c>
      <c r="G103" s="20"/>
      <c r="H103" s="20" t="str">
        <f>'Draft '!I102</f>
        <v>0 | 0 | 0 | 0 | 0 | 0</v>
      </c>
    </row>
    <row r="104" hidden="1">
      <c r="A104" s="20" t="str">
        <f>'Draft '!C103</f>
        <v>TDs and Beers</v>
      </c>
      <c r="B104" s="20"/>
      <c r="C104" s="20" t="str">
        <f>'Draft '!D103</f>
        <v/>
      </c>
      <c r="D104" s="188" t="str">
        <f>'Draft '!E103</f>
        <v/>
      </c>
      <c r="E104" s="189" t="str">
        <f>'Draft '!F103</f>
        <v/>
      </c>
      <c r="F104" s="188" t="str">
        <f>'Draft '!G103</f>
        <v/>
      </c>
      <c r="G104" s="20"/>
      <c r="H104" s="20" t="str">
        <f>'Draft '!I103</f>
        <v>0 | 0 | 0 | 0 | 0 | 0</v>
      </c>
    </row>
    <row r="105" hidden="1">
      <c r="A105" s="20" t="str">
        <f>'Draft '!C104</f>
        <v>Daddy's Dogs</v>
      </c>
      <c r="B105" s="20"/>
      <c r="C105" s="20" t="str">
        <f>'Draft '!D104</f>
        <v/>
      </c>
      <c r="D105" s="188" t="str">
        <f>'Draft '!E104</f>
        <v/>
      </c>
      <c r="E105" s="189" t="str">
        <f>'Draft '!F104</f>
        <v/>
      </c>
      <c r="F105" s="188" t="str">
        <f>'Draft '!G104</f>
        <v/>
      </c>
      <c r="G105" s="20"/>
      <c r="H105" s="20" t="str">
        <f>'Draft '!I104</f>
        <v>0 | 0 | 0 | 0 | 0 | 0</v>
      </c>
    </row>
    <row r="106" hidden="1">
      <c r="A106" s="20" t="str">
        <f>'Draft '!C105</f>
        <v>Buttheads</v>
      </c>
      <c r="B106" s="20"/>
      <c r="C106" s="20" t="str">
        <f>'Draft '!D105</f>
        <v/>
      </c>
      <c r="D106" s="188" t="str">
        <f>'Draft '!E105</f>
        <v/>
      </c>
      <c r="E106" s="189" t="str">
        <f>'Draft '!F105</f>
        <v/>
      </c>
      <c r="F106" s="188" t="str">
        <f>'Draft '!G105</f>
        <v/>
      </c>
      <c r="G106" s="20"/>
      <c r="H106" s="20" t="str">
        <f>'Draft '!I105</f>
        <v>0 | 0 | 0 | 0 | 0 | 0</v>
      </c>
    </row>
    <row r="107" hidden="1">
      <c r="A107" s="20" t="str">
        <f>'Draft '!C106</f>
        <v>phantasm</v>
      </c>
      <c r="B107" s="20"/>
      <c r="C107" s="20" t="str">
        <f>'Draft '!D106</f>
        <v/>
      </c>
      <c r="D107" s="188" t="str">
        <f>'Draft '!E106</f>
        <v/>
      </c>
      <c r="E107" s="189" t="str">
        <f>'Draft '!F106</f>
        <v/>
      </c>
      <c r="F107" s="188" t="str">
        <f>'Draft '!G106</f>
        <v/>
      </c>
      <c r="G107" s="20"/>
      <c r="H107" s="20" t="str">
        <f>'Draft '!I106</f>
        <v>0 | 0 | 0 | 0 | 0 | 0</v>
      </c>
    </row>
    <row r="108" hidden="1">
      <c r="A108" s="20" t="str">
        <f>'Draft '!C107</f>
        <v>Turbo-Ginz</v>
      </c>
      <c r="B108" s="190" t="s">
        <v>122</v>
      </c>
      <c r="C108" s="20" t="str">
        <f>'Draft '!D107</f>
        <v/>
      </c>
      <c r="D108" s="188" t="str">
        <f>'Draft '!E107</f>
        <v/>
      </c>
      <c r="E108" s="189" t="str">
        <f>'Draft '!F107</f>
        <v/>
      </c>
      <c r="F108" s="188" t="str">
        <f>'Draft '!G107</f>
        <v/>
      </c>
      <c r="G108" s="20"/>
      <c r="H108" s="20" t="str">
        <f>'Draft '!I107</f>
        <v>0 | 0 | 0 | 0 | 0 | 0</v>
      </c>
    </row>
    <row r="109" hidden="1">
      <c r="A109" s="20" t="str">
        <f>'Draft '!C108</f>
        <v>Big Boys Big Work</v>
      </c>
      <c r="B109" s="20"/>
      <c r="C109" s="20" t="str">
        <f>'Draft '!D108</f>
        <v/>
      </c>
      <c r="D109" s="188" t="str">
        <f>'Draft '!E108</f>
        <v/>
      </c>
      <c r="E109" s="189" t="str">
        <f>'Draft '!F108</f>
        <v/>
      </c>
      <c r="F109" s="188" t="str">
        <f>'Draft '!G108</f>
        <v/>
      </c>
      <c r="G109" s="20"/>
      <c r="H109" s="20" t="str">
        <f>'Draft '!I108</f>
        <v>0 | 0 | 0 | 0 | 0 | 0</v>
      </c>
    </row>
    <row r="110" hidden="1">
      <c r="A110" s="20" t="str">
        <f>'Draft '!C109</f>
        <v>Buttheads</v>
      </c>
      <c r="B110" s="190" t="s">
        <v>495</v>
      </c>
      <c r="C110" s="20" t="str">
        <f>'Draft '!D109</f>
        <v/>
      </c>
      <c r="D110" s="188" t="str">
        <f>'Draft '!E109</f>
        <v/>
      </c>
      <c r="E110" s="189" t="str">
        <f>'Draft '!F109</f>
        <v/>
      </c>
      <c r="F110" s="188" t="str">
        <f>'Draft '!G109</f>
        <v/>
      </c>
      <c r="G110" s="20"/>
      <c r="H110" s="20" t="str">
        <f>'Draft '!I109</f>
        <v>0 | 0 | 0 | 0 | 0 | 0</v>
      </c>
    </row>
    <row r="111" hidden="1">
      <c r="A111" s="20" t="str">
        <f>'Draft '!C110</f>
        <v>El Nino</v>
      </c>
      <c r="B111" s="20"/>
      <c r="C111" s="20" t="str">
        <f>'Draft '!D110</f>
        <v/>
      </c>
      <c r="D111" s="188" t="str">
        <f>'Draft '!E110</f>
        <v/>
      </c>
      <c r="E111" s="189" t="str">
        <f>'Draft '!F110</f>
        <v/>
      </c>
      <c r="F111" s="188" t="str">
        <f>'Draft '!G110</f>
        <v/>
      </c>
      <c r="G111" s="20"/>
      <c r="H111" s="20" t="str">
        <f>'Draft '!I110</f>
        <v>0 | 0 | 0 | 0 | 0 | 0</v>
      </c>
    </row>
    <row r="112" hidden="1">
      <c r="A112" s="20" t="str">
        <f>'Draft '!C111</f>
        <v>Icelanders</v>
      </c>
      <c r="B112" s="20"/>
      <c r="C112" s="20" t="str">
        <f>'Draft '!D111</f>
        <v/>
      </c>
      <c r="D112" s="188" t="str">
        <f>'Draft '!E111</f>
        <v/>
      </c>
      <c r="E112" s="189" t="str">
        <f>'Draft '!F111</f>
        <v/>
      </c>
      <c r="F112" s="188" t="str">
        <f>'Draft '!G111</f>
        <v/>
      </c>
      <c r="G112" s="20"/>
      <c r="H112" s="20" t="str">
        <f>'Draft '!I111</f>
        <v>0 | 0 | 0 | 0 | 0 | 0</v>
      </c>
    </row>
    <row r="113" hidden="1">
      <c r="A113" s="20" t="str">
        <f>'Draft '!C112</f>
        <v>Luddite</v>
      </c>
      <c r="B113" s="190" t="s">
        <v>120</v>
      </c>
      <c r="C113" s="20" t="str">
        <f>'Draft '!D112</f>
        <v/>
      </c>
      <c r="D113" s="188" t="str">
        <f>'Draft '!E112</f>
        <v/>
      </c>
      <c r="E113" s="189" t="str">
        <f>'Draft '!F112</f>
        <v/>
      </c>
      <c r="F113" s="188" t="str">
        <f>'Draft '!G112</f>
        <v/>
      </c>
      <c r="G113" s="20"/>
      <c r="H113" s="20" t="str">
        <f>'Draft '!I112</f>
        <v>0 | 0 | 0 | 0 | 0 | 0</v>
      </c>
    </row>
    <row r="114" hidden="1">
      <c r="A114" s="20" t="str">
        <f>'Draft '!C113</f>
        <v>Sleeper Cell </v>
      </c>
      <c r="B114" s="20"/>
      <c r="C114" s="20" t="str">
        <f>'Draft '!D113</f>
        <v/>
      </c>
      <c r="D114" s="188" t="str">
        <f>'Draft '!E113</f>
        <v/>
      </c>
      <c r="E114" s="189" t="str">
        <f>'Draft '!F113</f>
        <v/>
      </c>
      <c r="F114" s="188" t="str">
        <f>'Draft '!G113</f>
        <v/>
      </c>
      <c r="G114" s="20"/>
      <c r="H114" s="20" t="str">
        <f>'Draft '!I113</f>
        <v>1 | 0 | 0 | 0 | 0 | 0</v>
      </c>
    </row>
    <row r="115" hidden="1">
      <c r="A115" s="20" t="str">
        <f>'Draft '!C114</f>
        <v>Sleeper Cell </v>
      </c>
      <c r="B115" s="20"/>
      <c r="C115" s="20" t="str">
        <f>'Draft '!D114</f>
        <v/>
      </c>
      <c r="D115" s="188" t="str">
        <f>'Draft '!E114</f>
        <v/>
      </c>
      <c r="E115" s="189" t="str">
        <f>'Draft '!F114</f>
        <v/>
      </c>
      <c r="F115" s="188" t="str">
        <f>'Draft '!G114</f>
        <v/>
      </c>
      <c r="G115" s="20"/>
      <c r="H115" s="20" t="str">
        <f>'Draft '!I114</f>
        <v>1 | 0 | 0 | 0 | 0 | 0</v>
      </c>
    </row>
    <row r="116" hidden="1">
      <c r="A116" s="20" t="str">
        <f>'Draft '!C115</f>
        <v>Phantasm</v>
      </c>
      <c r="B116" s="190" t="s">
        <v>122</v>
      </c>
      <c r="C116" s="20" t="str">
        <f>'Draft '!D115</f>
        <v/>
      </c>
      <c r="D116" s="188" t="str">
        <f>'Draft '!E115</f>
        <v/>
      </c>
      <c r="E116" s="189" t="str">
        <f>'Draft '!F115</f>
        <v/>
      </c>
      <c r="F116" s="188" t="str">
        <f>'Draft '!G115</f>
        <v/>
      </c>
      <c r="G116" s="20"/>
      <c r="H116" s="20" t="str">
        <f>'Draft '!I115</f>
        <v>0 | 0 | 0 | 0 | 0 | 0</v>
      </c>
    </row>
    <row r="117" hidden="1">
      <c r="A117" s="20" t="str">
        <f>'Draft '!C116</f>
        <v>Icelanders</v>
      </c>
      <c r="B117" s="20"/>
      <c r="C117" s="20" t="str">
        <f>'Draft '!D116</f>
        <v/>
      </c>
      <c r="D117" s="188" t="str">
        <f>'Draft '!E116</f>
        <v/>
      </c>
      <c r="E117" s="189" t="str">
        <f>'Draft '!F116</f>
        <v/>
      </c>
      <c r="F117" s="188" t="str">
        <f>'Draft '!G116</f>
        <v/>
      </c>
      <c r="G117" s="20"/>
      <c r="H117" s="20" t="str">
        <f>'Draft '!I116</f>
        <v>0 | 0 | 0 | 0 | 0 | 0</v>
      </c>
    </row>
    <row r="118" hidden="1">
      <c r="A118" s="20" t="str">
        <f>'Draft '!C117</f>
        <v>El Nino</v>
      </c>
      <c r="B118" s="20"/>
      <c r="C118" s="20" t="str">
        <f>'Draft '!D117</f>
        <v/>
      </c>
      <c r="D118" s="188" t="str">
        <f>'Draft '!E117</f>
        <v/>
      </c>
      <c r="E118" s="189" t="str">
        <f>'Draft '!F117</f>
        <v/>
      </c>
      <c r="F118" s="188" t="str">
        <f>'Draft '!G117</f>
        <v/>
      </c>
      <c r="G118" s="20"/>
      <c r="H118" s="20" t="str">
        <f>'Draft '!I117</f>
        <v>0 | 0 | 0 | 0 | 0 | 0</v>
      </c>
    </row>
    <row r="119" hidden="1">
      <c r="A119" s="20" t="str">
        <f>'Draft '!C118</f>
        <v>Icelanders</v>
      </c>
      <c r="B119" s="190" t="s">
        <v>124</v>
      </c>
      <c r="C119" s="20" t="str">
        <f>'Draft '!D118</f>
        <v/>
      </c>
      <c r="D119" s="188" t="str">
        <f>'Draft '!E118</f>
        <v/>
      </c>
      <c r="E119" s="189" t="str">
        <f>'Draft '!F118</f>
        <v/>
      </c>
      <c r="F119" s="188" t="str">
        <f>'Draft '!G118</f>
        <v/>
      </c>
      <c r="G119" s="20"/>
      <c r="H119" s="20" t="str">
        <f>'Draft '!I118</f>
        <v>0 | 0 | 0 | 0 | 0 | 0</v>
      </c>
    </row>
    <row r="120" hidden="1">
      <c r="A120" s="20" t="str">
        <f>'Draft '!C119</f>
        <v>Big Boys Big Work</v>
      </c>
      <c r="B120" s="20"/>
      <c r="C120" s="20" t="str">
        <f>'Draft '!D119</f>
        <v/>
      </c>
      <c r="D120" s="188" t="str">
        <f>'Draft '!E119</f>
        <v/>
      </c>
      <c r="E120" s="189" t="str">
        <f>'Draft '!F119</f>
        <v/>
      </c>
      <c r="F120" s="188" t="str">
        <f>'Draft '!G119</f>
        <v/>
      </c>
      <c r="G120" s="20"/>
      <c r="H120" s="20" t="str">
        <f>'Draft '!I119</f>
        <v>0 | 0 | 0 | 0 | 0 | 0</v>
      </c>
    </row>
    <row r="121" hidden="1">
      <c r="A121" s="20" t="str">
        <f>'Draft '!C120</f>
        <v>Turbo-Ginz</v>
      </c>
      <c r="B121" s="190" t="s">
        <v>495</v>
      </c>
      <c r="C121" s="20" t="str">
        <f>'Draft '!D120</f>
        <v/>
      </c>
      <c r="D121" s="188" t="str">
        <f>'Draft '!E120</f>
        <v/>
      </c>
      <c r="E121" s="189" t="str">
        <f>'Draft '!F120</f>
        <v/>
      </c>
      <c r="F121" s="188" t="str">
        <f>'Draft '!G120</f>
        <v/>
      </c>
      <c r="G121" s="20"/>
      <c r="H121" s="20" t="str">
        <f>'Draft '!I120</f>
        <v>0 | 0 | 0 | 0 | 0 | 0</v>
      </c>
    </row>
    <row r="122" hidden="1">
      <c r="A122" s="20" t="str">
        <f>'Draft '!C121</f>
        <v>Luddite</v>
      </c>
      <c r="B122" s="20"/>
      <c r="C122" s="20" t="str">
        <f>'Draft '!D121</f>
        <v/>
      </c>
      <c r="D122" s="188" t="str">
        <f>'Draft '!E121</f>
        <v/>
      </c>
      <c r="E122" s="189" t="str">
        <f>'Draft '!F121</f>
        <v/>
      </c>
      <c r="F122" s="188" t="str">
        <f>'Draft '!G121</f>
        <v/>
      </c>
      <c r="G122" s="20"/>
      <c r="H122" s="20" t="str">
        <f>'Draft '!I121</f>
        <v>0 | 0 | 0 | 0 | 0 | 0</v>
      </c>
    </row>
    <row r="123" hidden="1">
      <c r="A123" s="20" t="str">
        <f>'Draft '!C122</f>
        <v>Achaians</v>
      </c>
      <c r="B123" s="20"/>
      <c r="C123" s="20" t="str">
        <f>'Draft '!D122</f>
        <v/>
      </c>
      <c r="D123" s="188" t="str">
        <f>'Draft '!E122</f>
        <v/>
      </c>
      <c r="E123" s="189" t="str">
        <f>'Draft '!F122</f>
        <v/>
      </c>
      <c r="F123" s="188" t="str">
        <f>'Draft '!G122</f>
        <v/>
      </c>
      <c r="G123" s="20"/>
      <c r="H123" s="20" t="str">
        <f>'Draft '!I122</f>
        <v>0 | 0 | 0 | 0 | 0 | 0</v>
      </c>
    </row>
    <row r="124" hidden="1">
      <c r="A124" s="20" t="str">
        <f>'Draft '!C123</f>
        <v>Daddy's Dogs</v>
      </c>
      <c r="B124" s="20"/>
      <c r="C124" s="20" t="str">
        <f>'Draft '!D123</f>
        <v/>
      </c>
      <c r="D124" s="188" t="str">
        <f>'Draft '!E123</f>
        <v/>
      </c>
      <c r="E124" s="189" t="str">
        <f>'Draft '!F123</f>
        <v/>
      </c>
      <c r="F124" s="188" t="str">
        <f>'Draft '!G123</f>
        <v/>
      </c>
      <c r="G124" s="20"/>
      <c r="H124" s="20" t="str">
        <f>'Draft '!I123</f>
        <v>0 | 0 | 0 | 0 | 0 | 0</v>
      </c>
    </row>
    <row r="125" hidden="1">
      <c r="A125" s="20" t="str">
        <f>'Draft '!C124</f>
        <v>TDs and Beers</v>
      </c>
      <c r="B125" s="20"/>
      <c r="C125" s="20" t="str">
        <f>'Draft '!D124</f>
        <v/>
      </c>
      <c r="D125" s="188" t="str">
        <f>'Draft '!E124</f>
        <v/>
      </c>
      <c r="E125" s="189" t="str">
        <f>'Draft '!F124</f>
        <v/>
      </c>
      <c r="F125" s="188" t="str">
        <f>'Draft '!G124</f>
        <v/>
      </c>
      <c r="G125" s="20"/>
      <c r="H125" s="20" t="str">
        <f>'Draft '!I124</f>
        <v>0 | 0 | 0 | 0 | 0 | 0</v>
      </c>
    </row>
    <row r="126" hidden="1">
      <c r="A126" s="20" t="str">
        <f>'Draft '!C125</f>
        <v>DD Riders</v>
      </c>
      <c r="B126" s="20"/>
      <c r="C126" s="20" t="str">
        <f>'Draft '!D125</f>
        <v/>
      </c>
      <c r="D126" s="188" t="str">
        <f>'Draft '!E125</f>
        <v/>
      </c>
      <c r="E126" s="189" t="str">
        <f>'Draft '!F125</f>
        <v/>
      </c>
      <c r="F126" s="188" t="str">
        <f>'Draft '!G125</f>
        <v/>
      </c>
      <c r="G126" s="20"/>
      <c r="H126" s="20" t="str">
        <f>'Draft '!I125</f>
        <v>0 | 0 | 0 | 0 | 0 | 0</v>
      </c>
    </row>
    <row r="127">
      <c r="A127" s="20" t="str">
        <f>'Draft '!C126</f>
        <v>Nasty</v>
      </c>
      <c r="B127" s="190" t="s">
        <v>122</v>
      </c>
      <c r="C127" s="20" t="str">
        <f>'Draft '!D126</f>
        <v/>
      </c>
      <c r="D127" s="188" t="str">
        <f>'Draft '!E126</f>
        <v/>
      </c>
      <c r="E127" s="189" t="str">
        <f>'Draft '!F126</f>
        <v/>
      </c>
      <c r="F127" s="188" t="str">
        <f>'Draft '!G126</f>
        <v/>
      </c>
      <c r="G127" s="20"/>
      <c r="H127" s="20" t="str">
        <f>'Draft '!I126</f>
        <v>0 | 0 | 0 | 0 | 0 | 0</v>
      </c>
    </row>
    <row r="128" hidden="1">
      <c r="A128" s="20" t="str">
        <f>'Draft '!C127</f>
        <v>Red Hammer</v>
      </c>
      <c r="B128" s="20"/>
      <c r="C128" s="20" t="str">
        <f>'Draft '!D127</f>
        <v/>
      </c>
      <c r="D128" s="188" t="str">
        <f>'Draft '!E127</f>
        <v/>
      </c>
      <c r="E128" s="189" t="str">
        <f>'Draft '!F127</f>
        <v/>
      </c>
      <c r="F128" s="188" t="str">
        <f>'Draft '!G127</f>
        <v/>
      </c>
      <c r="G128" s="20"/>
      <c r="H128" s="20" t="str">
        <f>'Draft '!I127</f>
        <v>0 | 0 | 0 | 0 | 0 | 0</v>
      </c>
    </row>
    <row r="129" hidden="1">
      <c r="A129" s="20" t="str">
        <f>'Draft '!C128</f>
        <v>Red Hammer</v>
      </c>
      <c r="B129" s="20"/>
      <c r="C129" s="20" t="str">
        <f>'Draft '!D128</f>
        <v/>
      </c>
      <c r="D129" s="188" t="str">
        <f>'Draft '!E128</f>
        <v/>
      </c>
      <c r="E129" s="189" t="str">
        <f>'Draft '!F128</f>
        <v/>
      </c>
      <c r="F129" s="188" t="str">
        <f>'Draft '!G128</f>
        <v/>
      </c>
      <c r="G129" s="20"/>
      <c r="H129" s="20" t="str">
        <f>'Draft '!I128</f>
        <v>0 | 0 | 0 | 0 | 0 | 0</v>
      </c>
    </row>
    <row r="130">
      <c r="A130" s="20" t="str">
        <f>'Draft '!C129</f>
        <v>Nasty</v>
      </c>
      <c r="B130" s="190" t="s">
        <v>495</v>
      </c>
      <c r="C130" s="20" t="str">
        <f>'Draft '!D129</f>
        <v/>
      </c>
      <c r="D130" s="188" t="str">
        <f>'Draft '!E129</f>
        <v/>
      </c>
      <c r="E130" s="189" t="str">
        <f>'Draft '!F129</f>
        <v/>
      </c>
      <c r="F130" s="188" t="str">
        <f>'Draft '!G129</f>
        <v/>
      </c>
      <c r="G130" s="20"/>
      <c r="H130" s="20" t="str">
        <f>'Draft '!I129</f>
        <v>0 | 0 | 0 | 0 | 0 | 0</v>
      </c>
    </row>
    <row r="131" hidden="1">
      <c r="A131" s="20" t="str">
        <f>'Draft '!C130</f>
        <v>DD Riders</v>
      </c>
      <c r="B131" s="20"/>
      <c r="C131" s="20" t="str">
        <f>'Draft '!D130</f>
        <v/>
      </c>
      <c r="D131" s="188" t="str">
        <f>'Draft '!E130</f>
        <v/>
      </c>
      <c r="E131" s="189" t="str">
        <f>'Draft '!F130</f>
        <v/>
      </c>
      <c r="F131" s="188" t="str">
        <f>'Draft '!G130</f>
        <v/>
      </c>
      <c r="G131" s="20"/>
      <c r="H131" s="20" t="str">
        <f>'Draft '!I130</f>
        <v>0 | 0 | 0 | 0 | 0 | 0</v>
      </c>
    </row>
    <row r="132" hidden="1">
      <c r="A132" s="20" t="str">
        <f>'Draft '!C131</f>
        <v>TDs and Beers</v>
      </c>
      <c r="B132" s="20"/>
      <c r="C132" s="20" t="str">
        <f>'Draft '!D131</f>
        <v/>
      </c>
      <c r="D132" s="188" t="str">
        <f>'Draft '!E131</f>
        <v/>
      </c>
      <c r="E132" s="189" t="str">
        <f>'Draft '!F131</f>
        <v/>
      </c>
      <c r="F132" s="188" t="str">
        <f>'Draft '!G131</f>
        <v/>
      </c>
      <c r="G132" s="20"/>
      <c r="H132" s="20" t="str">
        <f>'Draft '!I131</f>
        <v>0 | 0 | 0 | 0 | 0 | 0</v>
      </c>
    </row>
    <row r="133" hidden="1">
      <c r="A133" s="20" t="str">
        <f>'Draft '!C132</f>
        <v>Daddy's Dogs</v>
      </c>
      <c r="B133" s="20"/>
      <c r="C133" s="20" t="str">
        <f>'Draft '!D132</f>
        <v/>
      </c>
      <c r="D133" s="188" t="str">
        <f>'Draft '!E132</f>
        <v/>
      </c>
      <c r="E133" s="189" t="str">
        <f>'Draft '!F132</f>
        <v/>
      </c>
      <c r="F133" s="188" t="str">
        <f>'Draft '!G132</f>
        <v/>
      </c>
      <c r="G133" s="20"/>
      <c r="H133" s="20" t="str">
        <f>'Draft '!I132</f>
        <v>0 | 0 | 0 | 0 | 0 | 0</v>
      </c>
    </row>
    <row r="134" hidden="1">
      <c r="A134" s="20" t="str">
        <f>'Draft '!C133</f>
        <v>Achaians</v>
      </c>
      <c r="B134" s="20"/>
      <c r="C134" s="20" t="str">
        <f>'Draft '!D133</f>
        <v/>
      </c>
      <c r="D134" s="188" t="str">
        <f>'Draft '!E133</f>
        <v/>
      </c>
      <c r="E134" s="189" t="str">
        <f>'Draft '!F133</f>
        <v/>
      </c>
      <c r="F134" s="188" t="str">
        <f>'Draft '!G133</f>
        <v/>
      </c>
      <c r="G134" s="20"/>
      <c r="H134" s="20" t="str">
        <f>'Draft '!I133</f>
        <v>0 | 0 | 0 | 0 | 0 | 0</v>
      </c>
    </row>
    <row r="135" hidden="1">
      <c r="A135" s="20" t="str">
        <f>'Draft '!C134</f>
        <v>Luddite</v>
      </c>
      <c r="B135" s="20"/>
      <c r="C135" s="20" t="str">
        <f>'Draft '!D134</f>
        <v/>
      </c>
      <c r="D135" s="188" t="str">
        <f>'Draft '!E134</f>
        <v/>
      </c>
      <c r="E135" s="189" t="str">
        <f>'Draft '!F134</f>
        <v/>
      </c>
      <c r="F135" s="188" t="str">
        <f>'Draft '!G134</f>
        <v/>
      </c>
      <c r="G135" s="20"/>
      <c r="H135" s="20" t="str">
        <f>'Draft '!I134</f>
        <v>0 | 0 | 0 | 0 | 0 | 0</v>
      </c>
    </row>
    <row r="136" hidden="1">
      <c r="A136" s="20" t="str">
        <f>'Draft '!C135</f>
        <v>Turbo-Ginz</v>
      </c>
      <c r="B136" s="190" t="s">
        <v>124</v>
      </c>
      <c r="C136" s="20" t="str">
        <f>'Draft '!D135</f>
        <v/>
      </c>
      <c r="D136" s="188" t="str">
        <f>'Draft '!E135</f>
        <v/>
      </c>
      <c r="E136" s="189" t="str">
        <f>'Draft '!F135</f>
        <v/>
      </c>
      <c r="F136" s="188" t="str">
        <f>'Draft '!G135</f>
        <v/>
      </c>
      <c r="G136" s="20"/>
      <c r="H136" s="20" t="str">
        <f>'Draft '!I135</f>
        <v>0 | 0 | 0 | 0 | 0 | 0</v>
      </c>
    </row>
    <row r="137" hidden="1">
      <c r="A137" s="20" t="str">
        <f>'Draft '!C136</f>
        <v>Big Boys Big Work</v>
      </c>
      <c r="B137" s="20"/>
      <c r="C137" s="20" t="str">
        <f>'Draft '!D136</f>
        <v/>
      </c>
      <c r="D137" s="188" t="str">
        <f>'Draft '!E136</f>
        <v/>
      </c>
      <c r="E137" s="189" t="str">
        <f>'Draft '!F136</f>
        <v/>
      </c>
      <c r="F137" s="188" t="str">
        <f>'Draft '!G136</f>
        <v/>
      </c>
      <c r="G137" s="20"/>
      <c r="H137" s="20" t="str">
        <f>'Draft '!I136</f>
        <v>0 | 0 | 0 | 0 | 0 | 0</v>
      </c>
    </row>
    <row r="138" hidden="1">
      <c r="A138" s="20" t="str">
        <f>'Draft '!C137</f>
        <v>Buttheads</v>
      </c>
      <c r="B138" s="190" t="s">
        <v>496</v>
      </c>
      <c r="C138" s="20" t="str">
        <f>'Draft '!D137</f>
        <v/>
      </c>
      <c r="D138" s="188" t="str">
        <f>'Draft '!E137</f>
        <v/>
      </c>
      <c r="E138" s="189" t="str">
        <f>'Draft '!F137</f>
        <v/>
      </c>
      <c r="F138" s="188" t="str">
        <f>'Draft '!G137</f>
        <v/>
      </c>
      <c r="G138" s="20"/>
      <c r="H138" s="20" t="str">
        <f>'Draft '!I137</f>
        <v>0 | 0 | 0 | 0 | 0 | 0</v>
      </c>
    </row>
    <row r="139" hidden="1">
      <c r="A139" s="20" t="str">
        <f>'Draft '!C138</f>
        <v>El Nino</v>
      </c>
      <c r="B139" s="20"/>
      <c r="C139" s="20" t="str">
        <f>'Draft '!D138</f>
        <v/>
      </c>
      <c r="D139" s="188" t="str">
        <f>'Draft '!E138</f>
        <v/>
      </c>
      <c r="E139" s="189" t="str">
        <f>'Draft '!F138</f>
        <v/>
      </c>
      <c r="F139" s="188" t="str">
        <f>'Draft '!G138</f>
        <v/>
      </c>
      <c r="G139" s="20"/>
      <c r="H139" s="20" t="str">
        <f>'Draft '!I138</f>
        <v>0 | 0 | 0 | 0 | 0 | 0</v>
      </c>
    </row>
    <row r="140" hidden="1">
      <c r="A140" s="20" t="str">
        <f>'Draft '!C139</f>
        <v>Icelanders</v>
      </c>
      <c r="B140" s="20"/>
      <c r="C140" s="20" t="str">
        <f>'Draft '!D139</f>
        <v/>
      </c>
      <c r="D140" s="188" t="str">
        <f>'Draft '!E139</f>
        <v/>
      </c>
      <c r="E140" s="189" t="str">
        <f>'Draft '!F139</f>
        <v/>
      </c>
      <c r="F140" s="188" t="str">
        <f>'Draft '!G139</f>
        <v/>
      </c>
      <c r="G140" s="20"/>
      <c r="H140" s="20" t="str">
        <f>'Draft '!I139</f>
        <v>0 | 0 | 0 | 0 | 0 | 0</v>
      </c>
    </row>
    <row r="141" hidden="1">
      <c r="A141" s="20" t="str">
        <f>'Draft '!C140</f>
        <v>Phantasm</v>
      </c>
      <c r="B141" s="190" t="s">
        <v>495</v>
      </c>
      <c r="C141" s="20" t="str">
        <f>'Draft '!D140</f>
        <v/>
      </c>
      <c r="D141" s="188" t="str">
        <f>'Draft '!E140</f>
        <v/>
      </c>
      <c r="E141" s="189" t="str">
        <f>'Draft '!F140</f>
        <v/>
      </c>
      <c r="F141" s="188" t="str">
        <f>'Draft '!G140</f>
        <v/>
      </c>
      <c r="G141" s="20"/>
      <c r="H141" s="20" t="str">
        <f>'Draft '!I140</f>
        <v>0 | 0 | 0 | 0 | 0 | 0</v>
      </c>
    </row>
    <row r="142" hidden="1">
      <c r="A142" s="20" t="str">
        <f>'Draft '!C141</f>
        <v>Sleeper Cell </v>
      </c>
      <c r="B142" s="20"/>
      <c r="C142" s="20" t="str">
        <f>'Draft '!D141</f>
        <v/>
      </c>
      <c r="D142" s="188" t="str">
        <f>'Draft '!E141</f>
        <v/>
      </c>
      <c r="E142" s="189" t="str">
        <f>'Draft '!F141</f>
        <v/>
      </c>
      <c r="F142" s="188" t="str">
        <f>'Draft '!G141</f>
        <v/>
      </c>
      <c r="G142" s="20"/>
      <c r="H142" s="20" t="str">
        <f>'Draft '!I141</f>
        <v>1 | 0 | 0 | 0 | 0 | 0</v>
      </c>
    </row>
    <row r="143" hidden="1">
      <c r="A143" s="20" t="str">
        <f>'Draft '!C142</f>
        <v>Sleeper Cell </v>
      </c>
      <c r="B143" s="20"/>
      <c r="C143" s="20" t="str">
        <f>'Draft '!D142</f>
        <v/>
      </c>
      <c r="D143" s="188" t="str">
        <f>'Draft '!E142</f>
        <v/>
      </c>
      <c r="E143" s="189" t="str">
        <f>'Draft '!F142</f>
        <v/>
      </c>
      <c r="F143" s="188" t="str">
        <f>'Draft '!G142</f>
        <v/>
      </c>
      <c r="G143" s="20"/>
      <c r="H143" s="20" t="str">
        <f>'Draft '!I142</f>
        <v>1 | 0 | 0 | 0 | 0 | 0</v>
      </c>
    </row>
    <row r="144" hidden="1">
      <c r="A144" s="20" t="str">
        <f>'Draft '!C143</f>
        <v>Phantasm</v>
      </c>
      <c r="B144" s="190" t="s">
        <v>124</v>
      </c>
      <c r="C144" s="20" t="str">
        <f>'Draft '!D143</f>
        <v/>
      </c>
      <c r="D144" s="188" t="str">
        <f>'Draft '!E143</f>
        <v/>
      </c>
      <c r="E144" s="189" t="str">
        <f>'Draft '!F143</f>
        <v/>
      </c>
      <c r="F144" s="188" t="str">
        <f>'Draft '!G143</f>
        <v/>
      </c>
      <c r="G144" s="20"/>
      <c r="H144" s="20" t="str">
        <f>'Draft '!I143</f>
        <v>0 | 0 | 0 | 0 | 0 | 0</v>
      </c>
    </row>
    <row r="145" hidden="1">
      <c r="A145" s="20" t="str">
        <f>'Draft '!C144</f>
        <v>Icelanders</v>
      </c>
      <c r="B145" s="20"/>
      <c r="C145" s="20" t="str">
        <f>'Draft '!D144</f>
        <v/>
      </c>
      <c r="D145" s="188" t="str">
        <f>'Draft '!E144</f>
        <v/>
      </c>
      <c r="E145" s="189" t="str">
        <f>'Draft '!F144</f>
        <v/>
      </c>
      <c r="F145" s="188" t="str">
        <f>'Draft '!G144</f>
        <v/>
      </c>
      <c r="G145" s="20"/>
      <c r="H145" s="20" t="str">
        <f>'Draft '!I144</f>
        <v>0 | 0 | 0 | 0 | 0 | 0</v>
      </c>
    </row>
    <row r="146" hidden="1">
      <c r="A146" s="20" t="str">
        <f>'Draft '!C145</f>
        <v>El Nino</v>
      </c>
      <c r="B146" s="20"/>
      <c r="C146" s="20" t="str">
        <f>'Draft '!D145</f>
        <v/>
      </c>
      <c r="D146" s="188" t="str">
        <f>'Draft '!E145</f>
        <v/>
      </c>
      <c r="E146" s="189" t="str">
        <f>'Draft '!F145</f>
        <v/>
      </c>
      <c r="F146" s="188" t="str">
        <f>'Draft '!G145</f>
        <v/>
      </c>
      <c r="G146" s="20"/>
      <c r="H146" s="20" t="str">
        <f>'Draft '!I145</f>
        <v>0 | 0 | 0 | 0 | 0 | 0</v>
      </c>
    </row>
    <row r="147" hidden="1">
      <c r="A147" s="20" t="str">
        <f>'Draft '!C146</f>
        <v>Buttheads</v>
      </c>
      <c r="B147" s="190" t="s">
        <v>126</v>
      </c>
      <c r="C147" s="20" t="str">
        <f>'Draft '!D146</f>
        <v/>
      </c>
      <c r="D147" s="188" t="str">
        <f>'Draft '!E146</f>
        <v/>
      </c>
      <c r="E147" s="189" t="str">
        <f>'Draft '!F146</f>
        <v/>
      </c>
      <c r="F147" s="188" t="str">
        <f>'Draft '!G146</f>
        <v/>
      </c>
      <c r="G147" s="20"/>
      <c r="H147" s="20" t="str">
        <f>'Draft '!I146</f>
        <v>0 | 0 | 0 | 0 | 0 | 0</v>
      </c>
    </row>
    <row r="148" hidden="1">
      <c r="A148" s="20" t="str">
        <f>'Draft '!C147</f>
        <v>Big Boys Big Work</v>
      </c>
      <c r="B148" s="20"/>
      <c r="C148" s="20" t="str">
        <f>'Draft '!D147</f>
        <v/>
      </c>
      <c r="D148" s="188" t="str">
        <f>'Draft '!E147</f>
        <v/>
      </c>
      <c r="E148" s="189" t="str">
        <f>'Draft '!F147</f>
        <v/>
      </c>
      <c r="F148" s="188" t="str">
        <f>'Draft '!G147</f>
        <v/>
      </c>
      <c r="G148" s="20"/>
      <c r="H148" s="20" t="str">
        <f>'Draft '!I147</f>
        <v>0 | 0 | 0 | 0 | 0 | 0</v>
      </c>
    </row>
    <row r="149" hidden="1">
      <c r="A149" s="20" t="str">
        <f>'Draft '!C148</f>
        <v>Turbo-Ginz</v>
      </c>
      <c r="B149" s="190" t="s">
        <v>496</v>
      </c>
      <c r="C149" s="20" t="str">
        <f>'Draft '!D148</f>
        <v/>
      </c>
      <c r="D149" s="188" t="str">
        <f>'Draft '!E148</f>
        <v/>
      </c>
      <c r="E149" s="189" t="str">
        <f>'Draft '!F148</f>
        <v/>
      </c>
      <c r="F149" s="188" t="str">
        <f>'Draft '!G148</f>
        <v/>
      </c>
      <c r="G149" s="20"/>
      <c r="H149" s="20" t="str">
        <f>'Draft '!I148</f>
        <v>0 | 0 | 0 | 0 | 0 | 0</v>
      </c>
    </row>
    <row r="150" hidden="1">
      <c r="A150" s="20" t="str">
        <f>'Draft '!C149</f>
        <v>Luddite</v>
      </c>
      <c r="B150" s="20"/>
      <c r="C150" s="20" t="str">
        <f>'Draft '!D149</f>
        <v/>
      </c>
      <c r="D150" s="188" t="str">
        <f>'Draft '!E149</f>
        <v/>
      </c>
      <c r="E150" s="189" t="str">
        <f>'Draft '!F149</f>
        <v/>
      </c>
      <c r="F150" s="188" t="str">
        <f>'Draft '!G149</f>
        <v/>
      </c>
      <c r="G150" s="20"/>
      <c r="H150" s="20" t="str">
        <f>'Draft '!I149</f>
        <v>0 | 0 | 0 | 0 | 0 | 0</v>
      </c>
    </row>
    <row r="151" hidden="1">
      <c r="A151" s="20" t="str">
        <f>'Draft '!C150</f>
        <v>Achaians</v>
      </c>
      <c r="B151" s="20"/>
      <c r="C151" s="20" t="str">
        <f>'Draft '!D150</f>
        <v/>
      </c>
      <c r="D151" s="188" t="str">
        <f>'Draft '!E150</f>
        <v/>
      </c>
      <c r="E151" s="189" t="str">
        <f>'Draft '!F150</f>
        <v/>
      </c>
      <c r="F151" s="188" t="str">
        <f>'Draft '!G150</f>
        <v/>
      </c>
      <c r="G151" s="20"/>
      <c r="H151" s="20" t="str">
        <f>'Draft '!I150</f>
        <v>0 | 0 | 0 | 0 | 0 | 0</v>
      </c>
    </row>
    <row r="152" hidden="1">
      <c r="A152" s="20" t="str">
        <f>'Draft '!C151</f>
        <v>Daddy's Dogs</v>
      </c>
      <c r="B152" s="20"/>
      <c r="C152" s="20" t="str">
        <f>'Draft '!D151</f>
        <v/>
      </c>
      <c r="D152" s="188" t="str">
        <f>'Draft '!E151</f>
        <v/>
      </c>
      <c r="E152" s="189" t="str">
        <f>'Draft '!F151</f>
        <v/>
      </c>
      <c r="F152" s="188" t="str">
        <f>'Draft '!G151</f>
        <v/>
      </c>
      <c r="G152" s="20"/>
      <c r="H152" s="20" t="str">
        <f>'Draft '!I151</f>
        <v>0 | 0 | 0 | 0 | 0 | 0</v>
      </c>
    </row>
    <row r="153" hidden="1">
      <c r="A153" s="20" t="str">
        <f>'Draft '!C152</f>
        <v>TDs and Beers</v>
      </c>
      <c r="B153" s="20"/>
      <c r="C153" s="20" t="str">
        <f>'Draft '!D152</f>
        <v/>
      </c>
      <c r="D153" s="188" t="str">
        <f>'Draft '!E152</f>
        <v/>
      </c>
      <c r="E153" s="189" t="str">
        <f>'Draft '!F152</f>
        <v/>
      </c>
      <c r="F153" s="188" t="str">
        <f>'Draft '!G152</f>
        <v/>
      </c>
      <c r="G153" s="20"/>
      <c r="H153" s="20" t="str">
        <f>'Draft '!I152</f>
        <v>0 | 0 | 0 | 0 | 0 | 0</v>
      </c>
    </row>
    <row r="154" hidden="1">
      <c r="A154" s="20" t="str">
        <f>'Draft '!C153</f>
        <v>DD Riders</v>
      </c>
      <c r="B154" s="20"/>
      <c r="C154" s="20" t="str">
        <f>'Draft '!D153</f>
        <v/>
      </c>
      <c r="D154" s="188" t="str">
        <f>'Draft '!E153</f>
        <v/>
      </c>
      <c r="E154" s="189" t="str">
        <f>'Draft '!F153</f>
        <v/>
      </c>
      <c r="F154" s="188" t="str">
        <f>'Draft '!G153</f>
        <v/>
      </c>
      <c r="G154" s="20"/>
      <c r="H154" s="20" t="str">
        <f>'Draft '!I153</f>
        <v>0 | 0 | 0 | 0 | 0 | 0</v>
      </c>
    </row>
    <row r="155">
      <c r="A155" s="20" t="str">
        <f>'Draft '!C154</f>
        <v>Nasty</v>
      </c>
      <c r="B155" s="190" t="s">
        <v>124</v>
      </c>
      <c r="C155" s="20" t="str">
        <f>'Draft '!D154</f>
        <v/>
      </c>
      <c r="D155" s="188" t="str">
        <f>'Draft '!E154</f>
        <v/>
      </c>
      <c r="E155" s="189" t="str">
        <f>'Draft '!F154</f>
        <v/>
      </c>
      <c r="F155" s="188" t="str">
        <f>'Draft '!G154</f>
        <v/>
      </c>
      <c r="G155" s="20"/>
      <c r="H155" s="20" t="str">
        <f>'Draft '!I154</f>
        <v>0 | 0 | 0 | 0 | 0 | 0</v>
      </c>
    </row>
    <row r="156" hidden="1">
      <c r="A156" s="20" t="str">
        <f>'Draft '!C155</f>
        <v>Red Hammer</v>
      </c>
      <c r="B156" s="20"/>
      <c r="C156" s="20" t="str">
        <f>'Draft '!D155</f>
        <v/>
      </c>
      <c r="D156" s="188" t="str">
        <f>'Draft '!E155</f>
        <v/>
      </c>
      <c r="E156" s="189" t="str">
        <f>'Draft '!F155</f>
        <v/>
      </c>
      <c r="F156" s="188" t="str">
        <f>'Draft '!G155</f>
        <v/>
      </c>
      <c r="G156" s="20"/>
      <c r="H156" s="20" t="str">
        <f>'Draft '!I155</f>
        <v>0 | 0 | 0 | 0 | 0 | 0</v>
      </c>
    </row>
    <row r="157" hidden="1">
      <c r="A157" s="20" t="str">
        <f>'Draft '!C156</f>
        <v>Red Hammer</v>
      </c>
      <c r="B157" s="20"/>
      <c r="C157" s="20" t="str">
        <f>'Draft '!D156</f>
        <v/>
      </c>
      <c r="D157" s="188" t="str">
        <f>'Draft '!E156</f>
        <v/>
      </c>
      <c r="E157" s="189" t="str">
        <f>'Draft '!F156</f>
        <v/>
      </c>
      <c r="F157" s="188" t="str">
        <f>'Draft '!G156</f>
        <v/>
      </c>
      <c r="G157" s="20"/>
      <c r="H157" s="20" t="str">
        <f>'Draft '!I156</f>
        <v>0 | 0 | 0 | 0 | 0 | 0</v>
      </c>
    </row>
    <row r="158">
      <c r="A158" s="20" t="str">
        <f>'Draft '!C157</f>
        <v>Nasty</v>
      </c>
      <c r="B158" s="190" t="s">
        <v>496</v>
      </c>
      <c r="C158" s="20" t="str">
        <f>'Draft '!D157</f>
        <v/>
      </c>
      <c r="D158" s="188" t="str">
        <f>'Draft '!E157</f>
        <v/>
      </c>
      <c r="E158" s="189" t="str">
        <f>'Draft '!F157</f>
        <v/>
      </c>
      <c r="F158" s="188" t="str">
        <f>'Draft '!G157</f>
        <v/>
      </c>
      <c r="G158" s="20"/>
      <c r="H158" s="20" t="str">
        <f>'Draft '!I157</f>
        <v>0 | 0 | 0 | 0 | 0 | 0</v>
      </c>
    </row>
    <row r="159" hidden="1">
      <c r="A159" s="20" t="str">
        <f>'Draft '!C158</f>
        <v>DD Riders</v>
      </c>
      <c r="B159" s="20"/>
      <c r="C159" s="20" t="str">
        <f>'Draft '!D158</f>
        <v/>
      </c>
      <c r="D159" s="188" t="str">
        <f>'Draft '!E158</f>
        <v/>
      </c>
      <c r="E159" s="189" t="str">
        <f>'Draft '!F158</f>
        <v/>
      </c>
      <c r="F159" s="188" t="str">
        <f>'Draft '!G158</f>
        <v/>
      </c>
      <c r="G159" s="20"/>
      <c r="H159" s="20" t="str">
        <f>'Draft '!I158</f>
        <v>0 | 0 | 0 | 0 | 0 | 0</v>
      </c>
    </row>
    <row r="160" hidden="1">
      <c r="A160" s="20" t="str">
        <f>'Draft '!C159</f>
        <v>TDs and Beers</v>
      </c>
      <c r="B160" s="20"/>
      <c r="C160" s="20" t="str">
        <f>'Draft '!D159</f>
        <v/>
      </c>
      <c r="D160" s="188" t="str">
        <f>'Draft '!E159</f>
        <v/>
      </c>
      <c r="E160" s="189" t="str">
        <f>'Draft '!F159</f>
        <v/>
      </c>
      <c r="F160" s="188" t="str">
        <f>'Draft '!G159</f>
        <v/>
      </c>
      <c r="G160" s="20"/>
      <c r="H160" s="20" t="str">
        <f>'Draft '!I159</f>
        <v>0 | 0 | 0 | 0 | 0 | 0</v>
      </c>
    </row>
    <row r="161" hidden="1">
      <c r="A161" s="20" t="str">
        <f>'Draft '!C160</f>
        <v>Daddy's Dogs</v>
      </c>
      <c r="B161" s="20"/>
      <c r="C161" s="20" t="str">
        <f>'Draft '!D160</f>
        <v/>
      </c>
      <c r="D161" s="188" t="str">
        <f>'Draft '!E160</f>
        <v/>
      </c>
      <c r="E161" s="189" t="str">
        <f>'Draft '!F160</f>
        <v/>
      </c>
      <c r="F161" s="188" t="str">
        <f>'Draft '!G160</f>
        <v/>
      </c>
      <c r="G161" s="20"/>
      <c r="H161" s="20" t="str">
        <f>'Draft '!I160</f>
        <v>0 | 0 | 0 | 0 | 0 | 0</v>
      </c>
    </row>
    <row r="162" hidden="1">
      <c r="A162" s="20" t="str">
        <f>'Draft '!C161</f>
        <v>Achaians</v>
      </c>
      <c r="B162" s="20"/>
      <c r="C162" s="20" t="str">
        <f>'Draft '!D161</f>
        <v/>
      </c>
      <c r="D162" s="188" t="str">
        <f>'Draft '!E161</f>
        <v/>
      </c>
      <c r="E162" s="189" t="str">
        <f>'Draft '!F161</f>
        <v/>
      </c>
      <c r="F162" s="188" t="str">
        <f>'Draft '!G161</f>
        <v/>
      </c>
      <c r="G162" s="20"/>
      <c r="H162" s="20" t="str">
        <f>'Draft '!I161</f>
        <v>0 | 0 | 0 | 0 | 0 | 0</v>
      </c>
    </row>
    <row r="163" hidden="1">
      <c r="A163" s="20" t="str">
        <f>'Draft '!C162</f>
        <v>Luddite</v>
      </c>
      <c r="B163" s="20"/>
      <c r="C163" s="20" t="str">
        <f>'Draft '!D162</f>
        <v/>
      </c>
      <c r="D163" s="188" t="str">
        <f>'Draft '!E162</f>
        <v/>
      </c>
      <c r="E163" s="189" t="str">
        <f>'Draft '!F162</f>
        <v/>
      </c>
      <c r="F163" s="188" t="str">
        <f>'Draft '!G162</f>
        <v/>
      </c>
      <c r="G163" s="20"/>
      <c r="H163" s="20" t="str">
        <f>'Draft '!I162</f>
        <v>0 | 0 | 0 | 0 | 0 | 0</v>
      </c>
    </row>
    <row r="164" hidden="1">
      <c r="A164" s="20" t="str">
        <f>'Draft '!C163</f>
        <v>Turbo-Ginz</v>
      </c>
      <c r="B164" s="190" t="s">
        <v>126</v>
      </c>
      <c r="C164" s="20" t="str">
        <f>'Draft '!D163</f>
        <v/>
      </c>
      <c r="D164" s="188" t="str">
        <f>'Draft '!E163</f>
        <v/>
      </c>
      <c r="E164" s="189" t="str">
        <f>'Draft '!F163</f>
        <v/>
      </c>
      <c r="F164" s="188" t="str">
        <f>'Draft '!G163</f>
        <v/>
      </c>
      <c r="G164" s="20"/>
      <c r="H164" s="20" t="str">
        <f>'Draft '!I163</f>
        <v>0 | 0 | 0 | 0 | 0 | 0</v>
      </c>
    </row>
    <row r="165" hidden="1">
      <c r="A165" s="20" t="str">
        <f>'Draft '!C164</f>
        <v>Big Boys Big Work</v>
      </c>
      <c r="B165" s="20"/>
      <c r="C165" s="20" t="str">
        <f>'Draft '!D164</f>
        <v/>
      </c>
      <c r="D165" s="188" t="str">
        <f>'Draft '!E164</f>
        <v/>
      </c>
      <c r="E165" s="189" t="str">
        <f>'Draft '!F164</f>
        <v/>
      </c>
      <c r="F165" s="188" t="str">
        <f>'Draft '!G164</f>
        <v/>
      </c>
      <c r="G165" s="20"/>
      <c r="H165" s="20" t="str">
        <f>'Draft '!I164</f>
        <v>0 | 0 | 0 | 0 | 0 | 0</v>
      </c>
    </row>
    <row r="166" hidden="1">
      <c r="A166" s="20" t="str">
        <f>'Draft '!C165</f>
        <v>Buttheads</v>
      </c>
      <c r="B166" s="190" t="s">
        <v>127</v>
      </c>
      <c r="C166" s="20" t="str">
        <f>'Draft '!D165</f>
        <v/>
      </c>
      <c r="D166" s="188" t="str">
        <f>'Draft '!E165</f>
        <v/>
      </c>
      <c r="E166" s="189" t="str">
        <f>'Draft '!F165</f>
        <v/>
      </c>
      <c r="F166" s="188" t="str">
        <f>'Draft '!G165</f>
        <v/>
      </c>
      <c r="G166" s="20"/>
      <c r="H166" s="20" t="str">
        <f>'Draft '!I165</f>
        <v>0 | 0 | 0 | 0 | 0 | 0</v>
      </c>
    </row>
    <row r="167" hidden="1">
      <c r="A167" s="20" t="str">
        <f>'Draft '!C166</f>
        <v>El Nino</v>
      </c>
      <c r="B167" s="20"/>
      <c r="C167" s="20" t="str">
        <f>'Draft '!D166</f>
        <v/>
      </c>
      <c r="D167" s="188" t="str">
        <f>'Draft '!E166</f>
        <v/>
      </c>
      <c r="E167" s="189" t="str">
        <f>'Draft '!F166</f>
        <v/>
      </c>
      <c r="F167" s="188" t="str">
        <f>'Draft '!G166</f>
        <v/>
      </c>
      <c r="G167" s="20"/>
      <c r="H167" s="20" t="str">
        <f>'Draft '!I166</f>
        <v>0 | 0 | 0 | 0 | 0 | 0</v>
      </c>
    </row>
    <row r="168" hidden="1">
      <c r="A168" s="20" t="str">
        <f>'Draft '!C167</f>
        <v>Icelanders</v>
      </c>
      <c r="B168" s="20"/>
      <c r="C168" s="20" t="str">
        <f>'Draft '!D167</f>
        <v/>
      </c>
      <c r="D168" s="188" t="str">
        <f>'Draft '!E167</f>
        <v/>
      </c>
      <c r="E168" s="189" t="str">
        <f>'Draft '!F167</f>
        <v/>
      </c>
      <c r="F168" s="188" t="str">
        <f>'Draft '!G167</f>
        <v/>
      </c>
      <c r="G168" s="20"/>
      <c r="H168" s="20" t="str">
        <f>'Draft '!I167</f>
        <v>0 | 0 | 0 | 0 | 0 | 0</v>
      </c>
    </row>
    <row r="169" hidden="1">
      <c r="A169" s="20" t="str">
        <f>'Draft '!C168</f>
        <v>Phantasm</v>
      </c>
      <c r="B169" s="190" t="s">
        <v>496</v>
      </c>
      <c r="C169" s="20" t="str">
        <f>'Draft '!D168</f>
        <v/>
      </c>
      <c r="D169" s="188" t="str">
        <f>'Draft '!E168</f>
        <v/>
      </c>
      <c r="E169" s="189" t="str">
        <f>'Draft '!F168</f>
        <v/>
      </c>
      <c r="F169" s="188" t="str">
        <f>'Draft '!G168</f>
        <v/>
      </c>
      <c r="G169" s="20"/>
      <c r="H169" s="20" t="str">
        <f>'Draft '!I168</f>
        <v>0 | 0 | 0 | 0 | 0 | 0</v>
      </c>
    </row>
    <row r="170" hidden="1">
      <c r="A170" s="20" t="str">
        <f>'Draft '!C169</f>
        <v>Sleeper Cell </v>
      </c>
      <c r="B170" s="20"/>
      <c r="C170" s="20" t="str">
        <f>'Draft '!D169</f>
        <v/>
      </c>
      <c r="D170" s="188" t="str">
        <f>'Draft '!E169</f>
        <v/>
      </c>
      <c r="E170" s="189" t="str">
        <f>'Draft '!F169</f>
        <v/>
      </c>
      <c r="F170" s="188" t="str">
        <f>'Draft '!G169</f>
        <v/>
      </c>
      <c r="G170" s="20"/>
      <c r="H170" s="20" t="str">
        <f>'Draft '!I169</f>
        <v>1 | 0 | 0 | 0 | 0 | 0</v>
      </c>
    </row>
    <row r="171" hidden="1">
      <c r="A171" s="20" t="str">
        <f>'Draft '!C170</f>
        <v>Sleeper Cell </v>
      </c>
      <c r="B171" s="20"/>
      <c r="C171" s="20" t="str">
        <f>'Draft '!D170</f>
        <v/>
      </c>
      <c r="D171" s="188" t="str">
        <f>'Draft '!E170</f>
        <v/>
      </c>
      <c r="E171" s="189" t="str">
        <f>'Draft '!F170</f>
        <v/>
      </c>
      <c r="F171" s="188" t="str">
        <f>'Draft '!G170</f>
        <v/>
      </c>
      <c r="G171" s="20"/>
      <c r="H171" s="20" t="str">
        <f>'Draft '!I170</f>
        <v>1 | 0 | 0 | 0 | 0 | 0</v>
      </c>
    </row>
    <row r="172" hidden="1">
      <c r="A172" s="20" t="str">
        <f>'Draft '!C171</f>
        <v>Phantasm</v>
      </c>
      <c r="B172" s="190" t="s">
        <v>126</v>
      </c>
      <c r="C172" s="20" t="str">
        <f>'Draft '!D171</f>
        <v/>
      </c>
      <c r="D172" s="188" t="str">
        <f>'Draft '!E171</f>
        <v/>
      </c>
      <c r="E172" s="189" t="str">
        <f>'Draft '!F171</f>
        <v/>
      </c>
      <c r="F172" s="188" t="str">
        <f>'Draft '!G171</f>
        <v/>
      </c>
      <c r="G172" s="20"/>
      <c r="H172" s="20" t="str">
        <f>'Draft '!I171</f>
        <v>0 | 0 | 0 | 0 | 0 | 0</v>
      </c>
    </row>
    <row r="173" hidden="1">
      <c r="A173" s="20" t="str">
        <f>'Draft '!C172</f>
        <v>Icelanders</v>
      </c>
      <c r="B173" s="20"/>
      <c r="C173" s="20" t="str">
        <f>'Draft '!D172</f>
        <v/>
      </c>
      <c r="D173" s="188" t="str">
        <f>'Draft '!E172</f>
        <v/>
      </c>
      <c r="E173" s="189" t="str">
        <f>'Draft '!F172</f>
        <v/>
      </c>
      <c r="F173" s="188" t="str">
        <f>'Draft '!G172</f>
        <v/>
      </c>
      <c r="G173" s="20"/>
      <c r="H173" s="20" t="str">
        <f>'Draft '!I172</f>
        <v>0 | 0 | 0 | 0 | 0 | 0</v>
      </c>
    </row>
    <row r="174" hidden="1">
      <c r="A174" s="20" t="str">
        <f>'Draft '!C173</f>
        <v>El Nino</v>
      </c>
      <c r="B174" s="20"/>
      <c r="C174" s="20" t="str">
        <f>'Draft '!D173</f>
        <v/>
      </c>
      <c r="D174" s="188" t="str">
        <f>'Draft '!E173</f>
        <v/>
      </c>
      <c r="E174" s="189" t="str">
        <f>'Draft '!F173</f>
        <v/>
      </c>
      <c r="F174" s="188" t="str">
        <f>'Draft '!G173</f>
        <v/>
      </c>
      <c r="G174" s="20"/>
      <c r="H174" s="20" t="str">
        <f>'Draft '!I173</f>
        <v>0 | 0 | 0 | 0 | 0 | 0</v>
      </c>
    </row>
    <row r="175" hidden="1">
      <c r="A175" s="20" t="str">
        <f>'Draft '!C174</f>
        <v>Buttheads</v>
      </c>
      <c r="B175" s="190" t="s">
        <v>128</v>
      </c>
      <c r="C175" s="20" t="str">
        <f>'Draft '!D174</f>
        <v/>
      </c>
      <c r="D175" s="188" t="str">
        <f>'Draft '!E174</f>
        <v/>
      </c>
      <c r="E175" s="189" t="str">
        <f>'Draft '!F174</f>
        <v/>
      </c>
      <c r="F175" s="188" t="str">
        <f>'Draft '!G174</f>
        <v/>
      </c>
      <c r="G175" s="20"/>
      <c r="H175" s="20" t="str">
        <f>'Draft '!I174</f>
        <v>0 | 0 | 0 | 0 | 0 | 0</v>
      </c>
    </row>
    <row r="176" hidden="1">
      <c r="A176" s="20" t="str">
        <f>'Draft '!C175</f>
        <v>Big Boys Big Work</v>
      </c>
      <c r="B176" s="20"/>
      <c r="C176" s="20" t="str">
        <f>'Draft '!D175</f>
        <v/>
      </c>
      <c r="D176" s="188" t="str">
        <f>'Draft '!E175</f>
        <v/>
      </c>
      <c r="E176" s="189" t="str">
        <f>'Draft '!F175</f>
        <v/>
      </c>
      <c r="F176" s="188" t="str">
        <f>'Draft '!G175</f>
        <v/>
      </c>
      <c r="G176" s="20"/>
      <c r="H176" s="20" t="str">
        <f>'Draft '!I175</f>
        <v>0 | 0 | 0 | 0 | 0 | 0</v>
      </c>
    </row>
    <row r="177" hidden="1">
      <c r="A177" s="20" t="str">
        <f>'Draft '!C176</f>
        <v>Turbo-Ginz</v>
      </c>
      <c r="B177" s="190" t="s">
        <v>127</v>
      </c>
      <c r="C177" s="20" t="str">
        <f>'Draft '!D176</f>
        <v/>
      </c>
      <c r="D177" s="188" t="str">
        <f>'Draft '!E176</f>
        <v/>
      </c>
      <c r="E177" s="189" t="str">
        <f>'Draft '!F176</f>
        <v/>
      </c>
      <c r="F177" s="188" t="str">
        <f>'Draft '!G176</f>
        <v/>
      </c>
      <c r="G177" s="20"/>
      <c r="H177" s="20" t="str">
        <f>'Draft '!I176</f>
        <v>0 | 0 | 0 | 0 | 0 | 0</v>
      </c>
    </row>
    <row r="178" hidden="1">
      <c r="A178" s="20" t="str">
        <f>'Draft '!C177</f>
        <v>Luddite</v>
      </c>
      <c r="B178" s="20"/>
      <c r="C178" s="20" t="str">
        <f>'Draft '!D177</f>
        <v/>
      </c>
      <c r="D178" s="188" t="str">
        <f>'Draft '!E177</f>
        <v/>
      </c>
      <c r="E178" s="189" t="str">
        <f>'Draft '!F177</f>
        <v/>
      </c>
      <c r="F178" s="188" t="str">
        <f>'Draft '!G177</f>
        <v/>
      </c>
      <c r="G178" s="20"/>
      <c r="H178" s="20" t="str">
        <f>'Draft '!I177</f>
        <v>0 | 0 | 0 | 0 | 0 | 0</v>
      </c>
    </row>
    <row r="179" hidden="1">
      <c r="A179" s="20" t="str">
        <f>'Draft '!C178</f>
        <v>Achaians</v>
      </c>
      <c r="B179" s="20"/>
      <c r="C179" s="20" t="str">
        <f>'Draft '!D178</f>
        <v/>
      </c>
      <c r="D179" s="188" t="str">
        <f>'Draft '!E178</f>
        <v/>
      </c>
      <c r="E179" s="189" t="str">
        <f>'Draft '!F178</f>
        <v/>
      </c>
      <c r="F179" s="188" t="str">
        <f>'Draft '!G178</f>
        <v/>
      </c>
      <c r="G179" s="20"/>
      <c r="H179" s="20" t="str">
        <f>'Draft '!I178</f>
        <v>0 | 0 | 0 | 0 | 0 | 0</v>
      </c>
    </row>
    <row r="180" hidden="1">
      <c r="A180" s="20" t="str">
        <f>'Draft '!C179</f>
        <v>Daddy's Dogs</v>
      </c>
      <c r="B180" s="20"/>
      <c r="C180" s="20" t="str">
        <f>'Draft '!D179</f>
        <v/>
      </c>
      <c r="D180" s="188" t="str">
        <f>'Draft '!E179</f>
        <v/>
      </c>
      <c r="E180" s="189" t="str">
        <f>'Draft '!F179</f>
        <v/>
      </c>
      <c r="F180" s="188" t="str">
        <f>'Draft '!G179</f>
        <v/>
      </c>
      <c r="G180" s="20"/>
      <c r="H180" s="20" t="str">
        <f>'Draft '!I179</f>
        <v>0 | 0 | 0 | 0 | 0 | 0</v>
      </c>
    </row>
    <row r="181" hidden="1">
      <c r="A181" s="20" t="str">
        <f>'Draft '!C180</f>
        <v>TDs and Beers</v>
      </c>
      <c r="B181" s="20"/>
      <c r="C181" s="20" t="str">
        <f>'Draft '!D180</f>
        <v/>
      </c>
      <c r="D181" s="188" t="str">
        <f>'Draft '!E180</f>
        <v/>
      </c>
      <c r="E181" s="189" t="str">
        <f>'Draft '!F180</f>
        <v/>
      </c>
      <c r="F181" s="188" t="str">
        <f>'Draft '!G180</f>
        <v/>
      </c>
      <c r="G181" s="20"/>
      <c r="H181" s="20" t="str">
        <f>'Draft '!I180</f>
        <v>0 | 0 | 0 | 0 | 0 | 0</v>
      </c>
    </row>
    <row r="182" hidden="1">
      <c r="A182" s="20" t="str">
        <f>'Draft '!C181</f>
        <v>DD Riders</v>
      </c>
      <c r="B182" s="20"/>
      <c r="C182" s="20" t="str">
        <f>'Draft '!D181</f>
        <v/>
      </c>
      <c r="D182" s="188" t="str">
        <f>'Draft '!E181</f>
        <v/>
      </c>
      <c r="E182" s="189" t="str">
        <f>'Draft '!F181</f>
        <v/>
      </c>
      <c r="F182" s="188" t="str">
        <f>'Draft '!G181</f>
        <v/>
      </c>
      <c r="G182" s="20"/>
      <c r="H182" s="20" t="str">
        <f>'Draft '!I181</f>
        <v>0 | 0 | 0 | 0 | 0 | 0</v>
      </c>
    </row>
    <row r="183">
      <c r="A183" s="20" t="str">
        <f>'Draft '!C182</f>
        <v>Nasty</v>
      </c>
      <c r="B183" s="190" t="s">
        <v>126</v>
      </c>
      <c r="C183" s="20" t="str">
        <f>'Draft '!D182</f>
        <v/>
      </c>
      <c r="D183" s="188" t="str">
        <f>'Draft '!E182</f>
        <v/>
      </c>
      <c r="E183" s="189" t="str">
        <f>'Draft '!F182</f>
        <v/>
      </c>
      <c r="F183" s="188" t="str">
        <f>'Draft '!G182</f>
        <v/>
      </c>
      <c r="G183" s="20"/>
      <c r="H183" s="20" t="str">
        <f>'Draft '!I182</f>
        <v>0 | 0 | 0 | 0 | 0 | 0</v>
      </c>
    </row>
    <row r="184" hidden="1">
      <c r="A184" s="20" t="str">
        <f>'Draft '!C183</f>
        <v>Red Hammer</v>
      </c>
      <c r="B184" s="20"/>
      <c r="C184" s="20" t="str">
        <f>'Draft '!D183</f>
        <v/>
      </c>
      <c r="D184" s="188" t="str">
        <f>'Draft '!E183</f>
        <v/>
      </c>
      <c r="E184" s="189" t="str">
        <f>'Draft '!F183</f>
        <v/>
      </c>
      <c r="F184" s="188" t="str">
        <f>'Draft '!G183</f>
        <v/>
      </c>
      <c r="G184" s="20"/>
      <c r="H184" s="20" t="str">
        <f>'Draft '!I183</f>
        <v>0 | 0 | 0 | 0 | 0 | 0</v>
      </c>
    </row>
    <row r="185" hidden="1">
      <c r="A185" s="20" t="str">
        <f>'Draft '!C184</f>
        <v>Red Hammer</v>
      </c>
      <c r="B185" s="20"/>
      <c r="C185" s="20" t="str">
        <f>'Draft '!D184</f>
        <v/>
      </c>
      <c r="D185" s="188" t="str">
        <f>'Draft '!E184</f>
        <v/>
      </c>
      <c r="E185" s="189" t="str">
        <f>'Draft '!F184</f>
        <v/>
      </c>
      <c r="F185" s="188" t="str">
        <f>'Draft '!G184</f>
        <v/>
      </c>
      <c r="G185" s="20"/>
      <c r="H185" s="20" t="str">
        <f>'Draft '!I184</f>
        <v>0 | 0 | 0 | 0 | 0 | 0</v>
      </c>
    </row>
    <row r="186">
      <c r="A186" s="20" t="str">
        <f>'Draft '!C185</f>
        <v>Nasty</v>
      </c>
      <c r="B186" s="190" t="s">
        <v>127</v>
      </c>
      <c r="C186" s="20" t="str">
        <f>'Draft '!D185</f>
        <v/>
      </c>
      <c r="D186" s="188" t="str">
        <f>'Draft '!E185</f>
        <v/>
      </c>
      <c r="E186" s="189" t="str">
        <f>'Draft '!F185</f>
        <v/>
      </c>
      <c r="F186" s="188" t="str">
        <f>'Draft '!G185</f>
        <v/>
      </c>
      <c r="G186" s="20"/>
      <c r="H186" s="20" t="str">
        <f>'Draft '!I185</f>
        <v>0 | 0 | 0 | 0 | 0 | 0</v>
      </c>
    </row>
    <row r="187" hidden="1">
      <c r="A187" s="20" t="str">
        <f>'Draft '!C186</f>
        <v>DD Riders</v>
      </c>
      <c r="B187" s="20"/>
      <c r="C187" s="20" t="str">
        <f>'Draft '!D186</f>
        <v/>
      </c>
      <c r="D187" s="188" t="str">
        <f>'Draft '!E186</f>
        <v/>
      </c>
      <c r="E187" s="189" t="str">
        <f>'Draft '!F186</f>
        <v/>
      </c>
      <c r="F187" s="188" t="str">
        <f>'Draft '!G186</f>
        <v/>
      </c>
      <c r="G187" s="20"/>
      <c r="H187" s="20" t="str">
        <f>'Draft '!I186</f>
        <v>0 | 0 | 0 | 0 | 0 | 0</v>
      </c>
    </row>
    <row r="188" hidden="1">
      <c r="A188" s="20" t="str">
        <f>'Draft '!C187</f>
        <v>TDs and Beers</v>
      </c>
      <c r="B188" s="20"/>
      <c r="C188" s="20" t="str">
        <f>'Draft '!D187</f>
        <v/>
      </c>
      <c r="D188" s="188" t="str">
        <f>'Draft '!E187</f>
        <v/>
      </c>
      <c r="E188" s="189" t="str">
        <f>'Draft '!F187</f>
        <v/>
      </c>
      <c r="F188" s="188" t="str">
        <f>'Draft '!G187</f>
        <v/>
      </c>
      <c r="G188" s="20"/>
      <c r="H188" s="20" t="str">
        <f>'Draft '!I187</f>
        <v>0 | 0 | 0 | 0 | 0 | 0</v>
      </c>
    </row>
    <row r="189" hidden="1">
      <c r="A189" s="20" t="str">
        <f>'Draft '!C188</f>
        <v>Daddy's Dogs</v>
      </c>
      <c r="B189" s="20"/>
      <c r="C189" s="20" t="str">
        <f>'Draft '!D189</f>
        <v/>
      </c>
      <c r="D189" s="188" t="str">
        <f>'Draft '!E188</f>
        <v/>
      </c>
      <c r="E189" s="189" t="str">
        <f>'Draft '!F188</f>
        <v/>
      </c>
      <c r="F189" s="188" t="str">
        <f>'Draft '!G188</f>
        <v/>
      </c>
      <c r="G189" s="20"/>
      <c r="H189" s="20" t="str">
        <f>'Draft '!I188</f>
        <v>0 | 0 | 0 | 0 | 0 | 0</v>
      </c>
    </row>
    <row r="190" hidden="1">
      <c r="A190" s="20" t="str">
        <f>'Draft '!C189</f>
        <v>Achaians</v>
      </c>
      <c r="B190" s="20"/>
      <c r="C190" s="20" t="str">
        <f>#REF!</f>
        <v>#REF!</v>
      </c>
      <c r="D190" s="188" t="str">
        <f>'Draft '!E189</f>
        <v/>
      </c>
      <c r="E190" s="189" t="str">
        <f>'Draft '!F189</f>
        <v/>
      </c>
      <c r="F190" s="188" t="str">
        <f>'Draft '!G189</f>
        <v/>
      </c>
      <c r="G190" s="20"/>
      <c r="H190" s="20" t="str">
        <f>'Draft '!I189</f>
        <v>0 | 0 | 0 | 0 | 0 | 0</v>
      </c>
    </row>
    <row r="191" hidden="1">
      <c r="A191" s="20" t="str">
        <f>'Draft '!C190</f>
        <v>Luddite</v>
      </c>
      <c r="B191" s="20"/>
      <c r="C191" s="20" t="str">
        <f>'Draft '!D190</f>
        <v/>
      </c>
      <c r="D191" s="188" t="str">
        <f>'Draft '!E190</f>
        <v/>
      </c>
      <c r="E191" s="189" t="str">
        <f>'Draft '!F190</f>
        <v/>
      </c>
      <c r="F191" s="188" t="str">
        <f>'Draft '!G190</f>
        <v/>
      </c>
      <c r="G191" s="20"/>
      <c r="H191" s="20" t="str">
        <f>'Draft '!I190</f>
        <v>0 | 0 | 0 | 0 | 0 | 0</v>
      </c>
    </row>
    <row r="192" hidden="1">
      <c r="A192" s="20" t="str">
        <f>'Draft '!C191</f>
        <v>Turbo-Ginz</v>
      </c>
      <c r="B192" s="190" t="s">
        <v>128</v>
      </c>
      <c r="C192" s="20" t="str">
        <f>'Draft '!D191</f>
        <v/>
      </c>
      <c r="D192" s="188" t="str">
        <f>'Draft '!E191</f>
        <v/>
      </c>
      <c r="E192" s="189" t="str">
        <f>'Draft '!F191</f>
        <v/>
      </c>
      <c r="F192" s="188" t="str">
        <f>'Draft '!G191</f>
        <v/>
      </c>
      <c r="G192" s="20"/>
      <c r="H192" s="20" t="str">
        <f>'Draft '!I191</f>
        <v>0 | 0 | 0 | 0 | 0 | 0</v>
      </c>
    </row>
    <row r="193" hidden="1">
      <c r="A193" s="20" t="str">
        <f>'Draft '!C192</f>
        <v>Big Boys Big Work</v>
      </c>
      <c r="B193" s="20"/>
      <c r="C193" s="20" t="str">
        <f>'Draft '!D192</f>
        <v/>
      </c>
      <c r="D193" s="188" t="str">
        <f>'Draft '!E192</f>
        <v/>
      </c>
      <c r="E193" s="189" t="str">
        <f>'Draft '!F192</f>
        <v/>
      </c>
      <c r="F193" s="188" t="str">
        <f>'Draft '!G192</f>
        <v/>
      </c>
      <c r="G193" s="20"/>
      <c r="H193" s="20" t="str">
        <f>'Draft '!I192</f>
        <v>0 | 0 | 0 | 0 | 0 | 0</v>
      </c>
    </row>
    <row r="194" hidden="1">
      <c r="A194" s="20" t="str">
        <f>'Draft '!C193</f>
        <v>Buttheads</v>
      </c>
      <c r="B194" s="190" t="s">
        <v>129</v>
      </c>
      <c r="C194" s="20" t="str">
        <f>'Draft '!D193</f>
        <v/>
      </c>
      <c r="D194" s="188" t="str">
        <f>'Draft '!E193</f>
        <v/>
      </c>
      <c r="E194" s="189" t="str">
        <f>'Draft '!F193</f>
        <v/>
      </c>
      <c r="F194" s="188" t="str">
        <f>'Draft '!G193</f>
        <v/>
      </c>
      <c r="G194" s="20"/>
      <c r="H194" s="20" t="str">
        <f>'Draft '!I193</f>
        <v>0 | 0 | 0 | 0 | 0 | 0</v>
      </c>
    </row>
    <row r="195" hidden="1">
      <c r="A195" s="20" t="str">
        <f>'Draft '!C194</f>
        <v>El Nino</v>
      </c>
      <c r="B195" s="20"/>
      <c r="C195" s="20" t="str">
        <f>'Draft '!D194</f>
        <v/>
      </c>
      <c r="D195" s="188" t="str">
        <f>'Draft '!E194</f>
        <v/>
      </c>
      <c r="E195" s="189" t="str">
        <f>'Draft '!F194</f>
        <v/>
      </c>
      <c r="F195" s="188" t="str">
        <f>'Draft '!G194</f>
        <v/>
      </c>
      <c r="G195" s="20"/>
      <c r="H195" s="20" t="str">
        <f>'Draft '!I194</f>
        <v>0 | 0 | 0 | 0 | 0 | 0</v>
      </c>
    </row>
    <row r="196" hidden="1">
      <c r="A196" s="20" t="str">
        <f>'Draft '!C195</f>
        <v>Icelanders</v>
      </c>
      <c r="B196" s="20"/>
      <c r="C196" s="20" t="str">
        <f>'Draft '!D195</f>
        <v/>
      </c>
      <c r="D196" s="188" t="str">
        <f>'Draft '!E195</f>
        <v/>
      </c>
      <c r="E196" s="189" t="str">
        <f>'Draft '!F195</f>
        <v/>
      </c>
      <c r="F196" s="188" t="str">
        <f>'Draft '!G195</f>
        <v/>
      </c>
      <c r="G196" s="20"/>
      <c r="H196" s="20" t="str">
        <f>'Draft '!I195</f>
        <v>0 | 0 | 0 | 0 | 0 | 0</v>
      </c>
    </row>
    <row r="197" hidden="1">
      <c r="A197" s="20" t="str">
        <f>'Draft '!C196</f>
        <v>Phantasm</v>
      </c>
      <c r="B197" s="190" t="s">
        <v>127</v>
      </c>
      <c r="C197" s="20" t="str">
        <f>'Draft '!D196</f>
        <v/>
      </c>
      <c r="D197" s="188" t="str">
        <f>'Draft '!E196</f>
        <v/>
      </c>
      <c r="E197" s="189" t="str">
        <f>'Draft '!F196</f>
        <v/>
      </c>
      <c r="F197" s="188" t="str">
        <f>'Draft '!G196</f>
        <v/>
      </c>
      <c r="G197" s="20"/>
      <c r="H197" s="20" t="str">
        <f>'Draft '!I196</f>
        <v>0 | 0 | 0 | 0 | 0 | 0</v>
      </c>
    </row>
    <row r="198" hidden="1">
      <c r="A198" s="20" t="str">
        <f>'Draft '!C197</f>
        <v>Sleeper Cell </v>
      </c>
      <c r="B198" s="20"/>
      <c r="C198" s="20" t="str">
        <f>'Draft '!D197</f>
        <v/>
      </c>
      <c r="D198" s="188" t="str">
        <f>'Draft '!E197</f>
        <v/>
      </c>
      <c r="E198" s="189" t="str">
        <f>'Draft '!F197</f>
        <v/>
      </c>
      <c r="F198" s="188" t="str">
        <f>'Draft '!G197</f>
        <v/>
      </c>
      <c r="G198" s="20"/>
      <c r="H198" s="20" t="str">
        <f>'Draft '!I197</f>
        <v>1 | 0 | 0 | 0 | 0 | 0</v>
      </c>
    </row>
    <row r="199" hidden="1">
      <c r="A199" s="20" t="str">
        <f>'Draft '!C198</f>
        <v>Sleeper Cell </v>
      </c>
      <c r="B199" s="20"/>
      <c r="C199" s="20" t="str">
        <f>'Draft '!D198</f>
        <v/>
      </c>
      <c r="D199" s="188" t="str">
        <f>'Draft '!E198</f>
        <v/>
      </c>
      <c r="E199" s="189" t="str">
        <f>'Draft '!F198</f>
        <v/>
      </c>
      <c r="F199" s="188" t="str">
        <f>'Draft '!G198</f>
        <v/>
      </c>
      <c r="G199" s="20"/>
      <c r="H199" s="20" t="str">
        <f>'Draft '!I198</f>
        <v>1 | 0 | 0 | 0 | 0 | 0</v>
      </c>
    </row>
    <row r="200" hidden="1">
      <c r="A200" s="20" t="str">
        <f>'Draft '!C199</f>
        <v>Phantasm</v>
      </c>
      <c r="B200" s="190" t="s">
        <v>128</v>
      </c>
      <c r="C200" s="20" t="str">
        <f>'Draft '!D199</f>
        <v/>
      </c>
      <c r="D200" s="188" t="str">
        <f>'Draft '!E199</f>
        <v/>
      </c>
      <c r="E200" s="189" t="str">
        <f>'Draft '!F199</f>
        <v/>
      </c>
      <c r="F200" s="188" t="str">
        <f>'Draft '!G199</f>
        <v/>
      </c>
      <c r="G200" s="20"/>
      <c r="H200" s="20" t="str">
        <f>'Draft '!I199</f>
        <v>0 | 0 | 0 | 0 | 0 | 0</v>
      </c>
    </row>
    <row r="201" hidden="1">
      <c r="A201" s="20" t="str">
        <f>'Draft '!C200</f>
        <v>Icelanders</v>
      </c>
      <c r="B201" s="20"/>
      <c r="C201" s="20" t="str">
        <f>'Draft '!D200</f>
        <v/>
      </c>
      <c r="D201" s="188" t="str">
        <f>'Draft '!E200</f>
        <v/>
      </c>
      <c r="E201" s="189" t="str">
        <f>'Draft '!F200</f>
        <v/>
      </c>
      <c r="F201" s="188" t="str">
        <f>'Draft '!G200</f>
        <v/>
      </c>
      <c r="G201" s="20"/>
      <c r="H201" s="20" t="str">
        <f>'Draft '!I200</f>
        <v>0 | 0 | 0 | 0 | 0 | 0</v>
      </c>
    </row>
    <row r="202" hidden="1">
      <c r="A202" s="20" t="str">
        <f>'Draft '!C201</f>
        <v>El Nino</v>
      </c>
      <c r="B202" s="20"/>
      <c r="C202" s="20" t="str">
        <f>'Draft '!D201</f>
        <v/>
      </c>
      <c r="D202" s="188" t="str">
        <f>'Draft '!E201</f>
        <v/>
      </c>
      <c r="E202" s="189" t="str">
        <f>'Draft '!F201</f>
        <v/>
      </c>
      <c r="F202" s="188" t="str">
        <f>'Draft '!G201</f>
        <v/>
      </c>
      <c r="G202" s="20"/>
      <c r="H202" s="20" t="str">
        <f>'Draft '!I201</f>
        <v>0 | 0 | 0 | 0 | 0 | 0</v>
      </c>
    </row>
    <row r="203" hidden="1">
      <c r="A203" s="20" t="str">
        <f>'Draft '!C202</f>
        <v>Buttheads</v>
      </c>
      <c r="B203" s="190" t="s">
        <v>497</v>
      </c>
      <c r="C203" s="20" t="str">
        <f>'Draft '!D202</f>
        <v/>
      </c>
      <c r="D203" s="188" t="str">
        <f>'Draft '!E202</f>
        <v/>
      </c>
      <c r="E203" s="189" t="str">
        <f>'Draft '!F202</f>
        <v/>
      </c>
      <c r="F203" s="188" t="str">
        <f>'Draft '!G202</f>
        <v/>
      </c>
      <c r="G203" s="20"/>
      <c r="H203" s="20" t="str">
        <f>'Draft '!I202</f>
        <v>0 | 0 | 0 | 0 | 0 | 0</v>
      </c>
    </row>
    <row r="204" hidden="1">
      <c r="A204" s="20" t="str">
        <f>'Draft '!C203</f>
        <v>Big Boys Big Work</v>
      </c>
      <c r="B204" s="20"/>
      <c r="C204" s="20" t="str">
        <f>'Draft '!D203</f>
        <v/>
      </c>
      <c r="D204" s="188" t="str">
        <f>'Draft '!E203</f>
        <v/>
      </c>
      <c r="E204" s="189" t="str">
        <f>'Draft '!F203</f>
        <v/>
      </c>
      <c r="F204" s="188" t="str">
        <f>'Draft '!G203</f>
        <v/>
      </c>
      <c r="G204" s="20"/>
      <c r="H204" s="20" t="str">
        <f>'Draft '!I203</f>
        <v>0 | 0 | 0 | 0 | 0 | 0</v>
      </c>
    </row>
    <row r="205" hidden="1">
      <c r="A205" s="20" t="str">
        <f>'Draft '!C204</f>
        <v>Turbo-Ginz</v>
      </c>
      <c r="B205" s="190" t="s">
        <v>129</v>
      </c>
      <c r="C205" s="20" t="str">
        <f>'Draft '!D204</f>
        <v/>
      </c>
      <c r="D205" s="188" t="str">
        <f>'Draft '!E204</f>
        <v/>
      </c>
      <c r="E205" s="189" t="str">
        <f>'Draft '!F204</f>
        <v/>
      </c>
      <c r="F205" s="188" t="str">
        <f>'Draft '!G204</f>
        <v/>
      </c>
      <c r="G205" s="20"/>
      <c r="H205" s="20" t="str">
        <f>'Draft '!I204</f>
        <v>0 | 0 | 0 | 0 | 0 | 0</v>
      </c>
    </row>
    <row r="206" hidden="1">
      <c r="A206" s="20" t="str">
        <f>'Draft '!C205</f>
        <v>Luddite</v>
      </c>
      <c r="B206" s="20"/>
      <c r="C206" s="20" t="str">
        <f>'Draft '!D205</f>
        <v/>
      </c>
      <c r="D206" s="188" t="str">
        <f>'Draft '!E205</f>
        <v/>
      </c>
      <c r="E206" s="189" t="str">
        <f>'Draft '!F205</f>
        <v/>
      </c>
      <c r="F206" s="188" t="str">
        <f>'Draft '!G205</f>
        <v/>
      </c>
      <c r="G206" s="20"/>
      <c r="H206" s="20" t="str">
        <f>'Draft '!I205</f>
        <v>0 | 0 | 0 | 0 | 0 | 0</v>
      </c>
    </row>
    <row r="207" hidden="1">
      <c r="A207" s="20" t="str">
        <f>'Draft '!C206</f>
        <v>Achaians</v>
      </c>
      <c r="B207" s="20"/>
      <c r="C207" s="20" t="str">
        <f>'Draft '!D206</f>
        <v/>
      </c>
      <c r="D207" s="188" t="str">
        <f>'Draft '!E206</f>
        <v/>
      </c>
      <c r="E207" s="189" t="str">
        <f>'Draft '!F206</f>
        <v/>
      </c>
      <c r="F207" s="188" t="str">
        <f>'Draft '!G206</f>
        <v/>
      </c>
      <c r="G207" s="20"/>
      <c r="H207" s="20" t="str">
        <f>'Draft '!I206</f>
        <v>0 | 0 | 0 | 0 | 0 | 0</v>
      </c>
    </row>
    <row r="208" hidden="1">
      <c r="A208" s="20" t="str">
        <f>'Draft '!C207</f>
        <v>Daddy's Dogs</v>
      </c>
      <c r="B208" s="20"/>
      <c r="C208" s="20" t="str">
        <f>'Draft '!D207</f>
        <v/>
      </c>
      <c r="D208" s="188" t="str">
        <f>'Draft '!E207</f>
        <v/>
      </c>
      <c r="E208" s="189" t="str">
        <f>'Draft '!F207</f>
        <v/>
      </c>
      <c r="F208" s="188" t="str">
        <f>'Draft '!G207</f>
        <v/>
      </c>
      <c r="G208" s="20"/>
      <c r="H208" s="20" t="str">
        <f>'Draft '!I207</f>
        <v>0 | 0 | 0 | 0 | 0 | 0</v>
      </c>
    </row>
    <row r="209" hidden="1">
      <c r="A209" s="20" t="str">
        <f>'Draft '!C208</f>
        <v>TDs and Beers</v>
      </c>
      <c r="B209" s="20"/>
      <c r="C209" s="20" t="str">
        <f>'Draft '!D208</f>
        <v/>
      </c>
      <c r="D209" s="188" t="str">
        <f>'Draft '!E208</f>
        <v/>
      </c>
      <c r="E209" s="189" t="str">
        <f>'Draft '!F208</f>
        <v/>
      </c>
      <c r="F209" s="188" t="str">
        <f>'Draft '!G208</f>
        <v/>
      </c>
      <c r="G209" s="20"/>
      <c r="H209" s="20" t="str">
        <f>'Draft '!I208</f>
        <v>0 | 0 | 0 | 0 | 0 | 0</v>
      </c>
    </row>
    <row r="210" hidden="1">
      <c r="A210" s="20" t="str">
        <f>'Draft '!C209</f>
        <v>DD Riders</v>
      </c>
      <c r="B210" s="20"/>
      <c r="C210" s="20" t="str">
        <f>'Draft '!D209</f>
        <v/>
      </c>
      <c r="D210" s="188" t="str">
        <f>'Draft '!E209</f>
        <v/>
      </c>
      <c r="E210" s="189" t="str">
        <f>'Draft '!F209</f>
        <v/>
      </c>
      <c r="F210" s="188" t="str">
        <f>'Draft '!G209</f>
        <v/>
      </c>
      <c r="G210" s="20"/>
      <c r="H210" s="20" t="str">
        <f>'Draft '!I209</f>
        <v>0 | 0 | 0 | 0 | 0 | 0</v>
      </c>
    </row>
    <row r="211">
      <c r="A211" s="20" t="str">
        <f>'Draft '!C210</f>
        <v>Nasty</v>
      </c>
      <c r="B211" s="190" t="s">
        <v>128</v>
      </c>
      <c r="C211" s="20" t="str">
        <f>'Draft '!D210</f>
        <v/>
      </c>
      <c r="D211" s="188" t="str">
        <f>'Draft '!E210</f>
        <v/>
      </c>
      <c r="E211" s="189" t="str">
        <f>'Draft '!F210</f>
        <v/>
      </c>
      <c r="F211" s="188" t="str">
        <f>'Draft '!G210</f>
        <v/>
      </c>
      <c r="G211" s="20"/>
      <c r="H211" s="20" t="str">
        <f>'Draft '!I210</f>
        <v>0 | 0 | 0 | 0 | 0 | 0</v>
      </c>
    </row>
    <row r="212" hidden="1">
      <c r="A212" s="20" t="str">
        <f>'Draft '!C211</f>
        <v>Red Hammer</v>
      </c>
      <c r="B212" s="20"/>
      <c r="C212" s="20" t="str">
        <f>'Draft '!D211</f>
        <v/>
      </c>
      <c r="D212" s="188" t="str">
        <f>'Draft '!E211</f>
        <v/>
      </c>
      <c r="E212" s="189" t="str">
        <f>'Draft '!F211</f>
        <v/>
      </c>
      <c r="F212" s="188" t="str">
        <f>'Draft '!G211</f>
        <v/>
      </c>
      <c r="G212" s="20"/>
      <c r="H212" s="20" t="str">
        <f>'Draft '!I211</f>
        <v>0 | 0 | 0 | 0 | 0 | 0</v>
      </c>
    </row>
    <row r="213" hidden="1">
      <c r="A213" s="20" t="str">
        <f>'Draft '!C212</f>
        <v>Red Hammer</v>
      </c>
      <c r="B213" s="20"/>
      <c r="C213" s="20" t="str">
        <f>'Draft '!D212</f>
        <v/>
      </c>
      <c r="D213" s="188" t="str">
        <f>'Draft '!E212</f>
        <v/>
      </c>
      <c r="E213" s="189" t="str">
        <f>'Draft '!F212</f>
        <v/>
      </c>
      <c r="F213" s="188" t="str">
        <f>'Draft '!G212</f>
        <v/>
      </c>
      <c r="G213" s="20"/>
      <c r="H213" s="20" t="str">
        <f>'Draft '!I212</f>
        <v>0 | 0 | 0 | 0 | 0 | 0</v>
      </c>
    </row>
    <row r="214">
      <c r="A214" s="20" t="str">
        <f>'Draft '!C213</f>
        <v>Nasty</v>
      </c>
      <c r="B214" s="190" t="s">
        <v>129</v>
      </c>
      <c r="C214" s="20" t="str">
        <f>'Draft '!D213</f>
        <v/>
      </c>
      <c r="D214" s="188" t="str">
        <f>'Draft '!E213</f>
        <v/>
      </c>
      <c r="E214" s="189" t="str">
        <f>'Draft '!F213</f>
        <v/>
      </c>
      <c r="F214" s="188" t="str">
        <f>'Draft '!G213</f>
        <v/>
      </c>
      <c r="G214" s="20"/>
      <c r="H214" s="20" t="str">
        <f>'Draft '!I213</f>
        <v>0 | 0 | 0 | 0 | 0 | 0</v>
      </c>
    </row>
    <row r="215" hidden="1">
      <c r="A215" s="20" t="str">
        <f>'Draft '!C214</f>
        <v>DD Riders</v>
      </c>
      <c r="B215" s="20"/>
      <c r="C215" s="20" t="str">
        <f>'Draft '!D214</f>
        <v/>
      </c>
      <c r="D215" s="188" t="str">
        <f>'Draft '!E214</f>
        <v/>
      </c>
      <c r="E215" s="189" t="str">
        <f>'Draft '!F214</f>
        <v/>
      </c>
      <c r="F215" s="188" t="str">
        <f>'Draft '!G214</f>
        <v/>
      </c>
      <c r="G215" s="20"/>
      <c r="H215" s="20" t="str">
        <f>'Draft '!I214</f>
        <v>0 | 0 | 0 | 0 | 0 | 0</v>
      </c>
    </row>
    <row r="216" hidden="1">
      <c r="A216" s="20" t="str">
        <f>'Draft '!C215</f>
        <v>TDs and Beers</v>
      </c>
      <c r="B216" s="20"/>
      <c r="C216" s="20" t="str">
        <f>'Draft '!D215</f>
        <v/>
      </c>
      <c r="D216" s="188" t="str">
        <f>'Draft '!E215</f>
        <v/>
      </c>
      <c r="E216" s="189" t="str">
        <f>'Draft '!F215</f>
        <v/>
      </c>
      <c r="F216" s="188" t="str">
        <f>'Draft '!G215</f>
        <v/>
      </c>
      <c r="G216" s="20"/>
      <c r="H216" s="20" t="str">
        <f>'Draft '!I215</f>
        <v>0 | 0 | 0 | 0 | 0 | 0</v>
      </c>
    </row>
    <row r="217" hidden="1">
      <c r="A217" s="20" t="str">
        <f>'Draft '!C216</f>
        <v>Daddy's Dogs</v>
      </c>
      <c r="B217" s="20"/>
      <c r="C217" s="20" t="str">
        <f>'Draft '!D216</f>
        <v/>
      </c>
      <c r="D217" s="188" t="str">
        <f>'Draft '!E216</f>
        <v/>
      </c>
      <c r="E217" s="189" t="str">
        <f>'Draft '!F216</f>
        <v/>
      </c>
      <c r="F217" s="188" t="str">
        <f>'Draft '!G216</f>
        <v/>
      </c>
      <c r="G217" s="20"/>
      <c r="H217" s="20" t="str">
        <f>'Draft '!I216</f>
        <v>0 | 0 | 0 | 0 | 0 | 0</v>
      </c>
    </row>
    <row r="218" hidden="1">
      <c r="A218" s="20" t="str">
        <f>'Draft '!C217</f>
        <v>Achaians</v>
      </c>
      <c r="B218" s="20"/>
      <c r="C218" s="20" t="str">
        <f>'Draft '!D217</f>
        <v/>
      </c>
      <c r="D218" s="188" t="str">
        <f>'Draft '!E217</f>
        <v/>
      </c>
      <c r="E218" s="189" t="str">
        <f>'Draft '!F217</f>
        <v/>
      </c>
      <c r="F218" s="188" t="str">
        <f>'Draft '!G217</f>
        <v/>
      </c>
      <c r="G218" s="20"/>
      <c r="H218" s="20" t="str">
        <f>'Draft '!I217</f>
        <v>0 | 0 | 0 | 0 | 0 | 0</v>
      </c>
    </row>
    <row r="219" hidden="1">
      <c r="A219" s="20" t="str">
        <f>'Draft '!C218</f>
        <v>Luddite</v>
      </c>
      <c r="B219" s="20"/>
      <c r="C219" s="20" t="str">
        <f>'Draft '!D218</f>
        <v/>
      </c>
      <c r="D219" s="188" t="str">
        <f>'Draft '!E218</f>
        <v/>
      </c>
      <c r="E219" s="189" t="str">
        <f>'Draft '!F218</f>
        <v/>
      </c>
      <c r="F219" s="188" t="str">
        <f>'Draft '!G218</f>
        <v/>
      </c>
      <c r="G219" s="20"/>
      <c r="H219" s="20" t="str">
        <f>'Draft '!I218</f>
        <v>0 | 0 | 0 | 0 | 0 | 0</v>
      </c>
    </row>
    <row r="220" hidden="1">
      <c r="A220" s="20" t="str">
        <f>'Draft '!C219</f>
        <v>Turbo-Ginz</v>
      </c>
      <c r="B220" s="190" t="s">
        <v>497</v>
      </c>
      <c r="C220" s="20" t="str">
        <f>'Draft '!D219</f>
        <v/>
      </c>
      <c r="D220" s="188" t="str">
        <f>'Draft '!E219</f>
        <v/>
      </c>
      <c r="E220" s="189" t="str">
        <f>'Draft '!F219</f>
        <v/>
      </c>
      <c r="F220" s="188" t="str">
        <f>'Draft '!G219</f>
        <v/>
      </c>
      <c r="G220" s="20"/>
      <c r="H220" s="20" t="str">
        <f>'Draft '!I219</f>
        <v>0 | 0 | 0 | 0 | 0 | 0</v>
      </c>
    </row>
    <row r="221" hidden="1">
      <c r="A221" s="20" t="str">
        <f>'Draft '!C220</f>
        <v>Big Boys Big Work</v>
      </c>
      <c r="B221" s="20"/>
      <c r="C221" s="20" t="str">
        <f>'Draft '!D220</f>
        <v/>
      </c>
      <c r="D221" s="188" t="str">
        <f>'Draft '!E220</f>
        <v/>
      </c>
      <c r="E221" s="189" t="str">
        <f>'Draft '!F220</f>
        <v/>
      </c>
      <c r="F221" s="188" t="str">
        <f>'Draft '!G220</f>
        <v/>
      </c>
      <c r="G221" s="20"/>
      <c r="H221" s="20" t="str">
        <f>'Draft '!I220</f>
        <v>0 | 0 | 0 | 0 | 0 | 0</v>
      </c>
    </row>
    <row r="222" hidden="1">
      <c r="A222" s="20" t="str">
        <f>'Draft '!C221</f>
        <v>Buttheads</v>
      </c>
      <c r="B222" s="190" t="s">
        <v>498</v>
      </c>
      <c r="C222" s="20" t="str">
        <f>'Draft '!D221</f>
        <v/>
      </c>
      <c r="D222" s="188" t="str">
        <f>'Draft '!E221</f>
        <v/>
      </c>
      <c r="E222" s="189" t="str">
        <f>'Draft '!F221</f>
        <v/>
      </c>
      <c r="F222" s="188" t="str">
        <f>'Draft '!G221</f>
        <v/>
      </c>
      <c r="G222" s="20"/>
      <c r="H222" s="20" t="str">
        <f>'Draft '!I221</f>
        <v>0 | 0 | 0 | 0 | 0 | 0</v>
      </c>
    </row>
    <row r="223" hidden="1">
      <c r="A223" s="20" t="str">
        <f>'Draft '!C222</f>
        <v>El Nino</v>
      </c>
      <c r="B223" s="20"/>
      <c r="C223" s="20" t="str">
        <f>'Draft '!D222</f>
        <v/>
      </c>
      <c r="D223" s="188" t="str">
        <f>'Draft '!E222</f>
        <v/>
      </c>
      <c r="E223" s="189" t="str">
        <f>'Draft '!F222</f>
        <v/>
      </c>
      <c r="F223" s="188" t="str">
        <f>'Draft '!G222</f>
        <v/>
      </c>
      <c r="G223" s="20"/>
      <c r="H223" s="20" t="str">
        <f>'Draft '!I222</f>
        <v>0 | 0 | 0 | 0 | 0 | 0</v>
      </c>
    </row>
    <row r="224" hidden="1">
      <c r="A224" s="20" t="str">
        <f>'Draft '!C223</f>
        <v>Icelanders</v>
      </c>
      <c r="B224" s="20"/>
      <c r="C224" s="20" t="str">
        <f>'Draft '!D223</f>
        <v/>
      </c>
      <c r="D224" s="188" t="str">
        <f>'Draft '!E223</f>
        <v/>
      </c>
      <c r="E224" s="189" t="str">
        <f>'Draft '!F223</f>
        <v/>
      </c>
      <c r="F224" s="188" t="str">
        <f>'Draft '!G223</f>
        <v/>
      </c>
      <c r="G224" s="20"/>
      <c r="H224" s="20" t="str">
        <f>'Draft '!I223</f>
        <v>0 | 0 | 0 | 0 | 0 | 0</v>
      </c>
    </row>
    <row r="225" hidden="1">
      <c r="A225" s="20" t="str">
        <f>'Draft '!C224</f>
        <v>Phantasm</v>
      </c>
      <c r="B225" s="190" t="s">
        <v>129</v>
      </c>
      <c r="C225" s="20" t="str">
        <f>'Draft '!D224</f>
        <v/>
      </c>
      <c r="D225" s="188" t="str">
        <f>'Draft '!E224</f>
        <v/>
      </c>
      <c r="E225" s="189" t="str">
        <f>'Draft '!F224</f>
        <v/>
      </c>
      <c r="F225" s="188" t="str">
        <f>'Draft '!G224</f>
        <v/>
      </c>
      <c r="G225" s="20"/>
      <c r="H225" s="20" t="str">
        <f>'Draft '!I224</f>
        <v>0 | 0 | 0 | 0 | 0 | 0</v>
      </c>
    </row>
    <row r="226" hidden="1">
      <c r="A226" s="20" t="str">
        <f>'Draft '!C225</f>
        <v>Sleeper Cell </v>
      </c>
      <c r="B226" s="20"/>
      <c r="C226" s="20" t="str">
        <f>'Draft '!D225</f>
        <v/>
      </c>
      <c r="D226" s="188" t="str">
        <f>'Draft '!E225</f>
        <v/>
      </c>
      <c r="E226" s="189" t="str">
        <f>'Draft '!F225</f>
        <v/>
      </c>
      <c r="F226" s="188" t="str">
        <f>'Draft '!G225</f>
        <v/>
      </c>
      <c r="G226" s="20"/>
      <c r="H226" s="20" t="str">
        <f>'Draft '!I225</f>
        <v>1 | 0 | 0 | 0 | 0 | 0</v>
      </c>
    </row>
    <row r="227" hidden="1">
      <c r="A227" s="20" t="str">
        <f>'Draft '!C226</f>
        <v>Sleeper Cell </v>
      </c>
      <c r="B227" s="20"/>
      <c r="C227" s="20" t="str">
        <f>'Draft '!D226</f>
        <v/>
      </c>
      <c r="D227" s="188" t="str">
        <f>'Draft '!E226</f>
        <v/>
      </c>
      <c r="E227" s="189" t="str">
        <f>'Draft '!F226</f>
        <v/>
      </c>
      <c r="F227" s="188" t="str">
        <f>'Draft '!G226</f>
        <v/>
      </c>
      <c r="G227" s="20"/>
      <c r="H227" s="20" t="str">
        <f>'Draft '!I226</f>
        <v>1 | 0 | 0 | 0 | 0 | 0</v>
      </c>
    </row>
    <row r="228" hidden="1">
      <c r="A228" s="20" t="str">
        <f>'Draft '!C227</f>
        <v>Phantasm</v>
      </c>
      <c r="B228" s="190" t="s">
        <v>497</v>
      </c>
      <c r="C228" s="20" t="str">
        <f>'Draft '!D227</f>
        <v/>
      </c>
      <c r="D228" s="188" t="str">
        <f>'Draft '!E227</f>
        <v/>
      </c>
      <c r="E228" s="189" t="str">
        <f>'Draft '!F227</f>
        <v/>
      </c>
      <c r="F228" s="188" t="str">
        <f>'Draft '!G227</f>
        <v/>
      </c>
      <c r="G228" s="20"/>
      <c r="H228" s="20" t="str">
        <f>'Draft '!I227</f>
        <v>0 | 0 | 0 | 0 | 0 | 0</v>
      </c>
    </row>
    <row r="229" hidden="1">
      <c r="A229" s="20" t="str">
        <f>'Draft '!C228</f>
        <v>Icelanders</v>
      </c>
      <c r="B229" s="20"/>
      <c r="C229" s="20" t="str">
        <f>'Draft '!D228</f>
        <v/>
      </c>
      <c r="D229" s="188" t="str">
        <f>'Draft '!E228</f>
        <v/>
      </c>
      <c r="E229" s="189" t="str">
        <f>'Draft '!F228</f>
        <v/>
      </c>
      <c r="F229" s="188" t="str">
        <f>'Draft '!G228</f>
        <v/>
      </c>
      <c r="G229" s="20"/>
      <c r="H229" s="20" t="str">
        <f>'Draft '!I228</f>
        <v>0 | 0 | 0 | 0 | 0 | 0</v>
      </c>
    </row>
    <row r="230" hidden="1">
      <c r="A230" s="20" t="str">
        <f>'Draft '!C229</f>
        <v>El Nino</v>
      </c>
      <c r="B230" s="20"/>
      <c r="C230" s="20" t="str">
        <f>'Draft '!D229</f>
        <v/>
      </c>
      <c r="D230" s="188" t="str">
        <f>'Draft '!E229</f>
        <v/>
      </c>
      <c r="E230" s="189" t="str">
        <f>'Draft '!F229</f>
        <v/>
      </c>
      <c r="F230" s="188" t="str">
        <f>'Draft '!G229</f>
        <v/>
      </c>
      <c r="G230" s="20"/>
      <c r="H230" s="20" t="str">
        <f>'Draft '!I229</f>
        <v>0 | 0 | 0 | 0 | 0 | 0</v>
      </c>
    </row>
    <row r="231" hidden="1">
      <c r="A231" s="20" t="str">
        <f>'Draft '!C230</f>
        <v>Buttheads</v>
      </c>
      <c r="B231" s="20"/>
      <c r="C231" s="20" t="str">
        <f>'Draft '!D230</f>
        <v/>
      </c>
      <c r="D231" s="188" t="str">
        <f>'Draft '!E230</f>
        <v/>
      </c>
      <c r="E231" s="189" t="str">
        <f>'Draft '!F230</f>
        <v/>
      </c>
      <c r="F231" s="188" t="str">
        <f>'Draft '!G230</f>
        <v/>
      </c>
      <c r="G231" s="20"/>
      <c r="H231" s="20" t="str">
        <f>'Draft '!I230</f>
        <v>0 | 0 | 0 | 0 | 0 | 0</v>
      </c>
    </row>
    <row r="232" hidden="1">
      <c r="A232" s="20" t="str">
        <f>'Draft '!C231</f>
        <v>Big Boys Big Work</v>
      </c>
      <c r="B232" s="20"/>
      <c r="C232" s="20" t="str">
        <f>'Draft '!D231</f>
        <v/>
      </c>
      <c r="D232" s="188" t="str">
        <f>'Draft '!E231</f>
        <v/>
      </c>
      <c r="E232" s="189" t="str">
        <f>'Draft '!F231</f>
        <v/>
      </c>
      <c r="F232" s="188" t="str">
        <f>'Draft '!G231</f>
        <v/>
      </c>
      <c r="G232" s="20"/>
      <c r="H232" s="20" t="str">
        <f>'Draft '!I231</f>
        <v>0 | 0 | 0 | 0 | 0 | 0</v>
      </c>
    </row>
    <row r="233" hidden="1">
      <c r="A233" s="20" t="str">
        <f>'Draft '!C232</f>
        <v>Turbo-Ginz</v>
      </c>
      <c r="B233" s="190" t="s">
        <v>498</v>
      </c>
      <c r="C233" s="20" t="str">
        <f>'Draft '!D232</f>
        <v/>
      </c>
      <c r="D233" s="188" t="str">
        <f>'Draft '!E232</f>
        <v/>
      </c>
      <c r="E233" s="189" t="str">
        <f>'Draft '!F232</f>
        <v/>
      </c>
      <c r="F233" s="188" t="str">
        <f>'Draft '!G232</f>
        <v/>
      </c>
      <c r="G233" s="20"/>
      <c r="H233" s="20" t="str">
        <f>'Draft '!I232</f>
        <v>0 | 0 | 0 | 0 | 0 | 0</v>
      </c>
    </row>
    <row r="234" hidden="1">
      <c r="A234" s="20" t="str">
        <f>'Draft '!C233</f>
        <v>Luddite</v>
      </c>
      <c r="B234" s="20"/>
      <c r="C234" s="20" t="str">
        <f>'Draft '!D233</f>
        <v/>
      </c>
      <c r="D234" s="188" t="str">
        <f>'Draft '!E233</f>
        <v/>
      </c>
      <c r="E234" s="189" t="str">
        <f>'Draft '!F233</f>
        <v/>
      </c>
      <c r="F234" s="188" t="str">
        <f>'Draft '!G233</f>
        <v/>
      </c>
      <c r="G234" s="20"/>
      <c r="H234" s="20" t="str">
        <f>'Draft '!I233</f>
        <v>0 | 0 | 0 | 0 | 0 | 0</v>
      </c>
    </row>
    <row r="235" hidden="1">
      <c r="A235" s="20" t="str">
        <f>'Draft '!C234</f>
        <v>Achaians</v>
      </c>
      <c r="B235" s="20"/>
      <c r="C235" s="20" t="str">
        <f>'Draft '!D234</f>
        <v/>
      </c>
      <c r="D235" s="188" t="str">
        <f>'Draft '!E234</f>
        <v/>
      </c>
      <c r="E235" s="189" t="str">
        <f>'Draft '!F234</f>
        <v/>
      </c>
      <c r="F235" s="188" t="str">
        <f>'Draft '!G234</f>
        <v/>
      </c>
      <c r="G235" s="20"/>
      <c r="H235" s="20" t="str">
        <f>'Draft '!I234</f>
        <v>0 | 0 | 0 | 0 | 0 | 0</v>
      </c>
    </row>
    <row r="236" hidden="1">
      <c r="A236" s="20" t="str">
        <f>'Draft '!C235</f>
        <v>Daddy's Dogs</v>
      </c>
      <c r="B236" s="20"/>
      <c r="C236" s="20" t="str">
        <f>'Draft '!D235</f>
        <v/>
      </c>
      <c r="D236" s="188" t="str">
        <f>'Draft '!E235</f>
        <v/>
      </c>
      <c r="E236" s="189" t="str">
        <f>'Draft '!F235</f>
        <v/>
      </c>
      <c r="F236" s="188" t="str">
        <f>'Draft '!G235</f>
        <v/>
      </c>
      <c r="G236" s="20"/>
      <c r="H236" s="20" t="str">
        <f>'Draft '!I235</f>
        <v>0 | 0 | 0 | 0 | 0 | 0</v>
      </c>
    </row>
    <row r="237" hidden="1">
      <c r="A237" s="20" t="str">
        <f>'Draft '!C236</f>
        <v>TDs and Beers</v>
      </c>
      <c r="B237" s="20"/>
      <c r="C237" s="20" t="str">
        <f>'Draft '!D236</f>
        <v/>
      </c>
      <c r="D237" s="188" t="str">
        <f>'Draft '!E236</f>
        <v/>
      </c>
      <c r="E237" s="189" t="str">
        <f>'Draft '!F236</f>
        <v/>
      </c>
      <c r="F237" s="188" t="str">
        <f>'Draft '!G236</f>
        <v/>
      </c>
      <c r="G237" s="20"/>
      <c r="H237" s="20" t="str">
        <f>'Draft '!I236</f>
        <v>0 | 0 | 0 | 0 | 0 | 0</v>
      </c>
    </row>
    <row r="238" hidden="1">
      <c r="A238" s="20" t="str">
        <f>'Draft '!C237</f>
        <v>DD Riders</v>
      </c>
      <c r="B238" s="20"/>
      <c r="C238" s="20" t="str">
        <f>'Draft '!D237</f>
        <v/>
      </c>
      <c r="D238" s="188" t="str">
        <f>'Draft '!E237</f>
        <v/>
      </c>
      <c r="E238" s="189" t="str">
        <f>'Draft '!F237</f>
        <v/>
      </c>
      <c r="F238" s="188" t="str">
        <f>'Draft '!G237</f>
        <v/>
      </c>
      <c r="G238" s="20"/>
      <c r="H238" s="20" t="str">
        <f>'Draft '!I237</f>
        <v>0 | 0 | 0 | 0 | 0 | 0</v>
      </c>
    </row>
    <row r="239">
      <c r="A239" s="20" t="str">
        <f>'Draft '!C238</f>
        <v>Nasty</v>
      </c>
      <c r="B239" s="190" t="s">
        <v>497</v>
      </c>
      <c r="C239" s="20" t="str">
        <f>'Draft '!D238</f>
        <v/>
      </c>
      <c r="D239" s="188" t="str">
        <f>'Draft '!E238</f>
        <v/>
      </c>
      <c r="E239" s="189" t="str">
        <f>'Draft '!F238</f>
        <v/>
      </c>
      <c r="F239" s="188" t="str">
        <f>'Draft '!G238</f>
        <v/>
      </c>
      <c r="G239" s="20"/>
      <c r="H239" s="20" t="str">
        <f>'Draft '!I238</f>
        <v>0 | 0 | 0 | 0 | 0 | 0</v>
      </c>
    </row>
    <row r="240" hidden="1">
      <c r="A240" s="20" t="str">
        <f>'Draft '!C239</f>
        <v>Red Hammer</v>
      </c>
      <c r="B240" s="20"/>
      <c r="C240" s="20" t="str">
        <f>'Draft '!D239</f>
        <v/>
      </c>
      <c r="D240" s="188" t="str">
        <f>'Draft '!E239</f>
        <v/>
      </c>
      <c r="E240" s="189" t="str">
        <f>'Draft '!F239</f>
        <v/>
      </c>
      <c r="F240" s="188" t="str">
        <f>'Draft '!G239</f>
        <v/>
      </c>
      <c r="G240" s="20"/>
      <c r="H240" s="20" t="str">
        <f>'Draft '!I239</f>
        <v>0 | 0 | 0 | 0 | 0 | 0</v>
      </c>
    </row>
    <row r="241" hidden="1">
      <c r="A241" s="20" t="str">
        <f>'Draft '!C240</f>
        <v>Red Hammer</v>
      </c>
      <c r="B241" s="20"/>
      <c r="C241" s="20" t="str">
        <f>'Draft '!D240</f>
        <v/>
      </c>
      <c r="D241" s="188" t="str">
        <f>'Draft '!E240</f>
        <v/>
      </c>
      <c r="E241" s="189" t="str">
        <f>'Draft '!F240</f>
        <v/>
      </c>
      <c r="F241" s="188" t="str">
        <f>'Draft '!G240</f>
        <v/>
      </c>
      <c r="G241" s="20"/>
      <c r="H241" s="20" t="str">
        <f>'Draft '!I240</f>
        <v>0 | 0 | 0 | 0 | 0 | 0</v>
      </c>
    </row>
    <row r="242">
      <c r="A242" s="20" t="str">
        <f>'Draft '!C241</f>
        <v>Nasty</v>
      </c>
      <c r="B242" s="190" t="s">
        <v>498</v>
      </c>
      <c r="C242" s="20" t="str">
        <f>'Draft '!D241</f>
        <v/>
      </c>
      <c r="D242" s="188" t="str">
        <f>'Draft '!E241</f>
        <v/>
      </c>
      <c r="E242" s="189" t="str">
        <f>'Draft '!F241</f>
        <v/>
      </c>
      <c r="F242" s="188" t="str">
        <f>'Draft '!G241</f>
        <v/>
      </c>
      <c r="G242" s="20"/>
      <c r="H242" s="20" t="str">
        <f>'Draft '!I241</f>
        <v>0 | 0 | 0 | 0 | 0 | 0</v>
      </c>
    </row>
    <row r="243" hidden="1">
      <c r="A243" s="20" t="str">
        <f>'Draft '!C242</f>
        <v>DD Riders</v>
      </c>
      <c r="B243" s="20"/>
      <c r="C243" s="20" t="str">
        <f>'Draft '!D242</f>
        <v/>
      </c>
      <c r="D243" s="188" t="str">
        <f>'Draft '!E242</f>
        <v/>
      </c>
      <c r="E243" s="189" t="str">
        <f>'Draft '!F242</f>
        <v/>
      </c>
      <c r="F243" s="188" t="str">
        <f>'Draft '!G242</f>
        <v/>
      </c>
      <c r="G243" s="20"/>
      <c r="H243" s="20" t="str">
        <f>'Draft '!I242</f>
        <v>0 | 0 | 0 | 0 | 0 | 0</v>
      </c>
    </row>
    <row r="244" hidden="1">
      <c r="A244" s="20" t="str">
        <f>'Draft '!C243</f>
        <v>TDs and Beers</v>
      </c>
      <c r="B244" s="20"/>
      <c r="C244" s="20" t="str">
        <f>'Draft '!D243</f>
        <v/>
      </c>
      <c r="D244" s="188" t="str">
        <f>'Draft '!E243</f>
        <v/>
      </c>
      <c r="E244" s="189" t="str">
        <f>'Draft '!F243</f>
        <v/>
      </c>
      <c r="F244" s="188" t="str">
        <f>'Draft '!G243</f>
        <v/>
      </c>
      <c r="G244" s="20"/>
      <c r="H244" s="20" t="str">
        <f>'Draft '!I243</f>
        <v>0 | 0 | 0 | 0 | 0 | 0</v>
      </c>
    </row>
    <row r="245" hidden="1">
      <c r="A245" s="20" t="str">
        <f>'Draft '!C244</f>
        <v>Daddy's Dogs</v>
      </c>
      <c r="B245" s="20"/>
      <c r="C245" s="20" t="str">
        <f>'Draft '!D244</f>
        <v/>
      </c>
      <c r="D245" s="188" t="str">
        <f>'Draft '!E244</f>
        <v/>
      </c>
      <c r="E245" s="189" t="str">
        <f>'Draft '!F244</f>
        <v/>
      </c>
      <c r="F245" s="188" t="str">
        <f>'Draft '!G244</f>
        <v/>
      </c>
      <c r="G245" s="20"/>
      <c r="H245" s="20" t="str">
        <f>'Draft '!I244</f>
        <v>0 | 0 | 0 | 0 | 0 | 0</v>
      </c>
    </row>
    <row r="246" hidden="1">
      <c r="A246" s="20" t="str">
        <f>'Draft '!C245</f>
        <v>Achaians</v>
      </c>
      <c r="B246" s="20"/>
      <c r="C246" s="20" t="str">
        <f>'Draft '!D245</f>
        <v/>
      </c>
      <c r="D246" s="188" t="str">
        <f>'Draft '!E245</f>
        <v/>
      </c>
      <c r="E246" s="189" t="str">
        <f>'Draft '!F245</f>
        <v/>
      </c>
      <c r="F246" s="188" t="str">
        <f>'Draft '!G245</f>
        <v/>
      </c>
      <c r="G246" s="20"/>
      <c r="H246" s="20" t="str">
        <f>'Draft '!I245</f>
        <v>0 | 0 | 0 | 0 | 0 | 0</v>
      </c>
    </row>
    <row r="247" hidden="1">
      <c r="A247" s="20" t="str">
        <f>'Draft '!C246</f>
        <v>Luddite</v>
      </c>
      <c r="B247" s="20"/>
      <c r="C247" s="20" t="str">
        <f>'Draft '!D246</f>
        <v/>
      </c>
      <c r="D247" s="188" t="str">
        <f>'Draft '!E246</f>
        <v/>
      </c>
      <c r="E247" s="189" t="str">
        <f>'Draft '!F246</f>
        <v/>
      </c>
      <c r="F247" s="188" t="str">
        <f>'Draft '!G246</f>
        <v/>
      </c>
      <c r="G247" s="20"/>
      <c r="H247" s="20" t="str">
        <f>'Draft '!I246</f>
        <v>0 | 0 | 0 | 0 | 0 | 0</v>
      </c>
    </row>
    <row r="248" hidden="1">
      <c r="A248" s="20" t="str">
        <f>'Draft '!C247</f>
        <v>Turbo-Ginz</v>
      </c>
      <c r="B248" s="20"/>
      <c r="C248" s="20" t="str">
        <f>'Draft '!D247</f>
        <v/>
      </c>
      <c r="D248" s="188" t="str">
        <f>'Draft '!E247</f>
        <v/>
      </c>
      <c r="E248" s="189" t="str">
        <f>'Draft '!F247</f>
        <v/>
      </c>
      <c r="F248" s="188" t="str">
        <f>'Draft '!G247</f>
        <v/>
      </c>
      <c r="G248" s="20"/>
      <c r="H248" s="20" t="str">
        <f>'Draft '!I247</f>
        <v>0 | 0 | 0 | 0 | 0 | 0</v>
      </c>
    </row>
    <row r="249" hidden="1">
      <c r="A249" s="20" t="str">
        <f>'Draft '!C248</f>
        <v>Big Boys Big Work</v>
      </c>
      <c r="B249" s="20"/>
      <c r="C249" s="20" t="str">
        <f>'Draft '!D248</f>
        <v/>
      </c>
      <c r="D249" s="188" t="str">
        <f>'Draft '!E248</f>
        <v/>
      </c>
      <c r="E249" s="189" t="str">
        <f>'Draft '!F248</f>
        <v/>
      </c>
      <c r="F249" s="188" t="str">
        <f>'Draft '!G248</f>
        <v/>
      </c>
      <c r="G249" s="20"/>
      <c r="H249" s="20" t="str">
        <f>'Draft '!I248</f>
        <v>0 | 0 | 0 | 0 | 0 | 0</v>
      </c>
    </row>
    <row r="250" hidden="1">
      <c r="A250" s="20" t="str">
        <f>'Draft '!C249</f>
        <v>Buttheads</v>
      </c>
      <c r="B250" s="20"/>
      <c r="C250" s="20" t="str">
        <f>'Draft '!D249</f>
        <v/>
      </c>
      <c r="D250" s="188" t="str">
        <f>'Draft '!E249</f>
        <v/>
      </c>
      <c r="E250" s="189" t="str">
        <f>'Draft '!F249</f>
        <v/>
      </c>
      <c r="F250" s="188" t="str">
        <f>'Draft '!G249</f>
        <v/>
      </c>
      <c r="G250" s="20"/>
      <c r="H250" s="20" t="str">
        <f>'Draft '!I249</f>
        <v>0 | 0 | 0 | 0 | 0 | 0</v>
      </c>
    </row>
    <row r="251" hidden="1">
      <c r="A251" s="20" t="str">
        <f>'Draft '!C250</f>
        <v>El Nino</v>
      </c>
      <c r="B251" s="20"/>
      <c r="C251" s="20" t="str">
        <f>'Draft '!D250</f>
        <v/>
      </c>
      <c r="D251" s="188" t="str">
        <f>'Draft '!E250</f>
        <v/>
      </c>
      <c r="E251" s="189" t="str">
        <f>'Draft '!F250</f>
        <v/>
      </c>
      <c r="F251" s="188" t="str">
        <f>'Draft '!G250</f>
        <v/>
      </c>
      <c r="G251" s="20"/>
      <c r="H251" s="20" t="str">
        <f>'Draft '!I250</f>
        <v>0 | 0 | 0 | 0 | 0 | 0</v>
      </c>
    </row>
    <row r="252" hidden="1">
      <c r="A252" s="20" t="str">
        <f>'Draft '!C251</f>
        <v>Icelanders</v>
      </c>
      <c r="B252" s="20"/>
      <c r="C252" s="20" t="str">
        <f>'Draft '!D251</f>
        <v/>
      </c>
      <c r="D252" s="188" t="str">
        <f>'Draft '!E251</f>
        <v/>
      </c>
      <c r="E252" s="189" t="str">
        <f>'Draft '!F251</f>
        <v/>
      </c>
      <c r="F252" s="188" t="str">
        <f>'Draft '!G251</f>
        <v/>
      </c>
      <c r="G252" s="20"/>
      <c r="H252" s="20" t="str">
        <f>'Draft '!I251</f>
        <v>0 | 0 | 0 | 0 | 0 | 0</v>
      </c>
    </row>
    <row r="253" hidden="1">
      <c r="A253" s="20" t="str">
        <f>'Draft '!C252</f>
        <v>Phantasm</v>
      </c>
      <c r="B253" s="190" t="s">
        <v>498</v>
      </c>
      <c r="C253" s="20" t="str">
        <f>'Draft '!D252</f>
        <v/>
      </c>
      <c r="D253" s="188" t="str">
        <f>'Draft '!E252</f>
        <v/>
      </c>
      <c r="E253" s="189" t="str">
        <f>'Draft '!F252</f>
        <v/>
      </c>
      <c r="F253" s="188" t="str">
        <f>'Draft '!G252</f>
        <v/>
      </c>
      <c r="G253" s="20"/>
      <c r="H253" s="20" t="str">
        <f>'Draft '!I252</f>
        <v>0 | 0 | 0 | 0 | 0 | 0</v>
      </c>
    </row>
    <row r="254" hidden="1">
      <c r="A254" s="20" t="str">
        <f>'Draft '!C253</f>
        <v>Sleeper Cell </v>
      </c>
      <c r="B254" s="20"/>
      <c r="C254" s="20" t="str">
        <f>'Draft '!D253</f>
        <v/>
      </c>
      <c r="D254" s="188" t="str">
        <f>'Draft '!E253</f>
        <v/>
      </c>
      <c r="E254" s="189" t="str">
        <f>'Draft '!F253</f>
        <v/>
      </c>
      <c r="F254" s="188" t="str">
        <f>'Draft '!G253</f>
        <v/>
      </c>
      <c r="G254" s="20"/>
      <c r="H254" s="20" t="str">
        <f>'Draft '!I253</f>
        <v>1 | 0 | 0 | 0 | 0 | 0</v>
      </c>
    </row>
    <row r="255" hidden="1">
      <c r="A255" s="20" t="str">
        <f>'Draft '!C254</f>
        <v>Sleeper Cell </v>
      </c>
      <c r="B255" s="20"/>
      <c r="C255" s="20" t="str">
        <f>'Draft '!D254</f>
        <v/>
      </c>
      <c r="D255" s="188" t="str">
        <f>'Draft '!E254</f>
        <v/>
      </c>
      <c r="E255" s="189" t="str">
        <f>'Draft '!F254</f>
        <v/>
      </c>
      <c r="F255" s="188" t="str">
        <f>'Draft '!G254</f>
        <v/>
      </c>
      <c r="G255" s="20"/>
      <c r="H255" s="20" t="str">
        <f>'Draft '!I254</f>
        <v>1 | 0 | 0 | 0 | 0 | 0</v>
      </c>
    </row>
    <row r="256" hidden="1">
      <c r="A256" s="20" t="str">
        <f>'Draft '!C255</f>
        <v>Phantasm</v>
      </c>
      <c r="B256" s="20"/>
      <c r="C256" s="20" t="str">
        <f>'Draft '!D255</f>
        <v/>
      </c>
      <c r="D256" s="188" t="str">
        <f>'Draft '!E255</f>
        <v/>
      </c>
      <c r="E256" s="189" t="str">
        <f>'Draft '!F255</f>
        <v/>
      </c>
      <c r="F256" s="188" t="str">
        <f>'Draft '!G255</f>
        <v/>
      </c>
      <c r="G256" s="20"/>
      <c r="H256" s="20" t="str">
        <f>'Draft '!I255</f>
        <v>0 | 0 | 0 | 0 | 0 | 0</v>
      </c>
    </row>
    <row r="257" hidden="1">
      <c r="A257" s="20" t="str">
        <f>'Draft '!C256</f>
        <v>Icelanders</v>
      </c>
      <c r="B257" s="20"/>
      <c r="C257" s="20" t="str">
        <f>'Draft '!D256</f>
        <v/>
      </c>
      <c r="D257" s="188" t="str">
        <f>'Draft '!E256</f>
        <v/>
      </c>
      <c r="E257" s="189" t="str">
        <f>'Draft '!F256</f>
        <v/>
      </c>
      <c r="F257" s="188" t="str">
        <f>'Draft '!G256</f>
        <v/>
      </c>
      <c r="G257" s="20"/>
      <c r="H257" s="20" t="str">
        <f>'Draft '!I256</f>
        <v>0 | 0 | 0 | 0 | 0 | 0</v>
      </c>
    </row>
    <row r="258" hidden="1">
      <c r="A258" s="20" t="str">
        <f>'Draft '!C257</f>
        <v>El Nino</v>
      </c>
      <c r="B258" s="20"/>
      <c r="C258" s="20" t="str">
        <f>'Draft '!D257</f>
        <v/>
      </c>
      <c r="D258" s="188" t="str">
        <f>'Draft '!E257</f>
        <v/>
      </c>
      <c r="E258" s="189" t="str">
        <f>'Draft '!F257</f>
        <v/>
      </c>
      <c r="F258" s="188" t="str">
        <f>'Draft '!G257</f>
        <v/>
      </c>
      <c r="G258" s="20"/>
      <c r="H258" s="20" t="str">
        <f>'Draft '!I257</f>
        <v>0 | 0 | 0 | 0 | 0 | 0</v>
      </c>
    </row>
    <row r="259" hidden="1">
      <c r="A259" s="20" t="str">
        <f>'Draft '!C258</f>
        <v>Buttheads</v>
      </c>
      <c r="B259" s="20"/>
      <c r="C259" s="20" t="str">
        <f>'Draft '!D258</f>
        <v/>
      </c>
      <c r="D259" s="188" t="str">
        <f>'Draft '!E258</f>
        <v/>
      </c>
      <c r="E259" s="189" t="str">
        <f>'Draft '!F258</f>
        <v/>
      </c>
      <c r="F259" s="188" t="str">
        <f>'Draft '!G258</f>
        <v/>
      </c>
      <c r="G259" s="20"/>
      <c r="H259" s="20" t="str">
        <f>'Draft '!I258</f>
        <v>0 | 0 | 0 | 0 | 0 | 0</v>
      </c>
    </row>
    <row r="260" hidden="1">
      <c r="A260" s="20" t="str">
        <f>'Draft '!C259</f>
        <v>Big Boys Big Work</v>
      </c>
      <c r="B260" s="20"/>
      <c r="C260" s="20" t="str">
        <f>'Draft '!D259</f>
        <v/>
      </c>
      <c r="D260" s="188" t="str">
        <f>'Draft '!E259</f>
        <v/>
      </c>
      <c r="E260" s="189" t="str">
        <f>'Draft '!F259</f>
        <v/>
      </c>
      <c r="F260" s="188" t="str">
        <f>'Draft '!G259</f>
        <v/>
      </c>
      <c r="G260" s="20"/>
      <c r="H260" s="20" t="str">
        <f>'Draft '!I259</f>
        <v>0 | 0 | 0 | 0 | 0 | 0</v>
      </c>
    </row>
    <row r="261" hidden="1">
      <c r="A261" s="20" t="str">
        <f>'Draft '!C260</f>
        <v>Turbo-Ginz</v>
      </c>
      <c r="B261" s="20"/>
      <c r="C261" s="20" t="str">
        <f>'Draft '!D260</f>
        <v/>
      </c>
      <c r="D261" s="188" t="str">
        <f>'Draft '!E260</f>
        <v/>
      </c>
      <c r="E261" s="189" t="str">
        <f>'Draft '!F260</f>
        <v/>
      </c>
      <c r="F261" s="188" t="str">
        <f>'Draft '!G260</f>
        <v/>
      </c>
      <c r="G261" s="20"/>
      <c r="H261" s="20" t="str">
        <f>'Draft '!I260</f>
        <v>0 | 0 | 0 | 0 | 0 | 0</v>
      </c>
    </row>
    <row r="262" hidden="1">
      <c r="A262" s="20" t="str">
        <f>'Draft '!C261</f>
        <v>Luddite</v>
      </c>
      <c r="B262" s="20"/>
      <c r="C262" s="20" t="str">
        <f>'Draft '!D261</f>
        <v/>
      </c>
      <c r="D262" s="188" t="str">
        <f>'Draft '!E261</f>
        <v/>
      </c>
      <c r="E262" s="189" t="str">
        <f>'Draft '!F261</f>
        <v/>
      </c>
      <c r="F262" s="188" t="str">
        <f>'Draft '!G261</f>
        <v/>
      </c>
      <c r="G262" s="20"/>
      <c r="H262" s="20" t="str">
        <f>'Draft '!I261</f>
        <v>0 | 0 | 0 | 0 | 0 | 0</v>
      </c>
    </row>
    <row r="263" hidden="1">
      <c r="A263" s="20" t="str">
        <f>'Draft '!C262</f>
        <v>Achaians</v>
      </c>
      <c r="B263" s="20"/>
      <c r="C263" s="20" t="str">
        <f>'Draft '!D262</f>
        <v/>
      </c>
      <c r="D263" s="188" t="str">
        <f>'Draft '!E262</f>
        <v/>
      </c>
      <c r="E263" s="189" t="str">
        <f>'Draft '!F262</f>
        <v/>
      </c>
      <c r="F263" s="188" t="str">
        <f>'Draft '!G262</f>
        <v/>
      </c>
      <c r="G263" s="20"/>
      <c r="H263" s="20" t="str">
        <f>'Draft '!I262</f>
        <v>0 | 0 | 0 | 0 | 0 | 0</v>
      </c>
    </row>
    <row r="264" hidden="1">
      <c r="A264" s="20" t="str">
        <f>'Draft '!C263</f>
        <v>Daddy's Dogs</v>
      </c>
      <c r="B264" s="20"/>
      <c r="C264" s="20" t="str">
        <f>'Draft '!D263</f>
        <v/>
      </c>
      <c r="D264" s="188" t="str">
        <f>'Draft '!E263</f>
        <v/>
      </c>
      <c r="E264" s="189" t="str">
        <f>'Draft '!F263</f>
        <v/>
      </c>
      <c r="F264" s="188" t="str">
        <f>'Draft '!G263</f>
        <v/>
      </c>
      <c r="G264" s="20"/>
      <c r="H264" s="20" t="str">
        <f>'Draft '!I263</f>
        <v>0 | 0 | 0 | 0 | 0 | 0</v>
      </c>
    </row>
    <row r="265" hidden="1">
      <c r="A265" s="20" t="str">
        <f>'Draft '!C264</f>
        <v>TDs and Beers</v>
      </c>
      <c r="B265" s="20"/>
      <c r="C265" s="20" t="str">
        <f>'Draft '!D264</f>
        <v/>
      </c>
      <c r="D265" s="188" t="str">
        <f>'Draft '!E264</f>
        <v/>
      </c>
      <c r="E265" s="189" t="str">
        <f>'Draft '!F264</f>
        <v/>
      </c>
      <c r="F265" s="188" t="str">
        <f>'Draft '!G264</f>
        <v/>
      </c>
      <c r="G265" s="20"/>
      <c r="H265" s="20" t="str">
        <f>'Draft '!I264</f>
        <v>0 | 0 | 0 | 0 | 0 | 0</v>
      </c>
    </row>
    <row r="266" hidden="1">
      <c r="A266" s="20" t="str">
        <f>'Draft '!C265</f>
        <v>DD Riders</v>
      </c>
      <c r="B266" s="20"/>
      <c r="C266" s="20" t="str">
        <f>'Draft '!D265</f>
        <v/>
      </c>
      <c r="D266" s="188" t="str">
        <f>'Draft '!E265</f>
        <v/>
      </c>
      <c r="E266" s="189" t="str">
        <f>'Draft '!F265</f>
        <v/>
      </c>
      <c r="F266" s="188" t="str">
        <f>'Draft '!G265</f>
        <v/>
      </c>
      <c r="G266" s="20"/>
      <c r="H266" s="20" t="str">
        <f>'Draft '!I265</f>
        <v>0 | 0 | 0 | 0 | 0 | 0</v>
      </c>
    </row>
    <row r="267">
      <c r="A267" s="20" t="str">
        <f>'Draft '!C266</f>
        <v>Nasty</v>
      </c>
      <c r="B267" s="20"/>
      <c r="C267" s="20" t="str">
        <f>'Draft '!D266</f>
        <v/>
      </c>
      <c r="D267" s="188" t="str">
        <f>'Draft '!E266</f>
        <v/>
      </c>
      <c r="E267" s="189" t="str">
        <f>'Draft '!F266</f>
        <v/>
      </c>
      <c r="F267" s="188" t="str">
        <f>'Draft '!G266</f>
        <v/>
      </c>
      <c r="G267" s="20"/>
      <c r="H267" s="20" t="str">
        <f>'Draft '!I266</f>
        <v>0 | 0 | 0 | 0 | 0 | 0</v>
      </c>
    </row>
    <row r="268" hidden="1">
      <c r="A268" s="20" t="str">
        <f>'Draft '!C267</f>
        <v>Red Hammer</v>
      </c>
      <c r="B268" s="20"/>
      <c r="C268" s="20" t="str">
        <f>'Draft '!D267</f>
        <v/>
      </c>
      <c r="D268" s="188" t="str">
        <f>'Draft '!E267</f>
        <v/>
      </c>
      <c r="E268" s="189" t="str">
        <f>'Draft '!F267</f>
        <v/>
      </c>
      <c r="F268" s="188" t="str">
        <f>'Draft '!G267</f>
        <v/>
      </c>
      <c r="G268" s="20"/>
      <c r="H268" s="20" t="str">
        <f>'Draft '!I267</f>
        <v>0 | 0 | 0 | 0 | 0 | 0</v>
      </c>
    </row>
    <row r="269" hidden="1">
      <c r="A269" s="20" t="str">
        <f>'Draft '!C268</f>
        <v>Red Hammer</v>
      </c>
      <c r="B269" s="20"/>
      <c r="C269" s="20" t="str">
        <f>'Draft '!D268</f>
        <v/>
      </c>
      <c r="D269" s="188" t="str">
        <f>'Draft '!E268</f>
        <v/>
      </c>
      <c r="E269" s="189" t="str">
        <f>'Draft '!F268</f>
        <v/>
      </c>
      <c r="F269" s="188" t="str">
        <f>'Draft '!G268</f>
        <v/>
      </c>
      <c r="G269" s="20"/>
      <c r="H269" s="20" t="str">
        <f>'Draft '!I268</f>
        <v>0 | 0 | 0 | 0 | 0 | 0</v>
      </c>
    </row>
    <row r="270">
      <c r="A270" s="20" t="str">
        <f>'Draft '!C269</f>
        <v>Nasty</v>
      </c>
      <c r="B270" s="20"/>
      <c r="C270" s="20" t="str">
        <f>'Draft '!D269</f>
        <v/>
      </c>
      <c r="D270" s="188" t="str">
        <f>'Draft '!E269</f>
        <v/>
      </c>
      <c r="E270" s="189" t="str">
        <f>'Draft '!F269</f>
        <v/>
      </c>
      <c r="F270" s="188" t="str">
        <f>'Draft '!G269</f>
        <v/>
      </c>
      <c r="G270" s="20"/>
      <c r="H270" s="20" t="str">
        <f>'Draft '!I269</f>
        <v>0 | 0 | 0 | 0 | 0 | 0</v>
      </c>
    </row>
    <row r="271" hidden="1">
      <c r="A271" s="20" t="str">
        <f>'Draft '!C270</f>
        <v>DD Riders</v>
      </c>
      <c r="B271" s="20"/>
      <c r="C271" s="20" t="str">
        <f>'Draft '!D270</f>
        <v/>
      </c>
      <c r="D271" s="188" t="str">
        <f>'Draft '!E270</f>
        <v/>
      </c>
      <c r="E271" s="189" t="str">
        <f>'Draft '!F270</f>
        <v/>
      </c>
      <c r="F271" s="188" t="str">
        <f>'Draft '!G270</f>
        <v/>
      </c>
      <c r="G271" s="20"/>
      <c r="H271" s="20" t="str">
        <f>'Draft '!I270</f>
        <v>0 | 0 | 0 | 0 | 0 | 0</v>
      </c>
    </row>
    <row r="272" hidden="1">
      <c r="A272" s="20" t="str">
        <f>'Draft '!C271</f>
        <v>TDs and Beers</v>
      </c>
      <c r="B272" s="20"/>
      <c r="C272" s="20" t="str">
        <f>'Draft '!D271</f>
        <v/>
      </c>
      <c r="D272" s="188" t="str">
        <f>'Draft '!E271</f>
        <v/>
      </c>
      <c r="E272" s="189" t="str">
        <f>'Draft '!F271</f>
        <v/>
      </c>
      <c r="F272" s="188" t="str">
        <f>'Draft '!G271</f>
        <v/>
      </c>
      <c r="G272" s="20"/>
      <c r="H272" s="20" t="str">
        <f>'Draft '!I271</f>
        <v>0 | 0 | 0 | 0 | 0 | 0</v>
      </c>
    </row>
    <row r="273" hidden="1">
      <c r="A273" s="20" t="str">
        <f>'Draft '!C272</f>
        <v>Daddy's Dogs</v>
      </c>
      <c r="B273" s="20"/>
      <c r="C273" s="20" t="str">
        <f>'Draft '!D272</f>
        <v/>
      </c>
      <c r="D273" s="188" t="str">
        <f>'Draft '!E272</f>
        <v/>
      </c>
      <c r="E273" s="189" t="str">
        <f>'Draft '!F272</f>
        <v/>
      </c>
      <c r="F273" s="188" t="str">
        <f>'Draft '!G272</f>
        <v/>
      </c>
      <c r="G273" s="20"/>
      <c r="H273" s="20" t="str">
        <f>'Draft '!I272</f>
        <v>0 | 0 | 0 | 0 | 0 | 0</v>
      </c>
    </row>
    <row r="274" hidden="1">
      <c r="A274" s="20" t="str">
        <f>'Draft '!C273</f>
        <v>Achaians</v>
      </c>
      <c r="B274" s="20"/>
      <c r="C274" s="20" t="str">
        <f>'Draft '!D273</f>
        <v/>
      </c>
      <c r="D274" s="188" t="str">
        <f>'Draft '!E273</f>
        <v/>
      </c>
      <c r="E274" s="189" t="str">
        <f>'Draft '!F273</f>
        <v/>
      </c>
      <c r="F274" s="188" t="str">
        <f>'Draft '!G273</f>
        <v/>
      </c>
      <c r="G274" s="20"/>
      <c r="H274" s="20" t="str">
        <f>'Draft '!I273</f>
        <v>0 | 0 | 0 | 0 | 0 | 0</v>
      </c>
    </row>
    <row r="275" hidden="1">
      <c r="A275" s="20" t="str">
        <f>'Draft '!C274</f>
        <v>Luddite</v>
      </c>
      <c r="B275" s="20"/>
      <c r="C275" s="20" t="str">
        <f>'Draft '!D274</f>
        <v/>
      </c>
      <c r="D275" s="188" t="str">
        <f>'Draft '!E274</f>
        <v/>
      </c>
      <c r="E275" s="189" t="str">
        <f>'Draft '!F274</f>
        <v/>
      </c>
      <c r="F275" s="188" t="str">
        <f>'Draft '!G274</f>
        <v/>
      </c>
      <c r="G275" s="20"/>
      <c r="H275" s="20" t="str">
        <f>'Draft '!I274</f>
        <v>0 | 0 | 0 | 0 | 0 | 0</v>
      </c>
    </row>
    <row r="276" hidden="1">
      <c r="A276" s="20" t="str">
        <f>'Draft '!C275</f>
        <v>Turbo-Ginz</v>
      </c>
      <c r="B276" s="20"/>
      <c r="C276" s="20" t="str">
        <f>'Draft '!D275</f>
        <v/>
      </c>
      <c r="D276" s="188" t="str">
        <f>'Draft '!E275</f>
        <v/>
      </c>
      <c r="E276" s="189" t="str">
        <f>'Draft '!F275</f>
        <v/>
      </c>
      <c r="F276" s="188" t="str">
        <f>'Draft '!G275</f>
        <v/>
      </c>
      <c r="G276" s="20"/>
      <c r="H276" s="20" t="str">
        <f>'Draft '!I275</f>
        <v>0 | 0 | 0 | 0 | 0 | 0</v>
      </c>
    </row>
    <row r="277" hidden="1">
      <c r="A277" s="20" t="str">
        <f>'Draft '!C276</f>
        <v>Big Boys Big Work</v>
      </c>
      <c r="B277" s="20"/>
      <c r="C277" s="20" t="str">
        <f>'Draft '!D276</f>
        <v/>
      </c>
      <c r="D277" s="188" t="str">
        <f>'Draft '!E276</f>
        <v/>
      </c>
      <c r="E277" s="189" t="str">
        <f>'Draft '!F276</f>
        <v/>
      </c>
      <c r="F277" s="188" t="str">
        <f>'Draft '!G276</f>
        <v/>
      </c>
      <c r="G277" s="20"/>
      <c r="H277" s="20" t="str">
        <f>'Draft '!I276</f>
        <v>0 | 0 | 0 | 0 | 0 | 0</v>
      </c>
    </row>
    <row r="278" hidden="1">
      <c r="A278" s="20" t="str">
        <f>'Draft '!C277</f>
        <v>Buttheads</v>
      </c>
      <c r="B278" s="20"/>
      <c r="C278" s="20" t="str">
        <f>'Draft '!D277</f>
        <v/>
      </c>
      <c r="D278" s="188" t="str">
        <f>'Draft '!E277</f>
        <v/>
      </c>
      <c r="E278" s="189" t="str">
        <f>'Draft '!F277</f>
        <v/>
      </c>
      <c r="F278" s="188" t="str">
        <f>'Draft '!G277</f>
        <v/>
      </c>
      <c r="G278" s="20"/>
      <c r="H278" s="20" t="str">
        <f>'Draft '!I277</f>
        <v>0 | 0 | 0 | 0 | 0 | 0</v>
      </c>
    </row>
    <row r="279" hidden="1">
      <c r="A279" s="20" t="str">
        <f>'Draft '!C278</f>
        <v>El Nino</v>
      </c>
      <c r="B279" s="20"/>
      <c r="C279" s="20" t="str">
        <f>'Draft '!D278</f>
        <v/>
      </c>
      <c r="D279" s="188" t="str">
        <f>'Draft '!E278</f>
        <v/>
      </c>
      <c r="E279" s="189" t="str">
        <f>'Draft '!F278</f>
        <v/>
      </c>
      <c r="F279" s="188" t="str">
        <f>'Draft '!G278</f>
        <v/>
      </c>
      <c r="G279" s="20"/>
      <c r="H279" s="20" t="str">
        <f>'Draft '!I278</f>
        <v>0 | 0 | 0 | 0 | 0 | 0</v>
      </c>
    </row>
    <row r="280" hidden="1">
      <c r="A280" s="20" t="str">
        <f>'Draft '!C279</f>
        <v>Icelanders</v>
      </c>
      <c r="B280" s="20"/>
      <c r="C280" s="20" t="str">
        <f>'Draft '!D279</f>
        <v/>
      </c>
      <c r="D280" s="188" t="str">
        <f>'Draft '!E279</f>
        <v/>
      </c>
      <c r="E280" s="189" t="str">
        <f>'Draft '!F279</f>
        <v/>
      </c>
      <c r="F280" s="188" t="str">
        <f>'Draft '!G279</f>
        <v/>
      </c>
      <c r="G280" s="20"/>
      <c r="H280" s="20" t="str">
        <f>'Draft '!I279</f>
        <v>0 | 0 | 0 | 0 | 0 | 0</v>
      </c>
    </row>
    <row r="281" hidden="1">
      <c r="A281" s="20" t="str">
        <f>'Draft '!C280</f>
        <v>Phantasm</v>
      </c>
      <c r="B281" s="20"/>
      <c r="C281" s="20" t="str">
        <f>'Draft '!D280</f>
        <v/>
      </c>
      <c r="D281" s="188" t="str">
        <f>'Draft '!E280</f>
        <v/>
      </c>
      <c r="E281" s="189" t="str">
        <f>'Draft '!F280</f>
        <v/>
      </c>
      <c r="F281" s="188" t="str">
        <f>'Draft '!G280</f>
        <v/>
      </c>
      <c r="G281" s="20"/>
      <c r="H281" s="20" t="str">
        <f>'Draft '!I280</f>
        <v>0 | 0 | 0 | 0 | 0 | 0</v>
      </c>
    </row>
    <row r="282" hidden="1">
      <c r="A282" s="20" t="str">
        <f>'Draft '!C281</f>
        <v>Sleeper Cell </v>
      </c>
      <c r="B282" s="20"/>
      <c r="C282" s="20" t="str">
        <f>'Draft '!D281</f>
        <v/>
      </c>
      <c r="D282" s="188" t="str">
        <f>'Draft '!E281</f>
        <v/>
      </c>
      <c r="E282" s="189" t="str">
        <f>'Draft '!F281</f>
        <v/>
      </c>
      <c r="F282" s="188" t="str">
        <f>'Draft '!G281</f>
        <v/>
      </c>
      <c r="G282" s="20"/>
      <c r="H282" s="20" t="str">
        <f>'Draft '!I281</f>
        <v>1 | 0 | 0 | 0 | 0 | 0</v>
      </c>
    </row>
    <row r="283" hidden="1">
      <c r="A283" s="20" t="str">
        <f>'Draft '!C282</f>
        <v>Sleeper Cell </v>
      </c>
      <c r="B283" s="20"/>
      <c r="C283" s="20" t="str">
        <f>'Draft '!D282</f>
        <v/>
      </c>
      <c r="D283" s="188" t="str">
        <f>'Draft '!E282</f>
        <v/>
      </c>
      <c r="E283" s="189" t="str">
        <f>'Draft '!F282</f>
        <v/>
      </c>
      <c r="F283" s="188" t="str">
        <f>'Draft '!G282</f>
        <v/>
      </c>
      <c r="G283" s="20"/>
      <c r="H283" s="20" t="str">
        <f>'Draft '!I282</f>
        <v>1 | 0 | 0 | 0 | 0 | 0</v>
      </c>
    </row>
    <row r="284" hidden="1">
      <c r="A284" s="20" t="str">
        <f>'Draft '!C283</f>
        <v>Phantasm</v>
      </c>
      <c r="B284" s="20"/>
      <c r="C284" s="20" t="str">
        <f>'Draft '!D283</f>
        <v/>
      </c>
      <c r="D284" s="188" t="str">
        <f>'Draft '!E283</f>
        <v/>
      </c>
      <c r="E284" s="189" t="str">
        <f>'Draft '!F283</f>
        <v/>
      </c>
      <c r="F284" s="188" t="str">
        <f>'Draft '!G283</f>
        <v/>
      </c>
      <c r="G284" s="20"/>
      <c r="H284" s="20" t="str">
        <f>'Draft '!I283</f>
        <v>0 | 0 | 0 | 0 | 0 | 0</v>
      </c>
    </row>
    <row r="285" hidden="1">
      <c r="A285" s="20" t="str">
        <f>'Draft '!C284</f>
        <v>Icelanders</v>
      </c>
      <c r="B285" s="20"/>
      <c r="C285" s="20" t="str">
        <f>'Draft '!D284</f>
        <v/>
      </c>
      <c r="D285" s="188" t="str">
        <f>'Draft '!E284</f>
        <v/>
      </c>
      <c r="E285" s="189" t="str">
        <f>'Draft '!F284</f>
        <v/>
      </c>
      <c r="F285" s="188" t="str">
        <f>'Draft '!G284</f>
        <v/>
      </c>
      <c r="G285" s="20"/>
      <c r="H285" s="20" t="str">
        <f>'Draft '!I284</f>
        <v>0 | 0 | 0 | 0 | 0 | 0</v>
      </c>
    </row>
    <row r="286" hidden="1">
      <c r="A286" s="20" t="str">
        <f>'Draft '!C285</f>
        <v>El Nino</v>
      </c>
      <c r="B286" s="20"/>
      <c r="C286" s="20" t="str">
        <f>'Draft '!D285</f>
        <v/>
      </c>
      <c r="D286" s="188" t="str">
        <f>'Draft '!E285</f>
        <v/>
      </c>
      <c r="E286" s="189" t="str">
        <f>'Draft '!F285</f>
        <v/>
      </c>
      <c r="F286" s="188" t="str">
        <f>'Draft '!G285</f>
        <v/>
      </c>
      <c r="G286" s="20"/>
      <c r="H286" s="20" t="str">
        <f>'Draft '!I285</f>
        <v>0 | 0 | 0 | 0 | 0 | 0</v>
      </c>
    </row>
    <row r="287" hidden="1">
      <c r="A287" s="20" t="str">
        <f>'Draft '!C286</f>
        <v>Buttheads</v>
      </c>
      <c r="B287" s="20"/>
      <c r="C287" s="20" t="str">
        <f>'Draft '!D286</f>
        <v/>
      </c>
      <c r="D287" s="188" t="str">
        <f>'Draft '!E286</f>
        <v/>
      </c>
      <c r="E287" s="189" t="str">
        <f>'Draft '!F286</f>
        <v/>
      </c>
      <c r="F287" s="188" t="str">
        <f>'Draft '!G286</f>
        <v/>
      </c>
      <c r="G287" s="20"/>
      <c r="H287" s="20" t="str">
        <f>'Draft '!I286</f>
        <v>0 | 0 | 0 | 0 | 0 | 0</v>
      </c>
    </row>
    <row r="288" hidden="1">
      <c r="A288" s="20" t="str">
        <f>'Draft '!C287</f>
        <v>Big Boys Big Work</v>
      </c>
      <c r="B288" s="20"/>
      <c r="C288" s="20" t="str">
        <f>'Draft '!D287</f>
        <v/>
      </c>
      <c r="D288" s="188" t="str">
        <f>'Draft '!E287</f>
        <v/>
      </c>
      <c r="E288" s="189" t="str">
        <f>'Draft '!F287</f>
        <v/>
      </c>
      <c r="F288" s="188" t="str">
        <f>'Draft '!G287</f>
        <v/>
      </c>
      <c r="G288" s="20"/>
      <c r="H288" s="20" t="str">
        <f>'Draft '!I287</f>
        <v>0 | 0 | 0 | 0 | 0 | 0</v>
      </c>
    </row>
    <row r="289" hidden="1">
      <c r="A289" s="20" t="str">
        <f>'Draft '!C288</f>
        <v>Turbo-Ginz</v>
      </c>
      <c r="B289" s="20"/>
      <c r="C289" s="20" t="str">
        <f>'Draft '!D288</f>
        <v/>
      </c>
      <c r="D289" s="188" t="str">
        <f>'Draft '!E288</f>
        <v/>
      </c>
      <c r="E289" s="189" t="str">
        <f>'Draft '!F288</f>
        <v/>
      </c>
      <c r="F289" s="188" t="str">
        <f>'Draft '!G288</f>
        <v/>
      </c>
      <c r="G289" s="20"/>
      <c r="H289" s="20" t="str">
        <f>'Draft '!I288</f>
        <v>0 | 0 | 0 | 0 | 0 | 0</v>
      </c>
    </row>
    <row r="290" hidden="1">
      <c r="A290" s="20" t="str">
        <f>'Draft '!C289</f>
        <v>Luddite</v>
      </c>
      <c r="B290" s="20"/>
      <c r="C290" s="20" t="str">
        <f>'Draft '!D289</f>
        <v/>
      </c>
      <c r="D290" s="188" t="str">
        <f>'Draft '!E289</f>
        <v/>
      </c>
      <c r="E290" s="189" t="str">
        <f>'Draft '!F289</f>
        <v/>
      </c>
      <c r="F290" s="188" t="str">
        <f>'Draft '!G289</f>
        <v/>
      </c>
      <c r="G290" s="20"/>
      <c r="H290" s="20" t="str">
        <f>'Draft '!I289</f>
        <v>0 | 0 | 0 | 0 | 0 | 0</v>
      </c>
    </row>
    <row r="291" hidden="1">
      <c r="A291" s="20" t="str">
        <f>'Draft '!C290</f>
        <v>Achaians</v>
      </c>
      <c r="B291" s="20"/>
      <c r="C291" s="20" t="str">
        <f>'Draft '!D290</f>
        <v/>
      </c>
      <c r="D291" s="188" t="str">
        <f>'Draft '!E290</f>
        <v/>
      </c>
      <c r="E291" s="189" t="str">
        <f>'Draft '!F290</f>
        <v/>
      </c>
      <c r="F291" s="188" t="str">
        <f>'Draft '!G290</f>
        <v/>
      </c>
      <c r="G291" s="20"/>
      <c r="H291" s="20" t="str">
        <f>'Draft '!I290</f>
        <v>0 | 0 | 0 | 0 | 0 | 0</v>
      </c>
    </row>
    <row r="292" hidden="1">
      <c r="A292" s="20" t="str">
        <f>'Draft '!C291</f>
        <v>Daddy's Dogs</v>
      </c>
      <c r="B292" s="20"/>
      <c r="C292" s="20" t="str">
        <f>'Draft '!D291</f>
        <v/>
      </c>
      <c r="D292" s="188" t="str">
        <f>'Draft '!E291</f>
        <v/>
      </c>
      <c r="E292" s="189" t="str">
        <f>'Draft '!F291</f>
        <v/>
      </c>
      <c r="F292" s="188" t="str">
        <f>'Draft '!G291</f>
        <v/>
      </c>
      <c r="G292" s="20"/>
      <c r="H292" s="20" t="str">
        <f>'Draft '!I291</f>
        <v>0 | 0 | 0 | 0 | 0 | 0</v>
      </c>
    </row>
    <row r="293" hidden="1">
      <c r="A293" s="20" t="str">
        <f>'Draft '!C292</f>
        <v>TDs and Beers</v>
      </c>
      <c r="B293" s="20"/>
      <c r="C293" s="20" t="str">
        <f>'Draft '!D292</f>
        <v/>
      </c>
      <c r="D293" s="188" t="str">
        <f>'Draft '!E292</f>
        <v/>
      </c>
      <c r="E293" s="189" t="str">
        <f>'Draft '!F292</f>
        <v/>
      </c>
      <c r="F293" s="188" t="str">
        <f>'Draft '!G292</f>
        <v/>
      </c>
      <c r="G293" s="20"/>
      <c r="H293" s="20" t="str">
        <f>'Draft '!I292</f>
        <v>0 | 0 | 0 | 0 | 0 | 0</v>
      </c>
    </row>
    <row r="294" hidden="1">
      <c r="A294" s="20" t="str">
        <f>'Draft '!C293</f>
        <v>DD Riders</v>
      </c>
      <c r="B294" s="20"/>
      <c r="C294" s="20" t="str">
        <f>'Draft '!D293</f>
        <v/>
      </c>
      <c r="D294" s="188" t="str">
        <f>'Draft '!E293</f>
        <v/>
      </c>
      <c r="E294" s="189" t="str">
        <f>'Draft '!F293</f>
        <v/>
      </c>
      <c r="F294" s="188" t="str">
        <f>'Draft '!G293</f>
        <v/>
      </c>
      <c r="G294" s="20"/>
      <c r="H294" s="20" t="str">
        <f>'Draft '!I293</f>
        <v>0 | 0 | 0 | 0 | 0 | 0</v>
      </c>
    </row>
    <row r="295">
      <c r="A295" s="20" t="str">
        <f>'Draft '!C294</f>
        <v>Nasty</v>
      </c>
      <c r="B295" s="20"/>
      <c r="C295" s="20" t="str">
        <f>'Draft '!D294</f>
        <v/>
      </c>
      <c r="D295" s="188" t="str">
        <f>'Draft '!E294</f>
        <v/>
      </c>
      <c r="E295" s="189" t="str">
        <f>'Draft '!F294</f>
        <v/>
      </c>
      <c r="F295" s="188" t="str">
        <f>'Draft '!G294</f>
        <v/>
      </c>
      <c r="G295" s="20"/>
      <c r="H295" s="20" t="str">
        <f>'Draft '!I294</f>
        <v>0 | 0 | 0 | 0 | 0 | 0</v>
      </c>
    </row>
    <row r="296" hidden="1">
      <c r="A296" s="20" t="str">
        <f>'Draft '!C295</f>
        <v>Red Hammer</v>
      </c>
      <c r="B296" s="20"/>
      <c r="C296" s="20" t="str">
        <f>'Draft '!D295</f>
        <v/>
      </c>
      <c r="D296" s="188" t="str">
        <f>'Draft '!E295</f>
        <v/>
      </c>
      <c r="E296" s="189" t="str">
        <f>'Draft '!F295</f>
        <v/>
      </c>
      <c r="F296" s="188" t="str">
        <f>'Draft '!G295</f>
        <v/>
      </c>
      <c r="G296" s="20"/>
      <c r="H296" s="20" t="str">
        <f>'Draft '!I295</f>
        <v>0 | 0 | 0 | 0 | 0 | 0</v>
      </c>
    </row>
    <row r="297" hidden="1">
      <c r="A297" s="20" t="str">
        <f>'Draft '!C296</f>
        <v>Red Hammer</v>
      </c>
      <c r="B297" s="20"/>
      <c r="C297" s="20" t="str">
        <f>'Draft '!D296</f>
        <v/>
      </c>
      <c r="D297" s="188" t="str">
        <f>'Draft '!E296</f>
        <v/>
      </c>
      <c r="E297" s="189" t="str">
        <f>'Draft '!F296</f>
        <v/>
      </c>
      <c r="F297" s="188" t="str">
        <f>'Draft '!G296</f>
        <v/>
      </c>
      <c r="G297" s="20"/>
      <c r="H297" s="20" t="str">
        <f>'Draft '!I296</f>
        <v>0 | 0 | 0 | 0 | 0 | 0</v>
      </c>
    </row>
    <row r="298">
      <c r="A298" s="20" t="str">
        <f>'Draft '!C297</f>
        <v>Nasty</v>
      </c>
      <c r="B298" s="20"/>
      <c r="C298" s="20" t="str">
        <f>'Draft '!D297</f>
        <v/>
      </c>
      <c r="D298" s="188" t="str">
        <f>'Draft '!E297</f>
        <v/>
      </c>
      <c r="E298" s="189" t="str">
        <f>'Draft '!F297</f>
        <v/>
      </c>
      <c r="F298" s="188" t="str">
        <f>'Draft '!G297</f>
        <v/>
      </c>
      <c r="G298" s="20"/>
      <c r="H298" s="20" t="str">
        <f>'Draft '!I297</f>
        <v>0 | 0 | 0 | 0 | 0 | 0</v>
      </c>
    </row>
    <row r="299" hidden="1">
      <c r="A299" s="20" t="str">
        <f>'Draft '!C298</f>
        <v>DD Riders</v>
      </c>
      <c r="B299" s="20"/>
      <c r="C299" s="20" t="str">
        <f>'Draft '!D298</f>
        <v/>
      </c>
      <c r="D299" s="188" t="str">
        <f>'Draft '!E298</f>
        <v/>
      </c>
      <c r="E299" s="189" t="str">
        <f>'Draft '!F298</f>
        <v/>
      </c>
      <c r="F299" s="188" t="str">
        <f>'Draft '!G298</f>
        <v/>
      </c>
      <c r="G299" s="20"/>
      <c r="H299" s="20" t="str">
        <f>'Draft '!I298</f>
        <v>0 | 0 | 0 | 0 | 0 | 0</v>
      </c>
    </row>
    <row r="300" hidden="1">
      <c r="A300" s="20" t="str">
        <f>'Draft '!C299</f>
        <v>TDs and Beers</v>
      </c>
      <c r="B300" s="20"/>
      <c r="C300" s="20" t="str">
        <f>'Draft '!D299</f>
        <v/>
      </c>
      <c r="D300" s="188" t="str">
        <f>'Draft '!E299</f>
        <v/>
      </c>
      <c r="E300" s="189" t="str">
        <f>'Draft '!F299</f>
        <v/>
      </c>
      <c r="F300" s="188" t="str">
        <f>'Draft '!G299</f>
        <v/>
      </c>
      <c r="G300" s="20"/>
      <c r="H300" s="20" t="str">
        <f>'Draft '!I299</f>
        <v>0 | 0 | 0 | 0 | 0 | 0</v>
      </c>
    </row>
    <row r="301" hidden="1">
      <c r="A301" s="20" t="str">
        <f>'Draft '!C300</f>
        <v>Daddy's Dogs</v>
      </c>
      <c r="B301" s="20"/>
      <c r="C301" s="20" t="str">
        <f>'Draft '!D300</f>
        <v/>
      </c>
      <c r="D301" s="188" t="str">
        <f>'Draft '!E300</f>
        <v/>
      </c>
      <c r="E301" s="189" t="str">
        <f>'Draft '!F300</f>
        <v/>
      </c>
      <c r="F301" s="188" t="str">
        <f>'Draft '!G300</f>
        <v/>
      </c>
      <c r="G301" s="20"/>
      <c r="H301" s="20" t="str">
        <f>'Draft '!I300</f>
        <v>0 | 0 | 0 | 0 | 0 | 0</v>
      </c>
    </row>
    <row r="302" hidden="1">
      <c r="A302" s="20" t="str">
        <f>'Draft '!C301</f>
        <v>Achaians</v>
      </c>
      <c r="B302" s="20"/>
      <c r="C302" s="20" t="str">
        <f>'Draft '!D301</f>
        <v/>
      </c>
      <c r="D302" s="188" t="str">
        <f>'Draft '!E301</f>
        <v/>
      </c>
      <c r="E302" s="189" t="str">
        <f>'Draft '!F301</f>
        <v/>
      </c>
      <c r="F302" s="188" t="str">
        <f>'Draft '!G301</f>
        <v/>
      </c>
      <c r="G302" s="20"/>
      <c r="H302" s="20" t="str">
        <f>'Draft '!I301</f>
        <v>0 | 0 | 0 | 0 | 0 | 0</v>
      </c>
    </row>
    <row r="303" hidden="1">
      <c r="A303" s="20" t="str">
        <f>'Draft '!C302</f>
        <v>Luddite</v>
      </c>
      <c r="B303" s="20"/>
      <c r="C303" s="20" t="str">
        <f>'Draft '!D302</f>
        <v/>
      </c>
      <c r="D303" s="188" t="str">
        <f>'Draft '!E302</f>
        <v/>
      </c>
      <c r="E303" s="189" t="str">
        <f>'Draft '!F302</f>
        <v/>
      </c>
      <c r="F303" s="188" t="str">
        <f>'Draft '!G302</f>
        <v/>
      </c>
      <c r="G303" s="20"/>
      <c r="H303" s="20" t="str">
        <f>'Draft '!I302</f>
        <v>0 | 0 | 0 | 0 | 0 | 0</v>
      </c>
    </row>
    <row r="304" hidden="1">
      <c r="A304" s="20" t="str">
        <f>'Draft '!C303</f>
        <v>Turbo-Ginz</v>
      </c>
      <c r="B304" s="20"/>
      <c r="C304" s="20" t="str">
        <f>'Draft '!D303</f>
        <v/>
      </c>
      <c r="D304" s="188" t="str">
        <f>'Draft '!E303</f>
        <v/>
      </c>
      <c r="E304" s="189" t="str">
        <f>'Draft '!F303</f>
        <v/>
      </c>
      <c r="F304" s="188" t="str">
        <f>'Draft '!G303</f>
        <v/>
      </c>
      <c r="G304" s="20"/>
      <c r="H304" s="20" t="str">
        <f>'Draft '!I303</f>
        <v>0 | 0 | 0 | 0 | 0 | 0</v>
      </c>
    </row>
    <row r="305" hidden="1">
      <c r="A305" s="20" t="str">
        <f>'Draft '!C304</f>
        <v>Big Boys Big Work</v>
      </c>
      <c r="B305" s="20"/>
      <c r="C305" s="20" t="str">
        <f>'Draft '!D304</f>
        <v/>
      </c>
      <c r="D305" s="188" t="str">
        <f>'Draft '!E304</f>
        <v/>
      </c>
      <c r="E305" s="189" t="str">
        <f>'Draft '!F304</f>
        <v/>
      </c>
      <c r="F305" s="188" t="str">
        <f>'Draft '!G304</f>
        <v/>
      </c>
      <c r="G305" s="20"/>
      <c r="H305" s="20" t="str">
        <f>'Draft '!I304</f>
        <v>0 | 0 | 0 | 0 | 0 | 0</v>
      </c>
    </row>
    <row r="306" hidden="1">
      <c r="A306" s="20" t="str">
        <f>'Draft '!C305</f>
        <v>Buttheads</v>
      </c>
      <c r="B306" s="20"/>
      <c r="C306" s="20" t="str">
        <f>'Draft '!D305</f>
        <v/>
      </c>
      <c r="D306" s="188" t="str">
        <f>'Draft '!E305</f>
        <v/>
      </c>
      <c r="E306" s="189" t="str">
        <f>'Draft '!F305</f>
        <v/>
      </c>
      <c r="F306" s="188" t="str">
        <f>'Draft '!G305</f>
        <v/>
      </c>
      <c r="G306" s="20"/>
      <c r="H306" s="20" t="str">
        <f>'Draft '!I305</f>
        <v>0 | 0 | 0 | 0 | 0 | 0</v>
      </c>
    </row>
    <row r="307" hidden="1">
      <c r="A307" s="20" t="str">
        <f>'Draft '!C306</f>
        <v>El Nino</v>
      </c>
      <c r="B307" s="20"/>
      <c r="C307" s="20" t="str">
        <f>'Draft '!D306</f>
        <v/>
      </c>
      <c r="D307" s="188" t="str">
        <f>'Draft '!E306</f>
        <v/>
      </c>
      <c r="E307" s="189" t="str">
        <f>'Draft '!F306</f>
        <v/>
      </c>
      <c r="F307" s="188" t="str">
        <f>'Draft '!G306</f>
        <v/>
      </c>
      <c r="G307" s="20"/>
      <c r="H307" s="20" t="str">
        <f>'Draft '!I306</f>
        <v>0 | 0 | 0 | 0 | 0 | 0</v>
      </c>
    </row>
    <row r="308" hidden="1">
      <c r="A308" s="20" t="str">
        <f>'Draft '!C307</f>
        <v>Icelanders</v>
      </c>
      <c r="B308" s="20"/>
      <c r="C308" s="20" t="str">
        <f>'Draft '!D307</f>
        <v/>
      </c>
      <c r="D308" s="188" t="str">
        <f>'Draft '!E307</f>
        <v/>
      </c>
      <c r="E308" s="189" t="str">
        <f>'Draft '!F307</f>
        <v/>
      </c>
      <c r="F308" s="188" t="str">
        <f>'Draft '!G307</f>
        <v/>
      </c>
      <c r="G308" s="20"/>
      <c r="H308" s="20" t="str">
        <f>'Draft '!I307</f>
        <v>0 | 0 | 0 | 0 | 0 | 0</v>
      </c>
    </row>
    <row r="309" hidden="1">
      <c r="A309" s="20" t="str">
        <f>'Draft '!C308</f>
        <v>Phantasm</v>
      </c>
      <c r="B309" s="20"/>
      <c r="C309" s="20" t="str">
        <f>'Draft '!D308</f>
        <v/>
      </c>
      <c r="D309" s="188" t="str">
        <f>'Draft '!E308</f>
        <v/>
      </c>
      <c r="E309" s="189" t="str">
        <f>'Draft '!F308</f>
        <v/>
      </c>
      <c r="F309" s="188" t="str">
        <f>'Draft '!G308</f>
        <v/>
      </c>
      <c r="G309" s="20"/>
      <c r="H309" s="20" t="str">
        <f>'Draft '!I308</f>
        <v>0 | 0 | 0 | 0 | 0 | 0</v>
      </c>
    </row>
    <row r="310" hidden="1">
      <c r="A310" s="20" t="str">
        <f>'Draft '!C309</f>
        <v>Sleeper Cell </v>
      </c>
      <c r="B310" s="20"/>
      <c r="C310" s="20" t="str">
        <f>'Draft '!D309</f>
        <v/>
      </c>
      <c r="D310" s="188" t="str">
        <f>'Draft '!E309</f>
        <v/>
      </c>
      <c r="E310" s="189" t="str">
        <f>'Draft '!F309</f>
        <v/>
      </c>
      <c r="F310" s="188" t="str">
        <f>'Draft '!G309</f>
        <v/>
      </c>
      <c r="G310" s="20"/>
      <c r="H310" s="20" t="str">
        <f>'Draft '!I309</f>
        <v>1 | 0 | 0 | 0 | 0 | 0</v>
      </c>
    </row>
    <row r="311" hidden="1">
      <c r="A311" s="20" t="str">
        <f>'Draft '!C310</f>
        <v>Sleeper Cell </v>
      </c>
      <c r="B311" s="20"/>
      <c r="C311" s="20" t="str">
        <f>'Draft '!D310</f>
        <v/>
      </c>
      <c r="D311" s="188" t="str">
        <f>'Draft '!E310</f>
        <v/>
      </c>
      <c r="E311" s="189" t="str">
        <f>'Draft '!F310</f>
        <v/>
      </c>
      <c r="F311" s="188" t="str">
        <f>'Draft '!G310</f>
        <v/>
      </c>
      <c r="G311" s="20"/>
      <c r="H311" s="20" t="str">
        <f>'Draft '!I310</f>
        <v>1 | 0 | 0 | 0 | 0 | 0</v>
      </c>
    </row>
    <row r="312" hidden="1">
      <c r="A312" s="20" t="str">
        <f>'Draft '!C311</f>
        <v>Phantasm</v>
      </c>
      <c r="B312" s="20"/>
      <c r="C312" s="20" t="str">
        <f>'Draft '!D311</f>
        <v/>
      </c>
      <c r="D312" s="188" t="str">
        <f>'Draft '!E311</f>
        <v/>
      </c>
      <c r="E312" s="189" t="str">
        <f>'Draft '!F311</f>
        <v/>
      </c>
      <c r="F312" s="188" t="str">
        <f>'Draft '!G311</f>
        <v/>
      </c>
      <c r="G312" s="20"/>
      <c r="H312" s="20" t="str">
        <f>'Draft '!I311</f>
        <v>0 | 0 | 0 | 0 | 0 | 0</v>
      </c>
    </row>
    <row r="313" hidden="1">
      <c r="A313" s="20" t="str">
        <f>'Draft '!C312</f>
        <v>Icelanders</v>
      </c>
      <c r="B313" s="20"/>
      <c r="C313" s="20" t="str">
        <f>'Draft '!D312</f>
        <v/>
      </c>
      <c r="D313" s="188" t="str">
        <f>'Draft '!E312</f>
        <v/>
      </c>
      <c r="E313" s="189" t="str">
        <f>'Draft '!F312</f>
        <v/>
      </c>
      <c r="F313" s="188" t="str">
        <f>'Draft '!G312</f>
        <v/>
      </c>
      <c r="G313" s="20"/>
      <c r="H313" s="20" t="str">
        <f>'Draft '!I312</f>
        <v>0 | 0 | 0 | 0 | 0 | 0</v>
      </c>
    </row>
    <row r="314" hidden="1">
      <c r="A314" s="20" t="str">
        <f>'Draft '!C313</f>
        <v>El Nino</v>
      </c>
      <c r="B314" s="20"/>
      <c r="C314" s="20" t="str">
        <f>'Draft '!D313</f>
        <v/>
      </c>
      <c r="D314" s="188" t="str">
        <f>'Draft '!E313</f>
        <v/>
      </c>
      <c r="E314" s="189" t="str">
        <f>'Draft '!F313</f>
        <v/>
      </c>
      <c r="F314" s="188" t="str">
        <f>'Draft '!G313</f>
        <v/>
      </c>
      <c r="G314" s="20"/>
      <c r="H314" s="20" t="str">
        <f>'Draft '!I313</f>
        <v>0 | 0 | 0 | 0 | 0 | 0</v>
      </c>
    </row>
    <row r="315" hidden="1">
      <c r="A315" s="20" t="str">
        <f>'Draft '!C314</f>
        <v>Buttheads</v>
      </c>
      <c r="B315" s="20"/>
      <c r="C315" s="20" t="str">
        <f>'Draft '!D314</f>
        <v/>
      </c>
      <c r="D315" s="188" t="str">
        <f>'Draft '!E314</f>
        <v/>
      </c>
      <c r="E315" s="189" t="str">
        <f>'Draft '!F314</f>
        <v/>
      </c>
      <c r="F315" s="188" t="str">
        <f>'Draft '!G314</f>
        <v/>
      </c>
      <c r="G315" s="20"/>
      <c r="H315" s="20" t="str">
        <f>'Draft '!I314</f>
        <v>0 | 0 | 0 | 0 | 0 | 0</v>
      </c>
    </row>
    <row r="316" hidden="1">
      <c r="A316" s="20" t="str">
        <f>'Draft '!C315</f>
        <v>Big Boys Big Work</v>
      </c>
      <c r="B316" s="20"/>
      <c r="C316" s="20" t="str">
        <f>'Draft '!D315</f>
        <v/>
      </c>
      <c r="D316" s="188" t="str">
        <f>'Draft '!E315</f>
        <v/>
      </c>
      <c r="E316" s="189" t="str">
        <f>'Draft '!F315</f>
        <v/>
      </c>
      <c r="F316" s="188" t="str">
        <f>'Draft '!G315</f>
        <v/>
      </c>
      <c r="G316" s="20"/>
      <c r="H316" s="20" t="str">
        <f>'Draft '!I315</f>
        <v>0 | 0 | 0 | 0 | 0 | 0</v>
      </c>
    </row>
    <row r="317" hidden="1">
      <c r="A317" s="20" t="str">
        <f>'Draft '!C316</f>
        <v>Turbo-Ginz</v>
      </c>
      <c r="B317" s="20"/>
      <c r="C317" s="20" t="str">
        <f>'Draft '!D316</f>
        <v/>
      </c>
      <c r="D317" s="188" t="str">
        <f>'Draft '!E316</f>
        <v/>
      </c>
      <c r="E317" s="189" t="str">
        <f>'Draft '!F316</f>
        <v/>
      </c>
      <c r="F317" s="188" t="str">
        <f>'Draft '!G316</f>
        <v/>
      </c>
      <c r="G317" s="20"/>
      <c r="H317" s="20" t="str">
        <f>'Draft '!I316</f>
        <v>0 | 0 | 0 | 0 | 0 | 0</v>
      </c>
    </row>
    <row r="318" hidden="1">
      <c r="A318" s="20" t="str">
        <f>'Draft '!C317</f>
        <v>Luddite</v>
      </c>
      <c r="B318" s="20"/>
      <c r="C318" s="20" t="str">
        <f>'Draft '!D317</f>
        <v/>
      </c>
      <c r="D318" s="188" t="str">
        <f>'Draft '!E317</f>
        <v/>
      </c>
      <c r="E318" s="189" t="str">
        <f>'Draft '!F317</f>
        <v/>
      </c>
      <c r="F318" s="188" t="str">
        <f>'Draft '!G317</f>
        <v/>
      </c>
      <c r="G318" s="20"/>
      <c r="H318" s="20" t="str">
        <f>'Draft '!I317</f>
        <v>0 | 0 | 0 | 0 | 0 | 0</v>
      </c>
    </row>
    <row r="319" hidden="1">
      <c r="A319" s="20" t="str">
        <f>'Draft '!C318</f>
        <v>Achaians</v>
      </c>
      <c r="B319" s="20"/>
      <c r="C319" s="20" t="str">
        <f>'Draft '!D318</f>
        <v/>
      </c>
      <c r="D319" s="188" t="str">
        <f>'Draft '!E318</f>
        <v/>
      </c>
      <c r="E319" s="189" t="str">
        <f>'Draft '!F318</f>
        <v/>
      </c>
      <c r="F319" s="188" t="str">
        <f>'Draft '!G318</f>
        <v/>
      </c>
      <c r="G319" s="20"/>
      <c r="H319" s="20" t="str">
        <f>'Draft '!I318</f>
        <v>0 | 0 | 0 | 0 | 0 | 0</v>
      </c>
    </row>
    <row r="320" hidden="1">
      <c r="A320" s="20" t="str">
        <f>'Draft '!C319</f>
        <v>Daddy's Dogs</v>
      </c>
      <c r="B320" s="20"/>
      <c r="C320" s="20" t="str">
        <f>'Draft '!D319</f>
        <v/>
      </c>
      <c r="D320" s="188" t="str">
        <f>'Draft '!E319</f>
        <v/>
      </c>
      <c r="E320" s="189" t="str">
        <f>'Draft '!F319</f>
        <v/>
      </c>
      <c r="F320" s="188" t="str">
        <f>'Draft '!G319</f>
        <v/>
      </c>
      <c r="G320" s="20"/>
      <c r="H320" s="20" t="str">
        <f>'Draft '!I319</f>
        <v>0 | 0 | 0 | 0 | 0 | 0</v>
      </c>
    </row>
    <row r="321" hidden="1">
      <c r="A321" s="20" t="str">
        <f>'Draft '!C320</f>
        <v>TDs and Beers</v>
      </c>
      <c r="B321" s="20"/>
      <c r="C321" s="20" t="str">
        <f>'Draft '!D320</f>
        <v/>
      </c>
      <c r="D321" s="188" t="str">
        <f>'Draft '!E320</f>
        <v/>
      </c>
      <c r="E321" s="189" t="str">
        <f>'Draft '!F320</f>
        <v/>
      </c>
      <c r="F321" s="188" t="str">
        <f>'Draft '!G320</f>
        <v/>
      </c>
      <c r="G321" s="20"/>
      <c r="H321" s="20" t="str">
        <f>'Draft '!I320</f>
        <v>0 | 0 | 0 | 0 | 0 | 0</v>
      </c>
    </row>
    <row r="322" hidden="1">
      <c r="A322" s="20" t="str">
        <f>'Draft '!C321</f>
        <v>DD Riders</v>
      </c>
      <c r="B322" s="20"/>
      <c r="C322" s="20" t="str">
        <f>'Draft '!D321</f>
        <v/>
      </c>
      <c r="D322" s="188" t="str">
        <f>'Draft '!E321</f>
        <v/>
      </c>
      <c r="E322" s="189" t="str">
        <f>'Draft '!F321</f>
        <v/>
      </c>
      <c r="F322" s="188" t="str">
        <f>'Draft '!G321</f>
        <v/>
      </c>
      <c r="G322" s="20"/>
      <c r="H322" s="20" t="str">
        <f>'Draft '!I321</f>
        <v>0 | 0 | 0 | 0 | 0 | 0</v>
      </c>
    </row>
    <row r="323">
      <c r="A323" s="20" t="str">
        <f>'Draft '!C322</f>
        <v>Nasty</v>
      </c>
      <c r="B323" s="20"/>
      <c r="C323" s="20" t="str">
        <f>'Draft '!D322</f>
        <v/>
      </c>
      <c r="D323" s="188" t="str">
        <f>'Draft '!E322</f>
        <v/>
      </c>
      <c r="E323" s="189" t="str">
        <f>'Draft '!F322</f>
        <v/>
      </c>
      <c r="F323" s="188" t="str">
        <f>'Draft '!G322</f>
        <v/>
      </c>
      <c r="G323" s="20"/>
      <c r="H323" s="20" t="str">
        <f>'Draft '!I322</f>
        <v>0 | 0 | 0 | 0 | 0 | 0</v>
      </c>
    </row>
    <row r="324" hidden="1">
      <c r="A324" s="20" t="str">
        <f>'Draft '!C323</f>
        <v>Red Hammer</v>
      </c>
      <c r="B324" s="20"/>
      <c r="C324" s="20" t="str">
        <f>'Draft '!D323</f>
        <v/>
      </c>
      <c r="D324" s="188" t="str">
        <f>'Draft '!E323</f>
        <v/>
      </c>
      <c r="E324" s="189" t="str">
        <f>'Draft '!F323</f>
        <v/>
      </c>
      <c r="F324" s="188" t="str">
        <f>'Draft '!G323</f>
        <v/>
      </c>
      <c r="G324" s="20"/>
      <c r="H324" s="20" t="str">
        <f>'Draft '!I323</f>
        <v>0 | 0 | 0 | 0 | 0 | 0</v>
      </c>
    </row>
    <row r="325" hidden="1">
      <c r="A325" s="20" t="str">
        <f>'Draft '!C324</f>
        <v>Red Hammer</v>
      </c>
      <c r="B325" s="20"/>
      <c r="C325" s="20" t="str">
        <f>'Draft '!D324</f>
        <v/>
      </c>
      <c r="D325" s="188" t="str">
        <f>'Draft '!E324</f>
        <v/>
      </c>
      <c r="E325" s="189" t="str">
        <f>'Draft '!F324</f>
        <v/>
      </c>
      <c r="F325" s="188" t="str">
        <f>'Draft '!G324</f>
        <v/>
      </c>
      <c r="G325" s="20"/>
      <c r="H325" s="20" t="str">
        <f>'Draft '!I324</f>
        <v>0 | 0 | 0 | 0 | 0 | 0</v>
      </c>
    </row>
    <row r="326">
      <c r="A326" s="20" t="str">
        <f>'Draft '!C325</f>
        <v>Nasty</v>
      </c>
      <c r="B326" s="20"/>
      <c r="C326" s="20" t="str">
        <f>'Draft '!D325</f>
        <v/>
      </c>
      <c r="D326" s="188" t="str">
        <f>'Draft '!E325</f>
        <v/>
      </c>
      <c r="E326" s="189" t="str">
        <f>'Draft '!F325</f>
        <v/>
      </c>
      <c r="F326" s="188" t="str">
        <f>'Draft '!G325</f>
        <v/>
      </c>
      <c r="G326" s="20"/>
      <c r="H326" s="20" t="str">
        <f>'Draft '!I325</f>
        <v>0 | 0 | 0 | 0 | 0 | 0</v>
      </c>
    </row>
    <row r="327" hidden="1">
      <c r="A327" s="20" t="str">
        <f>'Draft '!C326</f>
        <v>DD Riders</v>
      </c>
      <c r="B327" s="20"/>
      <c r="C327" s="20" t="str">
        <f>'Draft '!D326</f>
        <v/>
      </c>
      <c r="D327" s="188" t="str">
        <f>'Draft '!E326</f>
        <v/>
      </c>
      <c r="E327" s="189" t="str">
        <f>'Draft '!F326</f>
        <v/>
      </c>
      <c r="F327" s="188" t="str">
        <f>'Draft '!G326</f>
        <v/>
      </c>
      <c r="G327" s="20"/>
      <c r="H327" s="20" t="str">
        <f>'Draft '!I326</f>
        <v>0 | 0 | 0 | 0 | 0 | 0</v>
      </c>
    </row>
    <row r="328" hidden="1">
      <c r="A328" s="20" t="str">
        <f>'Draft '!C327</f>
        <v>TDs and Beers</v>
      </c>
      <c r="B328" s="20"/>
      <c r="C328" s="20" t="str">
        <f>'Draft '!D327</f>
        <v/>
      </c>
      <c r="D328" s="188" t="str">
        <f>'Draft '!E327</f>
        <v/>
      </c>
      <c r="E328" s="189" t="str">
        <f>'Draft '!F327</f>
        <v/>
      </c>
      <c r="F328" s="188" t="str">
        <f>'Draft '!G327</f>
        <v/>
      </c>
      <c r="G328" s="20"/>
      <c r="H328" s="20" t="str">
        <f>'Draft '!I327</f>
        <v>0 | 0 | 0 | 0 | 0 | 0</v>
      </c>
    </row>
    <row r="329" hidden="1">
      <c r="A329" s="20" t="str">
        <f>'Draft '!C328</f>
        <v>Daddy's Dogs</v>
      </c>
      <c r="B329" s="20"/>
      <c r="C329" s="20" t="str">
        <f>'Draft '!D328</f>
        <v/>
      </c>
      <c r="D329" s="188" t="str">
        <f>'Draft '!E328</f>
        <v/>
      </c>
      <c r="E329" s="189" t="str">
        <f>'Draft '!F328</f>
        <v/>
      </c>
      <c r="F329" s="188" t="str">
        <f>'Draft '!G328</f>
        <v/>
      </c>
      <c r="G329" s="20"/>
      <c r="H329" s="20" t="str">
        <f>'Draft '!I328</f>
        <v>0 | 0 | 0 | 0 | 0 | 0</v>
      </c>
    </row>
    <row r="330" hidden="1">
      <c r="A330" s="20" t="str">
        <f>'Draft '!C329</f>
        <v>Achaians</v>
      </c>
      <c r="B330" s="20"/>
      <c r="C330" s="20" t="str">
        <f>'Draft '!D329</f>
        <v/>
      </c>
      <c r="D330" s="188" t="str">
        <f>'Draft '!E329</f>
        <v/>
      </c>
      <c r="E330" s="189" t="str">
        <f>'Draft '!F329</f>
        <v/>
      </c>
      <c r="F330" s="188" t="str">
        <f>'Draft '!G329</f>
        <v/>
      </c>
      <c r="G330" s="20"/>
      <c r="H330" s="20" t="str">
        <f>'Draft '!I329</f>
        <v>0 | 0 | 0 | 0 | 0 | 0</v>
      </c>
    </row>
    <row r="331" hidden="1">
      <c r="A331" s="20" t="str">
        <f>'Draft '!C330</f>
        <v>Luddite</v>
      </c>
      <c r="B331" s="20"/>
      <c r="C331" s="20" t="str">
        <f>'Draft '!D330</f>
        <v/>
      </c>
      <c r="D331" s="188" t="str">
        <f>'Draft '!E330</f>
        <v/>
      </c>
      <c r="E331" s="189" t="str">
        <f>'Draft '!F330</f>
        <v/>
      </c>
      <c r="F331" s="188" t="str">
        <f>'Draft '!G330</f>
        <v/>
      </c>
      <c r="G331" s="20"/>
      <c r="H331" s="20" t="str">
        <f>'Draft '!I330</f>
        <v>0 | 0 | 0 | 0 | 0 | 0</v>
      </c>
    </row>
    <row r="332" hidden="1">
      <c r="A332" s="20" t="str">
        <f>'Draft '!C331</f>
        <v>Turbo-Ginz</v>
      </c>
      <c r="B332" s="20"/>
      <c r="C332" s="20" t="str">
        <f>'Draft '!D331</f>
        <v/>
      </c>
      <c r="D332" s="188" t="str">
        <f>'Draft '!E331</f>
        <v/>
      </c>
      <c r="E332" s="189" t="str">
        <f>'Draft '!F331</f>
        <v/>
      </c>
      <c r="F332" s="188" t="str">
        <f>'Draft '!G331</f>
        <v/>
      </c>
      <c r="G332" s="20"/>
      <c r="H332" s="20" t="str">
        <f>'Draft '!I331</f>
        <v>0 | 0 | 0 | 0 | 0 | 0</v>
      </c>
    </row>
    <row r="333" hidden="1">
      <c r="A333" s="20" t="str">
        <f>'Draft '!C332</f>
        <v>Big Boys Big Work</v>
      </c>
      <c r="B333" s="20"/>
      <c r="C333" s="20" t="str">
        <f>'Draft '!D332</f>
        <v/>
      </c>
      <c r="D333" s="188" t="str">
        <f>'Draft '!E332</f>
        <v/>
      </c>
      <c r="E333" s="189" t="str">
        <f>'Draft '!F332</f>
        <v/>
      </c>
      <c r="F333" s="188" t="str">
        <f>'Draft '!G332</f>
        <v/>
      </c>
      <c r="G333" s="20"/>
      <c r="H333" s="20" t="str">
        <f>'Draft '!I332</f>
        <v>0 | 0 | 0 | 0 | 0 | 0</v>
      </c>
    </row>
    <row r="334" hidden="1">
      <c r="A334" s="20" t="str">
        <f>'Draft '!C333</f>
        <v>Buttheads</v>
      </c>
      <c r="B334" s="20"/>
      <c r="C334" s="20" t="str">
        <f>'Draft '!D333</f>
        <v/>
      </c>
      <c r="D334" s="188" t="str">
        <f>'Draft '!E333</f>
        <v/>
      </c>
      <c r="E334" s="189" t="str">
        <f>'Draft '!F333</f>
        <v/>
      </c>
      <c r="F334" s="188" t="str">
        <f>'Draft '!G333</f>
        <v/>
      </c>
      <c r="G334" s="20"/>
      <c r="H334" s="20" t="str">
        <f>'Draft '!I333</f>
        <v>0 | 0 | 0 | 0 | 0 | 0</v>
      </c>
    </row>
    <row r="335" hidden="1">
      <c r="A335" s="20" t="str">
        <f>'Draft '!C334</f>
        <v>El Nino</v>
      </c>
      <c r="B335" s="20"/>
      <c r="C335" s="20" t="str">
        <f>'Draft '!D334</f>
        <v/>
      </c>
      <c r="D335" s="188" t="str">
        <f>'Draft '!E334</f>
        <v/>
      </c>
      <c r="E335" s="189" t="str">
        <f>'Draft '!F334</f>
        <v/>
      </c>
      <c r="F335" s="188" t="str">
        <f>'Draft '!G334</f>
        <v/>
      </c>
      <c r="G335" s="20"/>
      <c r="H335" s="20" t="str">
        <f>'Draft '!I334</f>
        <v>0 | 0 | 0 | 0 | 0 | 0</v>
      </c>
    </row>
    <row r="336" hidden="1">
      <c r="A336" s="20" t="str">
        <f>'Draft '!C335</f>
        <v>Icelanders</v>
      </c>
      <c r="B336" s="20"/>
      <c r="C336" s="20" t="str">
        <f>'Draft '!D335</f>
        <v/>
      </c>
      <c r="D336" s="188" t="str">
        <f>'Draft '!E335</f>
        <v/>
      </c>
      <c r="E336" s="189" t="str">
        <f>'Draft '!F335</f>
        <v/>
      </c>
      <c r="F336" s="188" t="str">
        <f>'Draft '!G335</f>
        <v/>
      </c>
      <c r="G336" s="20"/>
      <c r="H336" s="20" t="str">
        <f>'Draft '!I335</f>
        <v>0 | 0 | 0 | 0 | 0 | 0</v>
      </c>
    </row>
    <row r="337" hidden="1">
      <c r="A337" s="20" t="str">
        <f>'Draft '!C336</f>
        <v>Phantasm</v>
      </c>
      <c r="B337" s="20"/>
      <c r="C337" s="20" t="str">
        <f>'Draft '!D336</f>
        <v/>
      </c>
      <c r="D337" s="188" t="str">
        <f>'Draft '!E336</f>
        <v/>
      </c>
      <c r="E337" s="189" t="str">
        <f>'Draft '!F336</f>
        <v/>
      </c>
      <c r="F337" s="188" t="str">
        <f>'Draft '!G336</f>
        <v/>
      </c>
      <c r="G337" s="20"/>
      <c r="H337" s="20" t="str">
        <f>'Draft '!I336</f>
        <v>0 | 0 | 0 | 0 | 0 | 0</v>
      </c>
    </row>
    <row r="338" hidden="1">
      <c r="A338" s="20" t="str">
        <f>'Draft '!C337</f>
        <v>Sleeper Cell </v>
      </c>
      <c r="B338" s="20"/>
      <c r="C338" s="20" t="str">
        <f>'Draft '!D337</f>
        <v/>
      </c>
      <c r="D338" s="188" t="str">
        <f>'Draft '!E337</f>
        <v/>
      </c>
      <c r="E338" s="189" t="str">
        <f>'Draft '!F337</f>
        <v/>
      </c>
      <c r="F338" s="188" t="str">
        <f>'Draft '!G337</f>
        <v/>
      </c>
      <c r="G338" s="20"/>
      <c r="H338" s="20" t="str">
        <f>'Draft '!I337</f>
        <v>1 | 0 | 0 | 0 | 0 | 0</v>
      </c>
    </row>
    <row r="339" hidden="1">
      <c r="A339" s="20" t="str">
        <f>'Draft '!C338</f>
        <v>Sleeper Cell </v>
      </c>
      <c r="B339" s="20"/>
      <c r="C339" s="20" t="str">
        <f>'Draft '!D338</f>
        <v/>
      </c>
      <c r="D339" s="188" t="str">
        <f>'Draft '!E338</f>
        <v/>
      </c>
      <c r="E339" s="189" t="str">
        <f>'Draft '!F338</f>
        <v/>
      </c>
      <c r="F339" s="188" t="str">
        <f>'Draft '!G338</f>
        <v/>
      </c>
      <c r="G339" s="20"/>
      <c r="H339" s="20" t="str">
        <f>'Draft '!I338</f>
        <v>1 | 0 | 0 | 0 | 0 | 0</v>
      </c>
    </row>
    <row r="340" hidden="1">
      <c r="A340" s="20" t="str">
        <f>'Draft '!C339</f>
        <v>Phantasm</v>
      </c>
      <c r="B340" s="20"/>
      <c r="C340" s="20" t="str">
        <f>'Draft '!D339</f>
        <v/>
      </c>
      <c r="D340" s="188" t="str">
        <f>'Draft '!E339</f>
        <v/>
      </c>
      <c r="E340" s="189" t="str">
        <f>'Draft '!F339</f>
        <v/>
      </c>
      <c r="F340" s="188" t="str">
        <f>'Draft '!G339</f>
        <v/>
      </c>
      <c r="G340" s="20"/>
      <c r="H340" s="20" t="str">
        <f>'Draft '!I339</f>
        <v>0 | 0 | 0 | 0 | 0 | 0</v>
      </c>
    </row>
    <row r="341" hidden="1">
      <c r="A341" s="20" t="str">
        <f>'Draft '!C340</f>
        <v>Icelanders</v>
      </c>
      <c r="B341" s="20"/>
      <c r="C341" s="20" t="str">
        <f>'Draft '!D340</f>
        <v/>
      </c>
      <c r="D341" s="188" t="str">
        <f>'Draft '!E340</f>
        <v/>
      </c>
      <c r="E341" s="189" t="str">
        <f>'Draft '!F340</f>
        <v/>
      </c>
      <c r="F341" s="188" t="str">
        <f>'Draft '!G340</f>
        <v/>
      </c>
      <c r="G341" s="20"/>
      <c r="H341" s="20" t="str">
        <f>'Draft '!I340</f>
        <v>0 | 0 | 0 | 0 | 0 | 0</v>
      </c>
    </row>
    <row r="342" hidden="1">
      <c r="A342" s="20" t="str">
        <f>'Draft '!C341</f>
        <v>El Nino</v>
      </c>
      <c r="B342" s="20"/>
      <c r="C342" s="20" t="str">
        <f>'Draft '!D341</f>
        <v/>
      </c>
      <c r="D342" s="188" t="str">
        <f>'Draft '!E341</f>
        <v/>
      </c>
      <c r="E342" s="189" t="str">
        <f>'Draft '!F341</f>
        <v/>
      </c>
      <c r="F342" s="188" t="str">
        <f>'Draft '!G341</f>
        <v/>
      </c>
      <c r="G342" s="20"/>
      <c r="H342" s="20" t="str">
        <f>'Draft '!I341</f>
        <v>0 | 0 | 0 | 0 | 0 | 0</v>
      </c>
    </row>
    <row r="343" hidden="1">
      <c r="A343" s="20" t="str">
        <f>'Draft '!C342</f>
        <v>Buttheads</v>
      </c>
      <c r="B343" s="20"/>
      <c r="C343" s="20" t="str">
        <f>'Draft '!D342</f>
        <v/>
      </c>
      <c r="D343" s="188" t="str">
        <f>'Draft '!E342</f>
        <v/>
      </c>
      <c r="E343" s="189" t="str">
        <f>'Draft '!F342</f>
        <v/>
      </c>
      <c r="F343" s="188" t="str">
        <f>'Draft '!G342</f>
        <v/>
      </c>
      <c r="G343" s="20"/>
      <c r="H343" s="20" t="str">
        <f>'Draft '!I342</f>
        <v>0 | 0 | 0 | 0 | 0 | 0</v>
      </c>
    </row>
    <row r="344" hidden="1">
      <c r="A344" s="20" t="str">
        <f>'Draft '!C343</f>
        <v>Big Boys Big Work</v>
      </c>
      <c r="B344" s="20"/>
      <c r="C344" s="20" t="str">
        <f>'Draft '!D343</f>
        <v/>
      </c>
      <c r="D344" s="188" t="str">
        <f>'Draft '!E343</f>
        <v/>
      </c>
      <c r="E344" s="189" t="str">
        <f>'Draft '!F343</f>
        <v/>
      </c>
      <c r="F344" s="188" t="str">
        <f>'Draft '!G343</f>
        <v/>
      </c>
      <c r="G344" s="20"/>
      <c r="H344" s="20" t="str">
        <f>'Draft '!I343</f>
        <v>0 | 0 | 0 | 0 | 0 | 0</v>
      </c>
    </row>
    <row r="345" hidden="1">
      <c r="A345" s="20" t="str">
        <f>'Draft '!C344</f>
        <v>Turbo-Ginz</v>
      </c>
      <c r="B345" s="20"/>
      <c r="C345" s="20" t="str">
        <f>'Draft '!D344</f>
        <v/>
      </c>
      <c r="D345" s="188" t="str">
        <f>'Draft '!E344</f>
        <v/>
      </c>
      <c r="E345" s="189" t="str">
        <f>'Draft '!F344</f>
        <v/>
      </c>
      <c r="F345" s="188" t="str">
        <f>'Draft '!G344</f>
        <v/>
      </c>
      <c r="G345" s="20"/>
      <c r="H345" s="20" t="str">
        <f>'Draft '!I344</f>
        <v>0 | 0 | 0 | 0 | 0 | 0</v>
      </c>
    </row>
    <row r="346" hidden="1">
      <c r="A346" s="20" t="str">
        <f>'Draft '!C345</f>
        <v>Luddite</v>
      </c>
      <c r="B346" s="20"/>
      <c r="C346" s="20" t="str">
        <f>'Draft '!D345</f>
        <v/>
      </c>
      <c r="D346" s="188" t="str">
        <f>'Draft '!E345</f>
        <v/>
      </c>
      <c r="E346" s="189" t="str">
        <f>'Draft '!F345</f>
        <v/>
      </c>
      <c r="F346" s="188" t="str">
        <f>'Draft '!G345</f>
        <v/>
      </c>
      <c r="G346" s="20"/>
      <c r="H346" s="20" t="str">
        <f>'Draft '!I345</f>
        <v>0 | 0 | 0 | 0 | 0 | 0</v>
      </c>
    </row>
    <row r="347" hidden="1">
      <c r="A347" s="20" t="str">
        <f>'Draft '!C346</f>
        <v>Achaians</v>
      </c>
      <c r="B347" s="20"/>
      <c r="C347" s="20" t="str">
        <f>'Draft '!D346</f>
        <v/>
      </c>
      <c r="D347" s="188" t="str">
        <f>'Draft '!E346</f>
        <v/>
      </c>
      <c r="E347" s="189" t="str">
        <f>'Draft '!F346</f>
        <v/>
      </c>
      <c r="F347" s="188" t="str">
        <f>'Draft '!G346</f>
        <v/>
      </c>
      <c r="G347" s="20"/>
      <c r="H347" s="20" t="str">
        <f>'Draft '!I346</f>
        <v>0 | 0 | 0 | 0 | 0 | 0</v>
      </c>
    </row>
    <row r="348" hidden="1">
      <c r="A348" s="20" t="str">
        <f>'Draft '!C347</f>
        <v>Daddy's Dogs</v>
      </c>
      <c r="B348" s="20"/>
      <c r="C348" s="20" t="str">
        <f>'Draft '!D347</f>
        <v/>
      </c>
      <c r="D348" s="188" t="str">
        <f>'Draft '!E347</f>
        <v/>
      </c>
      <c r="E348" s="189" t="str">
        <f>'Draft '!F347</f>
        <v/>
      </c>
      <c r="F348" s="188" t="str">
        <f>'Draft '!G347</f>
        <v/>
      </c>
      <c r="G348" s="20"/>
      <c r="H348" s="20" t="str">
        <f>'Draft '!I347</f>
        <v>0 | 0 | 0 | 0 | 0 | 0</v>
      </c>
    </row>
    <row r="349" hidden="1">
      <c r="A349" s="20" t="str">
        <f>'Draft '!C348</f>
        <v>TDs and Beers</v>
      </c>
      <c r="B349" s="20"/>
      <c r="C349" s="20" t="str">
        <f>'Draft '!D348</f>
        <v/>
      </c>
      <c r="D349" s="188" t="str">
        <f>'Draft '!E348</f>
        <v/>
      </c>
      <c r="E349" s="189" t="str">
        <f>'Draft '!F348</f>
        <v/>
      </c>
      <c r="F349" s="188" t="str">
        <f>'Draft '!G348</f>
        <v/>
      </c>
      <c r="G349" s="20"/>
      <c r="H349" s="20" t="str">
        <f>'Draft '!I348</f>
        <v>0 | 0 | 0 | 0 | 0 | 0</v>
      </c>
    </row>
    <row r="350" hidden="1">
      <c r="A350" s="20" t="str">
        <f>'Draft '!C349</f>
        <v>DD Riders</v>
      </c>
      <c r="B350" s="20"/>
      <c r="C350" s="20" t="str">
        <f>'Draft '!D349</f>
        <v/>
      </c>
      <c r="D350" s="188" t="str">
        <f>'Draft '!E349</f>
        <v/>
      </c>
      <c r="E350" s="189" t="str">
        <f>'Draft '!F349</f>
        <v/>
      </c>
      <c r="F350" s="188" t="str">
        <f>'Draft '!G349</f>
        <v/>
      </c>
      <c r="G350" s="20"/>
      <c r="H350" s="20" t="str">
        <f>'Draft '!I349</f>
        <v>0 | 0 | 0 | 0 | 0 | 0</v>
      </c>
    </row>
    <row r="351">
      <c r="A351" s="20" t="str">
        <f>'Draft '!C350</f>
        <v>Nasty</v>
      </c>
      <c r="B351" s="20"/>
      <c r="C351" s="20" t="str">
        <f>'Draft '!D350</f>
        <v/>
      </c>
      <c r="D351" s="188" t="str">
        <f>'Draft '!E350</f>
        <v/>
      </c>
      <c r="E351" s="189" t="str">
        <f>'Draft '!F350</f>
        <v/>
      </c>
      <c r="F351" s="188" t="str">
        <f>'Draft '!G350</f>
        <v/>
      </c>
      <c r="G351" s="20"/>
      <c r="H351" s="20" t="str">
        <f>'Draft '!I350</f>
        <v>0 | 0 | 0 | 0 | 0 | 0</v>
      </c>
    </row>
    <row r="352" hidden="1">
      <c r="A352" s="20" t="str">
        <f>'Draft '!C351</f>
        <v>Red Hammer</v>
      </c>
      <c r="B352" s="20"/>
      <c r="C352" s="20" t="str">
        <f>'Draft '!D351</f>
        <v/>
      </c>
      <c r="D352" s="188" t="str">
        <f>'Draft '!E351</f>
        <v/>
      </c>
      <c r="E352" s="189" t="str">
        <f>'Draft '!F351</f>
        <v/>
      </c>
      <c r="F352" s="188" t="str">
        <f>'Draft '!G351</f>
        <v/>
      </c>
      <c r="G352" s="20"/>
      <c r="H352" s="20" t="str">
        <f>'Draft '!I351</f>
        <v>0 | 0 | 0 | 0 | 0 | 0</v>
      </c>
    </row>
    <row r="353" hidden="1">
      <c r="A353" s="20" t="str">
        <f>'Draft '!C352</f>
        <v>Red Hammer</v>
      </c>
      <c r="B353" s="20"/>
      <c r="C353" s="20" t="str">
        <f>'Draft '!D352</f>
        <v/>
      </c>
      <c r="D353" s="188" t="str">
        <f>'Draft '!E352</f>
        <v/>
      </c>
      <c r="E353" s="189" t="str">
        <f>'Draft '!F352</f>
        <v/>
      </c>
      <c r="F353" s="188" t="str">
        <f>'Draft '!G352</f>
        <v/>
      </c>
      <c r="G353" s="20"/>
      <c r="H353" s="20" t="str">
        <f>'Draft '!I352</f>
        <v>0 | 0 | 0 | 0 | 0 | 0</v>
      </c>
    </row>
    <row r="354">
      <c r="A354" s="20" t="str">
        <f>'Draft '!C353</f>
        <v>Nasty</v>
      </c>
      <c r="B354" s="20"/>
      <c r="C354" s="20" t="str">
        <f>'Draft '!D353</f>
        <v/>
      </c>
      <c r="D354" s="188" t="str">
        <f>'Draft '!E353</f>
        <v/>
      </c>
      <c r="E354" s="189" t="str">
        <f>'Draft '!F353</f>
        <v/>
      </c>
      <c r="F354" s="188" t="str">
        <f>'Draft '!G353</f>
        <v/>
      </c>
      <c r="G354" s="20"/>
      <c r="H354" s="20" t="str">
        <f>'Draft '!I353</f>
        <v>0 | 0 | 0 | 0 | 0 | 0</v>
      </c>
    </row>
    <row r="355" hidden="1">
      <c r="A355" s="20" t="str">
        <f>'Draft '!C354</f>
        <v>DD Riders</v>
      </c>
      <c r="B355" s="20"/>
      <c r="C355" s="20" t="str">
        <f>'Draft '!D354</f>
        <v/>
      </c>
      <c r="D355" s="188" t="str">
        <f>'Draft '!E354</f>
        <v/>
      </c>
      <c r="E355" s="189" t="str">
        <f>'Draft '!F354</f>
        <v/>
      </c>
      <c r="F355" s="188" t="str">
        <f>'Draft '!G354</f>
        <v/>
      </c>
      <c r="G355" s="20"/>
      <c r="H355" s="20" t="str">
        <f>'Draft '!I354</f>
        <v>0 | 0 | 0 | 0 | 0 | 0</v>
      </c>
    </row>
    <row r="356" hidden="1">
      <c r="A356" s="20" t="str">
        <f>'Draft '!C355</f>
        <v>TDs and Beers</v>
      </c>
      <c r="B356" s="20"/>
      <c r="C356" s="20" t="str">
        <f>'Draft '!D355</f>
        <v/>
      </c>
      <c r="D356" s="188" t="str">
        <f>'Draft '!E355</f>
        <v/>
      </c>
      <c r="E356" s="189" t="str">
        <f>'Draft '!F355</f>
        <v/>
      </c>
      <c r="F356" s="188" t="str">
        <f>'Draft '!G355</f>
        <v/>
      </c>
      <c r="G356" s="20"/>
      <c r="H356" s="20" t="str">
        <f>'Draft '!I355</f>
        <v>0 | 0 | 0 | 0 | 0 | 0</v>
      </c>
    </row>
    <row r="357" hidden="1">
      <c r="A357" s="20" t="str">
        <f>'Draft '!C356</f>
        <v>Daddy's Dogs</v>
      </c>
      <c r="B357" s="20"/>
      <c r="C357" s="20" t="str">
        <f>'Draft '!D356</f>
        <v/>
      </c>
      <c r="D357" s="188" t="str">
        <f>'Draft '!E356</f>
        <v/>
      </c>
      <c r="E357" s="189" t="str">
        <f>'Draft '!F356</f>
        <v/>
      </c>
      <c r="F357" s="188" t="str">
        <f>'Draft '!G356</f>
        <v/>
      </c>
      <c r="G357" s="20"/>
      <c r="H357" s="20" t="str">
        <f>'Draft '!I356</f>
        <v>0 | 0 | 0 | 0 | 0 | 0</v>
      </c>
    </row>
    <row r="358" hidden="1">
      <c r="A358" s="20" t="str">
        <f>'Draft '!C357</f>
        <v>Achaians</v>
      </c>
      <c r="B358" s="20"/>
      <c r="C358" s="20" t="str">
        <f>'Draft '!D357</f>
        <v/>
      </c>
      <c r="D358" s="188" t="str">
        <f>'Draft '!E357</f>
        <v/>
      </c>
      <c r="E358" s="189" t="str">
        <f>'Draft '!F357</f>
        <v/>
      </c>
      <c r="F358" s="188" t="str">
        <f>'Draft '!G357</f>
        <v/>
      </c>
      <c r="G358" s="20"/>
      <c r="H358" s="20" t="str">
        <f>'Draft '!I357</f>
        <v>0 | 0 | 0 | 0 | 0 | 0</v>
      </c>
    </row>
    <row r="359" hidden="1">
      <c r="A359" s="20" t="str">
        <f>'Draft '!C358</f>
        <v>Luddite</v>
      </c>
      <c r="B359" s="20"/>
      <c r="C359" s="20" t="str">
        <f>'Draft '!D358</f>
        <v/>
      </c>
      <c r="D359" s="188" t="str">
        <f>'Draft '!E358</f>
        <v/>
      </c>
      <c r="E359" s="189" t="str">
        <f>'Draft '!F358</f>
        <v/>
      </c>
      <c r="F359" s="188" t="str">
        <f>'Draft '!G358</f>
        <v/>
      </c>
      <c r="G359" s="20"/>
      <c r="H359" s="20" t="str">
        <f>'Draft '!I358</f>
        <v>0 | 0 | 0 | 0 | 0 | 0</v>
      </c>
    </row>
    <row r="360" hidden="1">
      <c r="A360" s="20" t="str">
        <f>'Draft '!C359</f>
        <v>Turbo-Ginz</v>
      </c>
      <c r="B360" s="20"/>
      <c r="C360" s="20" t="str">
        <f>'Draft '!D359</f>
        <v/>
      </c>
      <c r="D360" s="188" t="str">
        <f>'Draft '!E359</f>
        <v/>
      </c>
      <c r="E360" s="189" t="str">
        <f>'Draft '!F359</f>
        <v/>
      </c>
      <c r="F360" s="188" t="str">
        <f>'Draft '!G359</f>
        <v/>
      </c>
      <c r="G360" s="20"/>
      <c r="H360" s="20" t="str">
        <f>'Draft '!I359</f>
        <v>0 | 0 | 0 | 0 | 0 | 0</v>
      </c>
    </row>
    <row r="361" hidden="1">
      <c r="A361" s="20" t="str">
        <f>'Draft '!C360</f>
        <v>Big Boys Big Work</v>
      </c>
      <c r="B361" s="20"/>
      <c r="C361" s="20" t="str">
        <f>'Draft '!D360</f>
        <v/>
      </c>
      <c r="D361" s="188" t="str">
        <f>'Draft '!E360</f>
        <v/>
      </c>
      <c r="E361" s="189" t="str">
        <f>'Draft '!F360</f>
        <v/>
      </c>
      <c r="F361" s="188" t="str">
        <f>'Draft '!G360</f>
        <v/>
      </c>
      <c r="G361" s="20"/>
      <c r="H361" s="20" t="str">
        <f>'Draft '!I360</f>
        <v>0 | 0 | 0 | 0 | 0 | 0</v>
      </c>
    </row>
    <row r="362" hidden="1">
      <c r="A362" s="20" t="str">
        <f>'Draft '!C361</f>
        <v>Buttheads</v>
      </c>
      <c r="B362" s="20"/>
      <c r="C362" s="20" t="str">
        <f>'Draft '!D361</f>
        <v/>
      </c>
      <c r="D362" s="188" t="str">
        <f>'Draft '!E361</f>
        <v/>
      </c>
      <c r="E362" s="189" t="str">
        <f>'Draft '!F361</f>
        <v/>
      </c>
      <c r="F362" s="188" t="str">
        <f>'Draft '!G361</f>
        <v/>
      </c>
      <c r="G362" s="20"/>
      <c r="H362" s="20" t="str">
        <f>'Draft '!I361</f>
        <v>0 | 0 | 0 | 0 | 0 | 0</v>
      </c>
    </row>
    <row r="363" hidden="1">
      <c r="A363" s="20" t="str">
        <f>'Draft '!C362</f>
        <v>El Nino</v>
      </c>
      <c r="B363" s="20"/>
      <c r="C363" s="20" t="str">
        <f>'Draft '!D362</f>
        <v/>
      </c>
      <c r="D363" s="188" t="str">
        <f>'Draft '!E362</f>
        <v/>
      </c>
      <c r="E363" s="189" t="str">
        <f>'Draft '!F362</f>
        <v/>
      </c>
      <c r="F363" s="188" t="str">
        <f>'Draft '!G362</f>
        <v/>
      </c>
      <c r="G363" s="20"/>
      <c r="H363" s="20" t="str">
        <f>'Draft '!I362</f>
        <v>0 | 0 | 0 | 0 | 0 | 0</v>
      </c>
    </row>
    <row r="364" hidden="1">
      <c r="A364" s="20" t="str">
        <f>'Draft '!C363</f>
        <v>Icelanders</v>
      </c>
      <c r="B364" s="20"/>
      <c r="C364" s="20" t="str">
        <f>'Draft '!D363</f>
        <v/>
      </c>
      <c r="D364" s="188" t="str">
        <f>'Draft '!E363</f>
        <v/>
      </c>
      <c r="E364" s="189" t="str">
        <f>'Draft '!F363</f>
        <v/>
      </c>
      <c r="F364" s="188" t="str">
        <f>'Draft '!G363</f>
        <v/>
      </c>
      <c r="G364" s="20"/>
      <c r="H364" s="20" t="str">
        <f>'Draft '!I363</f>
        <v>0 | 0 | 0 | 0 | 0 | 0</v>
      </c>
    </row>
    <row r="365" hidden="1">
      <c r="A365" s="20" t="str">
        <f>'Draft '!C364</f>
        <v>Phantasm</v>
      </c>
      <c r="B365" s="20"/>
      <c r="C365" s="20" t="str">
        <f>'Draft '!D364</f>
        <v/>
      </c>
      <c r="D365" s="188" t="str">
        <f>'Draft '!E364</f>
        <v/>
      </c>
      <c r="E365" s="189" t="str">
        <f>'Draft '!F364</f>
        <v/>
      </c>
      <c r="F365" s="188" t="str">
        <f>'Draft '!G364</f>
        <v/>
      </c>
      <c r="G365" s="20"/>
      <c r="H365" s="20" t="str">
        <f>'Draft '!I364</f>
        <v>0 | 0 | 0 | 0 | 0 | 0</v>
      </c>
    </row>
    <row r="366" hidden="1">
      <c r="A366" s="20" t="str">
        <f>'Draft '!C365</f>
        <v>Sleeper Cell </v>
      </c>
      <c r="B366" s="20"/>
      <c r="C366" s="20" t="str">
        <f>'Draft '!D365</f>
        <v/>
      </c>
      <c r="D366" s="188" t="str">
        <f>'Draft '!E365</f>
        <v/>
      </c>
      <c r="E366" s="189" t="str">
        <f>'Draft '!F365</f>
        <v/>
      </c>
      <c r="F366" s="188" t="str">
        <f>'Draft '!G365</f>
        <v/>
      </c>
      <c r="G366" s="20"/>
      <c r="H366" s="20" t="str">
        <f>'Draft '!I365</f>
        <v>1 | 0 | 0 | 0 | 0 | 0</v>
      </c>
    </row>
    <row r="367" hidden="1">
      <c r="A367" s="20" t="str">
        <f>'Draft '!C366</f>
        <v/>
      </c>
      <c r="B367" s="20"/>
      <c r="C367" s="20"/>
      <c r="D367" s="20"/>
      <c r="E367" s="20"/>
      <c r="F367" s="20"/>
      <c r="G367" s="20"/>
      <c r="H367" s="20"/>
    </row>
    <row r="368" hidden="1">
      <c r="A368" s="20" t="str">
        <f>'Draft '!C367</f>
        <v/>
      </c>
      <c r="B368" s="20"/>
      <c r="C368" s="20"/>
      <c r="D368" s="20"/>
      <c r="E368" s="20"/>
      <c r="F368" s="20"/>
      <c r="G368" s="20"/>
      <c r="H368" s="20"/>
    </row>
    <row r="369" hidden="1">
      <c r="A369" s="20" t="str">
        <f>'Draft '!C368</f>
        <v/>
      </c>
      <c r="B369" s="20"/>
      <c r="C369" s="20"/>
      <c r="D369" s="20"/>
      <c r="E369" s="20"/>
      <c r="F369" s="20"/>
      <c r="G369" s="20"/>
      <c r="H369" s="20"/>
    </row>
    <row r="370" hidden="1">
      <c r="A370" s="20" t="str">
        <f>'Draft '!C369</f>
        <v/>
      </c>
      <c r="B370" s="20"/>
      <c r="C370" s="20"/>
      <c r="D370" s="20"/>
      <c r="E370" s="20"/>
      <c r="F370" s="20"/>
      <c r="G370" s="20"/>
      <c r="H370" s="20"/>
    </row>
    <row r="371" hidden="1">
      <c r="A371" s="20" t="str">
        <f>'Draft '!C370</f>
        <v/>
      </c>
      <c r="B371" s="20"/>
      <c r="C371" s="20"/>
      <c r="D371" s="20"/>
      <c r="E371" s="20"/>
      <c r="F371" s="20"/>
      <c r="G371" s="20"/>
      <c r="H371" s="20"/>
    </row>
    <row r="372" hidden="1">
      <c r="A372" s="20" t="str">
        <f>'Draft '!C371</f>
        <v/>
      </c>
      <c r="B372" s="20"/>
      <c r="C372" s="20"/>
      <c r="D372" s="20"/>
      <c r="E372" s="20"/>
      <c r="F372" s="20"/>
      <c r="G372" s="20"/>
      <c r="H372" s="20"/>
    </row>
    <row r="373" hidden="1">
      <c r="A373" s="20" t="str">
        <f>'Draft '!C372</f>
        <v/>
      </c>
      <c r="B373" s="20"/>
      <c r="C373" s="20"/>
      <c r="D373" s="20"/>
      <c r="E373" s="20"/>
      <c r="F373" s="20"/>
      <c r="G373" s="20"/>
      <c r="H373" s="20"/>
    </row>
    <row r="374" hidden="1">
      <c r="A374" s="20" t="str">
        <f>'Draft '!C373</f>
        <v/>
      </c>
      <c r="B374" s="20"/>
      <c r="C374" s="20"/>
      <c r="D374" s="20"/>
      <c r="E374" s="20"/>
      <c r="F374" s="20"/>
      <c r="G374" s="20"/>
      <c r="H374" s="20"/>
    </row>
    <row r="375" hidden="1">
      <c r="A375" s="20" t="str">
        <f>'Draft '!C374</f>
        <v/>
      </c>
      <c r="B375" s="20"/>
      <c r="C375" s="20"/>
      <c r="D375" s="20"/>
      <c r="E375" s="20"/>
      <c r="F375" s="20"/>
      <c r="G375" s="20"/>
      <c r="H375" s="20"/>
    </row>
    <row r="376" hidden="1">
      <c r="A376" s="20" t="str">
        <f>'Draft '!C375</f>
        <v/>
      </c>
      <c r="B376" s="20"/>
      <c r="C376" s="20"/>
      <c r="D376" s="20"/>
      <c r="E376" s="20"/>
      <c r="F376" s="20"/>
      <c r="G376" s="20"/>
      <c r="H376" s="20"/>
    </row>
    <row r="377" hidden="1">
      <c r="A377" s="20" t="str">
        <f>'Draft '!C376</f>
        <v/>
      </c>
      <c r="B377" s="20"/>
      <c r="C377" s="20"/>
      <c r="D377" s="20"/>
      <c r="E377" s="20"/>
      <c r="F377" s="20"/>
      <c r="G377" s="20"/>
      <c r="H377" s="20"/>
    </row>
    <row r="378" hidden="1">
      <c r="A378" s="20" t="str">
        <f>'Draft '!C377</f>
        <v/>
      </c>
      <c r="B378" s="20"/>
      <c r="C378" s="20"/>
      <c r="D378" s="20"/>
      <c r="E378" s="20"/>
      <c r="F378" s="20"/>
      <c r="G378" s="20"/>
      <c r="H378" s="20"/>
    </row>
    <row r="379" hidden="1">
      <c r="A379" s="20" t="str">
        <f>'Draft '!C378</f>
        <v/>
      </c>
      <c r="B379" s="20"/>
      <c r="C379" s="20"/>
      <c r="D379" s="20"/>
      <c r="E379" s="20"/>
      <c r="F379" s="20"/>
      <c r="G379" s="20"/>
      <c r="H379" s="20"/>
    </row>
    <row r="380" hidden="1">
      <c r="A380" s="20" t="str">
        <f>'Draft '!C379</f>
        <v/>
      </c>
      <c r="B380" s="20"/>
      <c r="C380" s="20"/>
      <c r="D380" s="20"/>
      <c r="E380" s="20"/>
      <c r="F380" s="20"/>
      <c r="G380" s="20"/>
      <c r="H380" s="20"/>
    </row>
    <row r="381" hidden="1">
      <c r="A381" s="20" t="str">
        <f>'Draft '!C380</f>
        <v/>
      </c>
      <c r="B381" s="20"/>
      <c r="C381" s="20"/>
      <c r="D381" s="20"/>
      <c r="E381" s="20"/>
      <c r="F381" s="20"/>
      <c r="G381" s="20"/>
      <c r="H381" s="20"/>
    </row>
    <row r="382" hidden="1">
      <c r="A382" s="20" t="str">
        <f>'Draft '!C381</f>
        <v/>
      </c>
      <c r="B382" s="20"/>
      <c r="C382" s="20"/>
      <c r="D382" s="20"/>
      <c r="E382" s="20"/>
      <c r="F382" s="20"/>
      <c r="G382" s="20"/>
      <c r="H382" s="20"/>
    </row>
    <row r="383" hidden="1">
      <c r="A383" s="20" t="str">
        <f>'Draft '!C382</f>
        <v/>
      </c>
      <c r="B383" s="20"/>
      <c r="C383" s="20"/>
      <c r="D383" s="20"/>
      <c r="E383" s="20"/>
      <c r="F383" s="20"/>
      <c r="G383" s="20"/>
      <c r="H383" s="20"/>
    </row>
    <row r="384" hidden="1">
      <c r="A384" s="20" t="str">
        <f>'Draft '!C383</f>
        <v/>
      </c>
      <c r="B384" s="20"/>
      <c r="C384" s="20"/>
      <c r="D384" s="20"/>
      <c r="E384" s="20"/>
      <c r="F384" s="20"/>
      <c r="G384" s="20"/>
      <c r="H384" s="20"/>
    </row>
    <row r="385" hidden="1">
      <c r="A385" s="20" t="str">
        <f>'Draft '!C384</f>
        <v/>
      </c>
      <c r="B385" s="20"/>
      <c r="C385" s="20"/>
      <c r="D385" s="20"/>
      <c r="E385" s="20"/>
      <c r="F385" s="20"/>
      <c r="G385" s="20"/>
      <c r="H385" s="20"/>
    </row>
    <row r="386" hidden="1">
      <c r="A386" s="20" t="str">
        <f>'Draft '!C385</f>
        <v/>
      </c>
      <c r="B386" s="20"/>
      <c r="C386" s="20"/>
      <c r="D386" s="20"/>
      <c r="E386" s="20"/>
      <c r="F386" s="20"/>
      <c r="G386" s="20"/>
      <c r="H386" s="20"/>
    </row>
    <row r="387" hidden="1">
      <c r="A387" s="20" t="str">
        <f>'Draft '!C386</f>
        <v/>
      </c>
      <c r="B387" s="20"/>
      <c r="C387" s="20"/>
      <c r="D387" s="20"/>
      <c r="E387" s="20"/>
      <c r="F387" s="20"/>
      <c r="G387" s="20"/>
      <c r="H387" s="20"/>
    </row>
    <row r="388" hidden="1">
      <c r="A388" s="20" t="str">
        <f>'Draft '!C387</f>
        <v/>
      </c>
      <c r="B388" s="20"/>
      <c r="C388" s="20"/>
      <c r="D388" s="20"/>
      <c r="E388" s="20"/>
      <c r="F388" s="20"/>
      <c r="G388" s="20"/>
      <c r="H388" s="20"/>
    </row>
    <row r="389" hidden="1">
      <c r="A389" s="20" t="str">
        <f>'Draft '!C388</f>
        <v/>
      </c>
      <c r="B389" s="20"/>
      <c r="C389" s="20"/>
      <c r="D389" s="20"/>
      <c r="E389" s="20"/>
      <c r="F389" s="20"/>
      <c r="G389" s="20"/>
      <c r="H389" s="20"/>
    </row>
    <row r="390" hidden="1">
      <c r="A390" s="20" t="str">
        <f>'Draft '!C389</f>
        <v/>
      </c>
      <c r="B390" s="20"/>
      <c r="C390" s="20"/>
      <c r="D390" s="20"/>
      <c r="E390" s="20"/>
      <c r="F390" s="20"/>
      <c r="G390" s="20"/>
      <c r="H390" s="20"/>
    </row>
    <row r="391" hidden="1">
      <c r="A391" s="20" t="str">
        <f>'Draft '!C390</f>
        <v/>
      </c>
      <c r="B391" s="20"/>
      <c r="C391" s="20"/>
      <c r="D391" s="20"/>
      <c r="E391" s="20"/>
      <c r="F391" s="20"/>
      <c r="G391" s="20"/>
      <c r="H391" s="20"/>
    </row>
    <row r="392" hidden="1">
      <c r="A392" s="20" t="str">
        <f>'Draft '!C391</f>
        <v/>
      </c>
      <c r="B392" s="20"/>
      <c r="C392" s="20"/>
      <c r="D392" s="20"/>
      <c r="E392" s="20"/>
      <c r="F392" s="20"/>
      <c r="G392" s="20"/>
      <c r="H392" s="20"/>
    </row>
    <row r="393" hidden="1">
      <c r="A393" s="20" t="str">
        <f>'Draft '!C392</f>
        <v/>
      </c>
      <c r="B393" s="20"/>
      <c r="C393" s="20"/>
      <c r="D393" s="20"/>
      <c r="E393" s="20"/>
      <c r="F393" s="20"/>
      <c r="G393" s="20"/>
      <c r="H393" s="20"/>
    </row>
    <row r="394" hidden="1">
      <c r="A394" s="20" t="str">
        <f>'Draft '!C393</f>
        <v/>
      </c>
      <c r="B394" s="20"/>
      <c r="C394" s="20"/>
      <c r="D394" s="20"/>
      <c r="E394" s="20"/>
      <c r="F394" s="20"/>
      <c r="G394" s="20"/>
      <c r="H394" s="20"/>
    </row>
    <row r="395" hidden="1">
      <c r="A395" s="20" t="str">
        <f>'Draft '!C394</f>
        <v/>
      </c>
      <c r="B395" s="20"/>
      <c r="C395" s="20"/>
      <c r="D395" s="20"/>
      <c r="E395" s="20"/>
      <c r="F395" s="20"/>
      <c r="G395" s="20"/>
      <c r="H395" s="20"/>
    </row>
    <row r="396" hidden="1">
      <c r="A396" s="20" t="str">
        <f>'Draft '!C395</f>
        <v/>
      </c>
      <c r="B396" s="20"/>
      <c r="C396" s="20"/>
      <c r="D396" s="20"/>
      <c r="E396" s="20"/>
      <c r="F396" s="20"/>
      <c r="G396" s="20"/>
      <c r="H396" s="20"/>
    </row>
    <row r="397" hidden="1">
      <c r="A397" s="20" t="str">
        <f>'Draft '!C396</f>
        <v/>
      </c>
      <c r="B397" s="20"/>
      <c r="C397" s="20"/>
      <c r="D397" s="20"/>
      <c r="E397" s="20"/>
      <c r="F397" s="20"/>
      <c r="G397" s="20"/>
      <c r="H397" s="20"/>
    </row>
    <row r="398" hidden="1">
      <c r="A398" s="20" t="str">
        <f>'Draft '!C397</f>
        <v/>
      </c>
      <c r="B398" s="20"/>
      <c r="C398" s="20"/>
      <c r="D398" s="20"/>
      <c r="E398" s="20"/>
      <c r="F398" s="20"/>
      <c r="G398" s="20"/>
      <c r="H398" s="20"/>
    </row>
    <row r="399" hidden="1">
      <c r="A399" s="20" t="str">
        <f>'Draft '!C398</f>
        <v/>
      </c>
      <c r="B399" s="20"/>
      <c r="C399" s="20"/>
      <c r="D399" s="20"/>
      <c r="E399" s="20"/>
      <c r="F399" s="20"/>
      <c r="G399" s="20"/>
      <c r="H399" s="20"/>
    </row>
    <row r="400" hidden="1">
      <c r="A400" s="20" t="str">
        <f>'Draft '!C399</f>
        <v/>
      </c>
      <c r="B400" s="20"/>
      <c r="C400" s="20"/>
      <c r="D400" s="20"/>
      <c r="E400" s="20"/>
      <c r="F400" s="20"/>
      <c r="G400" s="20"/>
      <c r="H400" s="20"/>
    </row>
    <row r="401" hidden="1">
      <c r="A401" s="20" t="str">
        <f>'Draft '!C400</f>
        <v/>
      </c>
      <c r="B401" s="20"/>
      <c r="C401" s="20"/>
      <c r="D401" s="20"/>
      <c r="E401" s="20"/>
      <c r="F401" s="20"/>
      <c r="G401" s="20"/>
      <c r="H401" s="20"/>
    </row>
    <row r="402" hidden="1">
      <c r="A402" s="20" t="str">
        <f>'Draft '!C401</f>
        <v/>
      </c>
      <c r="B402" s="20"/>
      <c r="C402" s="20"/>
      <c r="D402" s="20"/>
      <c r="E402" s="20"/>
      <c r="F402" s="20"/>
      <c r="G402" s="20"/>
      <c r="H402" s="20"/>
    </row>
    <row r="403" hidden="1">
      <c r="A403" s="20" t="str">
        <f>'Draft '!C402</f>
        <v/>
      </c>
      <c r="B403" s="20"/>
      <c r="C403" s="20"/>
      <c r="D403" s="20"/>
      <c r="E403" s="20"/>
      <c r="F403" s="20"/>
      <c r="G403" s="20"/>
      <c r="H403" s="20"/>
    </row>
    <row r="404" hidden="1">
      <c r="A404" s="20" t="str">
        <f>'Draft '!C403</f>
        <v/>
      </c>
      <c r="B404" s="20"/>
      <c r="C404" s="20"/>
      <c r="D404" s="20"/>
      <c r="E404" s="20"/>
      <c r="F404" s="20"/>
      <c r="G404" s="20"/>
      <c r="H404" s="20"/>
    </row>
    <row r="405" hidden="1">
      <c r="A405" s="20" t="str">
        <f>'Draft '!C404</f>
        <v/>
      </c>
      <c r="B405" s="20"/>
      <c r="C405" s="20"/>
      <c r="D405" s="20"/>
      <c r="E405" s="20"/>
      <c r="F405" s="20"/>
      <c r="G405" s="20"/>
      <c r="H405" s="20"/>
    </row>
    <row r="406" hidden="1">
      <c r="A406" s="20" t="str">
        <f>'Draft '!C405</f>
        <v/>
      </c>
      <c r="B406" s="20"/>
      <c r="C406" s="20"/>
      <c r="D406" s="20"/>
      <c r="E406" s="20"/>
      <c r="F406" s="20"/>
      <c r="G406" s="20"/>
      <c r="H406" s="20"/>
    </row>
    <row r="407" hidden="1">
      <c r="A407" s="20" t="str">
        <f>'Draft '!C406</f>
        <v/>
      </c>
      <c r="B407" s="20"/>
      <c r="C407" s="20"/>
      <c r="D407" s="20"/>
      <c r="E407" s="20"/>
      <c r="F407" s="20"/>
      <c r="G407" s="20"/>
      <c r="H407" s="20"/>
    </row>
    <row r="408" hidden="1">
      <c r="A408" s="20" t="str">
        <f>'Draft '!C407</f>
        <v/>
      </c>
      <c r="B408" s="20"/>
      <c r="C408" s="20"/>
      <c r="D408" s="20"/>
      <c r="E408" s="20"/>
      <c r="F408" s="20"/>
      <c r="G408" s="20"/>
      <c r="H408" s="20"/>
    </row>
    <row r="409" hidden="1">
      <c r="A409" s="20" t="str">
        <f>'Draft '!C408</f>
        <v/>
      </c>
      <c r="B409" s="20"/>
      <c r="C409" s="20"/>
      <c r="D409" s="20"/>
      <c r="E409" s="20"/>
      <c r="F409" s="20"/>
      <c r="G409" s="20"/>
      <c r="H409" s="20"/>
    </row>
    <row r="410" hidden="1">
      <c r="A410" s="20" t="str">
        <f>'Draft '!C409</f>
        <v/>
      </c>
      <c r="B410" s="20"/>
      <c r="C410" s="20"/>
      <c r="D410" s="20"/>
      <c r="E410" s="20"/>
      <c r="F410" s="20"/>
      <c r="G410" s="20"/>
      <c r="H410" s="20"/>
    </row>
    <row r="411" hidden="1">
      <c r="A411" s="20" t="str">
        <f>'Draft '!C410</f>
        <v/>
      </c>
      <c r="B411" s="20"/>
      <c r="C411" s="20"/>
      <c r="D411" s="20"/>
      <c r="E411" s="20"/>
      <c r="F411" s="20"/>
      <c r="G411" s="20"/>
      <c r="H411" s="20"/>
    </row>
    <row r="412" hidden="1">
      <c r="A412" s="20" t="str">
        <f>'Draft '!C411</f>
        <v/>
      </c>
      <c r="B412" s="20"/>
      <c r="C412" s="20"/>
      <c r="D412" s="20"/>
      <c r="E412" s="20"/>
      <c r="F412" s="20"/>
      <c r="G412" s="20"/>
      <c r="H412" s="20"/>
    </row>
    <row r="413" hidden="1">
      <c r="A413" s="20" t="str">
        <f>'Draft '!C412</f>
        <v/>
      </c>
      <c r="B413" s="20"/>
      <c r="C413" s="20"/>
      <c r="D413" s="20"/>
      <c r="E413" s="20"/>
      <c r="F413" s="20"/>
      <c r="G413" s="20"/>
      <c r="H413" s="20"/>
    </row>
    <row r="414" hidden="1">
      <c r="A414" s="20"/>
      <c r="B414" s="20"/>
      <c r="C414" s="20"/>
      <c r="D414" s="20"/>
      <c r="E414" s="20"/>
      <c r="F414" s="20"/>
      <c r="G414" s="20"/>
      <c r="H414" s="20"/>
    </row>
    <row r="415" hidden="1">
      <c r="A415" s="20"/>
      <c r="B415" s="20"/>
      <c r="C415" s="20"/>
      <c r="D415" s="20"/>
      <c r="E415" s="20"/>
      <c r="F415" s="20"/>
      <c r="G415" s="20"/>
      <c r="H415" s="20"/>
    </row>
    <row r="416" hidden="1">
      <c r="A416" s="20"/>
      <c r="B416" s="20"/>
      <c r="C416" s="20"/>
      <c r="D416" s="20"/>
      <c r="E416" s="20"/>
      <c r="F416" s="20"/>
      <c r="G416" s="20"/>
      <c r="H416" s="20"/>
    </row>
    <row r="417" hidden="1">
      <c r="A417" s="20"/>
      <c r="B417" s="20"/>
      <c r="C417" s="20"/>
      <c r="D417" s="20"/>
      <c r="E417" s="20"/>
      <c r="F417" s="20"/>
      <c r="G417" s="20"/>
      <c r="H417" s="20"/>
    </row>
    <row r="418" hidden="1">
      <c r="A418" s="20"/>
      <c r="B418" s="20"/>
      <c r="C418" s="20"/>
      <c r="D418" s="20"/>
      <c r="E418" s="20"/>
      <c r="F418" s="20"/>
      <c r="G418" s="20"/>
      <c r="H418" s="20"/>
    </row>
    <row r="419" hidden="1">
      <c r="A419" s="20"/>
      <c r="B419" s="20"/>
      <c r="C419" s="20"/>
      <c r="D419" s="20"/>
      <c r="E419" s="20"/>
      <c r="F419" s="20"/>
      <c r="G419" s="20"/>
      <c r="H419" s="20"/>
    </row>
    <row r="420" hidden="1">
      <c r="A420" s="20"/>
      <c r="B420" s="20"/>
      <c r="C420" s="20"/>
      <c r="D420" s="20"/>
      <c r="E420" s="20"/>
      <c r="F420" s="20"/>
      <c r="G420" s="20"/>
      <c r="H420" s="20"/>
    </row>
    <row r="421" hidden="1">
      <c r="A421" s="20"/>
      <c r="B421" s="20"/>
      <c r="C421" s="20"/>
      <c r="D421" s="20"/>
      <c r="E421" s="20"/>
      <c r="F421" s="20"/>
      <c r="G421" s="20"/>
      <c r="H421" s="20"/>
    </row>
    <row r="422" hidden="1">
      <c r="A422" s="20"/>
      <c r="B422" s="20"/>
      <c r="C422" s="20"/>
      <c r="D422" s="20"/>
      <c r="E422" s="20"/>
      <c r="F422" s="20"/>
      <c r="G422" s="20"/>
      <c r="H422" s="20"/>
    </row>
    <row r="423" hidden="1">
      <c r="A423" s="20"/>
      <c r="B423" s="20"/>
      <c r="C423" s="20"/>
      <c r="D423" s="20"/>
      <c r="E423" s="20"/>
      <c r="F423" s="20"/>
      <c r="G423" s="20"/>
      <c r="H423" s="20"/>
    </row>
    <row r="424" hidden="1">
      <c r="A424" s="20"/>
      <c r="B424" s="20"/>
      <c r="C424" s="20"/>
      <c r="D424" s="20"/>
      <c r="E424" s="20"/>
      <c r="F424" s="20"/>
      <c r="G424" s="20"/>
      <c r="H424" s="20"/>
    </row>
    <row r="425" hidden="1">
      <c r="A425" s="20"/>
      <c r="B425" s="20"/>
      <c r="C425" s="20"/>
      <c r="D425" s="20"/>
      <c r="E425" s="20"/>
      <c r="F425" s="20"/>
      <c r="G425" s="20"/>
      <c r="H425" s="20"/>
    </row>
    <row r="426" hidden="1">
      <c r="A426" s="20"/>
      <c r="B426" s="20"/>
      <c r="C426" s="20"/>
      <c r="D426" s="20"/>
      <c r="E426" s="20"/>
      <c r="F426" s="20"/>
      <c r="G426" s="20"/>
      <c r="H426" s="20"/>
    </row>
    <row r="427" hidden="1">
      <c r="A427" s="20"/>
      <c r="B427" s="20"/>
      <c r="C427" s="20"/>
      <c r="D427" s="20"/>
      <c r="E427" s="20"/>
      <c r="F427" s="20"/>
      <c r="G427" s="20"/>
      <c r="H427" s="20"/>
    </row>
    <row r="428" hidden="1">
      <c r="A428" s="20"/>
      <c r="B428" s="20"/>
      <c r="C428" s="20"/>
      <c r="D428" s="20"/>
      <c r="E428" s="20"/>
      <c r="F428" s="20"/>
      <c r="G428" s="20"/>
      <c r="H428" s="20"/>
    </row>
    <row r="429" hidden="1">
      <c r="A429" s="20"/>
      <c r="B429" s="20"/>
      <c r="C429" s="20"/>
      <c r="D429" s="20"/>
      <c r="E429" s="20"/>
      <c r="F429" s="20"/>
      <c r="G429" s="20"/>
      <c r="H429" s="20"/>
    </row>
    <row r="430" hidden="1">
      <c r="A430" s="20"/>
      <c r="B430" s="20"/>
      <c r="C430" s="20"/>
      <c r="D430" s="20"/>
      <c r="E430" s="20"/>
      <c r="F430" s="20"/>
      <c r="G430" s="20"/>
      <c r="H430" s="20"/>
    </row>
    <row r="431" hidden="1">
      <c r="A431" s="20"/>
      <c r="B431" s="20"/>
      <c r="C431" s="20"/>
      <c r="D431" s="20"/>
      <c r="E431" s="20"/>
      <c r="F431" s="20"/>
      <c r="G431" s="20"/>
      <c r="H431" s="20"/>
    </row>
    <row r="432" hidden="1">
      <c r="A432" s="20"/>
      <c r="B432" s="20"/>
      <c r="C432" s="20"/>
      <c r="D432" s="20"/>
      <c r="E432" s="20"/>
      <c r="F432" s="20"/>
      <c r="G432" s="20"/>
      <c r="H432" s="20"/>
    </row>
    <row r="433" hidden="1">
      <c r="A433" s="20"/>
      <c r="B433" s="20"/>
      <c r="C433" s="20"/>
      <c r="D433" s="20"/>
      <c r="E433" s="20"/>
      <c r="F433" s="20"/>
      <c r="G433" s="20"/>
      <c r="H433" s="20"/>
    </row>
    <row r="434" hidden="1">
      <c r="A434" s="20"/>
      <c r="B434" s="20"/>
      <c r="C434" s="20"/>
      <c r="D434" s="20"/>
      <c r="E434" s="20"/>
      <c r="F434" s="20"/>
      <c r="G434" s="20"/>
      <c r="H434" s="20"/>
    </row>
    <row r="435" hidden="1">
      <c r="A435" s="20"/>
      <c r="B435" s="20"/>
      <c r="C435" s="20"/>
      <c r="D435" s="20"/>
      <c r="E435" s="20"/>
      <c r="F435" s="20"/>
      <c r="G435" s="20"/>
      <c r="H435" s="20"/>
    </row>
    <row r="436" hidden="1">
      <c r="A436" s="20"/>
      <c r="B436" s="20"/>
      <c r="C436" s="20"/>
      <c r="D436" s="20"/>
      <c r="E436" s="20"/>
      <c r="F436" s="20"/>
      <c r="G436" s="20"/>
      <c r="H436" s="20"/>
    </row>
    <row r="437" hidden="1">
      <c r="A437" s="20"/>
      <c r="B437" s="20"/>
      <c r="C437" s="20"/>
      <c r="D437" s="20"/>
      <c r="E437" s="20"/>
      <c r="F437" s="20"/>
      <c r="G437" s="20"/>
      <c r="H437" s="20"/>
    </row>
    <row r="438" hidden="1">
      <c r="A438" s="20"/>
      <c r="B438" s="20"/>
      <c r="C438" s="20"/>
      <c r="D438" s="20"/>
      <c r="E438" s="20"/>
      <c r="F438" s="20"/>
      <c r="G438" s="20"/>
      <c r="H438" s="20"/>
    </row>
    <row r="439" hidden="1">
      <c r="A439" s="20"/>
      <c r="B439" s="20"/>
      <c r="C439" s="20"/>
      <c r="D439" s="20"/>
      <c r="E439" s="20"/>
      <c r="F439" s="20"/>
      <c r="G439" s="20"/>
      <c r="H439" s="20"/>
    </row>
    <row r="440" hidden="1">
      <c r="A440" s="20"/>
      <c r="B440" s="20"/>
      <c r="C440" s="20"/>
      <c r="D440" s="20"/>
      <c r="E440" s="20"/>
      <c r="F440" s="20"/>
      <c r="G440" s="20"/>
      <c r="H440" s="20"/>
    </row>
    <row r="441" hidden="1">
      <c r="A441" s="20"/>
      <c r="B441" s="20"/>
      <c r="C441" s="20"/>
      <c r="D441" s="20"/>
      <c r="E441" s="20"/>
      <c r="F441" s="20"/>
      <c r="G441" s="20"/>
      <c r="H441" s="20"/>
    </row>
    <row r="442" hidden="1">
      <c r="A442" s="20"/>
      <c r="B442" s="20"/>
      <c r="C442" s="20"/>
      <c r="D442" s="20"/>
      <c r="E442" s="20"/>
      <c r="F442" s="20"/>
      <c r="G442" s="20"/>
      <c r="H442" s="20"/>
    </row>
    <row r="443" hidden="1">
      <c r="A443" s="20"/>
      <c r="B443" s="20"/>
      <c r="C443" s="20"/>
      <c r="D443" s="20"/>
      <c r="E443" s="20"/>
      <c r="F443" s="20"/>
      <c r="G443" s="20"/>
      <c r="H443" s="20"/>
    </row>
    <row r="444" hidden="1">
      <c r="A444" s="20"/>
      <c r="B444" s="20"/>
      <c r="C444" s="20"/>
      <c r="D444" s="20"/>
      <c r="E444" s="20"/>
      <c r="F444" s="20"/>
      <c r="G444" s="20"/>
      <c r="H444" s="20"/>
    </row>
    <row r="445" hidden="1">
      <c r="A445" s="20"/>
      <c r="B445" s="20"/>
      <c r="C445" s="20"/>
      <c r="D445" s="20"/>
      <c r="E445" s="20"/>
      <c r="F445" s="20"/>
      <c r="G445" s="20"/>
      <c r="H445" s="20"/>
    </row>
    <row r="446" hidden="1">
      <c r="A446" s="20"/>
      <c r="B446" s="20"/>
      <c r="C446" s="20"/>
      <c r="D446" s="20"/>
      <c r="E446" s="20"/>
      <c r="F446" s="20"/>
      <c r="G446" s="20"/>
      <c r="H446" s="20"/>
    </row>
    <row r="447" hidden="1">
      <c r="A447" s="20"/>
      <c r="B447" s="20"/>
      <c r="C447" s="20"/>
      <c r="D447" s="20"/>
      <c r="E447" s="20"/>
      <c r="F447" s="20"/>
      <c r="G447" s="20"/>
      <c r="H447" s="20"/>
    </row>
    <row r="448" hidden="1">
      <c r="A448" s="20"/>
      <c r="B448" s="20"/>
      <c r="C448" s="20"/>
      <c r="D448" s="20"/>
      <c r="E448" s="20"/>
      <c r="F448" s="20"/>
      <c r="G448" s="20"/>
      <c r="H448" s="20"/>
    </row>
    <row r="449" hidden="1">
      <c r="A449" s="20"/>
      <c r="B449" s="20"/>
      <c r="C449" s="20"/>
      <c r="D449" s="20"/>
      <c r="E449" s="20"/>
      <c r="F449" s="20"/>
      <c r="G449" s="20"/>
      <c r="H449" s="20"/>
    </row>
    <row r="450" hidden="1">
      <c r="A450" s="20"/>
      <c r="B450" s="20"/>
      <c r="C450" s="20"/>
      <c r="D450" s="20"/>
      <c r="E450" s="20"/>
      <c r="F450" s="20"/>
      <c r="G450" s="20"/>
      <c r="H450" s="20"/>
    </row>
    <row r="451" hidden="1">
      <c r="A451" s="20"/>
      <c r="B451" s="20"/>
      <c r="C451" s="20"/>
      <c r="D451" s="20"/>
      <c r="E451" s="20"/>
      <c r="F451" s="20"/>
      <c r="G451" s="20"/>
      <c r="H451" s="20"/>
    </row>
    <row r="452" hidden="1">
      <c r="A452" s="20"/>
      <c r="B452" s="20"/>
      <c r="C452" s="20"/>
      <c r="D452" s="20"/>
      <c r="E452" s="20"/>
      <c r="F452" s="20"/>
      <c r="G452" s="20"/>
      <c r="H452" s="20"/>
    </row>
    <row r="453" hidden="1">
      <c r="A453" s="20"/>
      <c r="B453" s="20"/>
      <c r="C453" s="20"/>
      <c r="D453" s="20"/>
      <c r="E453" s="20"/>
      <c r="F453" s="20"/>
      <c r="G453" s="20"/>
      <c r="H453" s="20"/>
    </row>
    <row r="454" hidden="1">
      <c r="A454" s="20"/>
      <c r="B454" s="20"/>
      <c r="C454" s="20"/>
      <c r="D454" s="20"/>
      <c r="E454" s="20"/>
      <c r="F454" s="20"/>
      <c r="G454" s="20"/>
      <c r="H454" s="20"/>
    </row>
    <row r="455" hidden="1">
      <c r="A455" s="20"/>
      <c r="B455" s="20"/>
      <c r="C455" s="20"/>
      <c r="D455" s="20"/>
      <c r="E455" s="20"/>
      <c r="F455" s="20"/>
      <c r="G455" s="20"/>
      <c r="H455" s="20"/>
    </row>
    <row r="456" hidden="1">
      <c r="A456" s="20"/>
      <c r="B456" s="20"/>
      <c r="C456" s="20"/>
      <c r="D456" s="20"/>
      <c r="E456" s="20"/>
      <c r="F456" s="20"/>
      <c r="G456" s="20"/>
      <c r="H456" s="20"/>
    </row>
    <row r="457" hidden="1">
      <c r="A457" s="20"/>
      <c r="B457" s="20"/>
      <c r="C457" s="20"/>
      <c r="D457" s="20"/>
      <c r="E457" s="20"/>
      <c r="F457" s="20"/>
      <c r="G457" s="20"/>
      <c r="H457" s="20"/>
    </row>
    <row r="458" hidden="1">
      <c r="A458" s="20"/>
      <c r="B458" s="20"/>
      <c r="C458" s="20"/>
      <c r="D458" s="20"/>
      <c r="E458" s="20"/>
      <c r="F458" s="20"/>
      <c r="G458" s="20"/>
      <c r="H458" s="20"/>
    </row>
    <row r="459" hidden="1">
      <c r="A459" s="20"/>
      <c r="B459" s="20"/>
      <c r="C459" s="20"/>
      <c r="D459" s="20"/>
      <c r="E459" s="20"/>
      <c r="F459" s="20"/>
      <c r="G459" s="20"/>
      <c r="H459" s="20"/>
    </row>
    <row r="460" hidden="1">
      <c r="A460" s="20"/>
      <c r="B460" s="20"/>
      <c r="C460" s="20"/>
      <c r="D460" s="20"/>
      <c r="E460" s="20"/>
      <c r="F460" s="20"/>
      <c r="G460" s="20"/>
      <c r="H460" s="20"/>
    </row>
    <row r="461" hidden="1">
      <c r="A461" s="20"/>
      <c r="B461" s="20"/>
      <c r="C461" s="20"/>
      <c r="D461" s="20"/>
      <c r="E461" s="20"/>
      <c r="F461" s="20"/>
      <c r="G461" s="20"/>
      <c r="H461" s="20"/>
    </row>
    <row r="462" hidden="1">
      <c r="A462" s="20"/>
      <c r="B462" s="20"/>
      <c r="C462" s="20"/>
      <c r="D462" s="20"/>
      <c r="E462" s="20"/>
      <c r="F462" s="20"/>
      <c r="G462" s="20"/>
      <c r="H462" s="20"/>
    </row>
    <row r="463" hidden="1">
      <c r="A463" s="20"/>
      <c r="B463" s="20"/>
      <c r="C463" s="20"/>
      <c r="D463" s="20"/>
      <c r="E463" s="20"/>
      <c r="F463" s="20"/>
      <c r="G463" s="20"/>
      <c r="H463" s="20"/>
    </row>
    <row r="464" hidden="1">
      <c r="A464" s="20"/>
      <c r="B464" s="20"/>
      <c r="C464" s="20"/>
      <c r="D464" s="20"/>
      <c r="E464" s="20"/>
      <c r="F464" s="20"/>
      <c r="G464" s="20"/>
      <c r="H464" s="20"/>
    </row>
    <row r="465" hidden="1">
      <c r="A465" s="20"/>
      <c r="B465" s="20"/>
      <c r="C465" s="20"/>
      <c r="D465" s="20"/>
      <c r="E465" s="20"/>
      <c r="F465" s="20"/>
      <c r="G465" s="20"/>
      <c r="H465" s="20"/>
    </row>
    <row r="466" hidden="1">
      <c r="A466" s="20"/>
      <c r="B466" s="20"/>
      <c r="C466" s="20"/>
      <c r="D466" s="20"/>
      <c r="E466" s="20"/>
      <c r="F466" s="20"/>
      <c r="G466" s="20"/>
      <c r="H466" s="20"/>
    </row>
    <row r="467" hidden="1">
      <c r="A467" s="20"/>
      <c r="B467" s="20"/>
      <c r="C467" s="20"/>
      <c r="D467" s="20"/>
      <c r="E467" s="20"/>
      <c r="F467" s="20"/>
      <c r="G467" s="20"/>
      <c r="H467" s="20"/>
    </row>
    <row r="468" hidden="1">
      <c r="A468" s="20"/>
      <c r="B468" s="20"/>
      <c r="C468" s="20"/>
      <c r="D468" s="20"/>
      <c r="E468" s="20"/>
      <c r="F468" s="20"/>
      <c r="G468" s="20"/>
      <c r="H468" s="20"/>
    </row>
    <row r="469" hidden="1">
      <c r="A469" s="20"/>
      <c r="B469" s="20"/>
      <c r="C469" s="20"/>
      <c r="D469" s="20"/>
      <c r="E469" s="20"/>
      <c r="F469" s="20"/>
      <c r="G469" s="20"/>
      <c r="H469" s="20"/>
    </row>
    <row r="470" hidden="1">
      <c r="A470" s="20"/>
      <c r="B470" s="20"/>
      <c r="C470" s="20"/>
      <c r="D470" s="20"/>
      <c r="E470" s="20"/>
      <c r="F470" s="20"/>
      <c r="G470" s="20"/>
      <c r="H470" s="20"/>
    </row>
    <row r="471" hidden="1">
      <c r="A471" s="20"/>
      <c r="B471" s="20"/>
      <c r="C471" s="20"/>
      <c r="D471" s="20"/>
      <c r="E471" s="20"/>
      <c r="F471" s="20"/>
      <c r="G471" s="20"/>
      <c r="H471" s="20"/>
    </row>
    <row r="472" hidden="1">
      <c r="A472" s="20"/>
      <c r="B472" s="20"/>
      <c r="C472" s="20"/>
      <c r="D472" s="20"/>
      <c r="E472" s="20"/>
      <c r="F472" s="20"/>
      <c r="G472" s="20"/>
      <c r="H472" s="20"/>
    </row>
    <row r="473" hidden="1">
      <c r="A473" s="20"/>
      <c r="B473" s="20"/>
      <c r="C473" s="20"/>
      <c r="D473" s="20"/>
      <c r="E473" s="20"/>
      <c r="F473" s="20"/>
      <c r="G473" s="20"/>
      <c r="H473" s="20"/>
    </row>
    <row r="474" hidden="1">
      <c r="A474" s="20"/>
      <c r="B474" s="20"/>
      <c r="C474" s="20"/>
      <c r="D474" s="20"/>
      <c r="E474" s="20"/>
      <c r="F474" s="20"/>
      <c r="G474" s="20"/>
      <c r="H474" s="20"/>
    </row>
    <row r="475" hidden="1">
      <c r="A475" s="20"/>
      <c r="B475" s="20"/>
      <c r="C475" s="20"/>
      <c r="D475" s="20"/>
      <c r="E475" s="20"/>
      <c r="F475" s="20"/>
      <c r="G475" s="20"/>
      <c r="H475" s="20"/>
    </row>
    <row r="476" hidden="1">
      <c r="A476" s="20"/>
      <c r="B476" s="20"/>
      <c r="C476" s="20"/>
      <c r="D476" s="20"/>
      <c r="E476" s="20"/>
      <c r="F476" s="20"/>
      <c r="G476" s="20"/>
      <c r="H476" s="20"/>
    </row>
    <row r="477" hidden="1">
      <c r="A477" s="20"/>
      <c r="B477" s="20"/>
      <c r="C477" s="20"/>
      <c r="D477" s="20"/>
      <c r="E477" s="20"/>
      <c r="F477" s="20"/>
      <c r="G477" s="20"/>
      <c r="H477" s="20"/>
    </row>
    <row r="478" hidden="1">
      <c r="A478" s="20"/>
      <c r="B478" s="20"/>
      <c r="C478" s="20"/>
      <c r="D478" s="20"/>
      <c r="E478" s="20"/>
      <c r="F478" s="20"/>
      <c r="G478" s="20"/>
      <c r="H478" s="20"/>
    </row>
    <row r="479" hidden="1">
      <c r="A479" s="20"/>
      <c r="B479" s="20"/>
      <c r="C479" s="20"/>
      <c r="D479" s="20"/>
      <c r="E479" s="20"/>
      <c r="F479" s="20"/>
      <c r="G479" s="20"/>
      <c r="H479" s="20"/>
    </row>
    <row r="480" hidden="1">
      <c r="A480" s="20"/>
      <c r="B480" s="20"/>
      <c r="C480" s="20"/>
      <c r="D480" s="20"/>
      <c r="E480" s="20"/>
      <c r="F480" s="20"/>
      <c r="G480" s="20"/>
      <c r="H480" s="20"/>
    </row>
    <row r="481" hidden="1">
      <c r="A481" s="20"/>
      <c r="B481" s="20"/>
      <c r="C481" s="20"/>
      <c r="D481" s="20"/>
      <c r="E481" s="20"/>
      <c r="F481" s="20"/>
      <c r="G481" s="20"/>
      <c r="H481" s="20"/>
    </row>
    <row r="482" hidden="1">
      <c r="A482" s="20"/>
      <c r="B482" s="20"/>
      <c r="C482" s="20"/>
      <c r="D482" s="20"/>
      <c r="E482" s="20"/>
      <c r="F482" s="20"/>
      <c r="G482" s="20"/>
      <c r="H482" s="20"/>
    </row>
    <row r="483" hidden="1">
      <c r="A483" s="20"/>
      <c r="B483" s="20"/>
      <c r="C483" s="20"/>
      <c r="D483" s="20"/>
      <c r="E483" s="20"/>
      <c r="F483" s="20"/>
      <c r="G483" s="20"/>
      <c r="H483" s="20"/>
    </row>
    <row r="484" hidden="1">
      <c r="A484" s="20"/>
      <c r="B484" s="20"/>
      <c r="C484" s="20"/>
      <c r="D484" s="20"/>
      <c r="E484" s="20"/>
      <c r="F484" s="20"/>
      <c r="G484" s="20"/>
      <c r="H484" s="20"/>
    </row>
    <row r="485" hidden="1">
      <c r="A485" s="20"/>
      <c r="B485" s="20"/>
      <c r="C485" s="20"/>
      <c r="D485" s="20"/>
      <c r="E485" s="20"/>
      <c r="F485" s="20"/>
      <c r="G485" s="20"/>
      <c r="H485" s="20"/>
    </row>
    <row r="486" hidden="1">
      <c r="A486" s="20"/>
      <c r="B486" s="20"/>
      <c r="C486" s="20"/>
      <c r="D486" s="20"/>
      <c r="E486" s="20"/>
      <c r="F486" s="20"/>
      <c r="G486" s="20"/>
      <c r="H486" s="20"/>
    </row>
    <row r="487" hidden="1">
      <c r="A487" s="20"/>
      <c r="B487" s="20"/>
      <c r="C487" s="20"/>
      <c r="D487" s="20"/>
      <c r="E487" s="20"/>
      <c r="F487" s="20"/>
      <c r="G487" s="20"/>
      <c r="H487" s="20"/>
    </row>
    <row r="488" hidden="1">
      <c r="A488" s="20"/>
      <c r="B488" s="20"/>
      <c r="C488" s="20"/>
      <c r="D488" s="20"/>
      <c r="E488" s="20"/>
      <c r="F488" s="20"/>
      <c r="G488" s="20"/>
      <c r="H488" s="20"/>
    </row>
    <row r="489" hidden="1">
      <c r="A489" s="20"/>
      <c r="B489" s="20"/>
      <c r="C489" s="20"/>
      <c r="D489" s="20"/>
      <c r="E489" s="20"/>
      <c r="F489" s="20"/>
      <c r="G489" s="20"/>
      <c r="H489" s="20"/>
    </row>
    <row r="490" hidden="1">
      <c r="A490" s="20"/>
      <c r="B490" s="20"/>
      <c r="C490" s="20"/>
      <c r="D490" s="20"/>
      <c r="E490" s="20"/>
      <c r="F490" s="20"/>
      <c r="G490" s="20"/>
      <c r="H490" s="20"/>
    </row>
    <row r="491" hidden="1">
      <c r="A491" s="20"/>
      <c r="B491" s="20"/>
      <c r="C491" s="20"/>
      <c r="D491" s="20"/>
      <c r="E491" s="20"/>
      <c r="F491" s="20"/>
      <c r="G491" s="20"/>
      <c r="H491" s="20"/>
    </row>
    <row r="492" hidden="1">
      <c r="A492" s="20"/>
      <c r="B492" s="20"/>
      <c r="C492" s="20"/>
      <c r="D492" s="20"/>
      <c r="E492" s="20"/>
      <c r="F492" s="20"/>
      <c r="G492" s="20"/>
      <c r="H492" s="20"/>
    </row>
    <row r="493" hidden="1">
      <c r="A493" s="20"/>
      <c r="B493" s="20"/>
      <c r="C493" s="20"/>
      <c r="D493" s="20"/>
      <c r="E493" s="20"/>
      <c r="F493" s="20"/>
      <c r="G493" s="20"/>
      <c r="H493" s="20"/>
    </row>
    <row r="494" hidden="1">
      <c r="A494" s="20"/>
      <c r="B494" s="20"/>
      <c r="C494" s="20"/>
      <c r="D494" s="20"/>
      <c r="E494" s="20"/>
      <c r="F494" s="20"/>
      <c r="G494" s="20"/>
      <c r="H494" s="20"/>
    </row>
    <row r="495" hidden="1">
      <c r="A495" s="20"/>
      <c r="B495" s="20"/>
      <c r="C495" s="20"/>
      <c r="D495" s="20"/>
      <c r="E495" s="20"/>
      <c r="F495" s="20"/>
      <c r="G495" s="20"/>
      <c r="H495" s="20"/>
    </row>
    <row r="496" hidden="1">
      <c r="A496" s="20"/>
      <c r="B496" s="20"/>
      <c r="C496" s="20"/>
      <c r="D496" s="20"/>
      <c r="E496" s="20"/>
      <c r="F496" s="20"/>
      <c r="G496" s="20"/>
      <c r="H496" s="20"/>
    </row>
    <row r="497" hidden="1">
      <c r="A497" s="20"/>
      <c r="B497" s="20"/>
      <c r="C497" s="20"/>
      <c r="D497" s="20"/>
      <c r="E497" s="20"/>
      <c r="F497" s="20"/>
      <c r="G497" s="20"/>
      <c r="H497" s="20"/>
    </row>
    <row r="498" hidden="1">
      <c r="A498" s="20"/>
      <c r="B498" s="20"/>
      <c r="C498" s="20"/>
      <c r="D498" s="20"/>
      <c r="E498" s="20"/>
      <c r="F498" s="20"/>
      <c r="G498" s="20"/>
      <c r="H498" s="20"/>
    </row>
    <row r="499" hidden="1">
      <c r="A499" s="20"/>
      <c r="B499" s="20"/>
      <c r="C499" s="20"/>
      <c r="D499" s="20"/>
      <c r="E499" s="20"/>
      <c r="F499" s="20"/>
      <c r="G499" s="20"/>
      <c r="H499" s="20"/>
    </row>
    <row r="500" hidden="1">
      <c r="A500" s="20"/>
      <c r="B500" s="20"/>
      <c r="C500" s="20"/>
      <c r="D500" s="20"/>
      <c r="E500" s="20"/>
      <c r="F500" s="20"/>
      <c r="G500" s="20"/>
      <c r="H500" s="20"/>
    </row>
    <row r="501" hidden="1">
      <c r="A501" s="20"/>
      <c r="B501" s="20"/>
      <c r="C501" s="20"/>
      <c r="D501" s="20"/>
      <c r="E501" s="20"/>
      <c r="F501" s="20"/>
      <c r="G501" s="20"/>
      <c r="H501" s="20"/>
    </row>
    <row r="502" hidden="1">
      <c r="A502" s="20"/>
      <c r="B502" s="20"/>
      <c r="C502" s="20"/>
      <c r="D502" s="20"/>
      <c r="E502" s="20"/>
      <c r="F502" s="20"/>
      <c r="G502" s="20"/>
      <c r="H502" s="20"/>
    </row>
    <row r="503" hidden="1">
      <c r="A503" s="20"/>
      <c r="B503" s="20"/>
      <c r="C503" s="20"/>
      <c r="D503" s="20"/>
      <c r="E503" s="20"/>
      <c r="F503" s="20"/>
      <c r="G503" s="20"/>
      <c r="H503" s="20"/>
    </row>
    <row r="504" hidden="1">
      <c r="A504" s="20"/>
      <c r="B504" s="20"/>
      <c r="C504" s="20"/>
      <c r="D504" s="20"/>
      <c r="E504" s="20"/>
      <c r="F504" s="20"/>
      <c r="G504" s="20"/>
      <c r="H504" s="20"/>
    </row>
    <row r="505" hidden="1">
      <c r="A505" s="20"/>
      <c r="B505" s="20"/>
      <c r="C505" s="20"/>
      <c r="D505" s="20"/>
      <c r="E505" s="20"/>
      <c r="F505" s="20"/>
      <c r="G505" s="20"/>
      <c r="H505" s="20"/>
    </row>
    <row r="506" hidden="1">
      <c r="A506" s="20"/>
      <c r="B506" s="20"/>
      <c r="C506" s="20"/>
      <c r="D506" s="20"/>
      <c r="E506" s="20"/>
      <c r="F506" s="20"/>
      <c r="G506" s="20"/>
      <c r="H506" s="20"/>
    </row>
    <row r="507" hidden="1">
      <c r="A507" s="20"/>
      <c r="B507" s="20"/>
      <c r="C507" s="20"/>
      <c r="D507" s="20"/>
      <c r="E507" s="20"/>
      <c r="F507" s="20"/>
      <c r="G507" s="20"/>
      <c r="H507" s="20"/>
    </row>
    <row r="508" hidden="1">
      <c r="A508" s="20"/>
      <c r="B508" s="20"/>
      <c r="C508" s="20"/>
      <c r="D508" s="20"/>
      <c r="E508" s="20"/>
      <c r="F508" s="20"/>
      <c r="G508" s="20"/>
      <c r="H508" s="20"/>
    </row>
    <row r="509" hidden="1">
      <c r="A509" s="20"/>
      <c r="B509" s="20"/>
      <c r="C509" s="20"/>
      <c r="D509" s="20"/>
      <c r="E509" s="20"/>
      <c r="F509" s="20"/>
      <c r="G509" s="20"/>
      <c r="H509" s="20"/>
    </row>
    <row r="510" hidden="1">
      <c r="A510" s="20"/>
      <c r="B510" s="20"/>
      <c r="C510" s="20"/>
      <c r="D510" s="20"/>
      <c r="E510" s="20"/>
      <c r="F510" s="20"/>
      <c r="G510" s="20"/>
      <c r="H510" s="20"/>
    </row>
    <row r="511" hidden="1">
      <c r="A511" s="20"/>
      <c r="B511" s="20"/>
      <c r="C511" s="20"/>
      <c r="D511" s="20"/>
      <c r="E511" s="20"/>
      <c r="F511" s="20"/>
      <c r="G511" s="20"/>
      <c r="H511" s="20"/>
    </row>
    <row r="512" hidden="1">
      <c r="A512" s="20"/>
      <c r="B512" s="20"/>
      <c r="C512" s="20"/>
      <c r="D512" s="20"/>
      <c r="E512" s="20"/>
      <c r="F512" s="20"/>
      <c r="G512" s="20"/>
      <c r="H512" s="20"/>
    </row>
    <row r="513" hidden="1">
      <c r="A513" s="20"/>
      <c r="B513" s="20"/>
      <c r="C513" s="20"/>
      <c r="D513" s="20"/>
      <c r="E513" s="20"/>
      <c r="F513" s="20"/>
      <c r="G513" s="20"/>
      <c r="H513" s="20"/>
    </row>
    <row r="514" hidden="1">
      <c r="A514" s="20"/>
      <c r="B514" s="20"/>
      <c r="C514" s="20"/>
      <c r="D514" s="20"/>
      <c r="E514" s="20"/>
      <c r="F514" s="20"/>
      <c r="G514" s="20"/>
      <c r="H514" s="20"/>
    </row>
    <row r="515" hidden="1">
      <c r="A515" s="20"/>
      <c r="B515" s="20"/>
      <c r="C515" s="20"/>
      <c r="D515" s="20"/>
      <c r="E515" s="20"/>
      <c r="F515" s="20"/>
      <c r="G515" s="20"/>
      <c r="H515" s="20"/>
    </row>
    <row r="516" hidden="1">
      <c r="A516" s="20"/>
      <c r="B516" s="20"/>
      <c r="C516" s="20"/>
      <c r="D516" s="20"/>
      <c r="E516" s="20"/>
      <c r="F516" s="20"/>
      <c r="G516" s="20"/>
      <c r="H516" s="20"/>
    </row>
    <row r="517" hidden="1">
      <c r="A517" s="20"/>
      <c r="B517" s="20"/>
      <c r="C517" s="20"/>
      <c r="D517" s="20"/>
      <c r="E517" s="20"/>
      <c r="F517" s="20"/>
      <c r="G517" s="20"/>
      <c r="H517" s="20"/>
    </row>
    <row r="518" hidden="1">
      <c r="A518" s="20"/>
      <c r="B518" s="20"/>
      <c r="C518" s="20"/>
      <c r="D518" s="20"/>
      <c r="E518" s="20"/>
      <c r="F518" s="20"/>
      <c r="G518" s="20"/>
      <c r="H518" s="20"/>
    </row>
    <row r="519" hidden="1">
      <c r="A519" s="20"/>
      <c r="B519" s="20"/>
      <c r="C519" s="20"/>
      <c r="D519" s="20"/>
      <c r="E519" s="20"/>
      <c r="F519" s="20"/>
      <c r="G519" s="20"/>
      <c r="H519" s="20"/>
    </row>
    <row r="520" hidden="1">
      <c r="A520" s="20"/>
      <c r="B520" s="20"/>
      <c r="C520" s="20"/>
      <c r="D520" s="20"/>
      <c r="E520" s="20"/>
      <c r="F520" s="20"/>
      <c r="G520" s="20"/>
      <c r="H520" s="20"/>
    </row>
    <row r="521" hidden="1">
      <c r="A521" s="20"/>
      <c r="B521" s="20"/>
      <c r="C521" s="20"/>
      <c r="D521" s="20"/>
      <c r="E521" s="20"/>
      <c r="F521" s="20"/>
      <c r="G521" s="20"/>
      <c r="H521" s="20"/>
    </row>
    <row r="522" hidden="1">
      <c r="A522" s="20"/>
      <c r="B522" s="20"/>
      <c r="C522" s="20"/>
      <c r="D522" s="20"/>
      <c r="E522" s="20"/>
      <c r="F522" s="20"/>
      <c r="G522" s="20"/>
      <c r="H522" s="20"/>
    </row>
    <row r="523" hidden="1">
      <c r="A523" s="20"/>
      <c r="B523" s="20"/>
      <c r="C523" s="20"/>
      <c r="D523" s="20"/>
      <c r="E523" s="20"/>
      <c r="F523" s="20"/>
      <c r="G523" s="20"/>
      <c r="H523" s="20"/>
    </row>
    <row r="524" hidden="1">
      <c r="A524" s="20"/>
      <c r="B524" s="20"/>
      <c r="C524" s="20"/>
      <c r="D524" s="20"/>
      <c r="E524" s="20"/>
      <c r="F524" s="20"/>
      <c r="G524" s="20"/>
      <c r="H524" s="20"/>
    </row>
    <row r="525" hidden="1">
      <c r="A525" s="20"/>
      <c r="B525" s="20"/>
      <c r="C525" s="20"/>
      <c r="D525" s="20"/>
      <c r="E525" s="20"/>
      <c r="F525" s="20"/>
      <c r="G525" s="20"/>
      <c r="H525" s="20"/>
    </row>
    <row r="526" hidden="1">
      <c r="A526" s="20"/>
      <c r="B526" s="20"/>
      <c r="C526" s="20"/>
      <c r="D526" s="20"/>
      <c r="E526" s="20"/>
      <c r="F526" s="20"/>
      <c r="G526" s="20"/>
      <c r="H526" s="20"/>
    </row>
    <row r="527" hidden="1">
      <c r="A527" s="20"/>
      <c r="B527" s="20"/>
      <c r="C527" s="20"/>
      <c r="D527" s="20"/>
      <c r="E527" s="20"/>
      <c r="F527" s="20"/>
      <c r="G527" s="20"/>
      <c r="H527" s="20"/>
    </row>
    <row r="528" hidden="1">
      <c r="A528" s="20"/>
      <c r="B528" s="20"/>
      <c r="C528" s="20"/>
      <c r="D528" s="20"/>
      <c r="E528" s="20"/>
      <c r="F528" s="20"/>
      <c r="G528" s="20"/>
      <c r="H528" s="20"/>
    </row>
    <row r="529" hidden="1">
      <c r="A529" s="20"/>
      <c r="B529" s="20"/>
      <c r="C529" s="20"/>
      <c r="D529" s="20"/>
      <c r="E529" s="20"/>
      <c r="F529" s="20"/>
      <c r="G529" s="20"/>
      <c r="H529" s="20"/>
    </row>
    <row r="530" hidden="1">
      <c r="A530" s="20"/>
      <c r="B530" s="20"/>
      <c r="C530" s="20"/>
      <c r="D530" s="20"/>
      <c r="E530" s="20"/>
      <c r="F530" s="20"/>
      <c r="G530" s="20"/>
      <c r="H530" s="20"/>
    </row>
    <row r="531" hidden="1">
      <c r="A531" s="20"/>
      <c r="B531" s="20"/>
      <c r="C531" s="20"/>
      <c r="D531" s="20"/>
      <c r="E531" s="20"/>
      <c r="F531" s="20"/>
      <c r="G531" s="20"/>
      <c r="H531" s="20"/>
    </row>
    <row r="532" hidden="1">
      <c r="A532" s="20"/>
      <c r="B532" s="20"/>
      <c r="C532" s="20"/>
      <c r="D532" s="20"/>
      <c r="E532" s="20"/>
      <c r="F532" s="20"/>
      <c r="G532" s="20"/>
      <c r="H532" s="20"/>
    </row>
    <row r="533" hidden="1">
      <c r="A533" s="20"/>
      <c r="B533" s="20"/>
      <c r="C533" s="20"/>
      <c r="D533" s="20"/>
      <c r="E533" s="20"/>
      <c r="F533" s="20"/>
      <c r="G533" s="20"/>
      <c r="H533" s="20"/>
    </row>
    <row r="534" hidden="1">
      <c r="A534" s="20"/>
      <c r="B534" s="20"/>
      <c r="C534" s="20"/>
      <c r="D534" s="20"/>
      <c r="E534" s="20"/>
      <c r="F534" s="20"/>
      <c r="G534" s="20"/>
      <c r="H534" s="20"/>
    </row>
    <row r="535" hidden="1">
      <c r="A535" s="20"/>
      <c r="B535" s="20"/>
      <c r="C535" s="20"/>
      <c r="D535" s="20"/>
      <c r="E535" s="20"/>
      <c r="F535" s="20"/>
      <c r="G535" s="20"/>
      <c r="H535" s="20"/>
    </row>
    <row r="536" hidden="1">
      <c r="A536" s="20"/>
      <c r="B536" s="20"/>
      <c r="C536" s="20"/>
      <c r="D536" s="20"/>
      <c r="E536" s="20"/>
      <c r="F536" s="20"/>
      <c r="G536" s="20"/>
      <c r="H536" s="20"/>
    </row>
    <row r="537" hidden="1">
      <c r="A537" s="20"/>
      <c r="B537" s="20"/>
      <c r="C537" s="20"/>
      <c r="D537" s="20"/>
      <c r="E537" s="20"/>
      <c r="F537" s="20"/>
      <c r="G537" s="20"/>
      <c r="H537" s="20"/>
    </row>
    <row r="538" hidden="1">
      <c r="A538" s="20"/>
      <c r="B538" s="20"/>
      <c r="C538" s="20"/>
      <c r="D538" s="20"/>
      <c r="E538" s="20"/>
      <c r="F538" s="20"/>
      <c r="G538" s="20"/>
      <c r="H538" s="20"/>
    </row>
    <row r="539" hidden="1">
      <c r="A539" s="20"/>
      <c r="B539" s="20"/>
      <c r="C539" s="20"/>
      <c r="D539" s="20"/>
      <c r="E539" s="20"/>
      <c r="F539" s="20"/>
      <c r="G539" s="20"/>
      <c r="H539" s="20"/>
    </row>
    <row r="540" hidden="1">
      <c r="A540" s="20"/>
      <c r="B540" s="20"/>
      <c r="C540" s="20"/>
      <c r="D540" s="20"/>
      <c r="E540" s="20"/>
      <c r="F540" s="20"/>
      <c r="G540" s="20"/>
      <c r="H540" s="20"/>
    </row>
    <row r="541" hidden="1">
      <c r="A541" s="20"/>
      <c r="B541" s="20"/>
      <c r="C541" s="20"/>
      <c r="D541" s="20"/>
      <c r="E541" s="20"/>
      <c r="F541" s="20"/>
      <c r="G541" s="20"/>
      <c r="H541" s="20"/>
    </row>
    <row r="542" hidden="1">
      <c r="A542" s="20"/>
      <c r="B542" s="20"/>
      <c r="C542" s="20"/>
      <c r="D542" s="20"/>
      <c r="E542" s="20"/>
      <c r="F542" s="20"/>
      <c r="G542" s="20"/>
      <c r="H542" s="20"/>
    </row>
    <row r="543" hidden="1">
      <c r="A543" s="20"/>
      <c r="B543" s="20"/>
      <c r="C543" s="20"/>
      <c r="D543" s="20"/>
      <c r="E543" s="20"/>
      <c r="F543" s="20"/>
      <c r="G543" s="20"/>
      <c r="H543" s="20"/>
    </row>
    <row r="544" hidden="1">
      <c r="A544" s="20"/>
      <c r="B544" s="20"/>
      <c r="C544" s="20"/>
      <c r="D544" s="20"/>
      <c r="E544" s="20"/>
      <c r="F544" s="20"/>
      <c r="G544" s="20"/>
      <c r="H544" s="20"/>
    </row>
    <row r="545" hidden="1">
      <c r="A545" s="20"/>
      <c r="B545" s="20"/>
      <c r="C545" s="20"/>
      <c r="D545" s="20"/>
      <c r="E545" s="20"/>
      <c r="F545" s="20"/>
      <c r="G545" s="20"/>
      <c r="H545" s="20"/>
    </row>
    <row r="546" hidden="1">
      <c r="A546" s="20"/>
      <c r="B546" s="20"/>
      <c r="C546" s="20"/>
      <c r="D546" s="20"/>
      <c r="E546" s="20"/>
      <c r="F546" s="20"/>
      <c r="G546" s="20"/>
      <c r="H546" s="20"/>
    </row>
    <row r="547" hidden="1">
      <c r="A547" s="20"/>
      <c r="B547" s="20"/>
      <c r="C547" s="20"/>
      <c r="D547" s="20"/>
      <c r="E547" s="20"/>
      <c r="F547" s="20"/>
      <c r="G547" s="20"/>
      <c r="H547" s="20"/>
    </row>
    <row r="548" hidden="1">
      <c r="A548" s="20"/>
      <c r="B548" s="20"/>
      <c r="C548" s="20"/>
      <c r="D548" s="20"/>
      <c r="E548" s="20"/>
      <c r="F548" s="20"/>
      <c r="G548" s="20"/>
      <c r="H548" s="20"/>
    </row>
    <row r="549" hidden="1">
      <c r="A549" s="20"/>
      <c r="B549" s="20"/>
      <c r="C549" s="20"/>
      <c r="D549" s="20"/>
      <c r="E549" s="20"/>
      <c r="F549" s="20"/>
      <c r="G549" s="20"/>
      <c r="H549" s="20"/>
    </row>
    <row r="550" hidden="1">
      <c r="A550" s="20"/>
      <c r="B550" s="20"/>
      <c r="C550" s="20"/>
      <c r="D550" s="20"/>
      <c r="E550" s="20"/>
      <c r="F550" s="20"/>
      <c r="G550" s="20"/>
      <c r="H550" s="20"/>
    </row>
    <row r="551" hidden="1">
      <c r="A551" s="20"/>
      <c r="B551" s="20"/>
      <c r="C551" s="20"/>
      <c r="D551" s="20"/>
      <c r="E551" s="20"/>
      <c r="F551" s="20"/>
      <c r="G551" s="20"/>
      <c r="H551" s="20"/>
    </row>
    <row r="552" hidden="1">
      <c r="A552" s="20"/>
      <c r="B552" s="20"/>
      <c r="C552" s="20"/>
      <c r="D552" s="20"/>
      <c r="E552" s="20"/>
      <c r="F552" s="20"/>
      <c r="G552" s="20"/>
      <c r="H552" s="20"/>
    </row>
    <row r="553" hidden="1">
      <c r="A553" s="20"/>
      <c r="B553" s="20"/>
      <c r="C553" s="20"/>
      <c r="D553" s="20"/>
      <c r="E553" s="20"/>
      <c r="F553" s="20"/>
      <c r="G553" s="20"/>
      <c r="H553" s="20"/>
    </row>
    <row r="554" hidden="1">
      <c r="A554" s="20"/>
      <c r="B554" s="20"/>
      <c r="C554" s="20"/>
      <c r="D554" s="20"/>
      <c r="E554" s="20"/>
      <c r="F554" s="20"/>
      <c r="G554" s="20"/>
      <c r="H554" s="20"/>
    </row>
    <row r="555" hidden="1">
      <c r="A555" s="20"/>
      <c r="B555" s="20"/>
      <c r="C555" s="20"/>
      <c r="D555" s="20"/>
      <c r="E555" s="20"/>
      <c r="F555" s="20"/>
      <c r="G555" s="20"/>
      <c r="H555" s="20"/>
    </row>
    <row r="556" hidden="1">
      <c r="A556" s="20"/>
      <c r="B556" s="20"/>
      <c r="C556" s="20"/>
      <c r="D556" s="20"/>
      <c r="E556" s="20"/>
      <c r="F556" s="20"/>
      <c r="G556" s="20"/>
      <c r="H556" s="20"/>
    </row>
    <row r="557" hidden="1">
      <c r="A557" s="20"/>
      <c r="B557" s="20"/>
      <c r="C557" s="20"/>
      <c r="D557" s="20"/>
      <c r="E557" s="20"/>
      <c r="F557" s="20"/>
      <c r="G557" s="20"/>
      <c r="H557" s="20"/>
    </row>
    <row r="558" hidden="1">
      <c r="A558" s="20"/>
      <c r="B558" s="20"/>
      <c r="C558" s="20"/>
      <c r="D558" s="20"/>
      <c r="E558" s="20"/>
      <c r="F558" s="20"/>
      <c r="G558" s="20"/>
      <c r="H558" s="20"/>
    </row>
    <row r="559" hidden="1">
      <c r="A559" s="20"/>
      <c r="B559" s="20"/>
      <c r="C559" s="20"/>
      <c r="D559" s="20"/>
      <c r="E559" s="20"/>
      <c r="F559" s="20"/>
      <c r="G559" s="20"/>
      <c r="H559" s="20"/>
    </row>
    <row r="560" hidden="1">
      <c r="A560" s="20"/>
      <c r="B560" s="20"/>
      <c r="C560" s="20"/>
      <c r="D560" s="20"/>
      <c r="E560" s="20"/>
      <c r="F560" s="20"/>
      <c r="G560" s="20"/>
      <c r="H560" s="20"/>
    </row>
    <row r="561" hidden="1">
      <c r="A561" s="20"/>
      <c r="B561" s="20"/>
      <c r="C561" s="20"/>
      <c r="D561" s="20"/>
      <c r="E561" s="20"/>
      <c r="F561" s="20"/>
      <c r="G561" s="20"/>
      <c r="H561" s="20"/>
    </row>
    <row r="562" hidden="1">
      <c r="A562" s="20"/>
      <c r="B562" s="20"/>
      <c r="C562" s="20"/>
      <c r="D562" s="20"/>
      <c r="E562" s="20"/>
      <c r="F562" s="20"/>
      <c r="G562" s="20"/>
      <c r="H562" s="20"/>
    </row>
    <row r="563" hidden="1">
      <c r="A563" s="20"/>
      <c r="B563" s="20"/>
      <c r="C563" s="20"/>
      <c r="D563" s="20"/>
      <c r="E563" s="20"/>
      <c r="F563" s="20"/>
      <c r="G563" s="20"/>
      <c r="H563" s="20"/>
    </row>
    <row r="564" hidden="1">
      <c r="A564" s="20"/>
      <c r="B564" s="20"/>
      <c r="C564" s="20"/>
      <c r="D564" s="20"/>
      <c r="E564" s="20"/>
      <c r="F564" s="20"/>
      <c r="G564" s="20"/>
      <c r="H564" s="20"/>
    </row>
    <row r="565" hidden="1">
      <c r="A565" s="20"/>
      <c r="B565" s="20"/>
      <c r="C565" s="20"/>
      <c r="D565" s="20"/>
      <c r="E565" s="20"/>
      <c r="F565" s="20"/>
      <c r="G565" s="20"/>
      <c r="H565" s="20"/>
    </row>
    <row r="566" hidden="1">
      <c r="A566" s="20"/>
      <c r="B566" s="20"/>
      <c r="C566" s="20"/>
      <c r="D566" s="20"/>
      <c r="E566" s="20"/>
      <c r="F566" s="20"/>
      <c r="G566" s="20"/>
      <c r="H566" s="20"/>
    </row>
    <row r="567" hidden="1">
      <c r="A567" s="20"/>
      <c r="B567" s="20"/>
      <c r="C567" s="20"/>
      <c r="D567" s="20"/>
      <c r="E567" s="20"/>
      <c r="F567" s="20"/>
      <c r="G567" s="20"/>
      <c r="H567" s="20"/>
    </row>
    <row r="568" hidden="1">
      <c r="A568" s="20"/>
      <c r="B568" s="20"/>
      <c r="C568" s="20"/>
      <c r="D568" s="20"/>
      <c r="E568" s="20"/>
      <c r="F568" s="20"/>
      <c r="G568" s="20"/>
      <c r="H568" s="20"/>
    </row>
    <row r="569" hidden="1">
      <c r="A569" s="20"/>
      <c r="B569" s="20"/>
      <c r="C569" s="20"/>
      <c r="D569" s="20"/>
      <c r="E569" s="20"/>
      <c r="F569" s="20"/>
      <c r="G569" s="20"/>
      <c r="H569" s="20"/>
    </row>
    <row r="570" hidden="1">
      <c r="A570" s="20"/>
      <c r="B570" s="20"/>
      <c r="C570" s="20"/>
      <c r="D570" s="20"/>
      <c r="E570" s="20"/>
      <c r="F570" s="20"/>
      <c r="G570" s="20"/>
      <c r="H570" s="20"/>
    </row>
    <row r="571" hidden="1">
      <c r="A571" s="20"/>
      <c r="B571" s="20"/>
      <c r="C571" s="20"/>
      <c r="D571" s="20"/>
      <c r="E571" s="20"/>
      <c r="F571" s="20"/>
      <c r="G571" s="20"/>
      <c r="H571" s="20"/>
    </row>
    <row r="572" hidden="1">
      <c r="A572" s="20"/>
      <c r="B572" s="20"/>
      <c r="C572" s="20"/>
      <c r="D572" s="20"/>
      <c r="E572" s="20"/>
      <c r="F572" s="20"/>
      <c r="G572" s="20"/>
      <c r="H572" s="20"/>
    </row>
    <row r="573" hidden="1">
      <c r="A573" s="20"/>
      <c r="B573" s="20"/>
      <c r="C573" s="20"/>
      <c r="D573" s="20"/>
      <c r="E573" s="20"/>
      <c r="F573" s="20"/>
      <c r="G573" s="20"/>
      <c r="H573" s="20"/>
    </row>
    <row r="574" hidden="1">
      <c r="A574" s="20"/>
      <c r="B574" s="20"/>
      <c r="C574" s="20"/>
      <c r="D574" s="20"/>
      <c r="E574" s="20"/>
      <c r="F574" s="20"/>
      <c r="G574" s="20"/>
      <c r="H574" s="20"/>
    </row>
    <row r="575" hidden="1">
      <c r="A575" s="20"/>
      <c r="B575" s="20"/>
      <c r="C575" s="20"/>
      <c r="D575" s="20"/>
      <c r="E575" s="20"/>
      <c r="F575" s="20"/>
      <c r="G575" s="20"/>
      <c r="H575" s="20"/>
    </row>
    <row r="576" hidden="1">
      <c r="A576" s="20"/>
      <c r="B576" s="20"/>
      <c r="C576" s="20"/>
      <c r="D576" s="20"/>
      <c r="E576" s="20"/>
      <c r="F576" s="20"/>
      <c r="G576" s="20"/>
      <c r="H576" s="20"/>
    </row>
    <row r="577" hidden="1">
      <c r="A577" s="20"/>
      <c r="B577" s="20"/>
      <c r="C577" s="20"/>
      <c r="D577" s="20"/>
      <c r="E577" s="20"/>
      <c r="F577" s="20"/>
      <c r="G577" s="20"/>
      <c r="H577" s="20"/>
    </row>
    <row r="578" hidden="1">
      <c r="A578" s="20"/>
      <c r="B578" s="20"/>
      <c r="C578" s="20"/>
      <c r="D578" s="20"/>
      <c r="E578" s="20"/>
      <c r="F578" s="20"/>
      <c r="G578" s="20"/>
      <c r="H578" s="20"/>
    </row>
    <row r="579" hidden="1">
      <c r="A579" s="20"/>
      <c r="B579" s="20"/>
      <c r="C579" s="20"/>
      <c r="D579" s="20"/>
      <c r="E579" s="20"/>
      <c r="F579" s="20"/>
      <c r="G579" s="20"/>
      <c r="H579" s="20"/>
    </row>
    <row r="580" hidden="1">
      <c r="A580" s="20"/>
      <c r="B580" s="20"/>
      <c r="C580" s="20"/>
      <c r="D580" s="20"/>
      <c r="E580" s="20"/>
      <c r="F580" s="20"/>
      <c r="G580" s="20"/>
      <c r="H580" s="20"/>
    </row>
    <row r="581" hidden="1">
      <c r="A581" s="20"/>
      <c r="B581" s="20"/>
      <c r="C581" s="20"/>
      <c r="D581" s="20"/>
      <c r="E581" s="20"/>
      <c r="F581" s="20"/>
      <c r="G581" s="20"/>
      <c r="H581" s="20"/>
    </row>
    <row r="582" hidden="1">
      <c r="A582" s="20"/>
      <c r="B582" s="20"/>
      <c r="C582" s="20"/>
      <c r="D582" s="20"/>
      <c r="E582" s="20"/>
      <c r="F582" s="20"/>
      <c r="G582" s="20"/>
      <c r="H582" s="20"/>
    </row>
    <row r="583" hidden="1">
      <c r="A583" s="20"/>
      <c r="B583" s="20"/>
      <c r="C583" s="20"/>
      <c r="D583" s="20"/>
      <c r="E583" s="20"/>
      <c r="F583" s="20"/>
      <c r="G583" s="20"/>
      <c r="H583" s="20"/>
    </row>
    <row r="584" hidden="1">
      <c r="A584" s="20"/>
      <c r="B584" s="20"/>
      <c r="C584" s="20"/>
      <c r="D584" s="20"/>
      <c r="E584" s="20"/>
      <c r="F584" s="20"/>
      <c r="G584" s="20"/>
      <c r="H584" s="20"/>
    </row>
    <row r="585" hidden="1">
      <c r="A585" s="20"/>
      <c r="B585" s="20"/>
      <c r="C585" s="20"/>
      <c r="D585" s="20"/>
      <c r="E585" s="20"/>
      <c r="F585" s="20"/>
      <c r="G585" s="20"/>
      <c r="H585" s="20"/>
    </row>
    <row r="586" hidden="1">
      <c r="A586" s="20"/>
      <c r="B586" s="20"/>
      <c r="C586" s="20"/>
      <c r="D586" s="20"/>
      <c r="E586" s="20"/>
      <c r="F586" s="20"/>
      <c r="G586" s="20"/>
      <c r="H586" s="20"/>
    </row>
    <row r="587" hidden="1">
      <c r="A587" s="20"/>
      <c r="B587" s="20"/>
      <c r="C587" s="20"/>
      <c r="D587" s="20"/>
      <c r="E587" s="20"/>
      <c r="F587" s="20"/>
      <c r="G587" s="20"/>
      <c r="H587" s="20"/>
    </row>
    <row r="588" hidden="1">
      <c r="A588" s="20"/>
      <c r="B588" s="20"/>
      <c r="C588" s="20"/>
      <c r="D588" s="20"/>
      <c r="E588" s="20"/>
      <c r="F588" s="20"/>
      <c r="G588" s="20"/>
      <c r="H588" s="20"/>
    </row>
    <row r="589" hidden="1">
      <c r="A589" s="20"/>
      <c r="B589" s="20"/>
      <c r="C589" s="20"/>
      <c r="D589" s="20"/>
      <c r="E589" s="20"/>
      <c r="F589" s="20"/>
      <c r="G589" s="20"/>
      <c r="H589" s="20"/>
    </row>
    <row r="590" hidden="1">
      <c r="A590" s="20"/>
      <c r="B590" s="20"/>
      <c r="C590" s="20"/>
      <c r="D590" s="20"/>
      <c r="E590" s="20"/>
      <c r="F590" s="20"/>
      <c r="G590" s="20"/>
      <c r="H590" s="20"/>
    </row>
    <row r="591" hidden="1">
      <c r="A591" s="20"/>
      <c r="B591" s="20"/>
      <c r="C591" s="20"/>
      <c r="D591" s="20"/>
      <c r="E591" s="20"/>
      <c r="F591" s="20"/>
      <c r="G591" s="20"/>
      <c r="H591" s="20"/>
    </row>
    <row r="592" hidden="1">
      <c r="A592" s="20"/>
      <c r="B592" s="20"/>
      <c r="C592" s="20"/>
      <c r="D592" s="20"/>
      <c r="E592" s="20"/>
      <c r="F592" s="20"/>
      <c r="G592" s="20"/>
      <c r="H592" s="20"/>
    </row>
    <row r="593" hidden="1">
      <c r="A593" s="20"/>
      <c r="B593" s="20"/>
      <c r="C593" s="20"/>
      <c r="D593" s="20"/>
      <c r="E593" s="20"/>
      <c r="F593" s="20"/>
      <c r="G593" s="20"/>
      <c r="H593" s="20"/>
    </row>
    <row r="594" hidden="1">
      <c r="A594" s="20"/>
      <c r="B594" s="20"/>
      <c r="C594" s="20"/>
      <c r="D594" s="20"/>
      <c r="E594" s="20"/>
      <c r="F594" s="20"/>
      <c r="G594" s="20"/>
      <c r="H594" s="20"/>
    </row>
    <row r="595" hidden="1">
      <c r="A595" s="20"/>
      <c r="B595" s="20"/>
      <c r="C595" s="20"/>
      <c r="D595" s="20"/>
      <c r="E595" s="20"/>
      <c r="F595" s="20"/>
      <c r="G595" s="20"/>
      <c r="H595" s="20"/>
    </row>
    <row r="596" hidden="1">
      <c r="A596" s="20"/>
      <c r="B596" s="20"/>
      <c r="C596" s="20"/>
      <c r="D596" s="20"/>
      <c r="E596" s="20"/>
      <c r="F596" s="20"/>
      <c r="G596" s="20"/>
      <c r="H596" s="20"/>
    </row>
    <row r="597" hidden="1">
      <c r="A597" s="20"/>
      <c r="B597" s="20"/>
      <c r="C597" s="20"/>
      <c r="D597" s="20"/>
      <c r="E597" s="20"/>
      <c r="F597" s="20"/>
      <c r="G597" s="20"/>
      <c r="H597" s="20"/>
    </row>
    <row r="598" hidden="1">
      <c r="A598" s="20"/>
      <c r="B598" s="20"/>
      <c r="C598" s="20"/>
      <c r="D598" s="20"/>
      <c r="E598" s="20"/>
      <c r="F598" s="20"/>
      <c r="G598" s="20"/>
      <c r="H598" s="20"/>
    </row>
    <row r="599" hidden="1">
      <c r="A599" s="20"/>
      <c r="B599" s="20"/>
      <c r="C599" s="20"/>
      <c r="D599" s="20"/>
      <c r="E599" s="20"/>
      <c r="F599" s="20"/>
      <c r="G599" s="20"/>
      <c r="H599" s="20"/>
    </row>
    <row r="600" hidden="1">
      <c r="A600" s="20"/>
      <c r="B600" s="20"/>
      <c r="C600" s="20"/>
      <c r="D600" s="20"/>
      <c r="E600" s="20"/>
      <c r="F600" s="20"/>
      <c r="G600" s="20"/>
      <c r="H600" s="20"/>
    </row>
    <row r="601" hidden="1">
      <c r="A601" s="20"/>
      <c r="B601" s="20"/>
      <c r="C601" s="20"/>
      <c r="D601" s="20"/>
      <c r="E601" s="20"/>
      <c r="F601" s="20"/>
      <c r="G601" s="20"/>
      <c r="H601" s="20"/>
    </row>
    <row r="602" hidden="1">
      <c r="A602" s="20"/>
      <c r="B602" s="20"/>
      <c r="C602" s="20"/>
      <c r="D602" s="20"/>
      <c r="E602" s="20"/>
      <c r="F602" s="20"/>
      <c r="G602" s="20"/>
      <c r="H602" s="20"/>
    </row>
    <row r="603" hidden="1">
      <c r="A603" s="20"/>
      <c r="B603" s="20"/>
      <c r="C603" s="20"/>
      <c r="D603" s="20"/>
      <c r="E603" s="20"/>
      <c r="F603" s="20"/>
      <c r="G603" s="20"/>
      <c r="H603" s="20"/>
    </row>
    <row r="604" hidden="1">
      <c r="A604" s="20"/>
      <c r="B604" s="20"/>
      <c r="C604" s="20"/>
      <c r="D604" s="20"/>
      <c r="E604" s="20"/>
      <c r="F604" s="20"/>
      <c r="G604" s="20"/>
      <c r="H604" s="20"/>
    </row>
    <row r="605" hidden="1">
      <c r="A605" s="20"/>
      <c r="B605" s="20"/>
      <c r="C605" s="20"/>
      <c r="D605" s="20"/>
      <c r="E605" s="20"/>
      <c r="F605" s="20"/>
      <c r="G605" s="20"/>
      <c r="H605" s="20"/>
    </row>
    <row r="606" hidden="1">
      <c r="A606" s="20"/>
      <c r="B606" s="20"/>
      <c r="C606" s="20"/>
      <c r="D606" s="20"/>
      <c r="E606" s="20"/>
      <c r="F606" s="20"/>
      <c r="G606" s="20"/>
      <c r="H606" s="20"/>
    </row>
    <row r="607" hidden="1">
      <c r="A607" s="20"/>
      <c r="B607" s="20"/>
      <c r="C607" s="20"/>
      <c r="D607" s="20"/>
      <c r="E607" s="20"/>
      <c r="F607" s="20"/>
      <c r="G607" s="20"/>
      <c r="H607" s="20"/>
    </row>
    <row r="608" hidden="1">
      <c r="A608" s="20"/>
      <c r="B608" s="20"/>
      <c r="C608" s="20"/>
      <c r="D608" s="20"/>
      <c r="E608" s="20"/>
      <c r="F608" s="20"/>
      <c r="G608" s="20"/>
      <c r="H608" s="20"/>
    </row>
    <row r="609" hidden="1">
      <c r="A609" s="20"/>
      <c r="B609" s="20"/>
      <c r="C609" s="20"/>
      <c r="D609" s="20"/>
      <c r="E609" s="20"/>
      <c r="F609" s="20"/>
      <c r="G609" s="20"/>
      <c r="H609" s="20"/>
    </row>
    <row r="610" hidden="1">
      <c r="A610" s="20"/>
      <c r="B610" s="20"/>
      <c r="C610" s="20"/>
      <c r="D610" s="20"/>
      <c r="E610" s="20"/>
      <c r="F610" s="20"/>
      <c r="G610" s="20"/>
      <c r="H610" s="20"/>
    </row>
    <row r="611" hidden="1">
      <c r="A611" s="20"/>
      <c r="B611" s="20"/>
      <c r="C611" s="20"/>
      <c r="D611" s="20"/>
      <c r="E611" s="20"/>
      <c r="F611" s="20"/>
      <c r="G611" s="20"/>
      <c r="H611" s="20"/>
    </row>
    <row r="612" hidden="1">
      <c r="A612" s="20"/>
      <c r="B612" s="20"/>
      <c r="C612" s="20"/>
      <c r="D612" s="20"/>
      <c r="E612" s="20"/>
      <c r="F612" s="20"/>
      <c r="G612" s="20"/>
      <c r="H612" s="20"/>
    </row>
    <row r="613" hidden="1">
      <c r="A613" s="20"/>
      <c r="B613" s="20"/>
      <c r="C613" s="20"/>
      <c r="D613" s="20"/>
      <c r="E613" s="20"/>
      <c r="F613" s="20"/>
      <c r="G613" s="20"/>
      <c r="H613" s="20"/>
    </row>
    <row r="614" hidden="1">
      <c r="A614" s="20"/>
      <c r="B614" s="20"/>
      <c r="C614" s="20"/>
      <c r="D614" s="20"/>
      <c r="E614" s="20"/>
      <c r="F614" s="20"/>
      <c r="G614" s="20"/>
      <c r="H614" s="20"/>
    </row>
    <row r="615" hidden="1">
      <c r="A615" s="20"/>
      <c r="B615" s="20"/>
      <c r="C615" s="20"/>
      <c r="D615" s="20"/>
      <c r="E615" s="20"/>
      <c r="F615" s="20"/>
      <c r="G615" s="20"/>
      <c r="H615" s="20"/>
    </row>
    <row r="616" hidden="1">
      <c r="A616" s="20"/>
      <c r="B616" s="20"/>
      <c r="C616" s="20"/>
      <c r="D616" s="20"/>
      <c r="E616" s="20"/>
      <c r="F616" s="20"/>
      <c r="G616" s="20"/>
      <c r="H616" s="20"/>
    </row>
    <row r="617" hidden="1">
      <c r="A617" s="20"/>
      <c r="B617" s="20"/>
      <c r="C617" s="20"/>
      <c r="D617" s="20"/>
      <c r="E617" s="20"/>
      <c r="F617" s="20"/>
      <c r="G617" s="20"/>
      <c r="H617" s="20"/>
    </row>
    <row r="618" hidden="1">
      <c r="A618" s="20"/>
      <c r="B618" s="20"/>
      <c r="C618" s="20"/>
      <c r="D618" s="20"/>
      <c r="E618" s="20"/>
      <c r="F618" s="20"/>
      <c r="G618" s="20"/>
      <c r="H618" s="20"/>
    </row>
    <row r="619" hidden="1">
      <c r="A619" s="20"/>
      <c r="B619" s="20"/>
      <c r="C619" s="20"/>
      <c r="D619" s="20"/>
      <c r="E619" s="20"/>
      <c r="F619" s="20"/>
      <c r="G619" s="20"/>
      <c r="H619" s="20"/>
    </row>
    <row r="620" hidden="1">
      <c r="A620" s="20"/>
      <c r="B620" s="20"/>
      <c r="C620" s="20"/>
      <c r="D620" s="20"/>
      <c r="E620" s="20"/>
      <c r="F620" s="20"/>
      <c r="G620" s="20"/>
      <c r="H620" s="20"/>
    </row>
    <row r="621" hidden="1">
      <c r="A621" s="20"/>
      <c r="B621" s="20"/>
      <c r="C621" s="20"/>
      <c r="D621" s="20"/>
      <c r="E621" s="20"/>
      <c r="F621" s="20"/>
      <c r="G621" s="20"/>
      <c r="H621" s="20"/>
    </row>
    <row r="622" hidden="1">
      <c r="A622" s="20"/>
      <c r="B622" s="20"/>
      <c r="C622" s="20"/>
      <c r="D622" s="20"/>
      <c r="E622" s="20"/>
      <c r="F622" s="20"/>
      <c r="G622" s="20"/>
      <c r="H622" s="20"/>
    </row>
    <row r="623" hidden="1">
      <c r="A623" s="20"/>
      <c r="B623" s="20"/>
      <c r="C623" s="20"/>
      <c r="D623" s="20"/>
      <c r="E623" s="20"/>
      <c r="F623" s="20"/>
      <c r="G623" s="20"/>
      <c r="H623" s="20"/>
    </row>
    <row r="624" hidden="1">
      <c r="A624" s="20"/>
      <c r="B624" s="20"/>
      <c r="C624" s="20"/>
      <c r="D624" s="20"/>
      <c r="E624" s="20"/>
      <c r="F624" s="20"/>
      <c r="G624" s="20"/>
      <c r="H624" s="20"/>
    </row>
    <row r="625" hidden="1">
      <c r="A625" s="20"/>
      <c r="B625" s="20"/>
      <c r="C625" s="20"/>
      <c r="D625" s="20"/>
      <c r="E625" s="20"/>
      <c r="F625" s="20"/>
      <c r="G625" s="20"/>
      <c r="H625" s="20"/>
    </row>
    <row r="626" hidden="1">
      <c r="A626" s="20"/>
      <c r="B626" s="20"/>
      <c r="C626" s="20"/>
      <c r="D626" s="20"/>
      <c r="E626" s="20"/>
      <c r="F626" s="20"/>
      <c r="G626" s="20"/>
      <c r="H626" s="20"/>
    </row>
    <row r="627" hidden="1">
      <c r="A627" s="20"/>
      <c r="B627" s="20"/>
      <c r="C627" s="20"/>
      <c r="D627" s="20"/>
      <c r="E627" s="20"/>
      <c r="F627" s="20"/>
      <c r="G627" s="20"/>
      <c r="H627" s="20"/>
    </row>
    <row r="628" hidden="1">
      <c r="A628" s="20"/>
      <c r="B628" s="20"/>
      <c r="C628" s="20"/>
      <c r="D628" s="20"/>
      <c r="E628" s="20"/>
      <c r="F628" s="20"/>
      <c r="G628" s="20"/>
      <c r="H628" s="20"/>
    </row>
    <row r="629" hidden="1">
      <c r="A629" s="20"/>
      <c r="B629" s="20"/>
      <c r="C629" s="20"/>
      <c r="D629" s="20"/>
      <c r="E629" s="20"/>
      <c r="F629" s="20"/>
      <c r="G629" s="20"/>
      <c r="H629" s="20"/>
    </row>
    <row r="630" hidden="1">
      <c r="A630" s="20"/>
      <c r="B630" s="20"/>
      <c r="C630" s="20"/>
      <c r="D630" s="20"/>
      <c r="E630" s="20"/>
      <c r="F630" s="20"/>
      <c r="G630" s="20"/>
      <c r="H630" s="20"/>
    </row>
    <row r="631" hidden="1">
      <c r="A631" s="20"/>
      <c r="B631" s="20"/>
      <c r="C631" s="20"/>
      <c r="D631" s="20"/>
      <c r="E631" s="20"/>
      <c r="F631" s="20"/>
      <c r="G631" s="20"/>
      <c r="H631" s="20"/>
    </row>
    <row r="632" hidden="1">
      <c r="A632" s="20"/>
      <c r="B632" s="20"/>
      <c r="C632" s="20"/>
      <c r="D632" s="20"/>
      <c r="E632" s="20"/>
      <c r="F632" s="20"/>
      <c r="G632" s="20"/>
      <c r="H632" s="20"/>
    </row>
    <row r="633" hidden="1">
      <c r="A633" s="20"/>
      <c r="B633" s="20"/>
      <c r="C633" s="20"/>
      <c r="D633" s="20"/>
      <c r="E633" s="20"/>
      <c r="F633" s="20"/>
      <c r="G633" s="20"/>
      <c r="H633" s="20"/>
    </row>
    <row r="634" hidden="1">
      <c r="A634" s="20"/>
      <c r="B634" s="20"/>
      <c r="C634" s="20"/>
      <c r="D634" s="20"/>
      <c r="E634" s="20"/>
      <c r="F634" s="20"/>
      <c r="G634" s="20"/>
      <c r="H634" s="20"/>
    </row>
    <row r="635" hidden="1">
      <c r="A635" s="20"/>
      <c r="B635" s="20"/>
      <c r="C635" s="20"/>
      <c r="D635" s="20"/>
      <c r="E635" s="20"/>
      <c r="F635" s="20"/>
      <c r="G635" s="20"/>
      <c r="H635" s="20"/>
    </row>
    <row r="636" hidden="1">
      <c r="A636" s="20"/>
      <c r="B636" s="20"/>
      <c r="C636" s="20"/>
      <c r="D636" s="20"/>
      <c r="E636" s="20"/>
      <c r="F636" s="20"/>
      <c r="G636" s="20"/>
      <c r="H636" s="20"/>
    </row>
    <row r="637" hidden="1">
      <c r="A637" s="20"/>
      <c r="B637" s="20"/>
      <c r="C637" s="20"/>
      <c r="D637" s="20"/>
      <c r="E637" s="20"/>
      <c r="F637" s="20"/>
      <c r="G637" s="20"/>
      <c r="H637" s="20"/>
    </row>
    <row r="638" hidden="1">
      <c r="A638" s="20"/>
      <c r="B638" s="20"/>
      <c r="C638" s="20"/>
      <c r="D638" s="20"/>
      <c r="E638" s="20"/>
      <c r="F638" s="20"/>
      <c r="G638" s="20"/>
      <c r="H638" s="20"/>
    </row>
    <row r="639" hidden="1">
      <c r="A639" s="20"/>
      <c r="B639" s="20"/>
      <c r="C639" s="20"/>
      <c r="D639" s="20"/>
      <c r="E639" s="20"/>
      <c r="F639" s="20"/>
      <c r="G639" s="20"/>
      <c r="H639" s="20"/>
    </row>
    <row r="640" hidden="1">
      <c r="A640" s="20"/>
      <c r="B640" s="20"/>
      <c r="C640" s="20"/>
      <c r="D640" s="20"/>
      <c r="E640" s="20"/>
      <c r="F640" s="20"/>
      <c r="G640" s="20"/>
      <c r="H640" s="20"/>
    </row>
    <row r="641" hidden="1">
      <c r="A641" s="20"/>
      <c r="B641" s="20"/>
      <c r="C641" s="20"/>
      <c r="D641" s="20"/>
      <c r="E641" s="20"/>
      <c r="F641" s="20"/>
      <c r="G641" s="20"/>
      <c r="H641" s="20"/>
    </row>
    <row r="642" hidden="1">
      <c r="A642" s="20"/>
      <c r="B642" s="20"/>
      <c r="C642" s="20"/>
      <c r="D642" s="20"/>
      <c r="E642" s="20"/>
      <c r="F642" s="20"/>
      <c r="G642" s="20"/>
      <c r="H642" s="20"/>
    </row>
    <row r="643" hidden="1">
      <c r="A643" s="20"/>
      <c r="B643" s="20"/>
      <c r="C643" s="20"/>
      <c r="D643" s="20"/>
      <c r="E643" s="20"/>
      <c r="F643" s="20"/>
      <c r="G643" s="20"/>
      <c r="H643" s="20"/>
    </row>
    <row r="644" hidden="1">
      <c r="A644" s="20"/>
      <c r="B644" s="20"/>
      <c r="C644" s="20"/>
      <c r="D644" s="20"/>
      <c r="E644" s="20"/>
      <c r="F644" s="20"/>
      <c r="G644" s="20"/>
      <c r="H644" s="20"/>
    </row>
    <row r="645" hidden="1">
      <c r="A645" s="20"/>
      <c r="B645" s="20"/>
      <c r="C645" s="20"/>
      <c r="D645" s="20"/>
      <c r="E645" s="20"/>
      <c r="F645" s="20"/>
      <c r="G645" s="20"/>
      <c r="H645" s="20"/>
    </row>
    <row r="646" hidden="1">
      <c r="A646" s="20"/>
      <c r="B646" s="20"/>
      <c r="C646" s="20"/>
      <c r="D646" s="20"/>
      <c r="E646" s="20"/>
      <c r="F646" s="20"/>
      <c r="G646" s="20"/>
      <c r="H646" s="20"/>
    </row>
    <row r="647" hidden="1">
      <c r="A647" s="20"/>
      <c r="B647" s="20"/>
      <c r="C647" s="20"/>
      <c r="D647" s="20"/>
      <c r="E647" s="20"/>
      <c r="F647" s="20"/>
      <c r="G647" s="20"/>
      <c r="H647" s="20"/>
    </row>
    <row r="648" hidden="1">
      <c r="A648" s="20"/>
      <c r="B648" s="20"/>
      <c r="C648" s="20"/>
      <c r="D648" s="20"/>
      <c r="E648" s="20"/>
      <c r="F648" s="20"/>
      <c r="G648" s="20"/>
      <c r="H648" s="20"/>
    </row>
    <row r="649" hidden="1">
      <c r="A649" s="20"/>
      <c r="B649" s="20"/>
      <c r="C649" s="20"/>
      <c r="D649" s="20"/>
      <c r="E649" s="20"/>
      <c r="F649" s="20"/>
      <c r="G649" s="20"/>
      <c r="H649" s="20"/>
    </row>
    <row r="650" hidden="1">
      <c r="A650" s="20"/>
      <c r="B650" s="20"/>
      <c r="C650" s="20"/>
      <c r="D650" s="20"/>
      <c r="E650" s="20"/>
      <c r="F650" s="20"/>
      <c r="G650" s="20"/>
      <c r="H650" s="20"/>
    </row>
    <row r="651" hidden="1">
      <c r="A651" s="20"/>
      <c r="B651" s="20"/>
      <c r="C651" s="20"/>
      <c r="D651" s="20"/>
      <c r="E651" s="20"/>
      <c r="F651" s="20"/>
      <c r="G651" s="20"/>
      <c r="H651" s="20"/>
    </row>
    <row r="652" hidden="1">
      <c r="A652" s="20"/>
      <c r="B652" s="20"/>
      <c r="C652" s="20"/>
      <c r="D652" s="20"/>
      <c r="E652" s="20"/>
      <c r="F652" s="20"/>
      <c r="G652" s="20"/>
      <c r="H652" s="20"/>
    </row>
    <row r="653" hidden="1">
      <c r="A653" s="20"/>
      <c r="B653" s="20"/>
      <c r="C653" s="20"/>
      <c r="D653" s="20"/>
      <c r="E653" s="20"/>
      <c r="F653" s="20"/>
      <c r="G653" s="20"/>
      <c r="H653" s="20"/>
    </row>
    <row r="654" hidden="1">
      <c r="A654" s="20"/>
      <c r="B654" s="20"/>
      <c r="C654" s="20"/>
      <c r="D654" s="20"/>
      <c r="E654" s="20"/>
      <c r="F654" s="20"/>
      <c r="G654" s="20"/>
      <c r="H654" s="20"/>
    </row>
    <row r="655" hidden="1">
      <c r="A655" s="20"/>
      <c r="B655" s="20"/>
      <c r="C655" s="20"/>
      <c r="D655" s="20"/>
      <c r="E655" s="20"/>
      <c r="F655" s="20"/>
      <c r="G655" s="20"/>
      <c r="H655" s="20"/>
    </row>
    <row r="656" hidden="1">
      <c r="A656" s="20"/>
      <c r="B656" s="20"/>
      <c r="C656" s="20"/>
      <c r="D656" s="20"/>
      <c r="E656" s="20"/>
      <c r="F656" s="20"/>
      <c r="G656" s="20"/>
      <c r="H656" s="20"/>
    </row>
    <row r="657" hidden="1">
      <c r="A657" s="20"/>
      <c r="B657" s="20"/>
      <c r="C657" s="20"/>
      <c r="D657" s="20"/>
      <c r="E657" s="20"/>
      <c r="F657" s="20"/>
      <c r="G657" s="20"/>
      <c r="H657" s="20"/>
    </row>
    <row r="658" hidden="1">
      <c r="A658" s="20"/>
      <c r="B658" s="20"/>
      <c r="C658" s="20"/>
      <c r="D658" s="20"/>
      <c r="E658" s="20"/>
      <c r="F658" s="20"/>
      <c r="G658" s="20"/>
      <c r="H658" s="20"/>
    </row>
    <row r="659" hidden="1">
      <c r="A659" s="20"/>
      <c r="B659" s="20"/>
      <c r="C659" s="20"/>
      <c r="D659" s="20"/>
      <c r="E659" s="20"/>
      <c r="F659" s="20"/>
      <c r="G659" s="20"/>
      <c r="H659" s="20"/>
    </row>
    <row r="660" hidden="1">
      <c r="A660" s="20"/>
      <c r="B660" s="20"/>
      <c r="C660" s="20"/>
      <c r="D660" s="20"/>
      <c r="E660" s="20"/>
      <c r="F660" s="20"/>
      <c r="G660" s="20"/>
      <c r="H660" s="20"/>
    </row>
    <row r="661" hidden="1">
      <c r="A661" s="20"/>
      <c r="B661" s="20"/>
      <c r="C661" s="20"/>
      <c r="D661" s="20"/>
      <c r="E661" s="20"/>
      <c r="F661" s="20"/>
      <c r="G661" s="20"/>
      <c r="H661" s="20"/>
    </row>
    <row r="662" hidden="1">
      <c r="A662" s="20"/>
      <c r="B662" s="20"/>
      <c r="C662" s="20"/>
      <c r="D662" s="20"/>
      <c r="E662" s="20"/>
      <c r="F662" s="20"/>
      <c r="G662" s="20"/>
      <c r="H662" s="20"/>
    </row>
    <row r="663" hidden="1">
      <c r="A663" s="20"/>
      <c r="B663" s="20"/>
      <c r="C663" s="20"/>
      <c r="D663" s="20"/>
      <c r="E663" s="20"/>
      <c r="F663" s="20"/>
      <c r="G663" s="20"/>
      <c r="H663" s="20"/>
    </row>
    <row r="664" hidden="1">
      <c r="A664" s="20"/>
      <c r="B664" s="20"/>
      <c r="C664" s="20"/>
      <c r="D664" s="20"/>
      <c r="E664" s="20"/>
      <c r="F664" s="20"/>
      <c r="G664" s="20"/>
      <c r="H664" s="20"/>
    </row>
    <row r="665" hidden="1">
      <c r="A665" s="20"/>
      <c r="B665" s="20"/>
      <c r="C665" s="20"/>
      <c r="D665" s="20"/>
      <c r="E665" s="20"/>
      <c r="F665" s="20"/>
      <c r="G665" s="20"/>
      <c r="H665" s="20"/>
    </row>
    <row r="666" hidden="1">
      <c r="A666" s="20"/>
      <c r="B666" s="20"/>
      <c r="C666" s="20"/>
      <c r="D666" s="20"/>
      <c r="E666" s="20"/>
      <c r="F666" s="20"/>
      <c r="G666" s="20"/>
      <c r="H666" s="20"/>
    </row>
    <row r="667" hidden="1">
      <c r="A667" s="20"/>
      <c r="B667" s="20"/>
      <c r="C667" s="20"/>
      <c r="D667" s="20"/>
      <c r="E667" s="20"/>
      <c r="F667" s="20"/>
      <c r="G667" s="20"/>
      <c r="H667" s="20"/>
    </row>
    <row r="668" hidden="1">
      <c r="A668" s="20"/>
      <c r="B668" s="20"/>
      <c r="C668" s="20"/>
      <c r="D668" s="20"/>
      <c r="E668" s="20"/>
      <c r="F668" s="20"/>
      <c r="G668" s="20"/>
      <c r="H668" s="20"/>
    </row>
    <row r="669" hidden="1">
      <c r="A669" s="20"/>
      <c r="B669" s="20"/>
      <c r="C669" s="20"/>
      <c r="D669" s="20"/>
      <c r="E669" s="20"/>
      <c r="F669" s="20"/>
      <c r="G669" s="20"/>
      <c r="H669" s="20"/>
    </row>
    <row r="670" hidden="1">
      <c r="A670" s="20"/>
      <c r="B670" s="20"/>
      <c r="C670" s="20"/>
      <c r="D670" s="20"/>
      <c r="E670" s="20"/>
      <c r="F670" s="20"/>
      <c r="G670" s="20"/>
      <c r="H670" s="20"/>
    </row>
    <row r="671" hidden="1">
      <c r="A671" s="20"/>
      <c r="B671" s="20"/>
      <c r="C671" s="20"/>
      <c r="D671" s="20"/>
      <c r="E671" s="20"/>
      <c r="F671" s="20"/>
      <c r="G671" s="20"/>
      <c r="H671" s="20"/>
    </row>
    <row r="672" hidden="1">
      <c r="A672" s="20"/>
      <c r="B672" s="20"/>
      <c r="C672" s="20"/>
      <c r="D672" s="20"/>
      <c r="E672" s="20"/>
      <c r="F672" s="20"/>
      <c r="G672" s="20"/>
      <c r="H672" s="20"/>
    </row>
    <row r="673" hidden="1">
      <c r="A673" s="20"/>
      <c r="B673" s="20"/>
      <c r="C673" s="20"/>
      <c r="D673" s="20"/>
      <c r="E673" s="20"/>
      <c r="F673" s="20"/>
      <c r="G673" s="20"/>
      <c r="H673" s="20"/>
    </row>
    <row r="674" hidden="1">
      <c r="A674" s="20"/>
      <c r="B674" s="20"/>
      <c r="C674" s="20"/>
      <c r="D674" s="20"/>
      <c r="E674" s="20"/>
      <c r="F674" s="20"/>
      <c r="G674" s="20"/>
      <c r="H674" s="20"/>
    </row>
    <row r="675" hidden="1">
      <c r="A675" s="20"/>
      <c r="B675" s="20"/>
      <c r="C675" s="20"/>
      <c r="D675" s="20"/>
      <c r="E675" s="20"/>
      <c r="F675" s="20"/>
      <c r="G675" s="20"/>
      <c r="H675" s="20"/>
    </row>
    <row r="676" hidden="1">
      <c r="A676" s="20"/>
      <c r="B676" s="20"/>
      <c r="C676" s="20"/>
      <c r="D676" s="20"/>
      <c r="E676" s="20"/>
      <c r="F676" s="20"/>
      <c r="G676" s="20"/>
      <c r="H676" s="20"/>
    </row>
    <row r="677" hidden="1">
      <c r="A677" s="20"/>
      <c r="B677" s="20"/>
      <c r="C677" s="20"/>
      <c r="D677" s="20"/>
      <c r="E677" s="20"/>
      <c r="F677" s="20"/>
      <c r="G677" s="20"/>
      <c r="H677" s="20"/>
    </row>
    <row r="678" hidden="1">
      <c r="A678" s="20"/>
      <c r="B678" s="20"/>
      <c r="C678" s="20"/>
      <c r="D678" s="20"/>
      <c r="E678" s="20"/>
      <c r="F678" s="20"/>
      <c r="G678" s="20"/>
      <c r="H678" s="20"/>
    </row>
    <row r="679" hidden="1">
      <c r="A679" s="20"/>
      <c r="B679" s="20"/>
      <c r="C679" s="20"/>
      <c r="D679" s="20"/>
      <c r="E679" s="20"/>
      <c r="F679" s="20"/>
      <c r="G679" s="20"/>
      <c r="H679" s="20"/>
    </row>
    <row r="680" hidden="1">
      <c r="A680" s="20"/>
      <c r="B680" s="20"/>
      <c r="C680" s="20"/>
      <c r="D680" s="20"/>
      <c r="E680" s="20"/>
      <c r="F680" s="20"/>
      <c r="G680" s="20"/>
      <c r="H680" s="20"/>
    </row>
    <row r="681" hidden="1">
      <c r="A681" s="20"/>
      <c r="B681" s="20"/>
      <c r="C681" s="20"/>
      <c r="D681" s="20"/>
      <c r="E681" s="20"/>
      <c r="F681" s="20"/>
      <c r="G681" s="20"/>
      <c r="H681" s="20"/>
    </row>
    <row r="682" hidden="1">
      <c r="A682" s="20"/>
      <c r="B682" s="20"/>
      <c r="C682" s="20"/>
      <c r="D682" s="20"/>
      <c r="E682" s="20"/>
      <c r="F682" s="20"/>
      <c r="G682" s="20"/>
      <c r="H682" s="20"/>
    </row>
    <row r="683" hidden="1">
      <c r="A683" s="20"/>
      <c r="B683" s="20"/>
      <c r="C683" s="20"/>
      <c r="D683" s="20"/>
      <c r="E683" s="20"/>
      <c r="F683" s="20"/>
      <c r="G683" s="20"/>
      <c r="H683" s="20"/>
    </row>
    <row r="684" hidden="1">
      <c r="A684" s="20"/>
      <c r="B684" s="20"/>
      <c r="C684" s="20"/>
      <c r="D684" s="20"/>
      <c r="E684" s="20"/>
      <c r="F684" s="20"/>
      <c r="G684" s="20"/>
      <c r="H684" s="20"/>
    </row>
    <row r="685" hidden="1">
      <c r="A685" s="20"/>
      <c r="B685" s="20"/>
      <c r="C685" s="20"/>
      <c r="D685" s="20"/>
      <c r="E685" s="20"/>
      <c r="F685" s="20"/>
      <c r="G685" s="20"/>
      <c r="H685" s="20"/>
    </row>
    <row r="686" hidden="1">
      <c r="A686" s="20"/>
      <c r="B686" s="20"/>
      <c r="C686" s="20"/>
      <c r="D686" s="20"/>
      <c r="E686" s="20"/>
      <c r="F686" s="20"/>
      <c r="G686" s="20"/>
      <c r="H686" s="20"/>
    </row>
    <row r="687" hidden="1">
      <c r="A687" s="20"/>
      <c r="B687" s="20"/>
      <c r="C687" s="20"/>
      <c r="D687" s="20"/>
      <c r="E687" s="20"/>
      <c r="F687" s="20"/>
      <c r="G687" s="20"/>
      <c r="H687" s="20"/>
    </row>
    <row r="688" hidden="1">
      <c r="A688" s="20"/>
      <c r="B688" s="20"/>
      <c r="C688" s="20"/>
      <c r="D688" s="20"/>
      <c r="E688" s="20"/>
      <c r="F688" s="20"/>
      <c r="G688" s="20"/>
      <c r="H688" s="20"/>
    </row>
    <row r="689" hidden="1">
      <c r="A689" s="20"/>
      <c r="B689" s="20"/>
      <c r="C689" s="20"/>
      <c r="D689" s="20"/>
      <c r="E689" s="20"/>
      <c r="F689" s="20"/>
      <c r="G689" s="20"/>
      <c r="H689" s="20"/>
    </row>
    <row r="690" hidden="1">
      <c r="A690" s="20"/>
      <c r="B690" s="20"/>
      <c r="C690" s="20"/>
      <c r="D690" s="20"/>
      <c r="E690" s="20"/>
      <c r="F690" s="20"/>
      <c r="G690" s="20"/>
      <c r="H690" s="20"/>
    </row>
    <row r="691" hidden="1">
      <c r="A691" s="20"/>
      <c r="B691" s="20"/>
      <c r="C691" s="20"/>
      <c r="D691" s="20"/>
      <c r="E691" s="20"/>
      <c r="F691" s="20"/>
      <c r="G691" s="20"/>
      <c r="H691" s="20"/>
    </row>
    <row r="692" hidden="1">
      <c r="A692" s="20"/>
      <c r="B692" s="20"/>
      <c r="C692" s="20"/>
      <c r="D692" s="20"/>
      <c r="E692" s="20"/>
      <c r="F692" s="20"/>
      <c r="G692" s="20"/>
      <c r="H692" s="20"/>
    </row>
    <row r="693" hidden="1">
      <c r="A693" s="20"/>
      <c r="B693" s="20"/>
      <c r="C693" s="20"/>
      <c r="D693" s="20"/>
      <c r="E693" s="20"/>
      <c r="F693" s="20"/>
      <c r="G693" s="20"/>
      <c r="H693" s="20"/>
    </row>
    <row r="694" hidden="1">
      <c r="A694" s="20"/>
      <c r="B694" s="20"/>
      <c r="C694" s="20"/>
      <c r="D694" s="20"/>
      <c r="E694" s="20"/>
      <c r="F694" s="20"/>
      <c r="G694" s="20"/>
      <c r="H694" s="20"/>
    </row>
    <row r="695" hidden="1">
      <c r="A695" s="20"/>
      <c r="B695" s="20"/>
      <c r="C695" s="20"/>
      <c r="D695" s="20"/>
      <c r="E695" s="20"/>
      <c r="F695" s="20"/>
      <c r="G695" s="20"/>
      <c r="H695" s="20"/>
    </row>
    <row r="696" hidden="1">
      <c r="A696" s="20"/>
      <c r="B696" s="20"/>
      <c r="C696" s="20"/>
      <c r="D696" s="20"/>
      <c r="E696" s="20"/>
      <c r="F696" s="20"/>
      <c r="G696" s="20"/>
      <c r="H696" s="20"/>
    </row>
    <row r="697" hidden="1">
      <c r="A697" s="20"/>
      <c r="B697" s="20"/>
      <c r="C697" s="20"/>
      <c r="D697" s="20"/>
      <c r="E697" s="20"/>
      <c r="F697" s="20"/>
      <c r="G697" s="20"/>
      <c r="H697" s="20"/>
    </row>
    <row r="698" hidden="1">
      <c r="A698" s="20"/>
      <c r="B698" s="20"/>
      <c r="C698" s="20"/>
      <c r="D698" s="20"/>
      <c r="E698" s="20"/>
      <c r="F698" s="20"/>
      <c r="G698" s="20"/>
      <c r="H698" s="20"/>
    </row>
    <row r="699" hidden="1">
      <c r="A699" s="20"/>
      <c r="B699" s="20"/>
      <c r="C699" s="20"/>
      <c r="D699" s="20"/>
      <c r="E699" s="20"/>
      <c r="F699" s="20"/>
      <c r="G699" s="20"/>
      <c r="H699" s="20"/>
    </row>
    <row r="700" hidden="1">
      <c r="A700" s="20"/>
      <c r="B700" s="20"/>
      <c r="C700" s="20"/>
      <c r="D700" s="20"/>
      <c r="E700" s="20"/>
      <c r="F700" s="20"/>
      <c r="G700" s="20"/>
      <c r="H700" s="20"/>
    </row>
    <row r="701" hidden="1">
      <c r="A701" s="20"/>
      <c r="B701" s="20"/>
      <c r="C701" s="20"/>
      <c r="D701" s="20"/>
      <c r="E701" s="20"/>
      <c r="F701" s="20"/>
      <c r="G701" s="20"/>
      <c r="H701" s="20"/>
    </row>
    <row r="702" hidden="1">
      <c r="A702" s="20"/>
      <c r="B702" s="20"/>
      <c r="C702" s="20"/>
      <c r="D702" s="20"/>
      <c r="E702" s="20"/>
      <c r="F702" s="20"/>
      <c r="G702" s="20"/>
      <c r="H702" s="20"/>
    </row>
    <row r="703" hidden="1">
      <c r="A703" s="20"/>
      <c r="B703" s="20"/>
      <c r="C703" s="20"/>
      <c r="D703" s="20"/>
      <c r="E703" s="20"/>
      <c r="F703" s="20"/>
      <c r="G703" s="20"/>
      <c r="H703" s="20"/>
    </row>
    <row r="704" hidden="1">
      <c r="A704" s="20"/>
      <c r="B704" s="20"/>
      <c r="C704" s="20"/>
      <c r="D704" s="20"/>
      <c r="E704" s="20"/>
      <c r="F704" s="20"/>
      <c r="G704" s="20"/>
      <c r="H704" s="20"/>
    </row>
    <row r="705" hidden="1">
      <c r="A705" s="20"/>
      <c r="B705" s="20"/>
      <c r="C705" s="20"/>
      <c r="D705" s="20"/>
      <c r="E705" s="20"/>
      <c r="F705" s="20"/>
      <c r="G705" s="20"/>
      <c r="H705" s="20"/>
    </row>
    <row r="706" hidden="1">
      <c r="A706" s="20"/>
      <c r="B706" s="20"/>
      <c r="C706" s="20"/>
      <c r="D706" s="20"/>
      <c r="E706" s="20"/>
      <c r="F706" s="20"/>
      <c r="G706" s="20"/>
      <c r="H706" s="20"/>
    </row>
    <row r="707" hidden="1">
      <c r="A707" s="20"/>
      <c r="B707" s="20"/>
      <c r="C707" s="20"/>
      <c r="D707" s="20"/>
      <c r="E707" s="20"/>
      <c r="F707" s="20"/>
      <c r="G707" s="20"/>
      <c r="H707" s="20"/>
    </row>
    <row r="708" hidden="1">
      <c r="A708" s="20"/>
      <c r="B708" s="20"/>
      <c r="C708" s="20"/>
      <c r="D708" s="20"/>
      <c r="E708" s="20"/>
      <c r="F708" s="20"/>
      <c r="G708" s="20"/>
      <c r="H708" s="20"/>
    </row>
    <row r="709" hidden="1">
      <c r="A709" s="20"/>
      <c r="B709" s="20"/>
      <c r="C709" s="20"/>
      <c r="D709" s="20"/>
      <c r="E709" s="20"/>
      <c r="F709" s="20"/>
      <c r="G709" s="20"/>
      <c r="H709" s="20"/>
    </row>
    <row r="710" hidden="1">
      <c r="A710" s="20"/>
      <c r="B710" s="20"/>
      <c r="C710" s="20"/>
      <c r="D710" s="20"/>
      <c r="E710" s="20"/>
      <c r="F710" s="20"/>
      <c r="G710" s="20"/>
      <c r="H710" s="20"/>
    </row>
    <row r="711" hidden="1">
      <c r="A711" s="20"/>
      <c r="B711" s="20"/>
      <c r="C711" s="20"/>
      <c r="D711" s="20"/>
      <c r="E711" s="20"/>
      <c r="F711" s="20"/>
      <c r="G711" s="20"/>
      <c r="H711" s="20"/>
    </row>
    <row r="712" hidden="1">
      <c r="A712" s="20"/>
      <c r="B712" s="20"/>
      <c r="C712" s="20"/>
      <c r="D712" s="20"/>
      <c r="E712" s="20"/>
      <c r="F712" s="20"/>
      <c r="G712" s="20"/>
      <c r="H712" s="20"/>
    </row>
    <row r="713" hidden="1">
      <c r="A713" s="20"/>
      <c r="B713" s="20"/>
      <c r="C713" s="20"/>
      <c r="D713" s="20"/>
      <c r="E713" s="20"/>
      <c r="F713" s="20"/>
      <c r="G713" s="20"/>
      <c r="H713" s="20"/>
    </row>
    <row r="714" hidden="1">
      <c r="A714" s="20"/>
      <c r="B714" s="20"/>
      <c r="C714" s="20"/>
      <c r="D714" s="20"/>
      <c r="E714" s="20"/>
      <c r="F714" s="20"/>
      <c r="G714" s="20"/>
      <c r="H714" s="20"/>
    </row>
    <row r="715" hidden="1">
      <c r="A715" s="20"/>
      <c r="B715" s="20"/>
      <c r="C715" s="20"/>
      <c r="D715" s="20"/>
      <c r="E715" s="20"/>
      <c r="F715" s="20"/>
      <c r="G715" s="20"/>
      <c r="H715" s="20"/>
    </row>
    <row r="716" hidden="1">
      <c r="A716" s="20"/>
      <c r="B716" s="20"/>
      <c r="C716" s="20"/>
      <c r="D716" s="20"/>
      <c r="E716" s="20"/>
      <c r="F716" s="20"/>
      <c r="G716" s="20"/>
      <c r="H716" s="20"/>
    </row>
    <row r="717" hidden="1">
      <c r="A717" s="20"/>
      <c r="B717" s="20"/>
      <c r="C717" s="20"/>
      <c r="D717" s="20"/>
      <c r="E717" s="20"/>
      <c r="F717" s="20"/>
      <c r="G717" s="20"/>
      <c r="H717" s="20"/>
    </row>
    <row r="718" hidden="1">
      <c r="A718" s="20"/>
      <c r="B718" s="20"/>
      <c r="C718" s="20"/>
      <c r="D718" s="20"/>
      <c r="E718" s="20"/>
      <c r="F718" s="20"/>
      <c r="G718" s="20"/>
      <c r="H718" s="20"/>
    </row>
    <row r="719" hidden="1">
      <c r="A719" s="20"/>
      <c r="B719" s="20"/>
      <c r="C719" s="20"/>
      <c r="D719" s="20"/>
      <c r="E719" s="20"/>
      <c r="F719" s="20"/>
      <c r="G719" s="20"/>
      <c r="H719" s="20"/>
    </row>
    <row r="720" hidden="1">
      <c r="A720" s="20"/>
      <c r="B720" s="20"/>
      <c r="C720" s="20"/>
      <c r="D720" s="20"/>
      <c r="E720" s="20"/>
      <c r="F720" s="20"/>
      <c r="G720" s="20"/>
      <c r="H720" s="20"/>
    </row>
    <row r="721" hidden="1">
      <c r="A721" s="20"/>
      <c r="B721" s="20"/>
      <c r="C721" s="20"/>
      <c r="D721" s="20"/>
      <c r="E721" s="20"/>
      <c r="F721" s="20"/>
      <c r="G721" s="20"/>
      <c r="H721" s="20"/>
    </row>
    <row r="722" hidden="1">
      <c r="A722" s="20"/>
      <c r="B722" s="20"/>
      <c r="C722" s="20"/>
      <c r="D722" s="20"/>
      <c r="E722" s="20"/>
      <c r="F722" s="20"/>
      <c r="G722" s="20"/>
      <c r="H722" s="20"/>
    </row>
    <row r="723" hidden="1">
      <c r="A723" s="20"/>
      <c r="B723" s="20"/>
      <c r="C723" s="20"/>
      <c r="D723" s="20"/>
      <c r="E723" s="20"/>
      <c r="F723" s="20"/>
      <c r="G723" s="20"/>
      <c r="H723" s="20"/>
    </row>
    <row r="724" hidden="1">
      <c r="A724" s="20"/>
      <c r="B724" s="20"/>
      <c r="C724" s="20"/>
      <c r="D724" s="20"/>
      <c r="E724" s="20"/>
      <c r="F724" s="20"/>
      <c r="G724" s="20"/>
      <c r="H724" s="20"/>
    </row>
    <row r="725" hidden="1">
      <c r="A725" s="20"/>
      <c r="B725" s="20"/>
      <c r="C725" s="20"/>
      <c r="D725" s="20"/>
      <c r="E725" s="20"/>
      <c r="F725" s="20"/>
      <c r="G725" s="20"/>
      <c r="H725" s="20"/>
    </row>
    <row r="726" hidden="1">
      <c r="A726" s="20"/>
      <c r="B726" s="20"/>
      <c r="C726" s="20"/>
      <c r="D726" s="20"/>
      <c r="E726" s="20"/>
      <c r="F726" s="20"/>
      <c r="G726" s="20"/>
      <c r="H726" s="20"/>
    </row>
    <row r="727" hidden="1">
      <c r="A727" s="20"/>
      <c r="B727" s="20"/>
      <c r="C727" s="20"/>
      <c r="D727" s="20"/>
      <c r="E727" s="20"/>
      <c r="F727" s="20"/>
      <c r="G727" s="20"/>
      <c r="H727" s="20"/>
    </row>
    <row r="728" hidden="1">
      <c r="A728" s="20"/>
      <c r="B728" s="20"/>
      <c r="C728" s="20"/>
      <c r="D728" s="20"/>
      <c r="E728" s="20"/>
      <c r="F728" s="20"/>
      <c r="G728" s="20"/>
      <c r="H728" s="20"/>
    </row>
    <row r="729" hidden="1">
      <c r="A729" s="20"/>
      <c r="B729" s="20"/>
      <c r="C729" s="20"/>
      <c r="D729" s="20"/>
      <c r="E729" s="20"/>
      <c r="F729" s="20"/>
      <c r="G729" s="20"/>
      <c r="H729" s="20"/>
    </row>
    <row r="730" hidden="1">
      <c r="A730" s="20"/>
      <c r="B730" s="20"/>
      <c r="C730" s="20"/>
      <c r="D730" s="20"/>
      <c r="E730" s="20"/>
      <c r="F730" s="20"/>
      <c r="G730" s="20"/>
      <c r="H730" s="20"/>
    </row>
    <row r="731" hidden="1">
      <c r="A731" s="20"/>
      <c r="B731" s="20"/>
      <c r="C731" s="20"/>
      <c r="D731" s="20"/>
      <c r="E731" s="20"/>
      <c r="F731" s="20"/>
      <c r="G731" s="20"/>
      <c r="H731" s="20"/>
    </row>
    <row r="732" hidden="1">
      <c r="A732" s="20"/>
      <c r="B732" s="20"/>
      <c r="C732" s="20"/>
      <c r="D732" s="20"/>
      <c r="E732" s="20"/>
      <c r="F732" s="20"/>
      <c r="G732" s="20"/>
      <c r="H732" s="20"/>
    </row>
    <row r="733" hidden="1">
      <c r="A733" s="20"/>
      <c r="B733" s="20"/>
      <c r="C733" s="20"/>
      <c r="D733" s="20"/>
      <c r="E733" s="20"/>
      <c r="F733" s="20"/>
      <c r="G733" s="20"/>
      <c r="H733" s="20"/>
    </row>
    <row r="734" hidden="1">
      <c r="A734" s="20"/>
      <c r="B734" s="20"/>
      <c r="C734" s="20"/>
      <c r="D734" s="20"/>
      <c r="E734" s="20"/>
      <c r="F734" s="20"/>
      <c r="G734" s="20"/>
      <c r="H734" s="20"/>
    </row>
    <row r="735" hidden="1">
      <c r="A735" s="20"/>
      <c r="B735" s="20"/>
      <c r="C735" s="20"/>
      <c r="D735" s="20"/>
      <c r="E735" s="20"/>
      <c r="F735" s="20"/>
      <c r="G735" s="20"/>
      <c r="H735" s="20"/>
    </row>
    <row r="736" hidden="1">
      <c r="A736" s="20"/>
      <c r="B736" s="20"/>
      <c r="C736" s="20"/>
      <c r="D736" s="20"/>
      <c r="E736" s="20"/>
      <c r="F736" s="20"/>
      <c r="G736" s="20"/>
      <c r="H736" s="20"/>
    </row>
    <row r="737" hidden="1">
      <c r="A737" s="20"/>
      <c r="B737" s="20"/>
      <c r="C737" s="20"/>
      <c r="D737" s="20"/>
      <c r="E737" s="20"/>
      <c r="F737" s="20"/>
      <c r="G737" s="20"/>
      <c r="H737" s="20"/>
    </row>
    <row r="738" hidden="1">
      <c r="A738" s="20"/>
      <c r="B738" s="20"/>
      <c r="C738" s="20"/>
      <c r="D738" s="20"/>
      <c r="E738" s="20"/>
      <c r="F738" s="20"/>
      <c r="G738" s="20"/>
      <c r="H738" s="20"/>
    </row>
    <row r="739" hidden="1">
      <c r="A739" s="20"/>
      <c r="B739" s="20"/>
      <c r="C739" s="20"/>
      <c r="D739" s="20"/>
      <c r="E739" s="20"/>
      <c r="F739" s="20"/>
      <c r="G739" s="20"/>
      <c r="H739" s="20"/>
    </row>
    <row r="740" hidden="1">
      <c r="A740" s="20"/>
      <c r="B740" s="20"/>
      <c r="C740" s="20"/>
      <c r="D740" s="20"/>
      <c r="E740" s="20"/>
      <c r="F740" s="20"/>
      <c r="G740" s="20"/>
      <c r="H740" s="20"/>
    </row>
    <row r="741" hidden="1">
      <c r="A741" s="20"/>
      <c r="B741" s="20"/>
      <c r="C741" s="20"/>
      <c r="D741" s="20"/>
      <c r="E741" s="20"/>
      <c r="F741" s="20"/>
      <c r="G741" s="20"/>
      <c r="H741" s="20"/>
    </row>
    <row r="742" hidden="1">
      <c r="A742" s="20"/>
      <c r="B742" s="20"/>
      <c r="C742" s="20"/>
      <c r="D742" s="20"/>
      <c r="E742" s="20"/>
      <c r="F742" s="20"/>
      <c r="G742" s="20"/>
      <c r="H742" s="20"/>
    </row>
    <row r="743" hidden="1">
      <c r="A743" s="20"/>
      <c r="B743" s="20"/>
      <c r="C743" s="20"/>
      <c r="D743" s="20"/>
      <c r="E743" s="20"/>
      <c r="F743" s="20"/>
      <c r="G743" s="20"/>
      <c r="H743" s="20"/>
    </row>
    <row r="744" hidden="1">
      <c r="A744" s="20"/>
      <c r="B744" s="20"/>
      <c r="C744" s="20"/>
      <c r="D744" s="20"/>
      <c r="E744" s="20"/>
      <c r="F744" s="20"/>
      <c r="G744" s="20"/>
      <c r="H744" s="20"/>
    </row>
    <row r="745" hidden="1">
      <c r="A745" s="20"/>
      <c r="B745" s="20"/>
      <c r="C745" s="20"/>
      <c r="D745" s="20"/>
      <c r="E745" s="20"/>
      <c r="F745" s="20"/>
      <c r="G745" s="20"/>
      <c r="H745" s="20"/>
    </row>
    <row r="746" hidden="1">
      <c r="A746" s="20"/>
      <c r="B746" s="20"/>
      <c r="C746" s="20"/>
      <c r="D746" s="20"/>
      <c r="E746" s="20"/>
      <c r="F746" s="20"/>
      <c r="G746" s="20"/>
      <c r="H746" s="20"/>
    </row>
    <row r="747" hidden="1">
      <c r="A747" s="20"/>
      <c r="B747" s="20"/>
      <c r="C747" s="20"/>
      <c r="D747" s="20"/>
      <c r="E747" s="20"/>
      <c r="F747" s="20"/>
      <c r="G747" s="20"/>
      <c r="H747" s="20"/>
    </row>
    <row r="748" hidden="1">
      <c r="A748" s="20"/>
      <c r="B748" s="20"/>
      <c r="C748" s="20"/>
      <c r="D748" s="20"/>
      <c r="E748" s="20"/>
      <c r="F748" s="20"/>
      <c r="G748" s="20"/>
      <c r="H748" s="20"/>
    </row>
    <row r="749" hidden="1">
      <c r="A749" s="20"/>
      <c r="B749" s="20"/>
      <c r="C749" s="20"/>
      <c r="D749" s="20"/>
      <c r="E749" s="20"/>
      <c r="F749" s="20"/>
      <c r="G749" s="20"/>
      <c r="H749" s="20"/>
    </row>
    <row r="750" hidden="1">
      <c r="A750" s="20"/>
      <c r="B750" s="20"/>
      <c r="C750" s="20"/>
      <c r="D750" s="20"/>
      <c r="E750" s="20"/>
      <c r="F750" s="20"/>
      <c r="G750" s="20"/>
      <c r="H750" s="20"/>
    </row>
    <row r="751" hidden="1">
      <c r="A751" s="20"/>
      <c r="B751" s="20"/>
      <c r="C751" s="20"/>
      <c r="D751" s="20"/>
      <c r="E751" s="20"/>
      <c r="F751" s="20"/>
      <c r="G751" s="20"/>
      <c r="H751" s="20"/>
    </row>
    <row r="752" hidden="1">
      <c r="A752" s="20"/>
      <c r="B752" s="20"/>
      <c r="C752" s="20"/>
      <c r="D752" s="20"/>
      <c r="E752" s="20"/>
      <c r="F752" s="20"/>
      <c r="G752" s="20"/>
      <c r="H752" s="20"/>
    </row>
    <row r="753" hidden="1">
      <c r="A753" s="20"/>
      <c r="B753" s="20"/>
      <c r="C753" s="20"/>
      <c r="D753" s="20"/>
      <c r="E753" s="20"/>
      <c r="F753" s="20"/>
      <c r="G753" s="20"/>
      <c r="H753" s="20"/>
    </row>
    <row r="754" hidden="1">
      <c r="A754" s="20"/>
      <c r="B754" s="20"/>
      <c r="C754" s="20"/>
      <c r="D754" s="20"/>
      <c r="E754" s="20"/>
      <c r="F754" s="20"/>
      <c r="G754" s="20"/>
      <c r="H754" s="20"/>
    </row>
    <row r="755" hidden="1">
      <c r="A755" s="20"/>
      <c r="B755" s="20"/>
      <c r="C755" s="20"/>
      <c r="D755" s="20"/>
      <c r="E755" s="20"/>
      <c r="F755" s="20"/>
      <c r="G755" s="20"/>
      <c r="H755" s="20"/>
    </row>
    <row r="756" hidden="1">
      <c r="A756" s="20"/>
      <c r="B756" s="20"/>
      <c r="C756" s="20"/>
      <c r="D756" s="20"/>
      <c r="E756" s="20"/>
      <c r="F756" s="20"/>
      <c r="G756" s="20"/>
      <c r="H756" s="20"/>
    </row>
    <row r="757" hidden="1">
      <c r="A757" s="20"/>
      <c r="B757" s="20"/>
      <c r="C757" s="20"/>
      <c r="D757" s="20"/>
      <c r="E757" s="20"/>
      <c r="F757" s="20"/>
      <c r="G757" s="20"/>
      <c r="H757" s="20"/>
    </row>
    <row r="758" hidden="1">
      <c r="A758" s="20"/>
      <c r="B758" s="20"/>
      <c r="C758" s="20"/>
      <c r="D758" s="20"/>
      <c r="E758" s="20"/>
      <c r="F758" s="20"/>
      <c r="G758" s="20"/>
      <c r="H758" s="20"/>
    </row>
    <row r="759" hidden="1">
      <c r="A759" s="20"/>
      <c r="B759" s="20"/>
      <c r="C759" s="20"/>
      <c r="D759" s="20"/>
      <c r="E759" s="20"/>
      <c r="F759" s="20"/>
      <c r="G759" s="20"/>
      <c r="H759" s="20"/>
    </row>
    <row r="760" hidden="1">
      <c r="A760" s="20"/>
      <c r="B760" s="20"/>
      <c r="C760" s="20"/>
      <c r="D760" s="20"/>
      <c r="E760" s="20"/>
      <c r="F760" s="20"/>
      <c r="G760" s="20"/>
      <c r="H760" s="20"/>
    </row>
    <row r="761" hidden="1">
      <c r="A761" s="20"/>
      <c r="B761" s="20"/>
      <c r="C761" s="20"/>
      <c r="D761" s="20"/>
      <c r="E761" s="20"/>
      <c r="F761" s="20"/>
      <c r="G761" s="20"/>
      <c r="H761" s="20"/>
    </row>
    <row r="762" hidden="1">
      <c r="A762" s="20"/>
      <c r="B762" s="20"/>
      <c r="C762" s="20"/>
      <c r="D762" s="20"/>
      <c r="E762" s="20"/>
      <c r="F762" s="20"/>
      <c r="G762" s="20"/>
      <c r="H762" s="20"/>
    </row>
    <row r="763" hidden="1">
      <c r="A763" s="20"/>
      <c r="B763" s="20"/>
      <c r="C763" s="20"/>
      <c r="D763" s="20"/>
      <c r="E763" s="20"/>
      <c r="F763" s="20"/>
      <c r="G763" s="20"/>
      <c r="H763" s="20"/>
    </row>
    <row r="764" hidden="1">
      <c r="A764" s="20"/>
      <c r="B764" s="20"/>
      <c r="C764" s="20"/>
      <c r="D764" s="20"/>
      <c r="E764" s="20"/>
      <c r="F764" s="20"/>
      <c r="G764" s="20"/>
      <c r="H764" s="20"/>
    </row>
    <row r="765" hidden="1">
      <c r="A765" s="20"/>
      <c r="B765" s="20"/>
      <c r="C765" s="20"/>
      <c r="D765" s="20"/>
      <c r="E765" s="20"/>
      <c r="F765" s="20"/>
      <c r="G765" s="20"/>
      <c r="H765" s="20"/>
    </row>
    <row r="766" hidden="1">
      <c r="A766" s="20"/>
      <c r="B766" s="20"/>
      <c r="C766" s="20"/>
      <c r="D766" s="20"/>
      <c r="E766" s="20"/>
      <c r="F766" s="20"/>
      <c r="G766" s="20"/>
      <c r="H766" s="20"/>
    </row>
    <row r="767" hidden="1">
      <c r="A767" s="20"/>
      <c r="B767" s="20"/>
      <c r="C767" s="20"/>
      <c r="D767" s="20"/>
      <c r="E767" s="20"/>
      <c r="F767" s="20"/>
      <c r="G767" s="20"/>
      <c r="H767" s="20"/>
    </row>
    <row r="768" hidden="1">
      <c r="A768" s="20"/>
      <c r="B768" s="20"/>
      <c r="C768" s="20"/>
      <c r="D768" s="20"/>
      <c r="E768" s="20"/>
      <c r="F768" s="20"/>
      <c r="G768" s="20"/>
      <c r="H768" s="20"/>
    </row>
    <row r="769" hidden="1">
      <c r="A769" s="20"/>
      <c r="B769" s="20"/>
      <c r="C769" s="20"/>
      <c r="D769" s="20"/>
      <c r="E769" s="20"/>
      <c r="F769" s="20"/>
      <c r="G769" s="20"/>
      <c r="H769" s="20"/>
    </row>
    <row r="770" hidden="1">
      <c r="A770" s="20"/>
      <c r="B770" s="20"/>
      <c r="C770" s="20"/>
      <c r="D770" s="20"/>
      <c r="E770" s="20"/>
      <c r="F770" s="20"/>
      <c r="G770" s="20"/>
      <c r="H770" s="20"/>
    </row>
    <row r="771" hidden="1">
      <c r="A771" s="20"/>
      <c r="B771" s="20"/>
      <c r="C771" s="20"/>
      <c r="D771" s="20"/>
      <c r="E771" s="20"/>
      <c r="F771" s="20"/>
      <c r="G771" s="20"/>
      <c r="H771" s="20"/>
    </row>
    <row r="772" hidden="1">
      <c r="A772" s="20"/>
      <c r="B772" s="20"/>
      <c r="C772" s="20"/>
      <c r="D772" s="20"/>
      <c r="E772" s="20"/>
      <c r="F772" s="20"/>
      <c r="G772" s="20"/>
      <c r="H772" s="20"/>
    </row>
    <row r="773" hidden="1">
      <c r="A773" s="20"/>
      <c r="B773" s="20"/>
      <c r="C773" s="20"/>
      <c r="D773" s="20"/>
      <c r="E773" s="20"/>
      <c r="F773" s="20"/>
      <c r="G773" s="20"/>
      <c r="H773" s="20"/>
    </row>
    <row r="774" hidden="1">
      <c r="A774" s="20"/>
      <c r="B774" s="20"/>
      <c r="C774" s="20"/>
      <c r="D774" s="20"/>
      <c r="E774" s="20"/>
      <c r="F774" s="20"/>
      <c r="G774" s="20"/>
      <c r="H774" s="20"/>
    </row>
    <row r="775" hidden="1">
      <c r="A775" s="20"/>
      <c r="B775" s="20"/>
      <c r="C775" s="20"/>
      <c r="D775" s="20"/>
      <c r="E775" s="20"/>
      <c r="F775" s="20"/>
      <c r="G775" s="20"/>
      <c r="H775" s="20"/>
    </row>
    <row r="776" hidden="1">
      <c r="A776" s="20"/>
      <c r="B776" s="20"/>
      <c r="C776" s="20"/>
      <c r="D776" s="20"/>
      <c r="E776" s="20"/>
      <c r="F776" s="20"/>
      <c r="G776" s="20"/>
      <c r="H776" s="20"/>
    </row>
    <row r="777" hidden="1">
      <c r="A777" s="20"/>
      <c r="B777" s="20"/>
      <c r="C777" s="20"/>
      <c r="D777" s="20"/>
      <c r="E777" s="20"/>
      <c r="F777" s="20"/>
      <c r="G777" s="20"/>
      <c r="H777" s="20"/>
    </row>
    <row r="778" hidden="1">
      <c r="A778" s="20"/>
      <c r="B778" s="20"/>
      <c r="C778" s="20"/>
      <c r="D778" s="20"/>
      <c r="E778" s="20"/>
      <c r="F778" s="20"/>
      <c r="G778" s="20"/>
      <c r="H778" s="20"/>
    </row>
    <row r="779" hidden="1">
      <c r="A779" s="20"/>
      <c r="B779" s="20"/>
      <c r="C779" s="20"/>
      <c r="D779" s="20"/>
      <c r="E779" s="20"/>
      <c r="F779" s="20"/>
      <c r="G779" s="20"/>
      <c r="H779" s="20"/>
    </row>
    <row r="780" hidden="1">
      <c r="A780" s="20"/>
      <c r="B780" s="20"/>
      <c r="C780" s="20"/>
      <c r="D780" s="20"/>
      <c r="E780" s="20"/>
      <c r="F780" s="20"/>
      <c r="G780" s="20"/>
      <c r="H780" s="20"/>
    </row>
    <row r="781" hidden="1">
      <c r="A781" s="20"/>
      <c r="B781" s="20"/>
      <c r="C781" s="20"/>
      <c r="D781" s="20"/>
      <c r="E781" s="20"/>
      <c r="F781" s="20"/>
      <c r="G781" s="20"/>
      <c r="H781" s="20"/>
    </row>
    <row r="782" hidden="1">
      <c r="A782" s="20"/>
      <c r="B782" s="20"/>
      <c r="C782" s="20"/>
      <c r="D782" s="20"/>
      <c r="E782" s="20"/>
      <c r="F782" s="20"/>
      <c r="G782" s="20"/>
      <c r="H782" s="20"/>
    </row>
    <row r="783" hidden="1">
      <c r="A783" s="20"/>
      <c r="B783" s="20"/>
      <c r="C783" s="20"/>
      <c r="D783" s="20"/>
      <c r="E783" s="20"/>
      <c r="F783" s="20"/>
      <c r="G783" s="20"/>
      <c r="H783" s="20"/>
    </row>
    <row r="784" hidden="1">
      <c r="A784" s="20"/>
      <c r="B784" s="20"/>
      <c r="C784" s="20"/>
      <c r="D784" s="20"/>
      <c r="E784" s="20"/>
      <c r="F784" s="20"/>
      <c r="G784" s="20"/>
      <c r="H784" s="20"/>
    </row>
    <row r="785" hidden="1">
      <c r="A785" s="20"/>
      <c r="B785" s="20"/>
      <c r="C785" s="20"/>
      <c r="D785" s="20"/>
      <c r="E785" s="20"/>
      <c r="F785" s="20"/>
      <c r="G785" s="20"/>
      <c r="H785" s="20"/>
    </row>
    <row r="786" hidden="1">
      <c r="A786" s="20"/>
      <c r="B786" s="20"/>
      <c r="C786" s="20"/>
      <c r="D786" s="20"/>
      <c r="E786" s="20"/>
      <c r="F786" s="20"/>
      <c r="G786" s="20"/>
      <c r="H786" s="20"/>
    </row>
    <row r="787" hidden="1">
      <c r="A787" s="20"/>
      <c r="B787" s="20"/>
      <c r="C787" s="20"/>
      <c r="D787" s="20"/>
      <c r="E787" s="20"/>
      <c r="F787" s="20"/>
      <c r="G787" s="20"/>
      <c r="H787" s="20"/>
    </row>
    <row r="788" hidden="1">
      <c r="A788" s="20"/>
      <c r="B788" s="20"/>
      <c r="C788" s="20"/>
      <c r="D788" s="20"/>
      <c r="E788" s="20"/>
      <c r="F788" s="20"/>
      <c r="G788" s="20"/>
      <c r="H788" s="20"/>
    </row>
    <row r="789" hidden="1">
      <c r="A789" s="20"/>
      <c r="B789" s="20"/>
      <c r="C789" s="20"/>
      <c r="D789" s="20"/>
      <c r="E789" s="20"/>
      <c r="F789" s="20"/>
      <c r="G789" s="20"/>
      <c r="H789" s="20"/>
    </row>
    <row r="790" hidden="1">
      <c r="A790" s="20"/>
      <c r="B790" s="20"/>
      <c r="C790" s="20"/>
      <c r="D790" s="20"/>
      <c r="E790" s="20"/>
      <c r="F790" s="20"/>
      <c r="G790" s="20"/>
      <c r="H790" s="20"/>
    </row>
    <row r="791" hidden="1">
      <c r="A791" s="20"/>
      <c r="B791" s="20"/>
      <c r="C791" s="20"/>
      <c r="D791" s="20"/>
      <c r="E791" s="20"/>
      <c r="F791" s="20"/>
      <c r="G791" s="20"/>
      <c r="H791" s="20"/>
    </row>
    <row r="792" hidden="1">
      <c r="A792" s="20"/>
      <c r="B792" s="20"/>
      <c r="C792" s="20"/>
      <c r="D792" s="20"/>
      <c r="E792" s="20"/>
      <c r="F792" s="20"/>
      <c r="G792" s="20"/>
      <c r="H792" s="20"/>
    </row>
    <row r="793" hidden="1">
      <c r="A793" s="20"/>
      <c r="B793" s="20"/>
      <c r="C793" s="20"/>
      <c r="D793" s="20"/>
      <c r="E793" s="20"/>
      <c r="F793" s="20"/>
      <c r="G793" s="20"/>
      <c r="H793" s="20"/>
    </row>
    <row r="794" hidden="1">
      <c r="A794" s="20"/>
      <c r="B794" s="20"/>
      <c r="C794" s="20"/>
      <c r="D794" s="20"/>
      <c r="E794" s="20"/>
      <c r="F794" s="20"/>
      <c r="G794" s="20"/>
      <c r="H794" s="20"/>
    </row>
    <row r="795" hidden="1">
      <c r="A795" s="20"/>
      <c r="B795" s="20"/>
      <c r="C795" s="20"/>
      <c r="D795" s="20"/>
      <c r="E795" s="20"/>
      <c r="F795" s="20"/>
      <c r="G795" s="20"/>
      <c r="H795" s="20"/>
    </row>
    <row r="796" hidden="1">
      <c r="A796" s="20"/>
      <c r="B796" s="20"/>
      <c r="C796" s="20"/>
      <c r="D796" s="20"/>
      <c r="E796" s="20"/>
      <c r="F796" s="20"/>
      <c r="G796" s="20"/>
      <c r="H796" s="20"/>
    </row>
    <row r="797" hidden="1">
      <c r="A797" s="20"/>
      <c r="B797" s="20"/>
      <c r="C797" s="20"/>
      <c r="D797" s="20"/>
      <c r="E797" s="20"/>
      <c r="F797" s="20"/>
      <c r="G797" s="20"/>
      <c r="H797" s="20"/>
    </row>
    <row r="798" hidden="1">
      <c r="A798" s="20"/>
      <c r="B798" s="20"/>
      <c r="C798" s="20"/>
      <c r="D798" s="20"/>
      <c r="E798" s="20"/>
      <c r="F798" s="20"/>
      <c r="G798" s="20"/>
      <c r="H798" s="20"/>
    </row>
    <row r="799" hidden="1">
      <c r="A799" s="20"/>
      <c r="B799" s="20"/>
      <c r="C799" s="20"/>
      <c r="D799" s="20"/>
      <c r="E799" s="20"/>
      <c r="F799" s="20"/>
      <c r="G799" s="20"/>
      <c r="H799" s="20"/>
    </row>
    <row r="800" hidden="1">
      <c r="A800" s="20"/>
      <c r="B800" s="20"/>
      <c r="C800" s="20"/>
      <c r="D800" s="20"/>
      <c r="E800" s="20"/>
      <c r="F800" s="20"/>
      <c r="G800" s="20"/>
      <c r="H800" s="20"/>
    </row>
    <row r="801" hidden="1">
      <c r="A801" s="20"/>
      <c r="B801" s="20"/>
      <c r="C801" s="20"/>
      <c r="D801" s="20"/>
      <c r="E801" s="20"/>
      <c r="F801" s="20"/>
      <c r="G801" s="20"/>
      <c r="H801" s="20"/>
    </row>
    <row r="802" hidden="1">
      <c r="A802" s="20"/>
      <c r="B802" s="20"/>
      <c r="C802" s="20"/>
      <c r="D802" s="20"/>
      <c r="E802" s="20"/>
      <c r="F802" s="20"/>
      <c r="G802" s="20"/>
      <c r="H802" s="20"/>
    </row>
    <row r="803" hidden="1">
      <c r="A803" s="20"/>
      <c r="B803" s="20"/>
      <c r="C803" s="20"/>
      <c r="D803" s="20"/>
      <c r="E803" s="20"/>
      <c r="F803" s="20"/>
      <c r="G803" s="20"/>
      <c r="H803" s="20"/>
    </row>
    <row r="804" hidden="1">
      <c r="A804" s="20"/>
      <c r="B804" s="20"/>
      <c r="C804" s="20"/>
      <c r="D804" s="20"/>
      <c r="E804" s="20"/>
      <c r="F804" s="20"/>
      <c r="G804" s="20"/>
      <c r="H804" s="20"/>
    </row>
    <row r="805" hidden="1">
      <c r="A805" s="20"/>
      <c r="B805" s="20"/>
      <c r="C805" s="20"/>
      <c r="D805" s="20"/>
      <c r="E805" s="20"/>
      <c r="F805" s="20"/>
      <c r="G805" s="20"/>
      <c r="H805" s="20"/>
    </row>
    <row r="806" hidden="1">
      <c r="A806" s="20"/>
      <c r="B806" s="20"/>
      <c r="C806" s="20"/>
      <c r="D806" s="20"/>
      <c r="E806" s="20"/>
      <c r="F806" s="20"/>
      <c r="G806" s="20"/>
      <c r="H806" s="20"/>
    </row>
    <row r="807" hidden="1">
      <c r="A807" s="20"/>
      <c r="B807" s="20"/>
      <c r="C807" s="20"/>
      <c r="D807" s="20"/>
      <c r="E807" s="20"/>
      <c r="F807" s="20"/>
      <c r="G807" s="20"/>
      <c r="H807" s="20"/>
    </row>
    <row r="808" hidden="1">
      <c r="A808" s="20"/>
      <c r="B808" s="20"/>
      <c r="C808" s="20"/>
      <c r="D808" s="20"/>
      <c r="E808" s="20"/>
      <c r="F808" s="20"/>
      <c r="G808" s="20"/>
      <c r="H808" s="20"/>
    </row>
    <row r="809" hidden="1">
      <c r="A809" s="20"/>
      <c r="B809" s="20"/>
      <c r="C809" s="20"/>
      <c r="D809" s="20"/>
      <c r="E809" s="20"/>
      <c r="F809" s="20"/>
      <c r="G809" s="20"/>
      <c r="H809" s="20"/>
    </row>
    <row r="810" hidden="1">
      <c r="A810" s="20"/>
      <c r="B810" s="20"/>
      <c r="C810" s="20"/>
      <c r="D810" s="20"/>
      <c r="E810" s="20"/>
      <c r="F810" s="20"/>
      <c r="G810" s="20"/>
      <c r="H810" s="20"/>
    </row>
    <row r="811" hidden="1">
      <c r="A811" s="20"/>
      <c r="B811" s="20"/>
      <c r="C811" s="20"/>
      <c r="D811" s="20"/>
      <c r="E811" s="20"/>
      <c r="F811" s="20"/>
      <c r="G811" s="20"/>
      <c r="H811" s="20"/>
    </row>
    <row r="812" hidden="1">
      <c r="A812" s="20"/>
      <c r="B812" s="20"/>
      <c r="C812" s="20"/>
      <c r="D812" s="20"/>
      <c r="E812" s="20"/>
      <c r="F812" s="20"/>
      <c r="G812" s="20"/>
      <c r="H812" s="20"/>
    </row>
    <row r="813" hidden="1">
      <c r="A813" s="20"/>
      <c r="B813" s="20"/>
      <c r="C813" s="20"/>
      <c r="D813" s="20"/>
      <c r="E813" s="20"/>
      <c r="F813" s="20"/>
      <c r="G813" s="20"/>
      <c r="H813" s="20"/>
    </row>
    <row r="814" hidden="1">
      <c r="A814" s="20"/>
      <c r="B814" s="20"/>
      <c r="C814" s="20"/>
      <c r="D814" s="20"/>
      <c r="E814" s="20"/>
      <c r="F814" s="20"/>
      <c r="G814" s="20"/>
      <c r="H814" s="20"/>
    </row>
    <row r="815" hidden="1">
      <c r="A815" s="20"/>
      <c r="B815" s="20"/>
      <c r="C815" s="20"/>
      <c r="D815" s="20"/>
      <c r="E815" s="20"/>
      <c r="F815" s="20"/>
      <c r="G815" s="20"/>
      <c r="H815" s="20"/>
    </row>
    <row r="816" hidden="1">
      <c r="A816" s="20"/>
      <c r="B816" s="20"/>
      <c r="C816" s="20"/>
      <c r="D816" s="20"/>
      <c r="E816" s="20"/>
      <c r="F816" s="20"/>
      <c r="G816" s="20"/>
      <c r="H816" s="20"/>
    </row>
    <row r="817" hidden="1">
      <c r="A817" s="20"/>
      <c r="B817" s="20"/>
      <c r="C817" s="20"/>
      <c r="D817" s="20"/>
      <c r="E817" s="20"/>
      <c r="F817" s="20"/>
      <c r="G817" s="20"/>
      <c r="H817" s="20"/>
    </row>
    <row r="818" hidden="1">
      <c r="A818" s="20"/>
      <c r="B818" s="20"/>
      <c r="C818" s="20"/>
      <c r="D818" s="20"/>
      <c r="E818" s="20"/>
      <c r="F818" s="20"/>
      <c r="G818" s="20"/>
      <c r="H818" s="20"/>
    </row>
    <row r="819" hidden="1">
      <c r="A819" s="20"/>
      <c r="B819" s="20"/>
      <c r="C819" s="20"/>
      <c r="D819" s="20"/>
      <c r="E819" s="20"/>
      <c r="F819" s="20"/>
      <c r="G819" s="20"/>
      <c r="H819" s="20"/>
    </row>
    <row r="820" hidden="1">
      <c r="A820" s="20"/>
      <c r="B820" s="20"/>
      <c r="C820" s="20"/>
      <c r="D820" s="20"/>
      <c r="E820" s="20"/>
      <c r="F820" s="20"/>
      <c r="G820" s="20"/>
      <c r="H820" s="20"/>
    </row>
    <row r="821" hidden="1">
      <c r="A821" s="20"/>
      <c r="B821" s="20"/>
      <c r="C821" s="20"/>
      <c r="D821" s="20"/>
      <c r="E821" s="20"/>
      <c r="F821" s="20"/>
      <c r="G821" s="20"/>
      <c r="H821" s="20"/>
    </row>
    <row r="822" hidden="1">
      <c r="A822" s="20"/>
      <c r="B822" s="20"/>
      <c r="C822" s="20"/>
      <c r="D822" s="20"/>
      <c r="E822" s="20"/>
      <c r="F822" s="20"/>
      <c r="G822" s="20"/>
      <c r="H822" s="20"/>
    </row>
    <row r="823" hidden="1">
      <c r="A823" s="20"/>
      <c r="B823" s="20"/>
      <c r="C823" s="20"/>
      <c r="D823" s="20"/>
      <c r="E823" s="20"/>
      <c r="F823" s="20"/>
      <c r="G823" s="20"/>
      <c r="H823" s="20"/>
    </row>
    <row r="824" hidden="1">
      <c r="A824" s="20"/>
      <c r="B824" s="20"/>
      <c r="C824" s="20"/>
      <c r="D824" s="20"/>
      <c r="E824" s="20"/>
      <c r="F824" s="20"/>
      <c r="G824" s="20"/>
      <c r="H824" s="20"/>
    </row>
    <row r="825" hidden="1">
      <c r="A825" s="20"/>
      <c r="B825" s="20"/>
      <c r="C825" s="20"/>
      <c r="D825" s="20"/>
      <c r="E825" s="20"/>
      <c r="F825" s="20"/>
      <c r="G825" s="20"/>
      <c r="H825" s="20"/>
    </row>
    <row r="826" hidden="1">
      <c r="A826" s="20"/>
      <c r="B826" s="20"/>
      <c r="C826" s="20"/>
      <c r="D826" s="20"/>
      <c r="E826" s="20"/>
      <c r="F826" s="20"/>
      <c r="G826" s="20"/>
      <c r="H826" s="20"/>
    </row>
    <row r="827" hidden="1">
      <c r="A827" s="20"/>
      <c r="B827" s="20"/>
      <c r="C827" s="20"/>
      <c r="D827" s="20"/>
      <c r="E827" s="20"/>
      <c r="F827" s="20"/>
      <c r="G827" s="20"/>
      <c r="H827" s="20"/>
    </row>
    <row r="828" hidden="1">
      <c r="A828" s="20"/>
      <c r="B828" s="20"/>
      <c r="C828" s="20"/>
      <c r="D828" s="20"/>
      <c r="E828" s="20"/>
      <c r="F828" s="20"/>
      <c r="G828" s="20"/>
      <c r="H828" s="20"/>
    </row>
    <row r="829" hidden="1">
      <c r="A829" s="20"/>
      <c r="B829" s="20"/>
      <c r="C829" s="20"/>
      <c r="D829" s="20"/>
      <c r="E829" s="20"/>
      <c r="F829" s="20"/>
      <c r="G829" s="20"/>
      <c r="H829" s="20"/>
    </row>
    <row r="830" hidden="1">
      <c r="A830" s="20"/>
      <c r="B830" s="20"/>
      <c r="C830" s="20"/>
      <c r="D830" s="20"/>
      <c r="E830" s="20"/>
      <c r="F830" s="20"/>
      <c r="G830" s="20"/>
      <c r="H830" s="20"/>
    </row>
    <row r="831" hidden="1">
      <c r="A831" s="20"/>
      <c r="B831" s="20"/>
      <c r="C831" s="20"/>
      <c r="D831" s="20"/>
      <c r="E831" s="20"/>
      <c r="F831" s="20"/>
      <c r="G831" s="20"/>
      <c r="H831" s="20"/>
    </row>
    <row r="832" hidden="1">
      <c r="A832" s="20"/>
      <c r="B832" s="20"/>
      <c r="C832" s="20"/>
      <c r="D832" s="20"/>
      <c r="E832" s="20"/>
      <c r="F832" s="20"/>
      <c r="G832" s="20"/>
      <c r="H832" s="20"/>
    </row>
    <row r="833" hidden="1">
      <c r="A833" s="20"/>
      <c r="B833" s="20"/>
      <c r="C833" s="20"/>
      <c r="D833" s="20"/>
      <c r="E833" s="20"/>
      <c r="F833" s="20"/>
      <c r="G833" s="20"/>
      <c r="H833" s="20"/>
    </row>
    <row r="834" hidden="1">
      <c r="A834" s="20"/>
      <c r="B834" s="20"/>
      <c r="C834" s="20"/>
      <c r="D834" s="20"/>
      <c r="E834" s="20"/>
      <c r="F834" s="20"/>
      <c r="G834" s="20"/>
      <c r="H834" s="20"/>
    </row>
    <row r="835" hidden="1">
      <c r="A835" s="20"/>
      <c r="B835" s="20"/>
      <c r="C835" s="20"/>
      <c r="D835" s="20"/>
      <c r="E835" s="20"/>
      <c r="F835" s="20"/>
      <c r="G835" s="20"/>
      <c r="H835" s="20"/>
    </row>
    <row r="836" hidden="1">
      <c r="A836" s="20"/>
      <c r="B836" s="20"/>
      <c r="C836" s="20"/>
      <c r="D836" s="20"/>
      <c r="E836" s="20"/>
      <c r="F836" s="20"/>
      <c r="G836" s="20"/>
      <c r="H836" s="20"/>
    </row>
    <row r="837" hidden="1">
      <c r="A837" s="20"/>
      <c r="B837" s="20"/>
      <c r="C837" s="20"/>
      <c r="D837" s="20"/>
      <c r="E837" s="20"/>
      <c r="F837" s="20"/>
      <c r="G837" s="20"/>
      <c r="H837" s="20"/>
    </row>
    <row r="838" hidden="1">
      <c r="A838" s="20"/>
      <c r="B838" s="20"/>
      <c r="C838" s="20"/>
      <c r="D838" s="20"/>
      <c r="E838" s="20"/>
      <c r="F838" s="20"/>
      <c r="G838" s="20"/>
      <c r="H838" s="20"/>
    </row>
    <row r="839" hidden="1">
      <c r="A839" s="20"/>
      <c r="B839" s="20"/>
      <c r="C839" s="20"/>
      <c r="D839" s="20"/>
      <c r="E839" s="20"/>
      <c r="F839" s="20"/>
      <c r="G839" s="20"/>
      <c r="H839" s="20"/>
    </row>
    <row r="840" hidden="1">
      <c r="A840" s="20"/>
      <c r="B840" s="20"/>
      <c r="C840" s="20"/>
      <c r="D840" s="20"/>
      <c r="E840" s="20"/>
      <c r="F840" s="20"/>
      <c r="G840" s="20"/>
      <c r="H840" s="20"/>
    </row>
    <row r="841" hidden="1">
      <c r="A841" s="20"/>
      <c r="B841" s="20"/>
      <c r="C841" s="20"/>
      <c r="D841" s="20"/>
      <c r="E841" s="20"/>
      <c r="F841" s="20"/>
      <c r="G841" s="20"/>
      <c r="H841" s="20"/>
    </row>
    <row r="842" hidden="1">
      <c r="A842" s="20"/>
      <c r="B842" s="20"/>
      <c r="C842" s="20"/>
      <c r="D842" s="20"/>
      <c r="E842" s="20"/>
      <c r="F842" s="20"/>
      <c r="G842" s="20"/>
      <c r="H842" s="20"/>
    </row>
    <row r="843" hidden="1">
      <c r="A843" s="20"/>
      <c r="B843" s="20"/>
      <c r="C843" s="20"/>
      <c r="D843" s="20"/>
      <c r="E843" s="20"/>
      <c r="F843" s="20"/>
      <c r="G843" s="20"/>
      <c r="H843" s="20"/>
    </row>
    <row r="844" hidden="1">
      <c r="A844" s="20"/>
      <c r="B844" s="20"/>
      <c r="C844" s="20"/>
      <c r="D844" s="20"/>
      <c r="E844" s="20"/>
      <c r="F844" s="20"/>
      <c r="G844" s="20"/>
      <c r="H844" s="20"/>
    </row>
    <row r="845" hidden="1">
      <c r="A845" s="20"/>
      <c r="B845" s="20"/>
      <c r="C845" s="20"/>
      <c r="D845" s="20"/>
      <c r="E845" s="20"/>
      <c r="F845" s="20"/>
      <c r="G845" s="20"/>
      <c r="H845" s="20"/>
    </row>
    <row r="846" hidden="1">
      <c r="A846" s="20"/>
      <c r="B846" s="20"/>
      <c r="C846" s="20"/>
      <c r="D846" s="20"/>
      <c r="E846" s="20"/>
      <c r="F846" s="20"/>
      <c r="G846" s="20"/>
      <c r="H846" s="20"/>
    </row>
    <row r="847" hidden="1">
      <c r="A847" s="20"/>
      <c r="B847" s="20"/>
      <c r="C847" s="20"/>
      <c r="D847" s="20"/>
      <c r="E847" s="20"/>
      <c r="F847" s="20"/>
      <c r="G847" s="20"/>
      <c r="H847" s="20"/>
    </row>
    <row r="848" hidden="1">
      <c r="A848" s="20"/>
      <c r="B848" s="20"/>
      <c r="C848" s="20"/>
      <c r="D848" s="20"/>
      <c r="E848" s="20"/>
      <c r="F848" s="20"/>
      <c r="G848" s="20"/>
      <c r="H848" s="20"/>
    </row>
    <row r="849" hidden="1">
      <c r="A849" s="20"/>
      <c r="B849" s="20"/>
      <c r="C849" s="20"/>
      <c r="D849" s="20"/>
      <c r="E849" s="20"/>
      <c r="F849" s="20"/>
      <c r="G849" s="20"/>
      <c r="H849" s="20"/>
    </row>
    <row r="850" hidden="1">
      <c r="A850" s="20"/>
      <c r="B850" s="20"/>
      <c r="C850" s="20"/>
      <c r="D850" s="20"/>
      <c r="E850" s="20"/>
      <c r="F850" s="20"/>
      <c r="G850" s="20"/>
      <c r="H850" s="20"/>
    </row>
    <row r="851" hidden="1">
      <c r="A851" s="20"/>
      <c r="B851" s="20"/>
      <c r="C851" s="20"/>
      <c r="D851" s="20"/>
      <c r="E851" s="20"/>
      <c r="F851" s="20"/>
      <c r="G851" s="20"/>
      <c r="H851" s="20"/>
    </row>
    <row r="852" hidden="1">
      <c r="A852" s="20"/>
      <c r="B852" s="20"/>
      <c r="C852" s="20"/>
      <c r="D852" s="20"/>
      <c r="E852" s="20"/>
      <c r="F852" s="20"/>
      <c r="G852" s="20"/>
      <c r="H852" s="20"/>
    </row>
    <row r="853" hidden="1">
      <c r="A853" s="20"/>
      <c r="B853" s="20"/>
      <c r="C853" s="20"/>
      <c r="D853" s="20"/>
      <c r="E853" s="20"/>
      <c r="F853" s="20"/>
      <c r="G853" s="20"/>
      <c r="H853" s="20"/>
    </row>
    <row r="854" hidden="1">
      <c r="A854" s="20"/>
      <c r="B854" s="20"/>
      <c r="C854" s="20"/>
      <c r="D854" s="20"/>
      <c r="E854" s="20"/>
      <c r="F854" s="20"/>
      <c r="G854" s="20"/>
      <c r="H854" s="20"/>
    </row>
    <row r="855" hidden="1">
      <c r="A855" s="20"/>
      <c r="B855" s="20"/>
      <c r="C855" s="20"/>
      <c r="D855" s="20"/>
      <c r="E855" s="20"/>
      <c r="F855" s="20"/>
      <c r="G855" s="20"/>
      <c r="H855" s="20"/>
    </row>
    <row r="856" hidden="1">
      <c r="A856" s="20"/>
      <c r="B856" s="20"/>
      <c r="C856" s="20"/>
      <c r="D856" s="20"/>
      <c r="E856" s="20"/>
      <c r="F856" s="20"/>
      <c r="G856" s="20"/>
      <c r="H856" s="20"/>
    </row>
    <row r="857" hidden="1">
      <c r="A857" s="20"/>
      <c r="B857" s="20"/>
      <c r="C857" s="20"/>
      <c r="D857" s="20"/>
      <c r="E857" s="20"/>
      <c r="F857" s="20"/>
      <c r="G857" s="20"/>
      <c r="H857" s="20"/>
    </row>
    <row r="858" hidden="1">
      <c r="A858" s="20"/>
      <c r="B858" s="20"/>
      <c r="C858" s="20"/>
      <c r="D858" s="20"/>
      <c r="E858" s="20"/>
      <c r="F858" s="20"/>
      <c r="G858" s="20"/>
      <c r="H858" s="20"/>
    </row>
    <row r="859" hidden="1">
      <c r="A859" s="20"/>
      <c r="B859" s="20"/>
      <c r="C859" s="20"/>
      <c r="D859" s="20"/>
      <c r="E859" s="20"/>
      <c r="F859" s="20"/>
      <c r="G859" s="20"/>
      <c r="H859" s="20"/>
    </row>
    <row r="860" hidden="1">
      <c r="A860" s="20"/>
      <c r="B860" s="20"/>
      <c r="C860" s="20"/>
      <c r="D860" s="20"/>
      <c r="E860" s="20"/>
      <c r="F860" s="20"/>
      <c r="G860" s="20"/>
      <c r="H860" s="20"/>
    </row>
    <row r="861" hidden="1">
      <c r="A861" s="20"/>
      <c r="B861" s="20"/>
      <c r="C861" s="20"/>
      <c r="D861" s="20"/>
      <c r="E861" s="20"/>
      <c r="F861" s="20"/>
      <c r="G861" s="20"/>
      <c r="H861" s="20"/>
    </row>
    <row r="862" hidden="1">
      <c r="A862" s="20"/>
      <c r="B862" s="20"/>
      <c r="C862" s="20"/>
      <c r="D862" s="20"/>
      <c r="E862" s="20"/>
      <c r="F862" s="20"/>
      <c r="G862" s="20"/>
      <c r="H862" s="20"/>
    </row>
    <row r="863" hidden="1">
      <c r="A863" s="20"/>
      <c r="B863" s="20"/>
      <c r="C863" s="20"/>
      <c r="D863" s="20"/>
      <c r="E863" s="20"/>
      <c r="F863" s="20"/>
      <c r="G863" s="20"/>
      <c r="H863" s="20"/>
    </row>
    <row r="864" hidden="1">
      <c r="A864" s="20"/>
      <c r="B864" s="20"/>
      <c r="C864" s="20"/>
      <c r="D864" s="20"/>
      <c r="E864" s="20"/>
      <c r="F864" s="20"/>
      <c r="G864" s="20"/>
      <c r="H864" s="20"/>
    </row>
    <row r="865" hidden="1">
      <c r="A865" s="20"/>
      <c r="B865" s="20"/>
      <c r="C865" s="20"/>
      <c r="D865" s="20"/>
      <c r="E865" s="20"/>
      <c r="F865" s="20"/>
      <c r="G865" s="20"/>
      <c r="H865" s="20"/>
    </row>
    <row r="866" hidden="1">
      <c r="A866" s="20"/>
      <c r="B866" s="20"/>
      <c r="C866" s="20"/>
      <c r="D866" s="20"/>
      <c r="E866" s="20"/>
      <c r="F866" s="20"/>
      <c r="G866" s="20"/>
      <c r="H866" s="20"/>
    </row>
    <row r="867" hidden="1">
      <c r="A867" s="20"/>
      <c r="B867" s="20"/>
      <c r="C867" s="20"/>
      <c r="D867" s="20"/>
      <c r="E867" s="20"/>
      <c r="F867" s="20"/>
      <c r="G867" s="20"/>
      <c r="H867" s="20"/>
    </row>
    <row r="868" hidden="1">
      <c r="A868" s="20"/>
      <c r="B868" s="20"/>
      <c r="C868" s="20"/>
      <c r="D868" s="20"/>
      <c r="E868" s="20"/>
      <c r="F868" s="20"/>
      <c r="G868" s="20"/>
      <c r="H868" s="20"/>
    </row>
    <row r="869" hidden="1">
      <c r="A869" s="20"/>
      <c r="B869" s="20"/>
      <c r="C869" s="20"/>
      <c r="D869" s="20"/>
      <c r="E869" s="20"/>
      <c r="F869" s="20"/>
      <c r="G869" s="20"/>
      <c r="H869" s="20"/>
    </row>
    <row r="870" hidden="1">
      <c r="A870" s="20"/>
      <c r="B870" s="20"/>
      <c r="C870" s="20"/>
      <c r="D870" s="20"/>
      <c r="E870" s="20"/>
      <c r="F870" s="20"/>
      <c r="G870" s="20"/>
      <c r="H870" s="20"/>
    </row>
    <row r="871" hidden="1">
      <c r="A871" s="20"/>
      <c r="B871" s="20"/>
      <c r="C871" s="20"/>
      <c r="D871" s="20"/>
      <c r="E871" s="20"/>
      <c r="F871" s="20"/>
      <c r="G871" s="20"/>
      <c r="H871" s="20"/>
    </row>
    <row r="872" hidden="1">
      <c r="A872" s="20"/>
      <c r="B872" s="20"/>
      <c r="C872" s="20"/>
      <c r="D872" s="20"/>
      <c r="E872" s="20"/>
      <c r="F872" s="20"/>
      <c r="G872" s="20"/>
      <c r="H872" s="20"/>
    </row>
    <row r="873" hidden="1">
      <c r="A873" s="20"/>
      <c r="B873" s="20"/>
      <c r="C873" s="20"/>
      <c r="D873" s="20"/>
      <c r="E873" s="20"/>
      <c r="F873" s="20"/>
      <c r="G873" s="20"/>
      <c r="H873" s="20"/>
    </row>
    <row r="874" hidden="1">
      <c r="A874" s="20"/>
      <c r="B874" s="20"/>
      <c r="C874" s="20"/>
      <c r="D874" s="20"/>
      <c r="E874" s="20"/>
      <c r="F874" s="20"/>
      <c r="G874" s="20"/>
      <c r="H874" s="20"/>
    </row>
    <row r="875" hidden="1">
      <c r="A875" s="20"/>
      <c r="B875" s="20"/>
      <c r="C875" s="20"/>
      <c r="D875" s="20"/>
      <c r="E875" s="20"/>
      <c r="F875" s="20"/>
      <c r="G875" s="20"/>
      <c r="H875" s="20"/>
    </row>
    <row r="876" hidden="1">
      <c r="A876" s="20"/>
      <c r="B876" s="20"/>
      <c r="C876" s="20"/>
      <c r="D876" s="20"/>
      <c r="E876" s="20"/>
      <c r="F876" s="20"/>
      <c r="G876" s="20"/>
      <c r="H876" s="20"/>
    </row>
    <row r="877" hidden="1">
      <c r="A877" s="20"/>
      <c r="B877" s="20"/>
      <c r="C877" s="20"/>
      <c r="D877" s="20"/>
      <c r="E877" s="20"/>
      <c r="F877" s="20"/>
      <c r="G877" s="20"/>
      <c r="H877" s="20"/>
    </row>
    <row r="878" hidden="1">
      <c r="A878" s="20"/>
      <c r="B878" s="20"/>
      <c r="C878" s="20"/>
      <c r="D878" s="20"/>
      <c r="E878" s="20"/>
      <c r="F878" s="20"/>
      <c r="G878" s="20"/>
      <c r="H878" s="20"/>
    </row>
    <row r="879" hidden="1">
      <c r="A879" s="20"/>
      <c r="B879" s="20"/>
      <c r="C879" s="20"/>
      <c r="D879" s="20"/>
      <c r="E879" s="20"/>
      <c r="F879" s="20"/>
      <c r="G879" s="20"/>
      <c r="H879" s="20"/>
    </row>
    <row r="880" hidden="1">
      <c r="A880" s="20"/>
      <c r="B880" s="20"/>
      <c r="C880" s="20"/>
      <c r="D880" s="20"/>
      <c r="E880" s="20"/>
      <c r="F880" s="20"/>
      <c r="G880" s="20"/>
      <c r="H880" s="20"/>
    </row>
    <row r="881" hidden="1">
      <c r="A881" s="20"/>
      <c r="B881" s="20"/>
      <c r="C881" s="20"/>
      <c r="D881" s="20"/>
      <c r="E881" s="20"/>
      <c r="F881" s="20"/>
      <c r="G881" s="20"/>
      <c r="H881" s="20"/>
    </row>
    <row r="882" hidden="1">
      <c r="A882" s="20"/>
      <c r="B882" s="20"/>
      <c r="C882" s="20"/>
      <c r="D882" s="20"/>
      <c r="E882" s="20"/>
      <c r="F882" s="20"/>
      <c r="G882" s="20"/>
      <c r="H882" s="20"/>
    </row>
    <row r="883" hidden="1">
      <c r="A883" s="20"/>
      <c r="B883" s="20"/>
      <c r="C883" s="20"/>
      <c r="D883" s="20"/>
      <c r="E883" s="20"/>
      <c r="F883" s="20"/>
      <c r="G883" s="20"/>
      <c r="H883" s="20"/>
    </row>
    <row r="884" hidden="1">
      <c r="A884" s="20"/>
      <c r="B884" s="20"/>
      <c r="C884" s="20"/>
      <c r="D884" s="20"/>
      <c r="E884" s="20"/>
      <c r="F884" s="20"/>
      <c r="G884" s="20"/>
      <c r="H884" s="20"/>
    </row>
    <row r="885" hidden="1">
      <c r="A885" s="20"/>
      <c r="B885" s="20"/>
      <c r="C885" s="20"/>
      <c r="D885" s="20"/>
      <c r="E885" s="20"/>
      <c r="F885" s="20"/>
      <c r="G885" s="20"/>
      <c r="H885" s="20"/>
    </row>
    <row r="886" hidden="1">
      <c r="A886" s="20"/>
      <c r="B886" s="20"/>
      <c r="C886" s="20"/>
      <c r="D886" s="20"/>
      <c r="E886" s="20"/>
      <c r="F886" s="20"/>
      <c r="G886" s="20"/>
      <c r="H886" s="20"/>
    </row>
    <row r="887" hidden="1">
      <c r="A887" s="20"/>
      <c r="B887" s="20"/>
      <c r="C887" s="20"/>
      <c r="D887" s="20"/>
      <c r="E887" s="20"/>
      <c r="F887" s="20"/>
      <c r="G887" s="20"/>
      <c r="H887" s="20"/>
    </row>
    <row r="888" hidden="1">
      <c r="A888" s="20"/>
      <c r="B888" s="20"/>
      <c r="C888" s="20"/>
      <c r="D888" s="20"/>
      <c r="E888" s="20"/>
      <c r="F888" s="20"/>
      <c r="G888" s="20"/>
      <c r="H888" s="20"/>
    </row>
    <row r="889" hidden="1">
      <c r="A889" s="20"/>
      <c r="B889" s="20"/>
      <c r="C889" s="20"/>
      <c r="D889" s="20"/>
      <c r="E889" s="20"/>
      <c r="F889" s="20"/>
      <c r="G889" s="20"/>
      <c r="H889" s="20"/>
    </row>
    <row r="890" hidden="1">
      <c r="A890" s="20"/>
      <c r="B890" s="20"/>
      <c r="C890" s="20"/>
      <c r="D890" s="20"/>
      <c r="E890" s="20"/>
      <c r="F890" s="20"/>
      <c r="G890" s="20"/>
      <c r="H890" s="20"/>
    </row>
    <row r="891" hidden="1">
      <c r="A891" s="20"/>
      <c r="B891" s="20"/>
      <c r="C891" s="20"/>
      <c r="D891" s="20"/>
      <c r="E891" s="20"/>
      <c r="F891" s="20"/>
      <c r="G891" s="20"/>
      <c r="H891" s="20"/>
    </row>
    <row r="892" hidden="1">
      <c r="A892" s="20"/>
      <c r="B892" s="20"/>
      <c r="C892" s="20"/>
      <c r="D892" s="20"/>
      <c r="E892" s="20"/>
      <c r="F892" s="20"/>
      <c r="G892" s="20"/>
      <c r="H892" s="20"/>
    </row>
    <row r="893" hidden="1">
      <c r="A893" s="20"/>
      <c r="B893" s="20"/>
      <c r="C893" s="20"/>
      <c r="D893" s="20"/>
      <c r="E893" s="20"/>
      <c r="F893" s="20"/>
      <c r="G893" s="20"/>
      <c r="H893" s="20"/>
    </row>
    <row r="894" hidden="1">
      <c r="A894" s="20"/>
      <c r="B894" s="20"/>
      <c r="C894" s="20"/>
      <c r="D894" s="20"/>
      <c r="E894" s="20"/>
      <c r="F894" s="20"/>
      <c r="G894" s="20"/>
      <c r="H894" s="20"/>
    </row>
    <row r="895" hidden="1">
      <c r="A895" s="20"/>
      <c r="B895" s="20"/>
      <c r="C895" s="20"/>
      <c r="D895" s="20"/>
      <c r="E895" s="20"/>
      <c r="F895" s="20"/>
      <c r="G895" s="20"/>
      <c r="H895" s="20"/>
    </row>
    <row r="896" hidden="1">
      <c r="A896" s="20"/>
      <c r="B896" s="20"/>
      <c r="C896" s="20"/>
      <c r="D896" s="20"/>
      <c r="E896" s="20"/>
      <c r="F896" s="20"/>
      <c r="G896" s="20"/>
      <c r="H896" s="20"/>
    </row>
    <row r="897" hidden="1">
      <c r="A897" s="20"/>
      <c r="B897" s="20"/>
      <c r="C897" s="20"/>
      <c r="D897" s="20"/>
      <c r="E897" s="20"/>
      <c r="F897" s="20"/>
      <c r="G897" s="20"/>
      <c r="H897" s="20"/>
    </row>
    <row r="898" hidden="1">
      <c r="A898" s="20"/>
      <c r="B898" s="20"/>
      <c r="C898" s="20"/>
      <c r="D898" s="20"/>
      <c r="E898" s="20"/>
      <c r="F898" s="20"/>
      <c r="G898" s="20"/>
      <c r="H898" s="20"/>
    </row>
    <row r="899" hidden="1">
      <c r="A899" s="20"/>
      <c r="B899" s="20"/>
      <c r="C899" s="20"/>
      <c r="D899" s="20"/>
      <c r="E899" s="20"/>
      <c r="F899" s="20"/>
      <c r="G899" s="20"/>
      <c r="H899" s="20"/>
    </row>
    <row r="900" hidden="1">
      <c r="A900" s="20"/>
      <c r="B900" s="20"/>
      <c r="C900" s="20"/>
      <c r="D900" s="20"/>
      <c r="E900" s="20"/>
      <c r="F900" s="20"/>
      <c r="G900" s="20"/>
      <c r="H900" s="20"/>
    </row>
    <row r="901" hidden="1">
      <c r="A901" s="20"/>
      <c r="B901" s="20"/>
      <c r="C901" s="20"/>
      <c r="D901" s="20"/>
      <c r="E901" s="20"/>
      <c r="F901" s="20"/>
      <c r="G901" s="20"/>
      <c r="H901" s="20"/>
    </row>
    <row r="902" hidden="1">
      <c r="A902" s="20"/>
      <c r="B902" s="20"/>
      <c r="C902" s="20"/>
      <c r="D902" s="20"/>
      <c r="E902" s="20"/>
      <c r="F902" s="20"/>
      <c r="G902" s="20"/>
      <c r="H902" s="20"/>
    </row>
    <row r="903" hidden="1">
      <c r="A903" s="20"/>
      <c r="B903" s="20"/>
      <c r="C903" s="20"/>
      <c r="D903" s="20"/>
      <c r="E903" s="20"/>
      <c r="F903" s="20"/>
      <c r="G903" s="20"/>
      <c r="H903" s="20"/>
    </row>
    <row r="904" hidden="1">
      <c r="A904" s="20"/>
      <c r="B904" s="20"/>
      <c r="C904" s="20"/>
      <c r="D904" s="20"/>
      <c r="E904" s="20"/>
      <c r="F904" s="20"/>
      <c r="G904" s="20"/>
      <c r="H904" s="20"/>
    </row>
    <row r="905" hidden="1">
      <c r="A905" s="20"/>
      <c r="B905" s="20"/>
      <c r="C905" s="20"/>
      <c r="D905" s="20"/>
      <c r="E905" s="20"/>
      <c r="F905" s="20"/>
      <c r="G905" s="20"/>
      <c r="H905" s="20"/>
    </row>
    <row r="906" hidden="1">
      <c r="A906" s="20"/>
      <c r="B906" s="20"/>
      <c r="C906" s="20"/>
      <c r="D906" s="20"/>
      <c r="E906" s="20"/>
      <c r="F906" s="20"/>
      <c r="G906" s="20"/>
      <c r="H906" s="20"/>
    </row>
    <row r="907" hidden="1">
      <c r="A907" s="20"/>
      <c r="B907" s="20"/>
      <c r="C907" s="20"/>
      <c r="D907" s="20"/>
      <c r="E907" s="20"/>
      <c r="F907" s="20"/>
      <c r="G907" s="20"/>
      <c r="H907" s="20"/>
    </row>
    <row r="908" hidden="1">
      <c r="A908" s="20"/>
      <c r="B908" s="20"/>
      <c r="C908" s="20"/>
      <c r="D908" s="20"/>
      <c r="E908" s="20"/>
      <c r="F908" s="20"/>
      <c r="G908" s="20"/>
      <c r="H908" s="20"/>
    </row>
    <row r="909" hidden="1">
      <c r="A909" s="20"/>
      <c r="B909" s="20"/>
      <c r="C909" s="20"/>
      <c r="D909" s="20"/>
      <c r="E909" s="20"/>
      <c r="F909" s="20"/>
      <c r="G909" s="20"/>
      <c r="H909" s="20"/>
    </row>
    <row r="910" hidden="1">
      <c r="A910" s="20"/>
      <c r="B910" s="20"/>
      <c r="C910" s="20"/>
      <c r="D910" s="20"/>
      <c r="E910" s="20"/>
      <c r="F910" s="20"/>
      <c r="G910" s="20"/>
      <c r="H910" s="20"/>
    </row>
    <row r="911" hidden="1">
      <c r="A911" s="20"/>
      <c r="B911" s="20"/>
      <c r="C911" s="20"/>
      <c r="D911" s="20"/>
      <c r="E911" s="20"/>
      <c r="F911" s="20"/>
      <c r="G911" s="20"/>
      <c r="H911" s="20"/>
    </row>
    <row r="912" hidden="1">
      <c r="A912" s="20"/>
      <c r="B912" s="20"/>
      <c r="C912" s="20"/>
      <c r="D912" s="20"/>
      <c r="E912" s="20"/>
      <c r="F912" s="20"/>
      <c r="G912" s="20"/>
      <c r="H912" s="20"/>
    </row>
    <row r="913" hidden="1">
      <c r="A913" s="20"/>
      <c r="B913" s="20"/>
      <c r="C913" s="20"/>
      <c r="D913" s="20"/>
      <c r="E913" s="20"/>
      <c r="F913" s="20"/>
      <c r="G913" s="20"/>
      <c r="H913" s="20"/>
    </row>
    <row r="914" hidden="1">
      <c r="A914" s="20"/>
      <c r="B914" s="20"/>
      <c r="C914" s="20"/>
      <c r="D914" s="20"/>
      <c r="E914" s="20"/>
      <c r="F914" s="20"/>
      <c r="G914" s="20"/>
      <c r="H914" s="20"/>
    </row>
    <row r="915" hidden="1">
      <c r="A915" s="20"/>
      <c r="B915" s="20"/>
      <c r="C915" s="20"/>
      <c r="D915" s="20"/>
      <c r="E915" s="20"/>
      <c r="F915" s="20"/>
      <c r="G915" s="20"/>
      <c r="H915" s="20"/>
    </row>
    <row r="916" hidden="1">
      <c r="A916" s="20"/>
      <c r="B916" s="20"/>
      <c r="C916" s="20"/>
      <c r="D916" s="20"/>
      <c r="E916" s="20"/>
      <c r="F916" s="20"/>
      <c r="G916" s="20"/>
      <c r="H916" s="20"/>
    </row>
    <row r="917" hidden="1">
      <c r="A917" s="20"/>
      <c r="B917" s="20"/>
      <c r="C917" s="20"/>
      <c r="D917" s="20"/>
      <c r="E917" s="20"/>
      <c r="F917" s="20"/>
      <c r="G917" s="20"/>
      <c r="H917" s="20"/>
    </row>
    <row r="918" hidden="1">
      <c r="A918" s="20"/>
      <c r="B918" s="20"/>
      <c r="C918" s="20"/>
      <c r="D918" s="20"/>
      <c r="E918" s="20"/>
      <c r="F918" s="20"/>
      <c r="G918" s="20"/>
      <c r="H918" s="20"/>
    </row>
    <row r="919" hidden="1">
      <c r="A919" s="20"/>
      <c r="B919" s="20"/>
      <c r="C919" s="20"/>
      <c r="D919" s="20"/>
      <c r="E919" s="20"/>
      <c r="F919" s="20"/>
      <c r="G919" s="20"/>
      <c r="H919" s="20"/>
    </row>
    <row r="920" hidden="1">
      <c r="A920" s="20"/>
      <c r="B920" s="20"/>
      <c r="C920" s="20"/>
      <c r="D920" s="20"/>
      <c r="E920" s="20"/>
      <c r="F920" s="20"/>
      <c r="G920" s="20"/>
      <c r="H920" s="20"/>
    </row>
    <row r="921" hidden="1">
      <c r="A921" s="20"/>
      <c r="B921" s="20"/>
      <c r="C921" s="20"/>
      <c r="D921" s="20"/>
      <c r="E921" s="20"/>
      <c r="F921" s="20"/>
      <c r="G921" s="20"/>
      <c r="H921" s="20"/>
    </row>
    <row r="922" hidden="1">
      <c r="A922" s="20"/>
      <c r="B922" s="20"/>
      <c r="C922" s="20"/>
      <c r="D922" s="20"/>
      <c r="E922" s="20"/>
      <c r="F922" s="20"/>
      <c r="G922" s="20"/>
      <c r="H922" s="20"/>
    </row>
    <row r="923" hidden="1">
      <c r="A923" s="20"/>
      <c r="B923" s="20"/>
      <c r="C923" s="20"/>
      <c r="D923" s="20"/>
      <c r="E923" s="20"/>
      <c r="F923" s="20"/>
      <c r="G923" s="20"/>
      <c r="H923" s="20"/>
    </row>
    <row r="924" hidden="1">
      <c r="A924" s="20"/>
      <c r="B924" s="20"/>
      <c r="C924" s="20"/>
      <c r="D924" s="20"/>
      <c r="E924" s="20"/>
      <c r="F924" s="20"/>
      <c r="G924" s="20"/>
      <c r="H924" s="20"/>
    </row>
    <row r="925" hidden="1">
      <c r="A925" s="20"/>
      <c r="B925" s="20"/>
      <c r="C925" s="20"/>
      <c r="D925" s="20"/>
      <c r="E925" s="20"/>
      <c r="F925" s="20"/>
      <c r="G925" s="20"/>
      <c r="H925" s="20"/>
    </row>
    <row r="926" hidden="1">
      <c r="A926" s="20"/>
      <c r="B926" s="20"/>
      <c r="C926" s="20"/>
      <c r="D926" s="20"/>
      <c r="E926" s="20"/>
      <c r="F926" s="20"/>
      <c r="G926" s="20"/>
      <c r="H926" s="20"/>
    </row>
    <row r="927" hidden="1">
      <c r="A927" s="20"/>
      <c r="B927" s="20"/>
      <c r="C927" s="20"/>
      <c r="D927" s="20"/>
      <c r="E927" s="20"/>
      <c r="F927" s="20"/>
      <c r="G927" s="20"/>
      <c r="H927" s="20"/>
    </row>
    <row r="928" hidden="1">
      <c r="A928" s="20"/>
      <c r="B928" s="20"/>
      <c r="C928" s="20"/>
      <c r="D928" s="20"/>
      <c r="E928" s="20"/>
      <c r="F928" s="20"/>
      <c r="G928" s="20"/>
      <c r="H928" s="20"/>
    </row>
    <row r="929" hidden="1">
      <c r="A929" s="20"/>
      <c r="B929" s="20"/>
      <c r="C929" s="20"/>
      <c r="D929" s="20"/>
      <c r="E929" s="20"/>
      <c r="F929" s="20"/>
      <c r="G929" s="20"/>
      <c r="H929" s="20"/>
    </row>
    <row r="930" hidden="1">
      <c r="A930" s="20"/>
      <c r="B930" s="20"/>
      <c r="C930" s="20"/>
      <c r="D930" s="20"/>
      <c r="E930" s="20"/>
      <c r="F930" s="20"/>
      <c r="G930" s="20"/>
      <c r="H930" s="20"/>
    </row>
    <row r="931" hidden="1">
      <c r="A931" s="20"/>
      <c r="B931" s="20"/>
      <c r="C931" s="20"/>
      <c r="D931" s="20"/>
      <c r="E931" s="20"/>
      <c r="F931" s="20"/>
      <c r="G931" s="20"/>
      <c r="H931" s="20"/>
    </row>
    <row r="932" hidden="1">
      <c r="A932" s="20"/>
      <c r="B932" s="20"/>
      <c r="C932" s="20"/>
      <c r="D932" s="20"/>
      <c r="E932" s="20"/>
      <c r="F932" s="20"/>
      <c r="G932" s="20"/>
      <c r="H932" s="20"/>
    </row>
    <row r="933" hidden="1">
      <c r="A933" s="20"/>
      <c r="B933" s="20"/>
      <c r="C933" s="20"/>
      <c r="D933" s="20"/>
      <c r="E933" s="20"/>
      <c r="F933" s="20"/>
      <c r="G933" s="20"/>
      <c r="H933" s="20"/>
    </row>
    <row r="934" hidden="1">
      <c r="A934" s="20"/>
      <c r="B934" s="20"/>
      <c r="C934" s="20"/>
      <c r="D934" s="20"/>
      <c r="E934" s="20"/>
      <c r="F934" s="20"/>
      <c r="G934" s="20"/>
      <c r="H934" s="20"/>
    </row>
    <row r="935" hidden="1">
      <c r="A935" s="20"/>
      <c r="B935" s="20"/>
      <c r="C935" s="20"/>
      <c r="D935" s="20"/>
      <c r="E935" s="20"/>
      <c r="F935" s="20"/>
      <c r="G935" s="20"/>
      <c r="H935" s="20"/>
    </row>
    <row r="936" hidden="1">
      <c r="A936" s="20"/>
      <c r="B936" s="20"/>
      <c r="C936" s="20"/>
      <c r="D936" s="20"/>
      <c r="E936" s="20"/>
      <c r="F936" s="20"/>
      <c r="G936" s="20"/>
      <c r="H936" s="20"/>
    </row>
    <row r="937" hidden="1">
      <c r="A937" s="20"/>
      <c r="B937" s="20"/>
      <c r="C937" s="20"/>
      <c r="D937" s="20"/>
      <c r="E937" s="20"/>
      <c r="F937" s="20"/>
      <c r="G937" s="20"/>
      <c r="H937" s="20"/>
    </row>
    <row r="938" hidden="1">
      <c r="A938" s="20"/>
      <c r="B938" s="20"/>
      <c r="C938" s="20"/>
      <c r="D938" s="20"/>
      <c r="E938" s="20"/>
      <c r="F938" s="20"/>
      <c r="G938" s="20"/>
      <c r="H938" s="20"/>
    </row>
    <row r="939" hidden="1">
      <c r="A939" s="20"/>
      <c r="B939" s="20"/>
      <c r="C939" s="20"/>
      <c r="D939" s="20"/>
      <c r="E939" s="20"/>
      <c r="F939" s="20"/>
      <c r="G939" s="20"/>
      <c r="H939" s="20"/>
    </row>
    <row r="940" hidden="1">
      <c r="A940" s="20"/>
      <c r="B940" s="20"/>
      <c r="C940" s="20"/>
      <c r="D940" s="20"/>
      <c r="E940" s="20"/>
      <c r="F940" s="20"/>
      <c r="G940" s="20"/>
      <c r="H940" s="20"/>
    </row>
    <row r="941" hidden="1">
      <c r="A941" s="20"/>
      <c r="B941" s="20"/>
      <c r="C941" s="20"/>
      <c r="D941" s="20"/>
      <c r="E941" s="20"/>
      <c r="F941" s="20"/>
      <c r="G941" s="20"/>
      <c r="H941" s="20"/>
    </row>
    <row r="942" hidden="1">
      <c r="A942" s="20"/>
      <c r="B942" s="20"/>
      <c r="C942" s="20"/>
      <c r="D942" s="20"/>
      <c r="E942" s="20"/>
      <c r="F942" s="20"/>
      <c r="G942" s="20"/>
      <c r="H942" s="20"/>
    </row>
    <row r="943" hidden="1">
      <c r="A943" s="20"/>
      <c r="B943" s="20"/>
      <c r="C943" s="20"/>
      <c r="D943" s="20"/>
      <c r="E943" s="20"/>
      <c r="F943" s="20"/>
      <c r="G943" s="20"/>
      <c r="H943" s="20"/>
    </row>
    <row r="944" hidden="1">
      <c r="A944" s="20"/>
      <c r="B944" s="20"/>
      <c r="C944" s="20"/>
      <c r="D944" s="20"/>
      <c r="E944" s="20"/>
      <c r="F944" s="20"/>
      <c r="G944" s="20"/>
      <c r="H944" s="20"/>
    </row>
    <row r="945" hidden="1">
      <c r="A945" s="20"/>
      <c r="B945" s="20"/>
      <c r="C945" s="20"/>
      <c r="D945" s="20"/>
      <c r="E945" s="20"/>
      <c r="F945" s="20"/>
      <c r="G945" s="20"/>
      <c r="H945" s="20"/>
    </row>
    <row r="946" hidden="1">
      <c r="A946" s="20"/>
      <c r="B946" s="20"/>
      <c r="C946" s="20"/>
      <c r="D946" s="20"/>
      <c r="E946" s="20"/>
      <c r="F946" s="20"/>
      <c r="G946" s="20"/>
      <c r="H946" s="20"/>
    </row>
    <row r="947" hidden="1">
      <c r="A947" s="20"/>
      <c r="B947" s="20"/>
      <c r="C947" s="20"/>
      <c r="D947" s="20"/>
      <c r="E947" s="20"/>
      <c r="F947" s="20"/>
      <c r="G947" s="20"/>
      <c r="H947" s="20"/>
    </row>
    <row r="948" hidden="1">
      <c r="A948" s="20"/>
      <c r="B948" s="20"/>
      <c r="C948" s="20"/>
      <c r="D948" s="20"/>
      <c r="E948" s="20"/>
      <c r="F948" s="20"/>
      <c r="G948" s="20"/>
      <c r="H948" s="20"/>
    </row>
    <row r="949" hidden="1">
      <c r="A949" s="20"/>
      <c r="B949" s="20"/>
      <c r="C949" s="20"/>
      <c r="D949" s="20"/>
      <c r="E949" s="20"/>
      <c r="F949" s="20"/>
      <c r="G949" s="20"/>
      <c r="H949" s="20"/>
    </row>
    <row r="950" hidden="1">
      <c r="A950" s="20"/>
      <c r="B950" s="20"/>
      <c r="C950" s="20"/>
      <c r="D950" s="20"/>
      <c r="E950" s="20"/>
      <c r="F950" s="20"/>
      <c r="G950" s="20"/>
      <c r="H950" s="20"/>
    </row>
    <row r="951" hidden="1">
      <c r="A951" s="20"/>
      <c r="B951" s="20"/>
      <c r="C951" s="20"/>
      <c r="D951" s="20"/>
      <c r="E951" s="20"/>
      <c r="F951" s="20"/>
      <c r="G951" s="20"/>
      <c r="H951" s="20"/>
    </row>
    <row r="952" hidden="1">
      <c r="A952" s="20"/>
      <c r="B952" s="20"/>
      <c r="C952" s="20"/>
      <c r="D952" s="20"/>
      <c r="E952" s="20"/>
      <c r="F952" s="20"/>
      <c r="G952" s="20"/>
      <c r="H952" s="20"/>
    </row>
    <row r="953" hidden="1">
      <c r="A953" s="20"/>
      <c r="B953" s="20"/>
      <c r="C953" s="20"/>
      <c r="D953" s="20"/>
      <c r="E953" s="20"/>
      <c r="F953" s="20"/>
      <c r="G953" s="20"/>
      <c r="H953" s="20"/>
    </row>
    <row r="954" hidden="1">
      <c r="A954" s="20"/>
      <c r="B954" s="20"/>
      <c r="C954" s="20"/>
      <c r="D954" s="20"/>
      <c r="E954" s="20"/>
      <c r="F954" s="20"/>
      <c r="G954" s="20"/>
      <c r="H954" s="20"/>
    </row>
    <row r="955" hidden="1">
      <c r="A955" s="20"/>
      <c r="B955" s="20"/>
      <c r="C955" s="20"/>
      <c r="D955" s="20"/>
      <c r="E955" s="20"/>
      <c r="F955" s="20"/>
      <c r="G955" s="20"/>
      <c r="H955" s="20"/>
    </row>
    <row r="956" hidden="1">
      <c r="A956" s="20"/>
      <c r="B956" s="20"/>
      <c r="C956" s="20"/>
      <c r="D956" s="20"/>
      <c r="E956" s="20"/>
      <c r="F956" s="20"/>
      <c r="G956" s="20"/>
      <c r="H956" s="20"/>
    </row>
    <row r="957" hidden="1">
      <c r="A957" s="20"/>
      <c r="B957" s="20"/>
      <c r="C957" s="20"/>
      <c r="D957" s="20"/>
      <c r="E957" s="20"/>
      <c r="F957" s="20"/>
      <c r="G957" s="20"/>
      <c r="H957" s="20"/>
    </row>
    <row r="958" hidden="1">
      <c r="A958" s="20"/>
      <c r="B958" s="20"/>
      <c r="C958" s="20"/>
      <c r="D958" s="20"/>
      <c r="E958" s="20"/>
      <c r="F958" s="20"/>
      <c r="G958" s="20"/>
      <c r="H958" s="20"/>
    </row>
    <row r="959" hidden="1">
      <c r="A959" s="20"/>
      <c r="B959" s="20"/>
      <c r="C959" s="20"/>
      <c r="D959" s="20"/>
      <c r="E959" s="20"/>
      <c r="F959" s="20"/>
      <c r="G959" s="20"/>
      <c r="H959" s="20"/>
    </row>
    <row r="960" hidden="1">
      <c r="A960" s="20"/>
      <c r="B960" s="20"/>
      <c r="C960" s="20"/>
      <c r="D960" s="20"/>
      <c r="E960" s="20"/>
      <c r="F960" s="20"/>
      <c r="G960" s="20"/>
      <c r="H960" s="20"/>
    </row>
    <row r="961" hidden="1">
      <c r="A961" s="20"/>
      <c r="B961" s="20"/>
      <c r="C961" s="20"/>
      <c r="D961" s="20"/>
      <c r="E961" s="20"/>
      <c r="F961" s="20"/>
      <c r="G961" s="20"/>
      <c r="H961" s="20"/>
    </row>
    <row r="962" hidden="1">
      <c r="A962" s="20"/>
      <c r="B962" s="20"/>
      <c r="C962" s="20"/>
      <c r="D962" s="20"/>
      <c r="E962" s="20"/>
      <c r="F962" s="20"/>
      <c r="G962" s="20"/>
      <c r="H962" s="20"/>
    </row>
    <row r="963" hidden="1">
      <c r="A963" s="20"/>
      <c r="B963" s="20"/>
      <c r="C963" s="20"/>
      <c r="D963" s="20"/>
      <c r="E963" s="20"/>
      <c r="F963" s="20"/>
      <c r="G963" s="20"/>
      <c r="H963" s="20"/>
    </row>
    <row r="964" hidden="1">
      <c r="A964" s="20"/>
      <c r="B964" s="20"/>
      <c r="C964" s="20"/>
      <c r="D964" s="20"/>
      <c r="E964" s="20"/>
      <c r="F964" s="20"/>
      <c r="G964" s="20"/>
      <c r="H964" s="20"/>
    </row>
    <row r="965" hidden="1">
      <c r="A965" s="20"/>
      <c r="B965" s="20"/>
      <c r="C965" s="20"/>
      <c r="D965" s="20"/>
      <c r="E965" s="20"/>
      <c r="F965" s="20"/>
      <c r="G965" s="20"/>
      <c r="H965" s="20"/>
    </row>
    <row r="966" hidden="1">
      <c r="A966" s="20"/>
      <c r="B966" s="20"/>
      <c r="C966" s="20"/>
      <c r="D966" s="20"/>
      <c r="E966" s="20"/>
      <c r="F966" s="20"/>
      <c r="G966" s="20"/>
      <c r="H966" s="20"/>
    </row>
    <row r="967" hidden="1">
      <c r="A967" s="20"/>
      <c r="B967" s="20"/>
      <c r="C967" s="20"/>
      <c r="D967" s="20"/>
      <c r="E967" s="20"/>
      <c r="F967" s="20"/>
      <c r="G967" s="20"/>
      <c r="H967" s="20"/>
    </row>
    <row r="968" hidden="1">
      <c r="A968" s="20"/>
      <c r="B968" s="20"/>
      <c r="C968" s="20"/>
      <c r="D968" s="20"/>
      <c r="E968" s="20"/>
      <c r="F968" s="20"/>
      <c r="G968" s="20"/>
      <c r="H968" s="20"/>
    </row>
    <row r="969" hidden="1">
      <c r="A969" s="20"/>
      <c r="B969" s="20"/>
      <c r="C969" s="20"/>
      <c r="D969" s="20"/>
      <c r="E969" s="20"/>
      <c r="F969" s="20"/>
      <c r="G969" s="20"/>
      <c r="H969" s="20"/>
    </row>
    <row r="970" hidden="1">
      <c r="A970" s="20"/>
      <c r="B970" s="20"/>
      <c r="C970" s="20"/>
      <c r="D970" s="20"/>
      <c r="E970" s="20"/>
      <c r="F970" s="20"/>
      <c r="G970" s="20"/>
      <c r="H970" s="20"/>
    </row>
    <row r="971" hidden="1">
      <c r="A971" s="20"/>
      <c r="B971" s="20"/>
      <c r="C971" s="20"/>
      <c r="D971" s="20"/>
      <c r="E971" s="20"/>
      <c r="F971" s="20"/>
      <c r="G971" s="20"/>
      <c r="H971" s="20"/>
    </row>
    <row r="972" hidden="1">
      <c r="A972" s="20"/>
      <c r="B972" s="20"/>
      <c r="C972" s="20"/>
      <c r="D972" s="20"/>
      <c r="E972" s="20"/>
      <c r="F972" s="20"/>
      <c r="G972" s="20"/>
      <c r="H972" s="20"/>
    </row>
    <row r="973" hidden="1">
      <c r="A973" s="20"/>
      <c r="B973" s="20"/>
      <c r="C973" s="20"/>
      <c r="D973" s="20"/>
      <c r="E973" s="20"/>
      <c r="F973" s="20"/>
      <c r="G973" s="20"/>
      <c r="H973" s="20"/>
    </row>
    <row r="974" hidden="1">
      <c r="A974" s="20"/>
      <c r="B974" s="20"/>
      <c r="C974" s="20"/>
      <c r="D974" s="20"/>
      <c r="E974" s="20"/>
      <c r="F974" s="20"/>
      <c r="G974" s="20"/>
      <c r="H974" s="20"/>
    </row>
    <row r="975" hidden="1">
      <c r="A975" s="20"/>
      <c r="B975" s="20"/>
      <c r="C975" s="20"/>
      <c r="D975" s="20"/>
      <c r="E975" s="20"/>
      <c r="F975" s="20"/>
      <c r="G975" s="20"/>
      <c r="H975" s="20"/>
    </row>
    <row r="976" hidden="1">
      <c r="A976" s="20"/>
      <c r="B976" s="20"/>
      <c r="C976" s="20"/>
      <c r="D976" s="20"/>
      <c r="E976" s="20"/>
      <c r="F976" s="20"/>
      <c r="G976" s="20"/>
      <c r="H976" s="20"/>
    </row>
    <row r="977" hidden="1">
      <c r="A977" s="20"/>
      <c r="B977" s="20"/>
      <c r="C977" s="20"/>
      <c r="D977" s="20"/>
      <c r="E977" s="20"/>
      <c r="F977" s="20"/>
      <c r="G977" s="20"/>
      <c r="H977" s="20"/>
    </row>
    <row r="978" hidden="1">
      <c r="A978" s="20"/>
      <c r="B978" s="20"/>
      <c r="C978" s="20"/>
      <c r="D978" s="20"/>
      <c r="E978" s="20"/>
      <c r="F978" s="20"/>
      <c r="G978" s="20"/>
      <c r="H978" s="20"/>
    </row>
    <row r="979" hidden="1">
      <c r="A979" s="20"/>
      <c r="B979" s="20"/>
      <c r="C979" s="20"/>
      <c r="D979" s="20"/>
      <c r="E979" s="20"/>
      <c r="F979" s="20"/>
      <c r="G979" s="20"/>
      <c r="H979" s="20"/>
    </row>
    <row r="980" hidden="1">
      <c r="A980" s="20"/>
      <c r="B980" s="20"/>
      <c r="C980" s="20"/>
      <c r="D980" s="20"/>
      <c r="E980" s="20"/>
      <c r="F980" s="20"/>
      <c r="G980" s="20"/>
      <c r="H980" s="20"/>
    </row>
    <row r="981" hidden="1">
      <c r="A981" s="20"/>
      <c r="B981" s="20"/>
      <c r="C981" s="20"/>
      <c r="D981" s="20"/>
      <c r="E981" s="20"/>
      <c r="F981" s="20"/>
      <c r="G981" s="20"/>
      <c r="H981" s="20"/>
    </row>
    <row r="982" hidden="1">
      <c r="A982" s="20"/>
      <c r="B982" s="20"/>
      <c r="C982" s="20"/>
      <c r="D982" s="20"/>
      <c r="E982" s="20"/>
      <c r="F982" s="20"/>
      <c r="G982" s="20"/>
      <c r="H982" s="20"/>
    </row>
    <row r="983" hidden="1">
      <c r="A983" s="20"/>
      <c r="B983" s="20"/>
      <c r="C983" s="20"/>
      <c r="D983" s="20"/>
      <c r="E983" s="20"/>
      <c r="F983" s="20"/>
      <c r="G983" s="20"/>
      <c r="H983" s="20"/>
    </row>
    <row r="984" hidden="1">
      <c r="A984" s="20"/>
      <c r="B984" s="20"/>
      <c r="C984" s="20"/>
      <c r="D984" s="20"/>
      <c r="E984" s="20"/>
      <c r="F984" s="20"/>
      <c r="G984" s="20"/>
      <c r="H984" s="20"/>
    </row>
    <row r="985" hidden="1">
      <c r="A985" s="20"/>
      <c r="B985" s="20"/>
      <c r="C985" s="20"/>
      <c r="D985" s="20"/>
      <c r="E985" s="20"/>
      <c r="F985" s="20"/>
      <c r="G985" s="20"/>
      <c r="H985" s="20"/>
    </row>
    <row r="986" hidden="1">
      <c r="A986" s="20"/>
      <c r="B986" s="20"/>
      <c r="C986" s="20"/>
      <c r="D986" s="20"/>
      <c r="E986" s="20"/>
      <c r="F986" s="20"/>
      <c r="G986" s="20"/>
      <c r="H986" s="20"/>
    </row>
    <row r="987" hidden="1">
      <c r="A987" s="20"/>
      <c r="B987" s="20"/>
      <c r="C987" s="20"/>
      <c r="D987" s="20"/>
      <c r="E987" s="20"/>
      <c r="F987" s="20"/>
      <c r="G987" s="20"/>
      <c r="H987" s="20"/>
    </row>
    <row r="988" hidden="1">
      <c r="A988" s="20"/>
      <c r="B988" s="20"/>
      <c r="C988" s="20"/>
      <c r="D988" s="20"/>
      <c r="E988" s="20"/>
      <c r="F988" s="20"/>
      <c r="G988" s="20"/>
      <c r="H988" s="20"/>
    </row>
    <row r="989" hidden="1">
      <c r="A989" s="20"/>
      <c r="B989" s="20"/>
      <c r="C989" s="20"/>
      <c r="D989" s="20"/>
      <c r="E989" s="20"/>
      <c r="F989" s="20"/>
      <c r="G989" s="20"/>
      <c r="H989" s="20"/>
    </row>
    <row r="990" hidden="1">
      <c r="A990" s="20"/>
      <c r="B990" s="20"/>
      <c r="C990" s="20"/>
      <c r="D990" s="20"/>
      <c r="E990" s="20"/>
      <c r="F990" s="20"/>
      <c r="G990" s="20"/>
      <c r="H990" s="20"/>
    </row>
    <row r="991" hidden="1">
      <c r="A991" s="20"/>
      <c r="B991" s="20"/>
      <c r="C991" s="20"/>
      <c r="D991" s="20"/>
      <c r="E991" s="20"/>
      <c r="F991" s="20"/>
      <c r="G991" s="20"/>
      <c r="H991" s="20"/>
    </row>
    <row r="992" hidden="1">
      <c r="A992" s="20"/>
      <c r="B992" s="20"/>
      <c r="C992" s="20"/>
      <c r="D992" s="20"/>
      <c r="E992" s="20"/>
      <c r="F992" s="20"/>
      <c r="G992" s="20"/>
      <c r="H992" s="20"/>
    </row>
    <row r="993" hidden="1">
      <c r="A993" s="20"/>
      <c r="B993" s="20"/>
      <c r="C993" s="20"/>
      <c r="D993" s="20"/>
      <c r="E993" s="20"/>
      <c r="F993" s="20"/>
      <c r="G993" s="20"/>
      <c r="H993" s="20"/>
    </row>
    <row r="994" hidden="1">
      <c r="A994" s="20"/>
      <c r="B994" s="20"/>
      <c r="C994" s="20"/>
      <c r="D994" s="20"/>
      <c r="E994" s="20"/>
      <c r="F994" s="20"/>
      <c r="G994" s="20"/>
      <c r="H994" s="20"/>
    </row>
    <row r="995" hidden="1">
      <c r="A995" s="20"/>
      <c r="B995" s="20"/>
      <c r="C995" s="20"/>
      <c r="D995" s="20"/>
      <c r="E995" s="20"/>
      <c r="F995" s="20"/>
      <c r="G995" s="20"/>
      <c r="H995" s="20"/>
    </row>
    <row r="996" hidden="1">
      <c r="A996" s="20"/>
      <c r="B996" s="20"/>
      <c r="C996" s="20"/>
      <c r="D996" s="20"/>
      <c r="E996" s="20"/>
      <c r="F996" s="20"/>
      <c r="G996" s="20"/>
      <c r="H996" s="20"/>
    </row>
    <row r="997" hidden="1">
      <c r="A997" s="20"/>
      <c r="B997" s="20"/>
      <c r="C997" s="20"/>
      <c r="D997" s="20"/>
      <c r="E997" s="20"/>
      <c r="F997" s="20"/>
      <c r="G997" s="20"/>
      <c r="H997" s="20"/>
    </row>
    <row r="998" hidden="1">
      <c r="A998" s="20"/>
      <c r="B998" s="20"/>
      <c r="C998" s="20"/>
      <c r="D998" s="20"/>
      <c r="E998" s="20"/>
      <c r="F998" s="20"/>
      <c r="G998" s="20"/>
      <c r="H998" s="20"/>
    </row>
    <row r="999" hidden="1">
      <c r="A999" s="20"/>
      <c r="B999" s="20"/>
      <c r="C999" s="20"/>
      <c r="D999" s="20"/>
      <c r="E999" s="20"/>
      <c r="F999" s="20"/>
      <c r="G999" s="20"/>
      <c r="H999" s="20"/>
    </row>
    <row r="1000" hidden="1">
      <c r="A1000" s="20"/>
      <c r="B1000" s="20"/>
      <c r="C1000" s="20"/>
      <c r="D1000" s="20"/>
      <c r="E1000" s="20"/>
      <c r="F1000" s="20"/>
      <c r="G1000" s="20"/>
      <c r="H1000" s="20"/>
    </row>
    <row r="1001" hidden="1">
      <c r="A1001" s="20"/>
      <c r="B1001" s="20"/>
      <c r="C1001" s="20"/>
      <c r="D1001" s="20"/>
      <c r="E1001" s="20"/>
      <c r="F1001" s="20"/>
      <c r="G1001" s="20"/>
      <c r="H1001" s="20"/>
    </row>
    <row r="1002" hidden="1">
      <c r="A1002" s="20"/>
      <c r="B1002" s="20"/>
      <c r="C1002" s="20"/>
      <c r="D1002" s="20"/>
      <c r="E1002" s="20"/>
      <c r="F1002" s="20"/>
      <c r="G1002" s="20"/>
      <c r="H1002" s="20"/>
    </row>
  </sheetData>
  <autoFilter ref="$A$2:$A$1002">
    <filterColumn colId="0">
      <filters>
        <filter val="phantasm"/>
        <filter val="Nasty"/>
      </filters>
    </filterColumn>
  </autoFilter>
  <mergeCells count="1">
    <mergeCell ref="A1:H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4.63"/>
    <col customWidth="1" min="3" max="3" width="13.75"/>
    <col customWidth="1" min="4" max="4" width="15.63"/>
    <col customWidth="1" min="5" max="5" width="4.75"/>
    <col customWidth="1" min="6" max="6" width="15.13"/>
    <col customWidth="1" min="44" max="44" width="19.38"/>
  </cols>
  <sheetData>
    <row r="1">
      <c r="A1" s="193" t="s">
        <v>507</v>
      </c>
      <c r="B1" s="2">
        <f>IF(AND(Settings!C6="Dynasty",Settings!C8="1QB"),1,IF(Settings!C6="Dynasty",2,IF(Settings!C7="Standard",3,IF(Settings!C7="Half-PPR",4,IF(Settings!C7="PPR",5)))))</f>
        <v>2</v>
      </c>
      <c r="C1" s="194"/>
    </row>
    <row r="2">
      <c r="A2" s="193"/>
      <c r="C2" s="194"/>
    </row>
    <row r="3">
      <c r="A3" s="193" t="str">
        <f>'Teams &amp; Draft Order'!C6</f>
        <v>Sleeper Cell </v>
      </c>
      <c r="C3" s="194"/>
      <c r="F3" t="str">
        <f>'Teams &amp; Draft Order'!C7</f>
        <v>Phantasm</v>
      </c>
      <c r="K3" t="str">
        <f>'Teams &amp; Draft Order'!C8</f>
        <v>Icelanders</v>
      </c>
      <c r="P3" t="str">
        <f>'Teams &amp; Draft Order'!C9</f>
        <v>El Nino</v>
      </c>
      <c r="U3" t="str">
        <f>'Teams &amp; Draft Order'!C10</f>
        <v>Buttheads</v>
      </c>
      <c r="Z3" t="str">
        <f>'Teams &amp; Draft Order'!C11</f>
        <v>Big Boys Big Work</v>
      </c>
      <c r="AE3" t="str">
        <f>'Teams &amp; Draft Order'!C12</f>
        <v>Turbo-Ginz</v>
      </c>
      <c r="AJ3" t="str">
        <f>'Teams &amp; Draft Order'!C13</f>
        <v>Luddite</v>
      </c>
      <c r="AO3" t="str">
        <f>'Teams &amp; Draft Order'!C14</f>
        <v>Achaians</v>
      </c>
      <c r="AT3" t="str">
        <f>'Teams &amp; Draft Order'!C15</f>
        <v>Daddy's Dogs</v>
      </c>
      <c r="AY3" t="str">
        <f>'Teams &amp; Draft Order'!C16</f>
        <v>TDs and Beers</v>
      </c>
      <c r="BD3" t="str">
        <f>'Teams &amp; Draft Order'!C17</f>
        <v>DD Riders</v>
      </c>
      <c r="BJ3" t="str">
        <f>'Teams &amp; Draft Order'!C18</f>
        <v>Nasty</v>
      </c>
      <c r="BO3" t="str">
        <f>'Teams &amp; Draft Order'!C19</f>
        <v>Red Hammer</v>
      </c>
    </row>
    <row r="4">
      <c r="A4" t="str">
        <f>IFERROR(__xludf.DUMMYFUNCTION("IF(Settings!C5=8, QUERY('Draft (8 Teams)'!$C$2:$F53, ""select D, E, F where C = "" &amp; """""""" &amp; A3 &amp; """""""" &amp; """"), 
IF(Settings!C5=10, QUERY('Draft (10 Teams)'!$C$2:$F53, ""select D, E, F where C = "" &amp; """""""" &amp; A3 &amp; """""""" &amp; """"), 
IF(Settings!C"&amp;"5=12, QUERY('Draft (12 Teams)'!$C$2:$F53, ""select D, E, F where C = "" &amp; """""""" &amp; A3 &amp; """""""" &amp; """"), 
IF(Settings!C5=14, QUERY('Draft '!$C$2:$F53, ""select D, E, F where C = "" &amp; """""""" &amp; A3 &amp; """""""" &amp; """"), """"))))"),"Aaron Rodgers – PIT")</f>
        <v>Aaron Rodgers – PIT</v>
      </c>
      <c r="B4" s="191">
        <f>IFERROR(__xludf.DUMMYFUNCTION("""COMPUTED_VALUE"""),237.1)</f>
        <v>237.1</v>
      </c>
      <c r="C4" t="str">
        <f>IFERROR(__xludf.DUMMYFUNCTION("""COMPUTED_VALUE"""),"QB")</f>
        <v>QB</v>
      </c>
      <c r="D4" t="str">
        <f>IFERROR(__xludf.DUMMYFUNCTION("JOIN("" "", A4:C4)"),"Aaron Rodgers – PIT 237 QB")</f>
        <v>Aaron Rodgers – PIT 237 QB</v>
      </c>
      <c r="F4" t="str">
        <f>IFERROR(__xludf.DUMMYFUNCTION("IF(Settings!C5=8, QUERY('Draft (8 Teams)'!$C$2:$F53, ""select D, E, F where C = "" &amp; """""""" &amp; F3 &amp; """""""" &amp; """"), 
IF(Settings!C5=10, QUERY('Draft (10 Teams)'!$C$2:$F53, ""select D, E, F where C = "" &amp; """""""" &amp; F3 &amp; """""""" &amp; """"), 
IF(Settings!C"&amp;"5=12, QUERY('Draft (12 Teams)'!$C$2:$F53, ""select D, E, F where C = "" &amp; """""""" &amp; F3 &amp; """""""" &amp; """"), 
IF(Settings!C5=14, QUERY('Draft '!$C$2:$F53, ""select D, E, F where C = "" &amp; """""""" &amp; F3 &amp; """""""" &amp; """"), """"))))"),"")</f>
        <v/>
      </c>
      <c r="G4" s="191"/>
      <c r="I4" t="str">
        <f>IFERROR(__xludf.DUMMYFUNCTION("JOIN("" "", F4:H4)"),"  ")</f>
        <v>  </v>
      </c>
      <c r="K4" t="str">
        <f>IFERROR(__xludf.DUMMYFUNCTION("IF(Settings!C5=8, QUERY('Draft (8 Teams)'!$C$2:$F53, ""select D, E, F where C = "" &amp; """""""" &amp; K3 &amp; """""""" &amp; """"), 
IF(Settings!C5=10, QUERY('Draft (10 Teams)'!$C$2:$F53, ""select D, E, F where C = "" &amp; """""""" &amp; K3 &amp; """""""" &amp; """"), 
IF(Settings!C"&amp;"5=12, QUERY('Draft (12 Teams)'!$C$2:$F53, ""select D, E, F where C = "" &amp; """""""" &amp; K3 &amp; """""""" &amp; """"), 
IF(Settings!C5=14, QUERY('Draft '!$C$2:$F53, ""select D, E, F where C = "" &amp; """""""" &amp; K3 &amp; """""""" &amp; """"), """"))))"),"")</f>
        <v/>
      </c>
      <c r="L4" s="191"/>
      <c r="N4" t="str">
        <f>IFERROR(__xludf.DUMMYFUNCTION("JOIN("" "", K4:M4)"),"  ")</f>
        <v>  </v>
      </c>
      <c r="P4" t="str">
        <f>IFERROR(__xludf.DUMMYFUNCTION("IF(Settings!C5=8, QUERY('Draft (8 Teams)'!$C$2:$F53, ""select D, E, F where C = "" &amp; """""""" &amp; P3 &amp; """""""" &amp; """"), 
IF(Settings!C5=10, QUERY('Draft (10 Teams)'!$C$2:$F53, ""select D, E, F where C = "" &amp; """""""" &amp; P3 &amp; """""""" &amp; """"), 
IF(Settings!C"&amp;"5=12, QUERY('Draft (12 Teams)'!$C$2:$F53, ""select D, E, F where C = "" &amp; """""""" &amp; P3 &amp; """""""" &amp; """"), 
IF(Settings!C5=14, QUERY('Draft '!$C$2:$F53, ""select D, E, F where C = "" &amp; """""""" &amp; P3 &amp; """""""" &amp; """"), """"))))"),"")</f>
        <v/>
      </c>
      <c r="Q4" s="191"/>
      <c r="S4" t="str">
        <f>IFERROR(__xludf.DUMMYFUNCTION("JOIN("" "", P4:R4)"),"  ")</f>
        <v>  </v>
      </c>
      <c r="U4" t="str">
        <f>IFERROR(__xludf.DUMMYFUNCTION("IF(Settings!C5=8, QUERY('Draft (8 Teams)'!$C$2:$F53, ""select D, E, F where C = "" &amp; """""""" &amp; U3 &amp; """""""" &amp; """"), 
IF(Settings!C5=10, QUERY('Draft (10 Teams)'!$C$2:$F53, ""select D, E, F where C = "" &amp; """""""" &amp; U3 &amp; """""""" &amp; """"), 
IF(Settings!C"&amp;"5=12, QUERY('Draft (12 Teams)'!$C$2:$F53, ""select D, E, F where C = "" &amp; """""""" &amp; U3 &amp; """""""" &amp; """"), 
IF(Settings!C5=14, QUERY('Draft '!$C$2:$F53, ""select D, E, F where C = "" &amp; """""""" &amp; U3 &amp; """""""" &amp; """"), """"))))"),"")</f>
        <v/>
      </c>
      <c r="V4" s="191"/>
      <c r="X4" t="str">
        <f>IFERROR(__xludf.DUMMYFUNCTION("JOIN("" "", U4:W4)"),"  ")</f>
        <v>  </v>
      </c>
      <c r="Z4" t="str">
        <f>IFERROR(__xludf.DUMMYFUNCTION("IF(Settings!C5=8, QUERY('Draft (8 Teams)'!$C$2:$F53, ""select D, E, F where C = "" &amp; """""""" &amp; Z3 &amp; """""""" &amp; """"), 
IF(Settings!C5=10, QUERY('Draft (10 Teams)'!$C$2:$F53, ""select D, E, F where C = "" &amp; """""""" &amp; Z3 &amp; """""""" &amp; """"), 
IF(Settings!C"&amp;"5=12, QUERY('Draft (12 Teams)'!$C$2:$F53, ""select D, E, F where C = "" &amp; """""""" &amp; Z3 &amp; """""""" &amp; """"), 
IF(Settings!C5=14, QUERY('Draft '!$C$2:$F53, ""select D, E, F where C = "" &amp; """""""" &amp; Z3 &amp; """""""" &amp; """"), """"))))"),"")</f>
        <v/>
      </c>
      <c r="AA4" s="191"/>
      <c r="AC4" t="str">
        <f>IFERROR(__xludf.DUMMYFUNCTION("JOIN("" "", Z4:AB4)"),"  ")</f>
        <v>  </v>
      </c>
      <c r="AE4" t="str">
        <f>IFERROR(__xludf.DUMMYFUNCTION("IF(Settings!C5=8, QUERY('Draft (8 Teams)'!$C$2:$F53, ""select D, E, F where C = "" &amp; """""""" &amp; AE3 &amp; """""""" &amp; """"), 
IF(Settings!C5=10, QUERY('Draft (10 Teams)'!$C$2:$F53, ""select D, E, F where C = "" &amp; """""""" &amp; AE3 &amp; """""""" &amp; """"), 
IF(Settings"&amp;"!C5=12, QUERY('Draft (12 Teams)'!$C$2:$F53, ""select D, E, F where C = "" &amp; """""""" &amp; AE3 &amp; """""""" &amp; """"), 
IF(Settings!C5=14, QUERY('Draft '!$C$2:$F53, ""select D, E, F where C = "" &amp; """""""" &amp; AE3 &amp; """""""" &amp; """"), """"))))"),"")</f>
        <v/>
      </c>
      <c r="AF4" s="191"/>
      <c r="AH4" t="str">
        <f>IFERROR(__xludf.DUMMYFUNCTION("JOIN("" "", AE4:AG4)"),"  ")</f>
        <v>  </v>
      </c>
      <c r="AJ4" t="str">
        <f>IFERROR(__xludf.DUMMYFUNCTION("IF(Settings!C5=8, QUERY('Draft (8 Teams)'!$C$2:$F53, ""select D, E, F where C = "" &amp; """""""" &amp; AJ3 &amp; """""""" &amp; """"), 
IF(Settings!C5=10, QUERY('Draft (10 Teams)'!$C$2:$F53, ""select D, E, F where C = "" &amp; """""""" &amp; AJ3 &amp; """""""" &amp; """"), 
IF(Settings"&amp;"!C5=12, QUERY('Draft (12 Teams)'!$C$2:$F53, ""select D, E, F where C = "" &amp; """""""" &amp; AJ3 &amp; """""""" &amp; """"), 
IF(Settings!C5=14, QUERY('Draft '!$C$2:$F53, ""select D, E, F where C = "" &amp; """""""" &amp; AJ3 &amp; """""""" &amp; """"), """"))))"),"")</f>
        <v/>
      </c>
      <c r="AK4" s="191"/>
      <c r="AM4" t="str">
        <f>IFERROR(__xludf.DUMMYFUNCTION("JOIN("" "", AJ4:AL4)"),"  ")</f>
        <v>  </v>
      </c>
      <c r="AO4" t="str">
        <f>IFERROR(__xludf.DUMMYFUNCTION("IF(Settings!C5=8, QUERY('Draft (8 Teams)'!$C$2:$F53, ""select D, E, F where C = "" &amp; """""""" &amp; AO3 &amp; """""""" &amp; """"), 
IF(Settings!C5=10, QUERY('Draft (10 Teams)'!$C$2:$F53, ""select D, E, F where C = "" &amp; """""""" &amp; AO3 &amp; """""""" &amp; """"), 
IF(Settings"&amp;"!C5=12, QUERY('Draft (12 Teams)'!$C$2:$F53, ""select D, E, F where C = "" &amp; """""""" &amp; AO3 &amp; """""""" &amp; """"), 
IF(Settings!C5=14, QUERY('Draft '!$C$2:$F53, ""select D, E, F where C = "" &amp; """""""" &amp; AO3 &amp; """""""" &amp; """"), """"))))"),"")</f>
        <v/>
      </c>
      <c r="AP4" s="191"/>
      <c r="AR4" t="str">
        <f>IFERROR(__xludf.DUMMYFUNCTION("JOIN("" "", AO4:AQ4)"),"  ")</f>
        <v>  </v>
      </c>
      <c r="AT4" t="str">
        <f>IFERROR(__xludf.DUMMYFUNCTION("IF(Settings!C5=8, QUERY('Draft (8 Teams)'!$C$2:$F53, ""select D, E, F where C = "" &amp; """""""" &amp; AT3 &amp; """""""" &amp; """"), 
IF(Settings!C5=10, QUERY('Draft (10 Teams)'!$C$2:$F53, ""select D, E, F where C = "" &amp; """""""" &amp; AT3 &amp; """""""" &amp; """"), 
IF(Settings"&amp;"!C5=12, QUERY('Draft (12 Teams)'!$C$2:$F53, ""select D, E, F where C = "" &amp; """""""" &amp; AT3 &amp; """""""" &amp; """"), 
IF(Settings!C5=14, QUERY('Draft '!$C$2:$F53, ""select D, E, F where C = "" &amp; """""""" &amp; AT3 &amp; """""""" &amp; """"), """"))))"),"")</f>
        <v/>
      </c>
      <c r="AU4" s="191"/>
      <c r="AW4" t="str">
        <f>IFERROR(__xludf.DUMMYFUNCTION("JOIN("" "", AT4:AV4)"),"  ")</f>
        <v>  </v>
      </c>
      <c r="AY4" t="str">
        <f>IFERROR(__xludf.DUMMYFUNCTION("IF(Settings!C5=8, QUERY('Draft (8 Teams)'!$C$2:$F53, ""select D, E, F where C = "" &amp; """""""" &amp; AY3 &amp; """""""" &amp; """"), 
IF(Settings!C5=10, QUERY('Draft (10 Teams)'!$C$2:$F53, ""select D, E, F where C = "" &amp; """""""" &amp; AY3 &amp; """""""" &amp; """"), 
IF(Settings"&amp;"!C5=12, QUERY('Draft (12 Teams)'!$C$2:$F53, ""select D, E, F where C = "" &amp; """""""" &amp; AY3 &amp; """""""" &amp; """"), 
IF(Settings!C5=14, QUERY('Draft '!$C$2:$F53, ""select D, E, F where C = "" &amp; """""""" &amp; AY3 &amp; """""""" &amp; """"), """"))))"),"")</f>
        <v/>
      </c>
      <c r="AZ4" s="191"/>
      <c r="BB4" t="str">
        <f>IFERROR(__xludf.DUMMYFUNCTION("JOIN("" "", AY4:BA4)"),"  ")</f>
        <v>  </v>
      </c>
      <c r="BD4" t="str">
        <f>IFERROR(__xludf.DUMMYFUNCTION("IF(Settings!C5=8, QUERY('Draft (8 Teams)'!$C$2:$F53, ""select D, E, F where C = "" &amp; """""""" &amp; BD3 &amp; """""""" &amp; """"), 
IF(Settings!C5=10, QUERY('Draft (10 Teams)'!$C$2:$F53, ""select D, E, F where C = "" &amp; """""""" &amp; BD3 &amp; """""""" &amp; """"), 
IF(Settings"&amp;"!C5=12, QUERY('Draft (12 Teams)'!$C$2:$F53, ""select D, E, F where C = "" &amp; """""""" &amp; BD3 &amp; """""""" &amp; """"), 
IF(Settings!C5=14, QUERY('Draft '!$C$2:$F53, ""select D, E, F where C = "" &amp; """""""" &amp; BD3 &amp; """""""" &amp; """"), """"))))"),"")</f>
        <v/>
      </c>
      <c r="BE4" s="191"/>
      <c r="BG4" t="str">
        <f>IFERROR(__xludf.DUMMYFUNCTION("JOIN("" "", BD4:BF4)"),"  ")</f>
        <v>  </v>
      </c>
      <c r="BJ4" t="str">
        <f>IFERROR(__xludf.DUMMYFUNCTION("IF(Settings!C5=8, QUERY('Draft (8 Teams)'!$C$2:$F53, ""select D, E, F where C = "" &amp; """""""" &amp; BJ3 &amp; """""""" &amp; """"), 
IF(Settings!C5=10, QUERY('Draft (10 Teams)'!$C$2:$F53, ""select D, E, F where C = "" &amp; """""""" &amp; BJ3 &amp; """""""" &amp; """"), 
IF(Settings"&amp;"!C5=12, QUERY('Draft (12 Teams)'!$C$2:$F53, ""select D, E, F where C = "" &amp; """""""" &amp; BJ3 &amp; """""""" &amp; """"), 
IF(Settings!C5=14, QUERY('Draft '!$C$2:$F53, ""select D, E, F where C = "" &amp; """""""" &amp; BJ3 &amp; """""""" &amp; """"), """"))))"),"")</f>
        <v/>
      </c>
      <c r="BK4" s="191"/>
      <c r="BM4" t="str">
        <f>IFERROR(__xludf.DUMMYFUNCTION("JOIN("" "", BJ4:BL4)"),"  ")</f>
        <v>  </v>
      </c>
      <c r="BO4" t="str">
        <f>IFERROR(__xludf.DUMMYFUNCTION("IF(Settings!C5=8, QUERY('Draft (8 Teams)'!$C$2:$F53, ""select D, E, F where C = "" &amp; """""""" &amp; BO3 &amp; """""""" &amp; """"), 
IF(Settings!C5=10, QUERY('Draft (10 Teams)'!$C$2:$F53, ""select D, E, F where C = "" &amp; """""""" &amp; BO3 &amp; """""""" &amp; """"), 
IF(Settings"&amp;"!C5=12, QUERY('Draft (12 Teams)'!$C$2:$F53, ""select D, E, F where C = "" &amp; """""""" &amp; BO3 &amp; """""""" &amp; """"), 
IF(Settings!C5=14, QUERY('Draft '!$C$2:$F53, ""select D, E, F where C = "" &amp; """""""" &amp; BO3 &amp; """""""" &amp; """"), """"))))"),"")</f>
        <v/>
      </c>
      <c r="BP4" s="191"/>
      <c r="BR4" t="str">
        <f>IFERROR(__xludf.DUMMYFUNCTION("JOIN("" "", BO4:BQ4)"),"  ")</f>
        <v>  </v>
      </c>
    </row>
    <row r="5">
      <c r="B5" s="191"/>
      <c r="D5" t="str">
        <f>IFERROR(__xludf.DUMMYFUNCTION("JOIN("" "", A5:C5)"),"  ")</f>
        <v>  </v>
      </c>
      <c r="G5" s="191"/>
      <c r="I5" t="str">
        <f>IFERROR(__xludf.DUMMYFUNCTION("JOIN("" "", F5:H5)"),"  ")</f>
        <v>  </v>
      </c>
      <c r="L5" s="191"/>
      <c r="N5" t="str">
        <f>IFERROR(__xludf.DUMMYFUNCTION("JOIN("" "", K5:M5)"),"  ")</f>
        <v>  </v>
      </c>
      <c r="Q5" s="191"/>
      <c r="S5" t="str">
        <f>IFERROR(__xludf.DUMMYFUNCTION("JOIN("" "", P5:R5)"),"  ")</f>
        <v>  </v>
      </c>
      <c r="V5" s="191"/>
      <c r="X5" t="str">
        <f>IFERROR(__xludf.DUMMYFUNCTION("JOIN("" "", U5:W5)"),"  ")</f>
        <v>  </v>
      </c>
      <c r="AA5" s="191"/>
      <c r="AC5" t="str">
        <f>IFERROR(__xludf.DUMMYFUNCTION("JOIN("" "", Z5:AB5)"),"  ")</f>
        <v>  </v>
      </c>
      <c r="AF5" s="191"/>
      <c r="AH5" t="str">
        <f>IFERROR(__xludf.DUMMYFUNCTION("JOIN("" "", AE5:AG5)"),"  ")</f>
        <v>  </v>
      </c>
      <c r="AK5" s="191"/>
      <c r="AM5" t="str">
        <f>IFERROR(__xludf.DUMMYFUNCTION("JOIN("" "", AJ5:AL5)"),"  ")</f>
        <v>  </v>
      </c>
      <c r="AP5" s="191"/>
      <c r="AR5" t="str">
        <f>IFERROR(__xludf.DUMMYFUNCTION("JOIN("" "", AO5:AQ5)"),"  ")</f>
        <v>  </v>
      </c>
      <c r="AU5" s="191"/>
      <c r="AW5" t="str">
        <f>IFERROR(__xludf.DUMMYFUNCTION("JOIN("" "", AT5:AV5)"),"  ")</f>
        <v>  </v>
      </c>
      <c r="AZ5" s="191"/>
      <c r="BB5" t="str">
        <f>IFERROR(__xludf.DUMMYFUNCTION("JOIN("" "", AY5:BA5)"),"  ")</f>
        <v>  </v>
      </c>
      <c r="BE5" s="191"/>
      <c r="BG5" t="str">
        <f>IFERROR(__xludf.DUMMYFUNCTION("JOIN("" "", BD5:BF5)"),"  ")</f>
        <v>  </v>
      </c>
      <c r="BK5" s="191"/>
      <c r="BM5" t="str">
        <f>IFERROR(__xludf.DUMMYFUNCTION("JOIN("" "", BJ5:BL5)"),"  ")</f>
        <v>  </v>
      </c>
      <c r="BP5" s="191"/>
      <c r="BR5" t="str">
        <f>IFERROR(__xludf.DUMMYFUNCTION("JOIN("" "", BO5:BQ5)"),"  ")</f>
        <v>  </v>
      </c>
    </row>
    <row r="6">
      <c r="B6" s="191"/>
      <c r="D6" t="str">
        <f>IFERROR(__xludf.DUMMYFUNCTION("JOIN("" "", A6:C6)"),"  ")</f>
        <v>  </v>
      </c>
      <c r="G6" s="191"/>
      <c r="I6" t="str">
        <f>IFERROR(__xludf.DUMMYFUNCTION("JOIN("" "", F6:H6)"),"  ")</f>
        <v>  </v>
      </c>
      <c r="L6" s="191"/>
      <c r="N6" t="str">
        <f>IFERROR(__xludf.DUMMYFUNCTION("JOIN("" "", K6:M6)"),"  ")</f>
        <v>  </v>
      </c>
      <c r="Q6" s="191"/>
      <c r="S6" t="str">
        <f>IFERROR(__xludf.DUMMYFUNCTION("JOIN("" "", P6:R6)"),"  ")</f>
        <v>  </v>
      </c>
      <c r="V6" s="191"/>
      <c r="X6" t="str">
        <f>IFERROR(__xludf.DUMMYFUNCTION("JOIN("" "", U6:W6)"),"  ")</f>
        <v>  </v>
      </c>
      <c r="AA6" s="191"/>
      <c r="AC6" t="str">
        <f>IFERROR(__xludf.DUMMYFUNCTION("JOIN("" "", Z6:AB6)"),"  ")</f>
        <v>  </v>
      </c>
      <c r="AF6" s="191"/>
      <c r="AH6" t="str">
        <f>IFERROR(__xludf.DUMMYFUNCTION("JOIN("" "", AE6:AG6)"),"  ")</f>
        <v>  </v>
      </c>
      <c r="AK6" s="191"/>
      <c r="AM6" t="str">
        <f>IFERROR(__xludf.DUMMYFUNCTION("JOIN("" "", AJ6:AL6)"),"  ")</f>
        <v>  </v>
      </c>
      <c r="AP6" s="191"/>
      <c r="AR6" t="str">
        <f>IFERROR(__xludf.DUMMYFUNCTION("JOIN("" "", AO6:AQ6)"),"  ")</f>
        <v>  </v>
      </c>
      <c r="AU6" s="191"/>
      <c r="AW6" t="str">
        <f>IFERROR(__xludf.DUMMYFUNCTION("JOIN("" "", AT6:AV6)"),"  ")</f>
        <v>  </v>
      </c>
      <c r="AZ6" s="191"/>
      <c r="BB6" t="str">
        <f>IFERROR(__xludf.DUMMYFUNCTION("JOIN("" "", AY6:BA6)"),"  ")</f>
        <v>  </v>
      </c>
      <c r="BE6" s="191"/>
      <c r="BG6" t="str">
        <f>IFERROR(__xludf.DUMMYFUNCTION("JOIN("" "", BD6:BF6)"),"  ")</f>
        <v>  </v>
      </c>
      <c r="BK6" s="191"/>
      <c r="BM6" t="str">
        <f>IFERROR(__xludf.DUMMYFUNCTION("JOIN("" "", BJ6:BL6)"),"  ")</f>
        <v>  </v>
      </c>
      <c r="BP6" s="191"/>
      <c r="BR6" t="str">
        <f>IFERROR(__xludf.DUMMYFUNCTION("JOIN("" "", BO6:BQ6)"),"  ")</f>
        <v>  </v>
      </c>
    </row>
    <row r="7">
      <c r="A7" s="195"/>
      <c r="B7" s="196"/>
      <c r="C7" s="195"/>
      <c r="D7" t="str">
        <f>IFERROR(__xludf.DUMMYFUNCTION("JOIN("" "", A7:C7)"),"  ")</f>
        <v>  </v>
      </c>
      <c r="E7" s="195"/>
      <c r="F7" s="195"/>
      <c r="G7" s="196"/>
      <c r="H7" s="195"/>
      <c r="I7" t="str">
        <f>IFERROR(__xludf.DUMMYFUNCTION("JOIN("" "", F7:H7)"),"  ")</f>
        <v>  </v>
      </c>
      <c r="J7" s="195"/>
      <c r="K7" s="195"/>
      <c r="L7" s="196"/>
      <c r="M7" s="195"/>
      <c r="N7" t="str">
        <f>IFERROR(__xludf.DUMMYFUNCTION("JOIN("" "", K7:M7)"),"  ")</f>
        <v>  </v>
      </c>
      <c r="O7" s="195"/>
      <c r="P7" s="195"/>
      <c r="Q7" s="196"/>
      <c r="R7" s="195"/>
      <c r="S7" t="str">
        <f>IFERROR(__xludf.DUMMYFUNCTION("JOIN("" "", P7:R7)"),"  ")</f>
        <v>  </v>
      </c>
      <c r="T7" s="195"/>
      <c r="U7" s="195"/>
      <c r="V7" s="196"/>
      <c r="W7" s="195"/>
      <c r="X7" t="str">
        <f>IFERROR(__xludf.DUMMYFUNCTION("JOIN("" "", U7:W7)"),"  ")</f>
        <v>  </v>
      </c>
      <c r="Y7" s="195"/>
      <c r="Z7" s="195"/>
      <c r="AA7" s="196"/>
      <c r="AB7" s="195"/>
      <c r="AC7" t="str">
        <f>IFERROR(__xludf.DUMMYFUNCTION("JOIN("" "", Z7:AB7)"),"  ")</f>
        <v>  </v>
      </c>
      <c r="AD7" s="195"/>
      <c r="AE7" s="195"/>
      <c r="AF7" s="196"/>
      <c r="AG7" s="195"/>
      <c r="AH7" t="str">
        <f>IFERROR(__xludf.DUMMYFUNCTION("JOIN("" "", AE7:AG7)"),"  ")</f>
        <v>  </v>
      </c>
      <c r="AI7" s="195"/>
      <c r="AJ7" s="195"/>
      <c r="AK7" s="196"/>
      <c r="AL7" s="195"/>
      <c r="AM7" t="str">
        <f>IFERROR(__xludf.DUMMYFUNCTION("JOIN("" "", AJ7:AL7)"),"  ")</f>
        <v>  </v>
      </c>
      <c r="AN7" s="195"/>
      <c r="AO7" s="195"/>
      <c r="AP7" s="196"/>
      <c r="AQ7" s="195"/>
      <c r="AR7" t="str">
        <f>IFERROR(__xludf.DUMMYFUNCTION("JOIN("" "", AO7:AQ7)"),"  ")</f>
        <v>  </v>
      </c>
      <c r="AS7" s="195"/>
      <c r="AT7" s="195"/>
      <c r="AU7" s="196"/>
      <c r="AV7" s="195"/>
      <c r="AW7" t="str">
        <f>IFERROR(__xludf.DUMMYFUNCTION("JOIN("" "", AT7:AV7)"),"  ")</f>
        <v>  </v>
      </c>
      <c r="AX7" s="195"/>
      <c r="AY7" s="195"/>
      <c r="AZ7" s="196"/>
      <c r="BA7" s="195"/>
      <c r="BB7" t="str">
        <f>IFERROR(__xludf.DUMMYFUNCTION("JOIN("" "", AY7:BA7)"),"  ")</f>
        <v>  </v>
      </c>
      <c r="BC7" s="195"/>
      <c r="BD7" s="195"/>
      <c r="BE7" s="196"/>
      <c r="BF7" s="195"/>
      <c r="BG7" t="str">
        <f>IFERROR(__xludf.DUMMYFUNCTION("JOIN("" "", BD7:BF7)"),"  ")</f>
        <v>  </v>
      </c>
      <c r="BH7" s="195"/>
      <c r="BI7" s="195"/>
      <c r="BJ7" s="195"/>
      <c r="BK7" s="196"/>
      <c r="BL7" s="195"/>
      <c r="BM7" t="str">
        <f>IFERROR(__xludf.DUMMYFUNCTION("JOIN("" "", BJ7:BL7)"),"  ")</f>
        <v>  </v>
      </c>
      <c r="BN7" s="195"/>
      <c r="BO7" s="195"/>
      <c r="BP7" s="196"/>
      <c r="BQ7" s="195"/>
      <c r="BR7" t="str">
        <f>IFERROR(__xludf.DUMMYFUNCTION("JOIN("" "", BO7:BQ7)"),"  ")</f>
        <v>  </v>
      </c>
      <c r="BS7" s="195"/>
    </row>
    <row r="8">
      <c r="A8" s="195"/>
      <c r="B8" s="196"/>
      <c r="C8" s="195"/>
      <c r="D8" t="str">
        <f>IFERROR(__xludf.DUMMYFUNCTION("JOIN("" "", A8:C8)"),"  ")</f>
        <v>  </v>
      </c>
      <c r="E8" s="195"/>
      <c r="F8" s="195"/>
      <c r="G8" s="196"/>
      <c r="H8" s="195"/>
      <c r="I8" t="str">
        <f>IFERROR(__xludf.DUMMYFUNCTION("JOIN("" "", F8:H8)"),"  ")</f>
        <v>  </v>
      </c>
      <c r="J8" s="195"/>
      <c r="K8" s="195"/>
      <c r="L8" s="196"/>
      <c r="M8" s="195"/>
      <c r="N8" t="str">
        <f>IFERROR(__xludf.DUMMYFUNCTION("JOIN("" "", K8:M8)"),"  ")</f>
        <v>  </v>
      </c>
      <c r="O8" s="195"/>
      <c r="P8" s="195"/>
      <c r="Q8" s="196"/>
      <c r="R8" s="195"/>
      <c r="S8" t="str">
        <f>IFERROR(__xludf.DUMMYFUNCTION("JOIN("" "", P8:R8)"),"  ")</f>
        <v>  </v>
      </c>
      <c r="T8" s="195"/>
      <c r="U8" s="195"/>
      <c r="V8" s="196"/>
      <c r="W8" s="195"/>
      <c r="X8" t="str">
        <f>IFERROR(__xludf.DUMMYFUNCTION("JOIN("" "", U8:W8)"),"  ")</f>
        <v>  </v>
      </c>
      <c r="Y8" s="195"/>
      <c r="Z8" s="195"/>
      <c r="AA8" s="196"/>
      <c r="AB8" s="195"/>
      <c r="AC8" t="str">
        <f>IFERROR(__xludf.DUMMYFUNCTION("JOIN("" "", Z8:AB8)"),"  ")</f>
        <v>  </v>
      </c>
      <c r="AD8" s="195"/>
      <c r="AE8" s="195"/>
      <c r="AF8" s="196"/>
      <c r="AG8" s="195"/>
      <c r="AH8" t="str">
        <f>IFERROR(__xludf.DUMMYFUNCTION("JOIN("" "", AE8:AG8)"),"  ")</f>
        <v>  </v>
      </c>
      <c r="AI8" s="195"/>
      <c r="AJ8" s="195"/>
      <c r="AK8" s="196"/>
      <c r="AL8" s="195"/>
      <c r="AM8" t="str">
        <f>IFERROR(__xludf.DUMMYFUNCTION("JOIN("" "", AJ8:AL8)"),"  ")</f>
        <v>  </v>
      </c>
      <c r="AN8" s="195"/>
      <c r="AO8" s="195"/>
      <c r="AP8" s="196"/>
      <c r="AQ8" s="195"/>
      <c r="AR8" t="str">
        <f>IFERROR(__xludf.DUMMYFUNCTION("JOIN("" "", AO8:AQ8)"),"  ")</f>
        <v>  </v>
      </c>
      <c r="AS8" s="195"/>
      <c r="AT8" s="195"/>
      <c r="AU8" s="196"/>
      <c r="AV8" s="195"/>
      <c r="AW8" t="str">
        <f>IFERROR(__xludf.DUMMYFUNCTION("JOIN("" "", AT8:AV8)"),"  ")</f>
        <v>  </v>
      </c>
      <c r="AX8" s="195"/>
      <c r="AY8" s="195"/>
      <c r="AZ8" s="196"/>
      <c r="BA8" s="195"/>
      <c r="BB8" t="str">
        <f>IFERROR(__xludf.DUMMYFUNCTION("JOIN("" "", AY8:BA8)"),"  ")</f>
        <v>  </v>
      </c>
      <c r="BC8" s="195"/>
      <c r="BD8" s="195"/>
      <c r="BE8" s="196"/>
      <c r="BF8" s="195"/>
      <c r="BG8" t="str">
        <f>IFERROR(__xludf.DUMMYFUNCTION("JOIN("" "", BD8:BF8)"),"  ")</f>
        <v>  </v>
      </c>
      <c r="BH8" s="195"/>
      <c r="BI8" s="195"/>
      <c r="BJ8" s="195"/>
      <c r="BK8" s="196"/>
      <c r="BL8" s="195"/>
      <c r="BM8" t="str">
        <f>IFERROR(__xludf.DUMMYFUNCTION("JOIN("" "", BJ8:BL8)"),"  ")</f>
        <v>  </v>
      </c>
      <c r="BN8" s="195"/>
      <c r="BO8" s="195"/>
      <c r="BP8" s="196"/>
      <c r="BQ8" s="195"/>
      <c r="BR8" t="str">
        <f>IFERROR(__xludf.DUMMYFUNCTION("JOIN("" "", BO8:BQ8)"),"  ")</f>
        <v>  </v>
      </c>
      <c r="BS8" s="195"/>
    </row>
    <row r="9">
      <c r="A9" s="195"/>
      <c r="B9" s="196"/>
      <c r="C9" s="195"/>
      <c r="D9" t="str">
        <f>IFERROR(__xludf.DUMMYFUNCTION("JOIN("" "", A9:C9)"),"  ")</f>
        <v>  </v>
      </c>
      <c r="E9" s="195"/>
      <c r="F9" s="195"/>
      <c r="G9" s="196"/>
      <c r="H9" s="195"/>
      <c r="I9" t="str">
        <f>IFERROR(__xludf.DUMMYFUNCTION("JOIN("" "", F9:H9)"),"  ")</f>
        <v>  </v>
      </c>
      <c r="J9" s="195"/>
      <c r="K9" s="195"/>
      <c r="L9" s="196"/>
      <c r="M9" s="195"/>
      <c r="N9" t="str">
        <f>IFERROR(__xludf.DUMMYFUNCTION("JOIN("" "", K9:M9)"),"  ")</f>
        <v>  </v>
      </c>
      <c r="O9" s="195"/>
      <c r="P9" s="195"/>
      <c r="Q9" s="196"/>
      <c r="R9" s="195"/>
      <c r="S9" t="str">
        <f>IFERROR(__xludf.DUMMYFUNCTION("JOIN("" "", P9:R9)"),"  ")</f>
        <v>  </v>
      </c>
      <c r="T9" s="195"/>
      <c r="U9" s="195"/>
      <c r="V9" s="196"/>
      <c r="W9" s="195"/>
      <c r="X9" t="str">
        <f>IFERROR(__xludf.DUMMYFUNCTION("JOIN("" "", U9:W9)"),"  ")</f>
        <v>  </v>
      </c>
      <c r="Y9" s="195"/>
      <c r="Z9" s="195"/>
      <c r="AA9" s="196"/>
      <c r="AB9" s="195"/>
      <c r="AC9" t="str">
        <f>IFERROR(__xludf.DUMMYFUNCTION("JOIN("" "", Z9:AB9)"),"  ")</f>
        <v>  </v>
      </c>
      <c r="AD9" s="195"/>
      <c r="AE9" s="195"/>
      <c r="AF9" s="196"/>
      <c r="AG9" s="195"/>
      <c r="AH9" t="str">
        <f>IFERROR(__xludf.DUMMYFUNCTION("JOIN("" "", AE9:AG9)"),"  ")</f>
        <v>  </v>
      </c>
      <c r="AI9" s="195"/>
      <c r="AJ9" s="195"/>
      <c r="AK9" s="196"/>
      <c r="AL9" s="195"/>
      <c r="AM9" t="str">
        <f>IFERROR(__xludf.DUMMYFUNCTION("JOIN("" "", AJ9:AL9)"),"  ")</f>
        <v>  </v>
      </c>
      <c r="AN9" s="195"/>
      <c r="AO9" s="195"/>
      <c r="AP9" s="196"/>
      <c r="AQ9" s="195"/>
      <c r="AR9" t="str">
        <f>IFERROR(__xludf.DUMMYFUNCTION("JOIN("" "", AO9:AQ9)"),"  ")</f>
        <v>  </v>
      </c>
      <c r="AS9" s="195"/>
      <c r="AT9" s="195"/>
      <c r="AU9" s="196"/>
      <c r="AV9" s="195"/>
      <c r="AW9" t="str">
        <f>IFERROR(__xludf.DUMMYFUNCTION("JOIN("" "", AT9:AV9)"),"  ")</f>
        <v>  </v>
      </c>
      <c r="AX9" s="195"/>
      <c r="AY9" s="195"/>
      <c r="AZ9" s="196"/>
      <c r="BA9" s="195"/>
      <c r="BB9" t="str">
        <f>IFERROR(__xludf.DUMMYFUNCTION("JOIN("" "", AY9:BA9)"),"  ")</f>
        <v>  </v>
      </c>
      <c r="BC9" s="195"/>
      <c r="BD9" s="195"/>
      <c r="BE9" s="196"/>
      <c r="BF9" s="195"/>
      <c r="BG9" t="str">
        <f>IFERROR(__xludf.DUMMYFUNCTION("JOIN("" "", BD9:BF9)"),"  ")</f>
        <v>  </v>
      </c>
      <c r="BH9" s="195"/>
      <c r="BI9" s="195"/>
      <c r="BJ9" s="195"/>
      <c r="BK9" s="196"/>
      <c r="BL9" s="195"/>
      <c r="BM9" t="str">
        <f>IFERROR(__xludf.DUMMYFUNCTION("JOIN("" "", BJ9:BL9)"),"  ")</f>
        <v>  </v>
      </c>
      <c r="BN9" s="195"/>
      <c r="BO9" s="195"/>
      <c r="BP9" s="196"/>
      <c r="BQ9" s="195"/>
      <c r="BR9" t="str">
        <f>IFERROR(__xludf.DUMMYFUNCTION("JOIN("" "", BO9:BQ9)"),"  ")</f>
        <v>  </v>
      </c>
      <c r="BS9" s="195"/>
    </row>
    <row r="10">
      <c r="A10" s="195"/>
      <c r="B10" s="196"/>
      <c r="C10" s="195"/>
      <c r="D10" t="str">
        <f>IFERROR(__xludf.DUMMYFUNCTION("JOIN("" "", A10:C10)"),"  ")</f>
        <v>  </v>
      </c>
      <c r="E10" s="195"/>
      <c r="F10" s="195"/>
      <c r="G10" s="196"/>
      <c r="H10" s="195"/>
      <c r="I10" t="str">
        <f>IFERROR(__xludf.DUMMYFUNCTION("JOIN("" "", F10:H10)"),"  ")</f>
        <v>  </v>
      </c>
      <c r="J10" s="195"/>
      <c r="K10" s="195"/>
      <c r="L10" s="196"/>
      <c r="M10" s="195"/>
      <c r="N10" t="str">
        <f>IFERROR(__xludf.DUMMYFUNCTION("JOIN("" "", K10:M10)"),"  ")</f>
        <v>  </v>
      </c>
      <c r="O10" s="195"/>
      <c r="P10" s="195"/>
      <c r="Q10" s="196"/>
      <c r="R10" s="195"/>
      <c r="S10" t="str">
        <f>IFERROR(__xludf.DUMMYFUNCTION("JOIN("" "", P10:R10)"),"  ")</f>
        <v>  </v>
      </c>
      <c r="T10" s="195"/>
      <c r="U10" s="195"/>
      <c r="V10" s="196"/>
      <c r="W10" s="195"/>
      <c r="X10" t="str">
        <f>IFERROR(__xludf.DUMMYFUNCTION("JOIN("" "", U10:W10)"),"  ")</f>
        <v>  </v>
      </c>
      <c r="Y10" s="195"/>
      <c r="Z10" s="195"/>
      <c r="AA10" s="196"/>
      <c r="AB10" s="195"/>
      <c r="AC10" t="str">
        <f>IFERROR(__xludf.DUMMYFUNCTION("JOIN("" "", Z10:AB10)"),"  ")</f>
        <v>  </v>
      </c>
      <c r="AD10" s="195"/>
      <c r="AE10" s="195"/>
      <c r="AF10" s="196"/>
      <c r="AG10" s="195"/>
      <c r="AH10" t="str">
        <f>IFERROR(__xludf.DUMMYFUNCTION("JOIN("" "", AE10:AG10)"),"  ")</f>
        <v>  </v>
      </c>
      <c r="AI10" s="195"/>
      <c r="AJ10" s="195"/>
      <c r="AK10" s="196"/>
      <c r="AL10" s="195"/>
      <c r="AM10" t="str">
        <f>IFERROR(__xludf.DUMMYFUNCTION("JOIN("" "", AJ10:AL10)"),"  ")</f>
        <v>  </v>
      </c>
      <c r="AN10" s="195"/>
      <c r="AO10" s="195"/>
      <c r="AP10" s="196"/>
      <c r="AQ10" s="195"/>
      <c r="AR10" t="str">
        <f>IFERROR(__xludf.DUMMYFUNCTION("JOIN("" "", AO10:AQ10)"),"  ")</f>
        <v>  </v>
      </c>
      <c r="AS10" s="195"/>
      <c r="AT10" s="195"/>
      <c r="AU10" s="196"/>
      <c r="AV10" s="195"/>
      <c r="AW10" t="str">
        <f>IFERROR(__xludf.DUMMYFUNCTION("JOIN("" "", AT10:AV10)"),"  ")</f>
        <v>  </v>
      </c>
      <c r="AX10" s="195"/>
      <c r="AY10" s="195"/>
      <c r="AZ10" s="196"/>
      <c r="BA10" s="195"/>
      <c r="BB10" t="str">
        <f>IFERROR(__xludf.DUMMYFUNCTION("JOIN("" "", AY10:BA10)"),"  ")</f>
        <v>  </v>
      </c>
      <c r="BC10" s="195"/>
      <c r="BD10" s="195"/>
      <c r="BE10" s="196"/>
      <c r="BF10" s="195"/>
      <c r="BG10" t="str">
        <f>IFERROR(__xludf.DUMMYFUNCTION("JOIN("" "", BD10:BF10)"),"  ")</f>
        <v>  </v>
      </c>
      <c r="BH10" s="195"/>
      <c r="BI10" s="195"/>
      <c r="BJ10" s="195"/>
      <c r="BK10" s="196"/>
      <c r="BL10" s="195"/>
      <c r="BM10" t="str">
        <f>IFERROR(__xludf.DUMMYFUNCTION("JOIN("" "", BJ10:BL10)"),"  ")</f>
        <v>  </v>
      </c>
      <c r="BN10" s="195"/>
      <c r="BO10" s="195"/>
      <c r="BP10" s="196"/>
      <c r="BQ10" s="195"/>
      <c r="BR10" t="str">
        <f>IFERROR(__xludf.DUMMYFUNCTION("JOIN("" "", BO10:BQ10)"),"  ")</f>
        <v>  </v>
      </c>
      <c r="BS10" s="195"/>
    </row>
    <row r="11">
      <c r="A11" s="195"/>
      <c r="B11" s="196"/>
      <c r="C11" s="195"/>
      <c r="D11" t="str">
        <f>IFERROR(__xludf.DUMMYFUNCTION("JOIN("" "", A11:C11)"),"  ")</f>
        <v>  </v>
      </c>
      <c r="E11" s="195"/>
      <c r="F11" s="195"/>
      <c r="G11" s="196"/>
      <c r="H11" s="195"/>
      <c r="I11" t="str">
        <f>IFERROR(__xludf.DUMMYFUNCTION("JOIN("" "", F11:H11)"),"  ")</f>
        <v>  </v>
      </c>
      <c r="J11" s="195"/>
      <c r="K11" s="195"/>
      <c r="L11" s="196"/>
      <c r="M11" s="195"/>
      <c r="N11" t="str">
        <f>IFERROR(__xludf.DUMMYFUNCTION("JOIN("" "", K11:M11)"),"  ")</f>
        <v>  </v>
      </c>
      <c r="O11" s="195"/>
      <c r="P11" s="195"/>
      <c r="Q11" s="196"/>
      <c r="R11" s="195"/>
      <c r="S11" t="str">
        <f>IFERROR(__xludf.DUMMYFUNCTION("JOIN("" "", P11:R11)"),"  ")</f>
        <v>  </v>
      </c>
      <c r="T11" s="195"/>
      <c r="U11" s="195"/>
      <c r="V11" s="196"/>
      <c r="W11" s="195"/>
      <c r="X11" t="str">
        <f>IFERROR(__xludf.DUMMYFUNCTION("JOIN("" "", U11:W11)"),"  ")</f>
        <v>  </v>
      </c>
      <c r="Y11" s="195"/>
      <c r="Z11" s="195"/>
      <c r="AA11" s="196"/>
      <c r="AB11" s="195"/>
      <c r="AC11" t="str">
        <f>IFERROR(__xludf.DUMMYFUNCTION("JOIN("" "", Z11:AB11)"),"  ")</f>
        <v>  </v>
      </c>
      <c r="AD11" s="195"/>
      <c r="AE11" s="195"/>
      <c r="AF11" s="196"/>
      <c r="AG11" s="195"/>
      <c r="AH11" t="str">
        <f>IFERROR(__xludf.DUMMYFUNCTION("JOIN("" "", AE11:AG11)"),"  ")</f>
        <v>  </v>
      </c>
      <c r="AI11" s="195"/>
      <c r="AJ11" s="195"/>
      <c r="AK11" s="196"/>
      <c r="AL11" s="195"/>
      <c r="AM11" t="str">
        <f>IFERROR(__xludf.DUMMYFUNCTION("JOIN("" "", AJ11:AL11)"),"  ")</f>
        <v>  </v>
      </c>
      <c r="AN11" s="195"/>
      <c r="AO11" s="195"/>
      <c r="AP11" s="196"/>
      <c r="AQ11" s="195"/>
      <c r="AR11" t="str">
        <f>IFERROR(__xludf.DUMMYFUNCTION("JOIN("" "", AO11:AQ11)"),"  ")</f>
        <v>  </v>
      </c>
      <c r="AS11" s="195"/>
      <c r="AT11" s="195"/>
      <c r="AU11" s="196"/>
      <c r="AV11" s="195"/>
      <c r="AW11" t="str">
        <f>IFERROR(__xludf.DUMMYFUNCTION("JOIN("" "", AT11:AV11)"),"  ")</f>
        <v>  </v>
      </c>
      <c r="AX11" s="195"/>
      <c r="AY11" s="195"/>
      <c r="AZ11" s="196"/>
      <c r="BA11" s="195"/>
      <c r="BB11" t="str">
        <f>IFERROR(__xludf.DUMMYFUNCTION("JOIN("" "", AY11:BA11)"),"  ")</f>
        <v>  </v>
      </c>
      <c r="BC11" s="195"/>
      <c r="BD11" s="195"/>
      <c r="BE11" s="196"/>
      <c r="BF11" s="195"/>
      <c r="BG11" t="str">
        <f>IFERROR(__xludf.DUMMYFUNCTION("JOIN("" "", BD11:BF11)"),"  ")</f>
        <v>  </v>
      </c>
      <c r="BH11" s="195"/>
      <c r="BI11" s="195"/>
      <c r="BJ11" s="195"/>
      <c r="BK11" s="196"/>
      <c r="BL11" s="195"/>
      <c r="BM11" t="str">
        <f>IFERROR(__xludf.DUMMYFUNCTION("JOIN("" "", BJ11:BL11)"),"  ")</f>
        <v>  </v>
      </c>
      <c r="BN11" s="195"/>
      <c r="BO11" s="195"/>
      <c r="BP11" s="196"/>
      <c r="BQ11" s="195"/>
      <c r="BR11" t="str">
        <f>IFERROR(__xludf.DUMMYFUNCTION("JOIN("" "", BO11:BQ11)"),"  ")</f>
        <v>  </v>
      </c>
      <c r="BS11" s="195"/>
    </row>
    <row r="12">
      <c r="A12" s="195"/>
      <c r="B12" s="196"/>
      <c r="C12" s="195"/>
      <c r="D12" t="str">
        <f>IFERROR(__xludf.DUMMYFUNCTION("JOIN("" "", A12:C12)"),"  ")</f>
        <v>  </v>
      </c>
      <c r="E12" s="195"/>
      <c r="F12" s="195"/>
      <c r="G12" s="196"/>
      <c r="H12" s="195"/>
      <c r="I12" t="str">
        <f>IFERROR(__xludf.DUMMYFUNCTION("JOIN("" "", F12:H12)"),"  ")</f>
        <v>  </v>
      </c>
      <c r="J12" s="195"/>
      <c r="K12" s="195"/>
      <c r="L12" s="196"/>
      <c r="M12" s="195"/>
      <c r="N12" t="str">
        <f>IFERROR(__xludf.DUMMYFUNCTION("JOIN("" "", K12:M12)"),"  ")</f>
        <v>  </v>
      </c>
      <c r="O12" s="195"/>
      <c r="P12" s="195"/>
      <c r="Q12" s="196"/>
      <c r="R12" s="195"/>
      <c r="S12" t="str">
        <f>IFERROR(__xludf.DUMMYFUNCTION("JOIN("" "", P12:R12)"),"  ")</f>
        <v>  </v>
      </c>
      <c r="T12" s="195"/>
      <c r="U12" s="195"/>
      <c r="V12" s="196"/>
      <c r="W12" s="195"/>
      <c r="X12" t="str">
        <f>IFERROR(__xludf.DUMMYFUNCTION("JOIN("" "", U12:W12)"),"  ")</f>
        <v>  </v>
      </c>
      <c r="Y12" s="195"/>
      <c r="Z12" s="195"/>
      <c r="AA12" s="196"/>
      <c r="AB12" s="195"/>
      <c r="AC12" t="str">
        <f>IFERROR(__xludf.DUMMYFUNCTION("JOIN("" "", Z12:AB12)"),"  ")</f>
        <v>  </v>
      </c>
      <c r="AD12" s="195"/>
      <c r="AE12" s="195"/>
      <c r="AF12" s="196"/>
      <c r="AG12" s="195"/>
      <c r="AH12" t="str">
        <f>IFERROR(__xludf.DUMMYFUNCTION("JOIN("" "", AE12:AG12)"),"  ")</f>
        <v>  </v>
      </c>
      <c r="AI12" s="195"/>
      <c r="AJ12" s="195"/>
      <c r="AK12" s="196"/>
      <c r="AL12" s="195"/>
      <c r="AM12" t="str">
        <f>IFERROR(__xludf.DUMMYFUNCTION("JOIN("" "", AJ12:AL12)"),"  ")</f>
        <v>  </v>
      </c>
      <c r="AN12" s="195"/>
      <c r="AO12" s="195"/>
      <c r="AP12" s="196"/>
      <c r="AQ12" s="195"/>
      <c r="AR12" t="str">
        <f>IFERROR(__xludf.DUMMYFUNCTION("JOIN("" "", AO12:AQ12)"),"  ")</f>
        <v>  </v>
      </c>
      <c r="AS12" s="195"/>
      <c r="AT12" s="195"/>
      <c r="AU12" s="196"/>
      <c r="AV12" s="195"/>
      <c r="AW12" t="str">
        <f>IFERROR(__xludf.DUMMYFUNCTION("JOIN("" "", AT12:AV12)"),"  ")</f>
        <v>  </v>
      </c>
      <c r="AX12" s="195"/>
      <c r="AY12" s="195"/>
      <c r="AZ12" s="196"/>
      <c r="BA12" s="195"/>
      <c r="BB12" t="str">
        <f>IFERROR(__xludf.DUMMYFUNCTION("JOIN("" "", AY12:BA12)"),"  ")</f>
        <v>  </v>
      </c>
      <c r="BC12" s="195"/>
      <c r="BD12" s="195"/>
      <c r="BE12" s="196"/>
      <c r="BF12" s="195"/>
      <c r="BG12" t="str">
        <f>IFERROR(__xludf.DUMMYFUNCTION("JOIN("" "", BD12:BF12)"),"  ")</f>
        <v>  </v>
      </c>
      <c r="BH12" s="195"/>
      <c r="BI12" s="195"/>
      <c r="BJ12" s="195"/>
      <c r="BK12" s="196"/>
      <c r="BL12" s="195"/>
      <c r="BM12" t="str">
        <f>IFERROR(__xludf.DUMMYFUNCTION("JOIN("" "", BJ12:BL12)"),"  ")</f>
        <v>  </v>
      </c>
      <c r="BN12" s="195"/>
      <c r="BO12" s="195"/>
      <c r="BP12" s="196"/>
      <c r="BQ12" s="195"/>
      <c r="BR12" t="str">
        <f>IFERROR(__xludf.DUMMYFUNCTION("JOIN("" "", BO12:BQ12)"),"  ")</f>
        <v>  </v>
      </c>
      <c r="BS12" s="195"/>
    </row>
    <row r="13">
      <c r="A13" s="195"/>
      <c r="B13" s="196"/>
      <c r="C13" s="195"/>
      <c r="D13" t="str">
        <f>IFERROR(__xludf.DUMMYFUNCTION("JOIN("" "", A13:C13)"),"  ")</f>
        <v>  </v>
      </c>
      <c r="E13" s="195"/>
      <c r="F13" s="195"/>
      <c r="G13" s="196"/>
      <c r="H13" s="195"/>
      <c r="I13" t="str">
        <f>IFERROR(__xludf.DUMMYFUNCTION("JOIN("" "", F13:H13)"),"  ")</f>
        <v>  </v>
      </c>
      <c r="J13" s="195"/>
      <c r="K13" s="195"/>
      <c r="L13" s="196"/>
      <c r="M13" s="195"/>
      <c r="N13" t="str">
        <f>IFERROR(__xludf.DUMMYFUNCTION("JOIN("" "", K13:M13)"),"  ")</f>
        <v>  </v>
      </c>
      <c r="O13" s="195"/>
      <c r="P13" s="195"/>
      <c r="Q13" s="196"/>
      <c r="R13" s="195"/>
      <c r="S13" t="str">
        <f>IFERROR(__xludf.DUMMYFUNCTION("JOIN("" "", P13:R13)"),"  ")</f>
        <v>  </v>
      </c>
      <c r="T13" s="195"/>
      <c r="U13" s="195"/>
      <c r="V13" s="196"/>
      <c r="W13" s="195"/>
      <c r="X13" t="str">
        <f>IFERROR(__xludf.DUMMYFUNCTION("JOIN("" "", U13:W13)"),"  ")</f>
        <v>  </v>
      </c>
      <c r="Y13" s="195"/>
      <c r="Z13" s="195"/>
      <c r="AA13" s="196"/>
      <c r="AB13" s="195"/>
      <c r="AC13" t="str">
        <f>IFERROR(__xludf.DUMMYFUNCTION("JOIN("" "", Z13:AB13)"),"  ")</f>
        <v>  </v>
      </c>
      <c r="AD13" s="195"/>
      <c r="AE13" s="195"/>
      <c r="AF13" s="196"/>
      <c r="AG13" s="195"/>
      <c r="AH13" t="str">
        <f>IFERROR(__xludf.DUMMYFUNCTION("JOIN("" "", AE13:AG13)"),"  ")</f>
        <v>  </v>
      </c>
      <c r="AI13" s="195"/>
      <c r="AJ13" s="195"/>
      <c r="AK13" s="196"/>
      <c r="AL13" s="195"/>
      <c r="AM13" t="str">
        <f>IFERROR(__xludf.DUMMYFUNCTION("JOIN("" "", AJ13:AL13)"),"  ")</f>
        <v>  </v>
      </c>
      <c r="AN13" s="195"/>
      <c r="AO13" s="195"/>
      <c r="AP13" s="196"/>
      <c r="AQ13" s="195"/>
      <c r="AR13" t="str">
        <f>IFERROR(__xludf.DUMMYFUNCTION("JOIN("" "", AO13:AQ13)"),"  ")</f>
        <v>  </v>
      </c>
      <c r="AS13" s="195"/>
      <c r="AT13" s="195"/>
      <c r="AU13" s="196"/>
      <c r="AV13" s="195"/>
      <c r="AW13" t="str">
        <f>IFERROR(__xludf.DUMMYFUNCTION("JOIN("" "", AT13:AV13)"),"  ")</f>
        <v>  </v>
      </c>
      <c r="AX13" s="195"/>
      <c r="AY13" s="195"/>
      <c r="AZ13" s="196"/>
      <c r="BA13" s="195"/>
      <c r="BB13" t="str">
        <f>IFERROR(__xludf.DUMMYFUNCTION("JOIN("" "", AY13:BA13)"),"  ")</f>
        <v>  </v>
      </c>
      <c r="BC13" s="195"/>
      <c r="BD13" s="195"/>
      <c r="BE13" s="196"/>
      <c r="BF13" s="195"/>
      <c r="BG13" t="str">
        <f>IFERROR(__xludf.DUMMYFUNCTION("JOIN("" "", BD13:BF13)"),"  ")</f>
        <v>  </v>
      </c>
      <c r="BH13" s="195"/>
      <c r="BI13" s="195"/>
      <c r="BJ13" s="195"/>
      <c r="BK13" s="196"/>
      <c r="BL13" s="195"/>
      <c r="BM13" t="str">
        <f>IFERROR(__xludf.DUMMYFUNCTION("JOIN("" "", BJ13:BL13)"),"  ")</f>
        <v>  </v>
      </c>
      <c r="BN13" s="195"/>
      <c r="BO13" s="195"/>
      <c r="BP13" s="196"/>
      <c r="BQ13" s="195"/>
      <c r="BR13" t="str">
        <f>IFERROR(__xludf.DUMMYFUNCTION("JOIN("" "", BO13:BQ13)"),"  ")</f>
        <v>  </v>
      </c>
      <c r="BS13" s="195"/>
    </row>
    <row r="14">
      <c r="A14" s="195"/>
      <c r="B14" s="196"/>
      <c r="C14" s="195"/>
      <c r="D14" t="str">
        <f>IFERROR(__xludf.DUMMYFUNCTION("JOIN("" "", A14:C14)"),"  ")</f>
        <v>  </v>
      </c>
      <c r="E14" s="195"/>
      <c r="F14" s="195"/>
      <c r="G14" s="196"/>
      <c r="H14" s="195"/>
      <c r="I14" t="str">
        <f>IFERROR(__xludf.DUMMYFUNCTION("JOIN("" "", F14:H14)"),"  ")</f>
        <v>  </v>
      </c>
      <c r="J14" s="195"/>
      <c r="K14" s="195"/>
      <c r="L14" s="196"/>
      <c r="M14" s="195"/>
      <c r="N14" t="str">
        <f>IFERROR(__xludf.DUMMYFUNCTION("JOIN("" "", K14:M14)"),"  ")</f>
        <v>  </v>
      </c>
      <c r="O14" s="195"/>
      <c r="P14" s="195"/>
      <c r="Q14" s="196"/>
      <c r="R14" s="195"/>
      <c r="S14" t="str">
        <f>IFERROR(__xludf.DUMMYFUNCTION("JOIN("" "", P14:R14)"),"  ")</f>
        <v>  </v>
      </c>
      <c r="T14" s="195"/>
      <c r="U14" s="195"/>
      <c r="V14" s="196"/>
      <c r="W14" s="195"/>
      <c r="X14" t="str">
        <f>IFERROR(__xludf.DUMMYFUNCTION("JOIN("" "", U14:W14)"),"  ")</f>
        <v>  </v>
      </c>
      <c r="Y14" s="195"/>
      <c r="Z14" s="195"/>
      <c r="AA14" s="196"/>
      <c r="AB14" s="195"/>
      <c r="AC14" t="str">
        <f>IFERROR(__xludf.DUMMYFUNCTION("JOIN("" "", Z14:AB14)"),"  ")</f>
        <v>  </v>
      </c>
      <c r="AD14" s="195"/>
      <c r="AE14" s="195"/>
      <c r="AF14" s="196"/>
      <c r="AG14" s="195"/>
      <c r="AH14" t="str">
        <f>IFERROR(__xludf.DUMMYFUNCTION("JOIN("" "", AE14:AG14)"),"  ")</f>
        <v>  </v>
      </c>
      <c r="AI14" s="195"/>
      <c r="AJ14" s="195"/>
      <c r="AK14" s="196"/>
      <c r="AL14" s="195"/>
      <c r="AM14" t="str">
        <f>IFERROR(__xludf.DUMMYFUNCTION("JOIN("" "", AJ14:AL14)"),"  ")</f>
        <v>  </v>
      </c>
      <c r="AN14" s="195"/>
      <c r="AO14" s="195"/>
      <c r="AP14" s="196"/>
      <c r="AQ14" s="195"/>
      <c r="AR14" t="str">
        <f>IFERROR(__xludf.DUMMYFUNCTION("JOIN("" "", AO14:AQ14)"),"  ")</f>
        <v>  </v>
      </c>
      <c r="AS14" s="195"/>
      <c r="AT14" s="195"/>
      <c r="AU14" s="196"/>
      <c r="AV14" s="195"/>
      <c r="AW14" t="str">
        <f>IFERROR(__xludf.DUMMYFUNCTION("JOIN("" "", AT14:AV14)"),"  ")</f>
        <v>  </v>
      </c>
      <c r="AX14" s="195"/>
      <c r="AY14" s="195"/>
      <c r="AZ14" s="196"/>
      <c r="BA14" s="195"/>
      <c r="BB14" t="str">
        <f>IFERROR(__xludf.DUMMYFUNCTION("JOIN("" "", AY14:BA14)"),"  ")</f>
        <v>  </v>
      </c>
      <c r="BC14" s="195"/>
      <c r="BD14" s="195"/>
      <c r="BE14" s="196"/>
      <c r="BF14" s="195"/>
      <c r="BG14" t="str">
        <f>IFERROR(__xludf.DUMMYFUNCTION("JOIN("" "", BD14:BF14)"),"  ")</f>
        <v>  </v>
      </c>
      <c r="BH14" s="195"/>
      <c r="BI14" s="195"/>
      <c r="BJ14" s="195"/>
      <c r="BK14" s="196"/>
      <c r="BL14" s="195"/>
      <c r="BM14" t="str">
        <f>IFERROR(__xludf.DUMMYFUNCTION("JOIN("" "", BJ14:BL14)"),"  ")</f>
        <v>  </v>
      </c>
      <c r="BN14" s="195"/>
      <c r="BO14" s="195"/>
      <c r="BP14" s="196"/>
      <c r="BQ14" s="195"/>
      <c r="BR14" t="str">
        <f>IFERROR(__xludf.DUMMYFUNCTION("JOIN("" "", BO14:BQ14)"),"  ")</f>
        <v>  </v>
      </c>
      <c r="BS14" s="195"/>
    </row>
    <row r="15">
      <c r="A15" s="195"/>
      <c r="B15" s="196"/>
      <c r="C15" s="195"/>
      <c r="D15" t="str">
        <f>IFERROR(__xludf.DUMMYFUNCTION("JOIN("" "", A15:C15)"),"  ")</f>
        <v>  </v>
      </c>
      <c r="E15" s="195"/>
      <c r="F15" s="195"/>
      <c r="G15" s="196"/>
      <c r="H15" s="195"/>
      <c r="I15" t="str">
        <f>IFERROR(__xludf.DUMMYFUNCTION("JOIN("" "", F15:H15)"),"  ")</f>
        <v>  </v>
      </c>
      <c r="J15" s="195"/>
      <c r="K15" s="195"/>
      <c r="L15" s="196"/>
      <c r="M15" s="195"/>
      <c r="N15" t="str">
        <f>IFERROR(__xludf.DUMMYFUNCTION("JOIN("" "", K15:M15)"),"  ")</f>
        <v>  </v>
      </c>
      <c r="O15" s="195"/>
      <c r="P15" s="195"/>
      <c r="Q15" s="196"/>
      <c r="R15" s="195"/>
      <c r="S15" t="str">
        <f>IFERROR(__xludf.DUMMYFUNCTION("JOIN("" "", P15:R15)"),"  ")</f>
        <v>  </v>
      </c>
      <c r="T15" s="195"/>
      <c r="U15" s="195"/>
      <c r="V15" s="196"/>
      <c r="W15" s="195"/>
      <c r="X15" t="str">
        <f>IFERROR(__xludf.DUMMYFUNCTION("JOIN("" "", U15:W15)"),"  ")</f>
        <v>  </v>
      </c>
      <c r="Y15" s="195"/>
      <c r="Z15" s="195"/>
      <c r="AA15" s="196"/>
      <c r="AB15" s="195"/>
      <c r="AC15" t="str">
        <f>IFERROR(__xludf.DUMMYFUNCTION("JOIN("" "", Z15:AB15)"),"  ")</f>
        <v>  </v>
      </c>
      <c r="AD15" s="195"/>
      <c r="AE15" s="195"/>
      <c r="AF15" s="196"/>
      <c r="AG15" s="195"/>
      <c r="AH15" t="str">
        <f>IFERROR(__xludf.DUMMYFUNCTION("JOIN("" "", AE15:AG15)"),"  ")</f>
        <v>  </v>
      </c>
      <c r="AI15" s="195"/>
      <c r="AJ15" s="195"/>
      <c r="AK15" s="196"/>
      <c r="AL15" s="195"/>
      <c r="AM15" t="str">
        <f>IFERROR(__xludf.DUMMYFUNCTION("JOIN("" "", AJ15:AL15)"),"  ")</f>
        <v>  </v>
      </c>
      <c r="AN15" s="195"/>
      <c r="AO15" s="195"/>
      <c r="AP15" s="196"/>
      <c r="AQ15" s="195"/>
      <c r="AR15" t="str">
        <f>IFERROR(__xludf.DUMMYFUNCTION("JOIN("" "", AO15:AQ15)"),"  ")</f>
        <v>  </v>
      </c>
      <c r="AS15" s="195"/>
      <c r="AT15" s="195"/>
      <c r="AU15" s="196"/>
      <c r="AV15" s="195"/>
      <c r="AW15" t="str">
        <f>IFERROR(__xludf.DUMMYFUNCTION("JOIN("" "", AT15:AV15)"),"  ")</f>
        <v>  </v>
      </c>
      <c r="AX15" s="195"/>
      <c r="AY15" s="195"/>
      <c r="AZ15" s="196"/>
      <c r="BA15" s="195"/>
      <c r="BB15" t="str">
        <f>IFERROR(__xludf.DUMMYFUNCTION("JOIN("" "", AY15:BA15)"),"  ")</f>
        <v>  </v>
      </c>
      <c r="BC15" s="195"/>
      <c r="BD15" s="195"/>
      <c r="BE15" s="196"/>
      <c r="BF15" s="195"/>
      <c r="BG15" t="str">
        <f>IFERROR(__xludf.DUMMYFUNCTION("JOIN("" "", BD15:BF15)"),"  ")</f>
        <v>  </v>
      </c>
      <c r="BH15" s="195"/>
      <c r="BI15" s="195"/>
      <c r="BJ15" s="195"/>
      <c r="BK15" s="196"/>
      <c r="BL15" s="195"/>
      <c r="BM15" t="str">
        <f>IFERROR(__xludf.DUMMYFUNCTION("JOIN("" "", BJ15:BL15)"),"  ")</f>
        <v>  </v>
      </c>
      <c r="BN15" s="195"/>
      <c r="BO15" s="195"/>
      <c r="BP15" s="196"/>
      <c r="BQ15" s="195"/>
      <c r="BR15" t="str">
        <f>IFERROR(__xludf.DUMMYFUNCTION("JOIN("" "", BO15:BQ15)"),"  ")</f>
        <v>  </v>
      </c>
      <c r="BS15" s="195"/>
    </row>
    <row r="16">
      <c r="A16" s="195"/>
      <c r="B16" s="196"/>
      <c r="C16" s="195"/>
      <c r="D16" t="str">
        <f>IFERROR(__xludf.DUMMYFUNCTION("JOIN("" "", A16:C16)"),"  ")</f>
        <v>  </v>
      </c>
      <c r="E16" s="195"/>
      <c r="F16" s="195"/>
      <c r="G16" s="196"/>
      <c r="H16" s="195"/>
      <c r="I16" t="str">
        <f>IFERROR(__xludf.DUMMYFUNCTION("JOIN("" "", F16:H16)"),"  ")</f>
        <v>  </v>
      </c>
      <c r="J16" s="195"/>
      <c r="K16" s="195"/>
      <c r="L16" s="196"/>
      <c r="M16" s="195"/>
      <c r="N16" t="str">
        <f>IFERROR(__xludf.DUMMYFUNCTION("JOIN("" "", K16:M16)"),"  ")</f>
        <v>  </v>
      </c>
      <c r="O16" s="195"/>
      <c r="P16" s="195"/>
      <c r="Q16" s="196"/>
      <c r="R16" s="195"/>
      <c r="S16" t="str">
        <f>IFERROR(__xludf.DUMMYFUNCTION("JOIN("" "", P16:R16)"),"  ")</f>
        <v>  </v>
      </c>
      <c r="T16" s="195"/>
      <c r="U16" s="195"/>
      <c r="V16" s="196"/>
      <c r="W16" s="195"/>
      <c r="X16" t="str">
        <f>IFERROR(__xludf.DUMMYFUNCTION("JOIN("" "", U16:W16)"),"  ")</f>
        <v>  </v>
      </c>
      <c r="Y16" s="195"/>
      <c r="Z16" s="195"/>
      <c r="AA16" s="196"/>
      <c r="AB16" s="195"/>
      <c r="AC16" t="str">
        <f>IFERROR(__xludf.DUMMYFUNCTION("JOIN("" "", Z16:AB16)"),"  ")</f>
        <v>  </v>
      </c>
      <c r="AD16" s="195"/>
      <c r="AE16" s="195"/>
      <c r="AF16" s="196"/>
      <c r="AG16" s="195"/>
      <c r="AH16" t="str">
        <f>IFERROR(__xludf.DUMMYFUNCTION("JOIN("" "", AE16:AG16)"),"  ")</f>
        <v>  </v>
      </c>
      <c r="AI16" s="195"/>
      <c r="AJ16" s="195"/>
      <c r="AK16" s="196"/>
      <c r="AL16" s="195"/>
      <c r="AM16" t="str">
        <f>IFERROR(__xludf.DUMMYFUNCTION("JOIN("" "", AJ16:AL16)"),"  ")</f>
        <v>  </v>
      </c>
      <c r="AN16" s="195"/>
      <c r="AO16" s="195"/>
      <c r="AP16" s="196"/>
      <c r="AQ16" s="195"/>
      <c r="AR16" t="str">
        <f>IFERROR(__xludf.DUMMYFUNCTION("JOIN("" "", AO16:AQ16)"),"  ")</f>
        <v>  </v>
      </c>
      <c r="AS16" s="195"/>
      <c r="AT16" s="195"/>
      <c r="AU16" s="196"/>
      <c r="AV16" s="195"/>
      <c r="AW16" t="str">
        <f>IFERROR(__xludf.DUMMYFUNCTION("JOIN("" "", AT16:AV16)"),"  ")</f>
        <v>  </v>
      </c>
      <c r="AX16" s="195"/>
      <c r="AY16" s="195"/>
      <c r="AZ16" s="196"/>
      <c r="BA16" s="195"/>
      <c r="BB16" t="str">
        <f>IFERROR(__xludf.DUMMYFUNCTION("JOIN("" "", AY16:BA16)"),"  ")</f>
        <v>  </v>
      </c>
      <c r="BC16" s="195"/>
      <c r="BD16" s="195"/>
      <c r="BE16" s="196"/>
      <c r="BF16" s="195"/>
      <c r="BG16" t="str">
        <f>IFERROR(__xludf.DUMMYFUNCTION("JOIN("" "", BD16:BF16)"),"  ")</f>
        <v>  </v>
      </c>
      <c r="BH16" s="195"/>
      <c r="BI16" s="195"/>
      <c r="BJ16" s="195"/>
      <c r="BK16" s="196"/>
      <c r="BL16" s="195"/>
      <c r="BM16" t="str">
        <f>IFERROR(__xludf.DUMMYFUNCTION("JOIN("" "", BJ16:BL16)"),"  ")</f>
        <v>  </v>
      </c>
      <c r="BN16" s="195"/>
      <c r="BO16" s="195"/>
      <c r="BP16" s="196"/>
      <c r="BQ16" s="195"/>
      <c r="BR16" t="str">
        <f>IFERROR(__xludf.DUMMYFUNCTION("JOIN("" "", BO16:BQ16)"),"  ")</f>
        <v>  </v>
      </c>
      <c r="BS16" s="195"/>
    </row>
    <row r="17">
      <c r="A17" s="195"/>
      <c r="B17" s="196"/>
      <c r="C17" s="195"/>
      <c r="D17" t="str">
        <f>IFERROR(__xludf.DUMMYFUNCTION("JOIN("" "", A17:C17)"),"  ")</f>
        <v>  </v>
      </c>
      <c r="E17" s="195"/>
      <c r="F17" s="195"/>
      <c r="G17" s="196"/>
      <c r="H17" s="195"/>
      <c r="I17" t="str">
        <f>IFERROR(__xludf.DUMMYFUNCTION("JOIN("" "", F17:H17)"),"  ")</f>
        <v>  </v>
      </c>
      <c r="J17" s="195"/>
      <c r="K17" s="195"/>
      <c r="L17" s="196"/>
      <c r="M17" s="195"/>
      <c r="N17" t="str">
        <f>IFERROR(__xludf.DUMMYFUNCTION("JOIN("" "", K17:M17)"),"  ")</f>
        <v>  </v>
      </c>
      <c r="O17" s="195"/>
      <c r="P17" s="195"/>
      <c r="Q17" s="196"/>
      <c r="R17" s="195"/>
      <c r="S17" t="str">
        <f>IFERROR(__xludf.DUMMYFUNCTION("JOIN("" "", P17:R17)"),"  ")</f>
        <v>  </v>
      </c>
      <c r="T17" s="195"/>
      <c r="U17" s="195"/>
      <c r="V17" s="196"/>
      <c r="W17" s="195"/>
      <c r="X17" t="str">
        <f>IFERROR(__xludf.DUMMYFUNCTION("JOIN("" "", U17:W17)"),"  ")</f>
        <v>  </v>
      </c>
      <c r="Y17" s="195"/>
      <c r="Z17" s="195"/>
      <c r="AA17" s="196"/>
      <c r="AB17" s="195"/>
      <c r="AC17" t="str">
        <f>IFERROR(__xludf.DUMMYFUNCTION("JOIN("" "", Z17:AB17)"),"  ")</f>
        <v>  </v>
      </c>
      <c r="AD17" s="195"/>
      <c r="AE17" s="195"/>
      <c r="AF17" s="196"/>
      <c r="AG17" s="195"/>
      <c r="AH17" t="str">
        <f>IFERROR(__xludf.DUMMYFUNCTION("JOIN("" "", AE17:AG17)"),"  ")</f>
        <v>  </v>
      </c>
      <c r="AI17" s="195"/>
      <c r="AJ17" s="195"/>
      <c r="AK17" s="196"/>
      <c r="AL17" s="195"/>
      <c r="AM17" t="str">
        <f>IFERROR(__xludf.DUMMYFUNCTION("JOIN("" "", AJ17:AL17)"),"  ")</f>
        <v>  </v>
      </c>
      <c r="AN17" s="195"/>
      <c r="AO17" s="195"/>
      <c r="AP17" s="196"/>
      <c r="AQ17" s="195"/>
      <c r="AR17" t="str">
        <f>IFERROR(__xludf.DUMMYFUNCTION("JOIN("" "", AO17:AQ17)"),"  ")</f>
        <v>  </v>
      </c>
      <c r="AS17" s="195"/>
      <c r="AT17" s="195"/>
      <c r="AU17" s="196"/>
      <c r="AV17" s="195"/>
      <c r="AW17" t="str">
        <f>IFERROR(__xludf.DUMMYFUNCTION("JOIN("" "", AT17:AV17)"),"  ")</f>
        <v>  </v>
      </c>
      <c r="AX17" s="195"/>
      <c r="AY17" s="195"/>
      <c r="AZ17" s="196"/>
      <c r="BA17" s="195"/>
      <c r="BB17" t="str">
        <f>IFERROR(__xludf.DUMMYFUNCTION("JOIN("" "", AY17:BA17)"),"  ")</f>
        <v>  </v>
      </c>
      <c r="BC17" s="195"/>
      <c r="BD17" s="195"/>
      <c r="BE17" s="196"/>
      <c r="BF17" s="195"/>
      <c r="BG17" t="str">
        <f>IFERROR(__xludf.DUMMYFUNCTION("JOIN("" "", BD17:BF17)"),"  ")</f>
        <v>  </v>
      </c>
      <c r="BH17" s="195"/>
      <c r="BI17" s="195"/>
      <c r="BJ17" s="195"/>
      <c r="BK17" s="196"/>
      <c r="BL17" s="195"/>
      <c r="BM17" t="str">
        <f>IFERROR(__xludf.DUMMYFUNCTION("JOIN("" "", BJ17:BL17)"),"  ")</f>
        <v>  </v>
      </c>
      <c r="BN17" s="195"/>
      <c r="BO17" s="195"/>
      <c r="BP17" s="196"/>
      <c r="BQ17" s="195"/>
      <c r="BR17" t="str">
        <f>IFERROR(__xludf.DUMMYFUNCTION("JOIN("" "", BO17:BQ17)"),"  ")</f>
        <v>  </v>
      </c>
      <c r="BS17" s="195"/>
    </row>
    <row r="18">
      <c r="A18" s="195"/>
      <c r="B18" s="196"/>
      <c r="C18" s="195"/>
      <c r="D18" t="str">
        <f>IFERROR(__xludf.DUMMYFUNCTION("JOIN("" "", A18:C18)"),"  ")</f>
        <v>  </v>
      </c>
      <c r="E18" s="195"/>
      <c r="F18" s="195"/>
      <c r="G18" s="196"/>
      <c r="H18" s="195"/>
      <c r="I18" t="str">
        <f>IFERROR(__xludf.DUMMYFUNCTION("JOIN("" "", F18:H18)"),"  ")</f>
        <v>  </v>
      </c>
      <c r="J18" s="195"/>
      <c r="K18" s="195"/>
      <c r="L18" s="196"/>
      <c r="M18" s="195"/>
      <c r="N18" t="str">
        <f>IFERROR(__xludf.DUMMYFUNCTION("JOIN("" "", K18:M18)"),"  ")</f>
        <v>  </v>
      </c>
      <c r="O18" s="195"/>
      <c r="P18" s="195"/>
      <c r="Q18" s="196"/>
      <c r="R18" s="195"/>
      <c r="S18" t="str">
        <f>IFERROR(__xludf.DUMMYFUNCTION("JOIN("" "", P18:R18)"),"  ")</f>
        <v>  </v>
      </c>
      <c r="T18" s="195"/>
      <c r="U18" s="195"/>
      <c r="V18" s="196"/>
      <c r="W18" s="195"/>
      <c r="X18" t="str">
        <f>IFERROR(__xludf.DUMMYFUNCTION("JOIN("" "", U18:W18)"),"  ")</f>
        <v>  </v>
      </c>
      <c r="Y18" s="195"/>
      <c r="Z18" s="195"/>
      <c r="AA18" s="196"/>
      <c r="AB18" s="195"/>
      <c r="AC18" t="str">
        <f>IFERROR(__xludf.DUMMYFUNCTION("JOIN("" "", Z18:AB18)"),"  ")</f>
        <v>  </v>
      </c>
      <c r="AD18" s="195"/>
      <c r="AE18" s="195"/>
      <c r="AF18" s="196"/>
      <c r="AG18" s="195"/>
      <c r="AH18" t="str">
        <f>IFERROR(__xludf.DUMMYFUNCTION("JOIN("" "", AE18:AG18)"),"  ")</f>
        <v>  </v>
      </c>
      <c r="AI18" s="195"/>
      <c r="AJ18" s="195"/>
      <c r="AK18" s="196"/>
      <c r="AL18" s="195"/>
      <c r="AM18" t="str">
        <f>IFERROR(__xludf.DUMMYFUNCTION("JOIN("" "", AJ18:AL18)"),"  ")</f>
        <v>  </v>
      </c>
      <c r="AN18" s="195"/>
      <c r="AO18" s="195"/>
      <c r="AP18" s="196"/>
      <c r="AQ18" s="195"/>
      <c r="AR18" t="str">
        <f>IFERROR(__xludf.DUMMYFUNCTION("JOIN("" "", AO18:AQ18)"),"  ")</f>
        <v>  </v>
      </c>
      <c r="AS18" s="195"/>
      <c r="AT18" s="195"/>
      <c r="AU18" s="196"/>
      <c r="AV18" s="195"/>
      <c r="AW18" t="str">
        <f>IFERROR(__xludf.DUMMYFUNCTION("JOIN("" "", AT18:AV18)"),"  ")</f>
        <v>  </v>
      </c>
      <c r="AX18" s="195"/>
      <c r="AY18" s="195"/>
      <c r="AZ18" s="196"/>
      <c r="BA18" s="195"/>
      <c r="BB18" t="str">
        <f>IFERROR(__xludf.DUMMYFUNCTION("JOIN("" "", AY18:BA18)"),"  ")</f>
        <v>  </v>
      </c>
      <c r="BC18" s="195"/>
      <c r="BD18" s="195"/>
      <c r="BE18" s="196"/>
      <c r="BF18" s="195"/>
      <c r="BG18" t="str">
        <f>IFERROR(__xludf.DUMMYFUNCTION("JOIN("" "", BD18:BF18)"),"  ")</f>
        <v>  </v>
      </c>
      <c r="BH18" s="195"/>
      <c r="BI18" s="195"/>
      <c r="BJ18" s="195"/>
      <c r="BK18" s="196"/>
      <c r="BL18" s="195"/>
      <c r="BM18" t="str">
        <f>IFERROR(__xludf.DUMMYFUNCTION("JOIN("" "", BJ18:BL18)"),"  ")</f>
        <v>  </v>
      </c>
      <c r="BN18" s="195"/>
      <c r="BO18" s="195"/>
      <c r="BP18" s="196"/>
      <c r="BQ18" s="195"/>
      <c r="BR18" t="str">
        <f>IFERROR(__xludf.DUMMYFUNCTION("JOIN("" "", BO18:BQ18)"),"  ")</f>
        <v>  </v>
      </c>
      <c r="BS18" s="195"/>
    </row>
    <row r="19">
      <c r="A19" s="195"/>
      <c r="B19" s="196"/>
      <c r="C19" s="195"/>
      <c r="D19" t="str">
        <f>IFERROR(__xludf.DUMMYFUNCTION("JOIN("" "", A19:C19)"),"  ")</f>
        <v>  </v>
      </c>
      <c r="E19" s="195"/>
      <c r="F19" s="195"/>
      <c r="G19" s="196"/>
      <c r="H19" s="195"/>
      <c r="I19" t="str">
        <f>IFERROR(__xludf.DUMMYFUNCTION("JOIN("" "", F19:H19)"),"  ")</f>
        <v>  </v>
      </c>
      <c r="J19" s="195"/>
      <c r="K19" s="195"/>
      <c r="L19" s="196"/>
      <c r="M19" s="195"/>
      <c r="N19" t="str">
        <f>IFERROR(__xludf.DUMMYFUNCTION("JOIN("" "", K19:M19)"),"  ")</f>
        <v>  </v>
      </c>
      <c r="O19" s="195"/>
      <c r="P19" s="195"/>
      <c r="Q19" s="196"/>
      <c r="R19" s="195"/>
      <c r="S19" t="str">
        <f>IFERROR(__xludf.DUMMYFUNCTION("JOIN("" "", P19:R19)"),"  ")</f>
        <v>  </v>
      </c>
      <c r="T19" s="195"/>
      <c r="U19" s="195"/>
      <c r="V19" s="196"/>
      <c r="W19" s="195"/>
      <c r="X19" t="str">
        <f>IFERROR(__xludf.DUMMYFUNCTION("JOIN("" "", U19:W19)"),"  ")</f>
        <v>  </v>
      </c>
      <c r="Y19" s="195"/>
      <c r="Z19" s="195"/>
      <c r="AA19" s="196"/>
      <c r="AB19" s="195"/>
      <c r="AC19" t="str">
        <f>IFERROR(__xludf.DUMMYFUNCTION("JOIN("" "", Z19:AB19)"),"  ")</f>
        <v>  </v>
      </c>
      <c r="AD19" s="195"/>
      <c r="AE19" s="195"/>
      <c r="AF19" s="196"/>
      <c r="AG19" s="195"/>
      <c r="AH19" t="str">
        <f>IFERROR(__xludf.DUMMYFUNCTION("JOIN("" "", AE19:AG19)"),"  ")</f>
        <v>  </v>
      </c>
      <c r="AI19" s="195"/>
      <c r="AJ19" s="195"/>
      <c r="AK19" s="196"/>
      <c r="AL19" s="195"/>
      <c r="AM19" t="str">
        <f>IFERROR(__xludf.DUMMYFUNCTION("JOIN("" "", AJ19:AL19)"),"  ")</f>
        <v>  </v>
      </c>
      <c r="AN19" s="195"/>
      <c r="AO19" s="195"/>
      <c r="AP19" s="196"/>
      <c r="AQ19" s="195"/>
      <c r="AR19" t="str">
        <f>IFERROR(__xludf.DUMMYFUNCTION("JOIN("" "", AO19:AQ19)"),"  ")</f>
        <v>  </v>
      </c>
      <c r="AS19" s="195"/>
      <c r="AT19" s="195"/>
      <c r="AU19" s="196"/>
      <c r="AV19" s="195"/>
      <c r="AW19" t="str">
        <f>IFERROR(__xludf.DUMMYFUNCTION("JOIN("" "", AT19:AV19)"),"  ")</f>
        <v>  </v>
      </c>
      <c r="AX19" s="195"/>
      <c r="AY19" s="195"/>
      <c r="AZ19" s="196"/>
      <c r="BA19" s="195"/>
      <c r="BB19" t="str">
        <f>IFERROR(__xludf.DUMMYFUNCTION("JOIN("" "", AY19:BA19)"),"  ")</f>
        <v>  </v>
      </c>
      <c r="BC19" s="195"/>
      <c r="BD19" s="195"/>
      <c r="BE19" s="196"/>
      <c r="BF19" s="195"/>
      <c r="BG19" t="str">
        <f>IFERROR(__xludf.DUMMYFUNCTION("JOIN("" "", BD19:BF19)"),"  ")</f>
        <v>  </v>
      </c>
      <c r="BH19" s="195"/>
      <c r="BI19" s="195"/>
      <c r="BJ19" s="195"/>
      <c r="BK19" s="196"/>
      <c r="BL19" s="195"/>
      <c r="BM19" t="str">
        <f>IFERROR(__xludf.DUMMYFUNCTION("JOIN("" "", BJ19:BL19)"),"  ")</f>
        <v>  </v>
      </c>
      <c r="BN19" s="195"/>
      <c r="BO19" s="195"/>
      <c r="BP19" s="196"/>
      <c r="BQ19" s="195"/>
      <c r="BR19" t="str">
        <f>IFERROR(__xludf.DUMMYFUNCTION("JOIN("" "", BO19:BQ19)"),"  ")</f>
        <v>  </v>
      </c>
      <c r="BS19" s="195"/>
    </row>
    <row r="20">
      <c r="A20" s="195"/>
      <c r="B20" s="196"/>
      <c r="C20" s="195"/>
      <c r="D20" t="str">
        <f>IFERROR(__xludf.DUMMYFUNCTION("JOIN("" "", A20:C20)"),"  ")</f>
        <v>  </v>
      </c>
      <c r="E20" s="195"/>
      <c r="F20" s="195"/>
      <c r="G20" s="196"/>
      <c r="H20" s="195"/>
      <c r="I20" t="str">
        <f>IFERROR(__xludf.DUMMYFUNCTION("JOIN("" "", F20:H20)"),"  ")</f>
        <v>  </v>
      </c>
      <c r="J20" s="195"/>
      <c r="K20" s="195"/>
      <c r="L20" s="196"/>
      <c r="M20" s="195"/>
      <c r="N20" t="str">
        <f>IFERROR(__xludf.DUMMYFUNCTION("JOIN("" "", K20:M20)"),"  ")</f>
        <v>  </v>
      </c>
      <c r="O20" s="195"/>
      <c r="P20" s="195"/>
      <c r="Q20" s="196"/>
      <c r="R20" s="195"/>
      <c r="S20" t="str">
        <f>IFERROR(__xludf.DUMMYFUNCTION("JOIN("" "", P20:R20)"),"  ")</f>
        <v>  </v>
      </c>
      <c r="T20" s="195"/>
      <c r="U20" s="195"/>
      <c r="V20" s="196"/>
      <c r="W20" s="195"/>
      <c r="X20" t="str">
        <f>IFERROR(__xludf.DUMMYFUNCTION("JOIN("" "", U20:W20)"),"  ")</f>
        <v>  </v>
      </c>
      <c r="Y20" s="195"/>
      <c r="Z20" s="195"/>
      <c r="AA20" s="196"/>
      <c r="AB20" s="195"/>
      <c r="AC20" t="str">
        <f>IFERROR(__xludf.DUMMYFUNCTION("JOIN("" "", Z20:AB20)"),"  ")</f>
        <v>  </v>
      </c>
      <c r="AD20" s="195"/>
      <c r="AE20" s="195"/>
      <c r="AF20" s="196"/>
      <c r="AG20" s="195"/>
      <c r="AH20" t="str">
        <f>IFERROR(__xludf.DUMMYFUNCTION("JOIN("" "", AE20:AG20)"),"  ")</f>
        <v>  </v>
      </c>
      <c r="AI20" s="195"/>
      <c r="AJ20" s="195"/>
      <c r="AK20" s="196"/>
      <c r="AL20" s="195"/>
      <c r="AM20" t="str">
        <f>IFERROR(__xludf.DUMMYFUNCTION("JOIN("" "", AJ20:AL20)"),"  ")</f>
        <v>  </v>
      </c>
      <c r="AN20" s="195"/>
      <c r="AO20" s="195"/>
      <c r="AP20" s="196"/>
      <c r="AQ20" s="195"/>
      <c r="AR20" t="str">
        <f>IFERROR(__xludf.DUMMYFUNCTION("JOIN("" "", AO20:AQ20)"),"  ")</f>
        <v>  </v>
      </c>
      <c r="AS20" s="195"/>
      <c r="AT20" s="195"/>
      <c r="AU20" s="196"/>
      <c r="AV20" s="195"/>
      <c r="AW20" t="str">
        <f>IFERROR(__xludf.DUMMYFUNCTION("JOIN("" "", AT20:AV20)"),"  ")</f>
        <v>  </v>
      </c>
      <c r="AX20" s="195"/>
      <c r="AY20" s="195"/>
      <c r="AZ20" s="196"/>
      <c r="BA20" s="195"/>
      <c r="BB20" t="str">
        <f>IFERROR(__xludf.DUMMYFUNCTION("JOIN("" "", AY20:BA20)"),"  ")</f>
        <v>  </v>
      </c>
      <c r="BC20" s="195"/>
      <c r="BD20" s="195"/>
      <c r="BE20" s="196"/>
      <c r="BF20" s="195"/>
      <c r="BG20" t="str">
        <f>IFERROR(__xludf.DUMMYFUNCTION("JOIN("" "", BD20:BF20)"),"  ")</f>
        <v>  </v>
      </c>
      <c r="BH20" s="195"/>
      <c r="BI20" s="195"/>
      <c r="BJ20" s="195"/>
      <c r="BK20" s="196"/>
      <c r="BL20" s="195"/>
      <c r="BM20" t="str">
        <f>IFERROR(__xludf.DUMMYFUNCTION("JOIN("" "", BJ20:BL20)"),"  ")</f>
        <v>  </v>
      </c>
      <c r="BN20" s="195"/>
      <c r="BO20" s="195"/>
      <c r="BP20" s="196"/>
      <c r="BQ20" s="195"/>
      <c r="BR20" t="str">
        <f>IFERROR(__xludf.DUMMYFUNCTION("JOIN("" "", BO20:BQ20)"),"  ")</f>
        <v>  </v>
      </c>
      <c r="BS20" s="195"/>
    </row>
    <row r="21">
      <c r="A21" s="195"/>
      <c r="B21" s="196"/>
      <c r="C21" s="195"/>
      <c r="D21" t="str">
        <f>IFERROR(__xludf.DUMMYFUNCTION("JOIN("" "", A21:C21)"),"  ")</f>
        <v>  </v>
      </c>
      <c r="E21" s="195"/>
      <c r="F21" s="195"/>
      <c r="G21" s="196"/>
      <c r="H21" s="195"/>
      <c r="I21" t="str">
        <f>IFERROR(__xludf.DUMMYFUNCTION("JOIN("" "", F21:H21)"),"  ")</f>
        <v>  </v>
      </c>
      <c r="J21" s="195"/>
      <c r="K21" s="195"/>
      <c r="L21" s="196"/>
      <c r="M21" s="195"/>
      <c r="N21" t="str">
        <f>IFERROR(__xludf.DUMMYFUNCTION("JOIN("" "", K21:M21)"),"  ")</f>
        <v>  </v>
      </c>
      <c r="O21" s="195"/>
      <c r="P21" s="195"/>
      <c r="Q21" s="196"/>
      <c r="R21" s="195"/>
      <c r="S21" t="str">
        <f>IFERROR(__xludf.DUMMYFUNCTION("JOIN("" "", P21:R21)"),"  ")</f>
        <v>  </v>
      </c>
      <c r="T21" s="195"/>
      <c r="U21" s="195"/>
      <c r="V21" s="196"/>
      <c r="W21" s="195"/>
      <c r="X21" t="str">
        <f>IFERROR(__xludf.DUMMYFUNCTION("JOIN("" "", U21:W21)"),"  ")</f>
        <v>  </v>
      </c>
      <c r="Y21" s="195"/>
      <c r="Z21" s="195"/>
      <c r="AA21" s="196"/>
      <c r="AB21" s="195"/>
      <c r="AC21" t="str">
        <f>IFERROR(__xludf.DUMMYFUNCTION("JOIN("" "", Z21:AB21)"),"  ")</f>
        <v>  </v>
      </c>
      <c r="AD21" s="195"/>
      <c r="AE21" s="195"/>
      <c r="AF21" s="196"/>
      <c r="AG21" s="195"/>
      <c r="AH21" t="str">
        <f>IFERROR(__xludf.DUMMYFUNCTION("JOIN("" "", AE21:AG21)"),"  ")</f>
        <v>  </v>
      </c>
      <c r="AI21" s="195"/>
      <c r="AJ21" s="195"/>
      <c r="AK21" s="196"/>
      <c r="AL21" s="195"/>
      <c r="AM21" t="str">
        <f>IFERROR(__xludf.DUMMYFUNCTION("JOIN("" "", AJ21:AL21)"),"  ")</f>
        <v>  </v>
      </c>
      <c r="AN21" s="195"/>
      <c r="AO21" s="195"/>
      <c r="AP21" s="196"/>
      <c r="AQ21" s="195"/>
      <c r="AR21" t="str">
        <f>IFERROR(__xludf.DUMMYFUNCTION("JOIN("" "", AO21:AQ21)"),"  ")</f>
        <v>  </v>
      </c>
      <c r="AS21" s="195"/>
      <c r="AT21" s="195"/>
      <c r="AU21" s="196"/>
      <c r="AV21" s="195"/>
      <c r="AW21" t="str">
        <f>IFERROR(__xludf.DUMMYFUNCTION("JOIN("" "", AT21:AV21)"),"  ")</f>
        <v>  </v>
      </c>
      <c r="AX21" s="195"/>
      <c r="AY21" s="195"/>
      <c r="AZ21" s="196"/>
      <c r="BA21" s="195"/>
      <c r="BB21" t="str">
        <f>IFERROR(__xludf.DUMMYFUNCTION("JOIN("" "", AY21:BA21)"),"  ")</f>
        <v>  </v>
      </c>
      <c r="BC21" s="195"/>
      <c r="BD21" s="195"/>
      <c r="BE21" s="196"/>
      <c r="BF21" s="195"/>
      <c r="BG21" t="str">
        <f>IFERROR(__xludf.DUMMYFUNCTION("JOIN("" "", BD21:BF21)"),"  ")</f>
        <v>  </v>
      </c>
      <c r="BH21" s="195"/>
      <c r="BI21" s="195"/>
      <c r="BJ21" s="195"/>
      <c r="BK21" s="196"/>
      <c r="BL21" s="195"/>
      <c r="BM21" t="str">
        <f>IFERROR(__xludf.DUMMYFUNCTION("JOIN("" "", BJ21:BL21)"),"  ")</f>
        <v>  </v>
      </c>
      <c r="BN21" s="195"/>
      <c r="BO21" s="195"/>
      <c r="BP21" s="196"/>
      <c r="BQ21" s="195"/>
      <c r="BR21" t="str">
        <f>IFERROR(__xludf.DUMMYFUNCTION("JOIN("" "", BO21:BQ21)"),"  ")</f>
        <v>  </v>
      </c>
      <c r="BS21" s="195"/>
    </row>
    <row r="22">
      <c r="B22" s="191"/>
      <c r="D22" t="str">
        <f>IFERROR(__xludf.DUMMYFUNCTION("JOIN("" "", A22:C22)"),"  ")</f>
        <v>  </v>
      </c>
      <c r="G22" s="191"/>
      <c r="I22" t="str">
        <f>IFERROR(__xludf.DUMMYFUNCTION("JOIN("" "", F22:H22)"),"  ")</f>
        <v>  </v>
      </c>
      <c r="L22" s="191"/>
      <c r="N22" t="str">
        <f>IFERROR(__xludf.DUMMYFUNCTION("JOIN("" "", K22:M22)"),"  ")</f>
        <v>  </v>
      </c>
      <c r="Q22" s="191"/>
      <c r="S22" t="str">
        <f>IFERROR(__xludf.DUMMYFUNCTION("JOIN("" "", P22:R22)"),"  ")</f>
        <v>  </v>
      </c>
      <c r="V22" s="191"/>
      <c r="X22" t="str">
        <f>IFERROR(__xludf.DUMMYFUNCTION("JOIN("" "", U22:W22)"),"  ")</f>
        <v>  </v>
      </c>
      <c r="AA22" s="191"/>
      <c r="AC22" t="str">
        <f>IFERROR(__xludf.DUMMYFUNCTION("JOIN("" "", Z22:AB22)"),"  ")</f>
        <v>  </v>
      </c>
      <c r="AF22" s="191"/>
      <c r="AH22" t="str">
        <f>IFERROR(__xludf.DUMMYFUNCTION("JOIN("" "", AE22:AG22)"),"  ")</f>
        <v>  </v>
      </c>
      <c r="AK22" s="191"/>
      <c r="AM22" t="str">
        <f>IFERROR(__xludf.DUMMYFUNCTION("JOIN("" "", AJ22:AL22)"),"  ")</f>
        <v>  </v>
      </c>
      <c r="AP22" s="191"/>
      <c r="AR22" t="str">
        <f>IFERROR(__xludf.DUMMYFUNCTION("JOIN("" "", AO22:AQ22)"),"  ")</f>
        <v>  </v>
      </c>
      <c r="AU22" s="191"/>
      <c r="AW22" t="str">
        <f>IFERROR(__xludf.DUMMYFUNCTION("JOIN("" "", AT22:AV22)"),"  ")</f>
        <v>  </v>
      </c>
      <c r="AZ22" s="191"/>
      <c r="BB22" t="str">
        <f>IFERROR(__xludf.DUMMYFUNCTION("JOIN("" "", AY22:BA22)"),"  ")</f>
        <v>  </v>
      </c>
      <c r="BE22" s="191"/>
      <c r="BG22" t="str">
        <f>IFERROR(__xludf.DUMMYFUNCTION("JOIN("" "", BD22:BF22)"),"  ")</f>
        <v>  </v>
      </c>
      <c r="BK22" s="191"/>
      <c r="BM22" t="str">
        <f>IFERROR(__xludf.DUMMYFUNCTION("JOIN("" "", BJ22:BL22)"),"  ")</f>
        <v>  </v>
      </c>
      <c r="BP22" s="191"/>
      <c r="BR22" t="str">
        <f>IFERROR(__xludf.DUMMYFUNCTION("JOIN("" "", BO22:BQ22)"),"  ")</f>
        <v>  </v>
      </c>
    </row>
    <row r="23">
      <c r="B23" s="191"/>
      <c r="D23" t="str">
        <f>IFERROR(__xludf.DUMMYFUNCTION("JOIN("" "", A23:C23)"),"  ")</f>
        <v>  </v>
      </c>
      <c r="G23" s="191"/>
      <c r="I23" t="str">
        <f>IFERROR(__xludf.DUMMYFUNCTION("JOIN("" "", F23:H23)"),"  ")</f>
        <v>  </v>
      </c>
      <c r="L23" s="191"/>
      <c r="N23" t="str">
        <f>IFERROR(__xludf.DUMMYFUNCTION("JOIN("" "", K23:M23)"),"  ")</f>
        <v>  </v>
      </c>
      <c r="Q23" s="191"/>
      <c r="S23" t="str">
        <f>IFERROR(__xludf.DUMMYFUNCTION("JOIN("" "", P23:R23)"),"  ")</f>
        <v>  </v>
      </c>
      <c r="V23" s="191"/>
      <c r="X23" t="str">
        <f>IFERROR(__xludf.DUMMYFUNCTION("JOIN("" "", U23:W23)"),"  ")</f>
        <v>  </v>
      </c>
      <c r="AA23" s="191"/>
      <c r="AC23" t="str">
        <f>IFERROR(__xludf.DUMMYFUNCTION("JOIN("" "", Z23:AB23)"),"  ")</f>
        <v>  </v>
      </c>
      <c r="AF23" s="191"/>
      <c r="AH23" t="str">
        <f>IFERROR(__xludf.DUMMYFUNCTION("JOIN("" "", AE23:AG23)"),"  ")</f>
        <v>  </v>
      </c>
      <c r="AK23" s="191"/>
      <c r="AM23" t="str">
        <f>IFERROR(__xludf.DUMMYFUNCTION("JOIN("" "", AJ23:AL23)"),"  ")</f>
        <v>  </v>
      </c>
      <c r="AP23" s="191"/>
      <c r="AR23" t="str">
        <f>IFERROR(__xludf.DUMMYFUNCTION("JOIN("" "", AO23:AQ23)"),"  ")</f>
        <v>  </v>
      </c>
      <c r="AU23" s="191"/>
      <c r="AW23" t="str">
        <f>IFERROR(__xludf.DUMMYFUNCTION("JOIN("" "", AT23:AV23)"),"  ")</f>
        <v>  </v>
      </c>
      <c r="AZ23" s="191"/>
      <c r="BB23" t="str">
        <f>IFERROR(__xludf.DUMMYFUNCTION("JOIN("" "", AY23:BA23)"),"  ")</f>
        <v>  </v>
      </c>
      <c r="BE23" s="191"/>
      <c r="BG23" t="str">
        <f>IFERROR(__xludf.DUMMYFUNCTION("JOIN("" "", BD23:BF23)"),"  ")</f>
        <v>  </v>
      </c>
      <c r="BK23" s="191"/>
      <c r="BM23" t="str">
        <f>IFERROR(__xludf.DUMMYFUNCTION("JOIN("" "", BJ23:BL23)"),"  ")</f>
        <v>  </v>
      </c>
      <c r="BP23" s="191"/>
      <c r="BR23" t="str">
        <f>IFERROR(__xludf.DUMMYFUNCTION("JOIN("" "", BO23:BQ23)"),"  ")</f>
        <v>  </v>
      </c>
    </row>
    <row r="24">
      <c r="A24" s="193"/>
      <c r="B24" s="191"/>
      <c r="D24" t="str">
        <f>IFERROR(__xludf.DUMMYFUNCTION("JOIN("" "", A24:C24)"),"  ")</f>
        <v>  </v>
      </c>
      <c r="G24" s="191"/>
      <c r="I24" t="str">
        <f>IFERROR(__xludf.DUMMYFUNCTION("JOIN("" "", F24:H24)"),"  ")</f>
        <v>  </v>
      </c>
      <c r="L24" s="191"/>
      <c r="N24" t="str">
        <f>IFERROR(__xludf.DUMMYFUNCTION("JOIN("" "", K24:M24)"),"  ")</f>
        <v>  </v>
      </c>
      <c r="Q24" s="191"/>
      <c r="S24" t="str">
        <f>IFERROR(__xludf.DUMMYFUNCTION("JOIN("" "", P24:R24)"),"  ")</f>
        <v>  </v>
      </c>
      <c r="V24" s="191"/>
      <c r="X24" t="str">
        <f>IFERROR(__xludf.DUMMYFUNCTION("JOIN("" "", U24:W24)"),"  ")</f>
        <v>  </v>
      </c>
      <c r="AA24" s="191"/>
      <c r="AC24" t="str">
        <f>IFERROR(__xludf.DUMMYFUNCTION("JOIN("" "", Z24:AB24)"),"  ")</f>
        <v>  </v>
      </c>
      <c r="AF24" s="191"/>
      <c r="AH24" t="str">
        <f>IFERROR(__xludf.DUMMYFUNCTION("JOIN("" "", AE24:AG24)"),"  ")</f>
        <v>  </v>
      </c>
      <c r="AK24" s="191"/>
      <c r="AM24" t="str">
        <f>IFERROR(__xludf.DUMMYFUNCTION("JOIN("" "", AJ24:AL24)"),"  ")</f>
        <v>  </v>
      </c>
      <c r="AP24" s="191"/>
      <c r="AR24" t="str">
        <f>IFERROR(__xludf.DUMMYFUNCTION("JOIN("" "", AO24:AQ24)"),"  ")</f>
        <v>  </v>
      </c>
      <c r="AU24" s="191"/>
      <c r="AW24" t="str">
        <f>IFERROR(__xludf.DUMMYFUNCTION("JOIN("" "", AT24:AV24)"),"  ")</f>
        <v>  </v>
      </c>
      <c r="AZ24" s="191"/>
      <c r="BB24" t="str">
        <f>IFERROR(__xludf.DUMMYFUNCTION("JOIN("" "", AY24:BA24)"),"  ")</f>
        <v>  </v>
      </c>
      <c r="BE24" s="191"/>
      <c r="BG24" t="str">
        <f>IFERROR(__xludf.DUMMYFUNCTION("JOIN("" "", BD24:BF24)"),"  ")</f>
        <v>  </v>
      </c>
      <c r="BK24" s="191"/>
      <c r="BM24" t="str">
        <f>IFERROR(__xludf.DUMMYFUNCTION("JOIN("" "", BJ24:BL24)"),"  ")</f>
        <v>  </v>
      </c>
      <c r="BP24" s="191"/>
      <c r="BR24" t="str">
        <f>IFERROR(__xludf.DUMMYFUNCTION("JOIN("" "", BO24:BQ24)"),"  ")</f>
        <v>  </v>
      </c>
    </row>
    <row r="25">
      <c r="B25" s="191"/>
      <c r="D25" t="str">
        <f>IFERROR(__xludf.DUMMYFUNCTION("JOIN("" "", A25:C25)"),"  ")</f>
        <v>  </v>
      </c>
      <c r="G25" s="191"/>
      <c r="I25" t="str">
        <f>IFERROR(__xludf.DUMMYFUNCTION("JOIN("" "", F25:H25)"),"  ")</f>
        <v>  </v>
      </c>
      <c r="L25" s="191"/>
      <c r="N25" t="str">
        <f>IFERROR(__xludf.DUMMYFUNCTION("JOIN("" "", K25:M25)"),"  ")</f>
        <v>  </v>
      </c>
      <c r="Q25" s="191"/>
      <c r="S25" t="str">
        <f>IFERROR(__xludf.DUMMYFUNCTION("JOIN("" "", P25:R25)"),"  ")</f>
        <v>  </v>
      </c>
      <c r="V25" s="191"/>
      <c r="X25" t="str">
        <f>IFERROR(__xludf.DUMMYFUNCTION("JOIN("" "", U25:W25)"),"  ")</f>
        <v>  </v>
      </c>
      <c r="AA25" s="191"/>
      <c r="AC25" t="str">
        <f>IFERROR(__xludf.DUMMYFUNCTION("JOIN("" "", Z25:AB25)"),"  ")</f>
        <v>  </v>
      </c>
      <c r="AF25" s="191"/>
      <c r="AH25" t="str">
        <f>IFERROR(__xludf.DUMMYFUNCTION("JOIN("" "", AE25:AG25)"),"  ")</f>
        <v>  </v>
      </c>
      <c r="AK25" s="191"/>
      <c r="AM25" t="str">
        <f>IFERROR(__xludf.DUMMYFUNCTION("JOIN("" "", AJ25:AL25)"),"  ")</f>
        <v>  </v>
      </c>
      <c r="AP25" s="191"/>
      <c r="AR25" t="str">
        <f>IFERROR(__xludf.DUMMYFUNCTION("JOIN("" "", AO25:AQ25)"),"  ")</f>
        <v>  </v>
      </c>
      <c r="AU25" s="191"/>
      <c r="AW25" t="str">
        <f>IFERROR(__xludf.DUMMYFUNCTION("JOIN("" "", AT25:AV25)"),"  ")</f>
        <v>  </v>
      </c>
      <c r="AZ25" s="191"/>
      <c r="BB25" t="str">
        <f>IFERROR(__xludf.DUMMYFUNCTION("JOIN("" "", AY25:BA25)"),"  ")</f>
        <v>  </v>
      </c>
      <c r="BE25" s="191"/>
      <c r="BG25" t="str">
        <f>IFERROR(__xludf.DUMMYFUNCTION("JOIN("" "", BD25:BF25)"),"  ")</f>
        <v>  </v>
      </c>
      <c r="BK25" s="191"/>
      <c r="BM25" t="str">
        <f>IFERROR(__xludf.DUMMYFUNCTION("JOIN("" "", BJ25:BL25)"),"  ")</f>
        <v>  </v>
      </c>
      <c r="BP25" s="191"/>
      <c r="BR25" t="str">
        <f>IFERROR(__xludf.DUMMYFUNCTION("JOIN("" "", BO25:BQ25)"),"  ")</f>
        <v>  </v>
      </c>
    </row>
    <row r="26">
      <c r="B26" s="191"/>
      <c r="D26" t="str">
        <f>IFERROR(__xludf.DUMMYFUNCTION("JOIN("" "", A26:C26)"),"  ")</f>
        <v>  </v>
      </c>
      <c r="G26" s="191"/>
      <c r="I26" t="str">
        <f>IFERROR(__xludf.DUMMYFUNCTION("JOIN("" "", F26:H26)"),"  ")</f>
        <v>  </v>
      </c>
      <c r="L26" s="191"/>
      <c r="N26" t="str">
        <f>IFERROR(__xludf.DUMMYFUNCTION("JOIN("" "", K26:M26)"),"  ")</f>
        <v>  </v>
      </c>
      <c r="Q26" s="191"/>
      <c r="S26" t="str">
        <f>IFERROR(__xludf.DUMMYFUNCTION("JOIN("" "", P26:R26)"),"  ")</f>
        <v>  </v>
      </c>
      <c r="V26" s="191"/>
      <c r="X26" t="str">
        <f>IFERROR(__xludf.DUMMYFUNCTION("JOIN("" "", U26:W26)"),"  ")</f>
        <v>  </v>
      </c>
      <c r="AA26" s="191"/>
      <c r="AC26" t="str">
        <f>IFERROR(__xludf.DUMMYFUNCTION("JOIN("" "", Z26:AB26)"),"  ")</f>
        <v>  </v>
      </c>
      <c r="AF26" s="191"/>
      <c r="AH26" t="str">
        <f>IFERROR(__xludf.DUMMYFUNCTION("JOIN("" "", AE26:AG26)"),"  ")</f>
        <v>  </v>
      </c>
      <c r="AK26" s="191"/>
      <c r="AM26" t="str">
        <f>IFERROR(__xludf.DUMMYFUNCTION("JOIN("" "", AJ26:AL26)"),"  ")</f>
        <v>  </v>
      </c>
      <c r="AP26" s="191"/>
      <c r="AR26" t="str">
        <f>IFERROR(__xludf.DUMMYFUNCTION("JOIN("" "", AO26:AQ26)"),"  ")</f>
        <v>  </v>
      </c>
      <c r="AU26" s="191"/>
      <c r="AW26" t="str">
        <f>IFERROR(__xludf.DUMMYFUNCTION("JOIN("" "", AT26:AV26)"),"  ")</f>
        <v>  </v>
      </c>
      <c r="AZ26" s="191"/>
      <c r="BB26" t="str">
        <f>IFERROR(__xludf.DUMMYFUNCTION("JOIN("" "", AY26:BA26)"),"  ")</f>
        <v>  </v>
      </c>
      <c r="BE26" s="191"/>
      <c r="BG26" t="str">
        <f>IFERROR(__xludf.DUMMYFUNCTION("JOIN("" "", BD26:BF26)"),"  ")</f>
        <v>  </v>
      </c>
      <c r="BK26" s="191"/>
      <c r="BM26" t="str">
        <f>IFERROR(__xludf.DUMMYFUNCTION("JOIN("" "", BJ26:BL26)"),"  ")</f>
        <v>  </v>
      </c>
      <c r="BP26" s="191"/>
      <c r="BR26" t="str">
        <f>IFERROR(__xludf.DUMMYFUNCTION("JOIN("" "", BO26:BQ26)"),"  ")</f>
        <v>  </v>
      </c>
    </row>
    <row r="27">
      <c r="B27" s="191"/>
      <c r="D27" t="str">
        <f>IFERROR(__xludf.DUMMYFUNCTION("JOIN("" "", A27:C27)"),"  ")</f>
        <v>  </v>
      </c>
      <c r="G27" s="191"/>
      <c r="I27" t="str">
        <f>IFERROR(__xludf.DUMMYFUNCTION("JOIN("" "", F27:H27)"),"  ")</f>
        <v>  </v>
      </c>
      <c r="L27" s="191"/>
      <c r="N27" t="str">
        <f>IFERROR(__xludf.DUMMYFUNCTION("JOIN("" "", K27:M27)"),"  ")</f>
        <v>  </v>
      </c>
      <c r="Q27" s="191"/>
      <c r="S27" t="str">
        <f>IFERROR(__xludf.DUMMYFUNCTION("JOIN("" "", P27:R27)"),"  ")</f>
        <v>  </v>
      </c>
      <c r="V27" s="191"/>
      <c r="X27" t="str">
        <f>IFERROR(__xludf.DUMMYFUNCTION("JOIN("" "", U27:W27)"),"  ")</f>
        <v>  </v>
      </c>
      <c r="AA27" s="191"/>
      <c r="AC27" t="str">
        <f>IFERROR(__xludf.DUMMYFUNCTION("JOIN("" "", Z27:AB27)"),"  ")</f>
        <v>  </v>
      </c>
      <c r="AF27" s="191"/>
      <c r="AH27" t="str">
        <f>IFERROR(__xludf.DUMMYFUNCTION("JOIN("" "", AE27:AG27)"),"  ")</f>
        <v>  </v>
      </c>
      <c r="AK27" s="191"/>
      <c r="AM27" t="str">
        <f>IFERROR(__xludf.DUMMYFUNCTION("JOIN("" "", AJ27:AL27)"),"  ")</f>
        <v>  </v>
      </c>
      <c r="AP27" s="191"/>
      <c r="AR27" t="str">
        <f>IFERROR(__xludf.DUMMYFUNCTION("JOIN("" "", AO27:AQ27)"),"  ")</f>
        <v>  </v>
      </c>
      <c r="AU27" s="191"/>
      <c r="AW27" t="str">
        <f>IFERROR(__xludf.DUMMYFUNCTION("JOIN("" "", AT27:AV27)"),"  ")</f>
        <v>  </v>
      </c>
      <c r="AZ27" s="191"/>
      <c r="BB27" t="str">
        <f>IFERROR(__xludf.DUMMYFUNCTION("JOIN("" "", AY27:BA27)"),"  ")</f>
        <v>  </v>
      </c>
      <c r="BE27" s="191"/>
      <c r="BG27" t="str">
        <f>IFERROR(__xludf.DUMMYFUNCTION("JOIN("" "", BD27:BF27)"),"  ")</f>
        <v>  </v>
      </c>
      <c r="BK27" s="191"/>
      <c r="BM27" t="str">
        <f>IFERROR(__xludf.DUMMYFUNCTION("JOIN("" "", BJ27:BL27)"),"  ")</f>
        <v>  </v>
      </c>
      <c r="BP27" s="191"/>
      <c r="BR27" t="str">
        <f>IFERROR(__xludf.DUMMYFUNCTION("JOIN("" "", BO27:BQ27)"),"  ")</f>
        <v>  </v>
      </c>
    </row>
    <row r="28">
      <c r="B28" s="191"/>
      <c r="D28" t="str">
        <f>IFERROR(__xludf.DUMMYFUNCTION("JOIN("" "", A28:C28)"),"  ")</f>
        <v>  </v>
      </c>
      <c r="I28" t="str">
        <f>IFERROR(__xludf.DUMMYFUNCTION("JOIN("" "", F28:H28)"),"  ")</f>
        <v>  </v>
      </c>
      <c r="L28" s="191"/>
      <c r="N28" t="str">
        <f>IFERROR(__xludf.DUMMYFUNCTION("JOIN("" "", K28:M28)"),"  ")</f>
        <v>  </v>
      </c>
      <c r="Q28" s="191"/>
      <c r="S28" t="str">
        <f>IFERROR(__xludf.DUMMYFUNCTION("JOIN("" "", P28:R28)"),"  ")</f>
        <v>  </v>
      </c>
      <c r="V28" s="191"/>
      <c r="X28" t="str">
        <f>IFERROR(__xludf.DUMMYFUNCTION("JOIN("" "", U28:W28)"),"  ")</f>
        <v>  </v>
      </c>
      <c r="AA28" s="191"/>
      <c r="AC28" t="str">
        <f>IFERROR(__xludf.DUMMYFUNCTION("JOIN("" "", Z28:AB28)"),"  ")</f>
        <v>  </v>
      </c>
      <c r="AF28" s="191"/>
      <c r="AH28" t="str">
        <f>IFERROR(__xludf.DUMMYFUNCTION("JOIN("" "", AE28:AG28)"),"  ")</f>
        <v>  </v>
      </c>
      <c r="AK28" s="191"/>
      <c r="AM28" t="str">
        <f>IFERROR(__xludf.DUMMYFUNCTION("JOIN("" "", AJ28:AL28)"),"  ")</f>
        <v>  </v>
      </c>
      <c r="AR28" t="str">
        <f>IFERROR(__xludf.DUMMYFUNCTION("JOIN("" "", AO28:AQ28)"),"  ")</f>
        <v>  </v>
      </c>
      <c r="AU28" s="191"/>
      <c r="AW28" t="str">
        <f>IFERROR(__xludf.DUMMYFUNCTION("JOIN("" "", AT28:AV28)"),"  ")</f>
        <v>  </v>
      </c>
      <c r="AZ28" s="191"/>
      <c r="BB28" t="str">
        <f>IFERROR(__xludf.DUMMYFUNCTION("JOIN("" "", AY28:BA28)"),"  ")</f>
        <v>  </v>
      </c>
      <c r="BE28" s="191"/>
      <c r="BG28" t="str">
        <f>IFERROR(__xludf.DUMMYFUNCTION("JOIN("" "", BD28:BF28)"),"  ")</f>
        <v>  </v>
      </c>
      <c r="BK28" s="191"/>
      <c r="BM28" t="str">
        <f>IFERROR(__xludf.DUMMYFUNCTION("JOIN("" "", BJ28:BL28)"),"  ")</f>
        <v>  </v>
      </c>
      <c r="BP28" s="191"/>
      <c r="BR28" t="str">
        <f>IFERROR(__xludf.DUMMYFUNCTION("JOIN("" "", BO28:BQ28)"),"  ")</f>
        <v>  </v>
      </c>
    </row>
    <row r="29">
      <c r="B29" s="191"/>
      <c r="D29" t="str">
        <f>IFERROR(__xludf.DUMMYFUNCTION("JOIN("" "", A29:C29)"),"  ")</f>
        <v>  </v>
      </c>
      <c r="I29" t="str">
        <f>IFERROR(__xludf.DUMMYFUNCTION("JOIN("" "", F29:H29)"),"  ")</f>
        <v>  </v>
      </c>
      <c r="L29" s="191"/>
      <c r="N29" t="str">
        <f>IFERROR(__xludf.DUMMYFUNCTION("JOIN("" "", K29:M29)"),"  ")</f>
        <v>  </v>
      </c>
      <c r="Q29" s="191"/>
      <c r="S29" t="str">
        <f>IFERROR(__xludf.DUMMYFUNCTION("JOIN("" "", P29:R29)"),"  ")</f>
        <v>  </v>
      </c>
      <c r="V29" s="191"/>
      <c r="X29" t="str">
        <f>IFERROR(__xludf.DUMMYFUNCTION("JOIN("" "", U29:W29)"),"  ")</f>
        <v>  </v>
      </c>
      <c r="AA29" s="191"/>
      <c r="AC29" t="str">
        <f>IFERROR(__xludf.DUMMYFUNCTION("JOIN("" "", Z29:AB29)"),"  ")</f>
        <v>  </v>
      </c>
      <c r="AF29" s="191"/>
      <c r="AH29" t="str">
        <f>IFERROR(__xludf.DUMMYFUNCTION("JOIN("" "", AE29:AG29)"),"  ")</f>
        <v>  </v>
      </c>
      <c r="AM29" t="str">
        <f>IFERROR(__xludf.DUMMYFUNCTION("JOIN("" "", AJ29:AL29)"),"  ")</f>
        <v>  </v>
      </c>
      <c r="AR29" t="str">
        <f>IFERROR(__xludf.DUMMYFUNCTION("JOIN("" "", AO29:AQ29)"),"  ")</f>
        <v>  </v>
      </c>
      <c r="AU29" s="191"/>
      <c r="AW29" t="str">
        <f>IFERROR(__xludf.DUMMYFUNCTION("JOIN("" "", AT29:AV29)"),"  ")</f>
        <v>  </v>
      </c>
      <c r="AZ29" s="191"/>
      <c r="BB29" t="str">
        <f>IFERROR(__xludf.DUMMYFUNCTION("JOIN("" "", AY29:BA29)"),"  ")</f>
        <v>  </v>
      </c>
      <c r="BE29" s="191"/>
      <c r="BG29" t="str">
        <f>IFERROR(__xludf.DUMMYFUNCTION("JOIN("" "", BD29:BF29)"),"  ")</f>
        <v>  </v>
      </c>
      <c r="BK29" s="191"/>
      <c r="BM29" t="str">
        <f>IFERROR(__xludf.DUMMYFUNCTION("JOIN("" "", BJ29:BL29)"),"  ")</f>
        <v>  </v>
      </c>
      <c r="BP29" s="191"/>
      <c r="BR29" t="str">
        <f>IFERROR(__xludf.DUMMYFUNCTION("JOIN("" "", BO29:BQ29)"),"  ")</f>
        <v>  </v>
      </c>
    </row>
    <row r="30">
      <c r="D30" t="str">
        <f>IFERROR(__xludf.DUMMYFUNCTION("JOIN("" "", A30:C30)"),"  ")</f>
        <v>  </v>
      </c>
      <c r="I30" t="str">
        <f>IFERROR(__xludf.DUMMYFUNCTION("JOIN("" "", F30:H30)"),"  ")</f>
        <v>  </v>
      </c>
      <c r="N30" t="str">
        <f>IFERROR(__xludf.DUMMYFUNCTION("JOIN("" "", K30:M30)"),"  ")</f>
        <v>  </v>
      </c>
      <c r="Q30" s="191"/>
      <c r="S30" t="str">
        <f>IFERROR(__xludf.DUMMYFUNCTION("JOIN("" "", P30:R30)"),"  ")</f>
        <v>  </v>
      </c>
      <c r="V30" s="191"/>
      <c r="X30" t="str">
        <f>IFERROR(__xludf.DUMMYFUNCTION("JOIN("" "", U30:W30)"),"  ")</f>
        <v>  </v>
      </c>
      <c r="AC30" t="str">
        <f>IFERROR(__xludf.DUMMYFUNCTION("JOIN("" "", Z30:AB30)"),"  ")</f>
        <v>  </v>
      </c>
      <c r="AH30" t="str">
        <f>IFERROR(__xludf.DUMMYFUNCTION("JOIN("" "", AE30:AG30)"),"  ")</f>
        <v>  </v>
      </c>
      <c r="AM30" t="str">
        <f>IFERROR(__xludf.DUMMYFUNCTION("JOIN("" "", AJ30:AL30)"),"  ")</f>
        <v>  </v>
      </c>
      <c r="AR30" t="str">
        <f>IFERROR(__xludf.DUMMYFUNCTION("JOIN("" "", AO30:AQ30)"),"  ")</f>
        <v>  </v>
      </c>
      <c r="AW30" t="str">
        <f>IFERROR(__xludf.DUMMYFUNCTION("JOIN("" "", AT30:AV30)"),"  ")</f>
        <v>  </v>
      </c>
      <c r="BB30" t="str">
        <f>IFERROR(__xludf.DUMMYFUNCTION("JOIN("" "", AY30:BA30)"),"  ")</f>
        <v>  </v>
      </c>
      <c r="BG30" t="str">
        <f>IFERROR(__xludf.DUMMYFUNCTION("JOIN("" "", BD30:BF30)"),"  ")</f>
        <v>  </v>
      </c>
      <c r="BM30" t="str">
        <f>IFERROR(__xludf.DUMMYFUNCTION("JOIN("" "", BJ30:BL30)"),"  ")</f>
        <v>  </v>
      </c>
      <c r="BR30" t="str">
        <f>IFERROR(__xludf.DUMMYFUNCTION("JOIN("" "", BO30:BQ30)"),"  ")</f>
        <v>  </v>
      </c>
    </row>
    <row r="31">
      <c r="D31" t="str">
        <f>IFERROR(__xludf.DUMMYFUNCTION("JOIN("" "", A31:C31)"),"  ")</f>
        <v>  </v>
      </c>
      <c r="I31" t="str">
        <f>IFERROR(__xludf.DUMMYFUNCTION("JOIN("" "", F31:H31)"),"  ")</f>
        <v>  </v>
      </c>
      <c r="N31" t="str">
        <f>IFERROR(__xludf.DUMMYFUNCTION("JOIN("" "", K31:M31)"),"  ")</f>
        <v>  </v>
      </c>
      <c r="S31" t="str">
        <f>IFERROR(__xludf.DUMMYFUNCTION("JOIN("" "", P31:R31)"),"  ")</f>
        <v>  </v>
      </c>
      <c r="V31" s="191"/>
      <c r="X31" t="str">
        <f>IFERROR(__xludf.DUMMYFUNCTION("JOIN("" "", U31:W31)"),"  ")</f>
        <v>  </v>
      </c>
      <c r="AC31" t="str">
        <f>IFERROR(__xludf.DUMMYFUNCTION("JOIN("" "", Z31:AB31)"),"  ")</f>
        <v>  </v>
      </c>
      <c r="AH31" t="str">
        <f>IFERROR(__xludf.DUMMYFUNCTION("JOIN("" "", AE31:AG31)"),"  ")</f>
        <v>  </v>
      </c>
      <c r="AM31" t="str">
        <f>IFERROR(__xludf.DUMMYFUNCTION("JOIN("" "", AJ31:AL31)"),"  ")</f>
        <v>  </v>
      </c>
      <c r="AR31" t="str">
        <f>IFERROR(__xludf.DUMMYFUNCTION("JOIN("" "", AO31:AQ31)"),"  ")</f>
        <v>  </v>
      </c>
      <c r="AW31" t="str">
        <f>IFERROR(__xludf.DUMMYFUNCTION("JOIN("" "", AT31:AV31)"),"  ")</f>
        <v>  </v>
      </c>
      <c r="BB31" t="str">
        <f>IFERROR(__xludf.DUMMYFUNCTION("JOIN("" "", AY31:BA31)"),"  ")</f>
        <v>  </v>
      </c>
      <c r="BG31" t="str">
        <f>IFERROR(__xludf.DUMMYFUNCTION("JOIN("" "", BD31:BF31)"),"  ")</f>
        <v>  </v>
      </c>
      <c r="BM31" t="str">
        <f>IFERROR(__xludf.DUMMYFUNCTION("JOIN("" "", BJ31:BL31)"),"  ")</f>
        <v>  </v>
      </c>
      <c r="BR31" t="str">
        <f>IFERROR(__xludf.DUMMYFUNCTION("JOIN("" "", BO31:BQ31)"),"  ")</f>
        <v>  </v>
      </c>
    </row>
    <row r="32">
      <c r="D32" t="str">
        <f>IFERROR(__xludf.DUMMYFUNCTION("JOIN("" "", A32:C32)"),"  ")</f>
        <v>  </v>
      </c>
      <c r="I32" t="str">
        <f>IFERROR(__xludf.DUMMYFUNCTION("JOIN("" "", F32:H32)"),"  ")</f>
        <v>  </v>
      </c>
      <c r="N32" t="str">
        <f>IFERROR(__xludf.DUMMYFUNCTION("JOIN("" "", K32:M32)"),"  ")</f>
        <v>  </v>
      </c>
      <c r="S32" t="str">
        <f>IFERROR(__xludf.DUMMYFUNCTION("JOIN("" "", P32:R32)"),"  ")</f>
        <v>  </v>
      </c>
      <c r="X32" t="str">
        <f>IFERROR(__xludf.DUMMYFUNCTION("JOIN("" "", U32:W32)"),"  ")</f>
        <v>  </v>
      </c>
      <c r="AC32" t="str">
        <f>IFERROR(__xludf.DUMMYFUNCTION("JOIN("" "", Z32:AB32)"),"  ")</f>
        <v>  </v>
      </c>
      <c r="AH32" t="str">
        <f>IFERROR(__xludf.DUMMYFUNCTION("JOIN("" "", AE32:AG32)"),"  ")</f>
        <v>  </v>
      </c>
      <c r="AM32" t="str">
        <f>IFERROR(__xludf.DUMMYFUNCTION("JOIN("" "", AJ32:AL32)"),"  ")</f>
        <v>  </v>
      </c>
      <c r="AR32" t="str">
        <f>IFERROR(__xludf.DUMMYFUNCTION("JOIN("" "", AO32:AQ32)"),"  ")</f>
        <v>  </v>
      </c>
      <c r="AW32" t="str">
        <f>IFERROR(__xludf.DUMMYFUNCTION("JOIN("" "", AT32:AV32)"),"  ")</f>
        <v>  </v>
      </c>
      <c r="BB32" t="str">
        <f>IFERROR(__xludf.DUMMYFUNCTION("JOIN("" "", AY32:BA32)"),"  ")</f>
        <v>  </v>
      </c>
      <c r="BG32" t="str">
        <f>IFERROR(__xludf.DUMMYFUNCTION("JOIN("" "", BD32:BF32)"),"  ")</f>
        <v>  </v>
      </c>
      <c r="BM32" t="str">
        <f>IFERROR(__xludf.DUMMYFUNCTION("JOIN("" "", BJ32:BL32)"),"  ")</f>
        <v>  </v>
      </c>
      <c r="BR32" t="str">
        <f>IFERROR(__xludf.DUMMYFUNCTION("JOIN("" "", BO32:BQ32)"),"  ")</f>
        <v>  </v>
      </c>
    </row>
    <row r="33">
      <c r="D33" t="str">
        <f>IFERROR(__xludf.DUMMYFUNCTION("JOIN("" "", A33:C33)"),"  ")</f>
        <v>  </v>
      </c>
      <c r="I33" t="str">
        <f>IFERROR(__xludf.DUMMYFUNCTION("JOIN("" "", F33:H33)"),"  ")</f>
        <v>  </v>
      </c>
      <c r="N33" t="str">
        <f>IFERROR(__xludf.DUMMYFUNCTION("JOIN("" "", K33:M33)"),"  ")</f>
        <v>  </v>
      </c>
      <c r="S33" t="str">
        <f>IFERROR(__xludf.DUMMYFUNCTION("JOIN("" "", P33:R33)"),"  ")</f>
        <v>  </v>
      </c>
      <c r="X33" t="str">
        <f>IFERROR(__xludf.DUMMYFUNCTION("JOIN("" "", U33:W33)"),"  ")</f>
        <v>  </v>
      </c>
      <c r="AC33" t="str">
        <f>IFERROR(__xludf.DUMMYFUNCTION("JOIN("" "", Z33:AB33)"),"  ")</f>
        <v>  </v>
      </c>
      <c r="AH33" t="str">
        <f>IFERROR(__xludf.DUMMYFUNCTION("JOIN("" "", AE33:AG33)"),"  ")</f>
        <v>  </v>
      </c>
      <c r="AM33" t="str">
        <f>IFERROR(__xludf.DUMMYFUNCTION("JOIN("" "", AJ33:AL33)"),"  ")</f>
        <v>  </v>
      </c>
      <c r="AR33" t="str">
        <f>IFERROR(__xludf.DUMMYFUNCTION("JOIN("" "", AO33:AQ33)"),"  ")</f>
        <v>  </v>
      </c>
      <c r="AW33" t="str">
        <f>IFERROR(__xludf.DUMMYFUNCTION("JOIN("" "", AT33:AV33)"),"  ")</f>
        <v>  </v>
      </c>
      <c r="BB33" t="str">
        <f>IFERROR(__xludf.DUMMYFUNCTION("JOIN("" "", AY33:BA33)"),"  ")</f>
        <v>  </v>
      </c>
      <c r="BG33" t="str">
        <f>IFERROR(__xludf.DUMMYFUNCTION("JOIN("" "", BD33:BF33)"),"  ")</f>
        <v>  </v>
      </c>
      <c r="BM33" t="str">
        <f>IFERROR(__xludf.DUMMYFUNCTION("JOIN("" "", BJ33:BL33)"),"  ")</f>
        <v>  </v>
      </c>
      <c r="BR33" t="str">
        <f>IFERROR(__xludf.DUMMYFUNCTION("JOIN("" "", BO33:BQ33)"),"  ")</f>
        <v>  </v>
      </c>
    </row>
    <row r="34">
      <c r="D34" t="str">
        <f>IFERROR(__xludf.DUMMYFUNCTION("JOIN("" "", A34:C34)"),"  ")</f>
        <v>  </v>
      </c>
      <c r="I34" t="str">
        <f>IFERROR(__xludf.DUMMYFUNCTION("JOIN("" "", F34:H34)"),"  ")</f>
        <v>  </v>
      </c>
      <c r="N34" t="str">
        <f>IFERROR(__xludf.DUMMYFUNCTION("JOIN("" "", K34:M34)"),"  ")</f>
        <v>  </v>
      </c>
      <c r="S34" t="str">
        <f>IFERROR(__xludf.DUMMYFUNCTION("JOIN("" "", P34:R34)"),"  ")</f>
        <v>  </v>
      </c>
      <c r="X34" t="str">
        <f>IFERROR(__xludf.DUMMYFUNCTION("JOIN("" "", U34:W34)"),"  ")</f>
        <v>  </v>
      </c>
      <c r="AC34" t="str">
        <f>IFERROR(__xludf.DUMMYFUNCTION("JOIN("" "", Z34:AB34)"),"  ")</f>
        <v>  </v>
      </c>
      <c r="AH34" t="str">
        <f>IFERROR(__xludf.DUMMYFUNCTION("JOIN("" "", AE34:AG34)"),"  ")</f>
        <v>  </v>
      </c>
      <c r="AM34" t="str">
        <f>IFERROR(__xludf.DUMMYFUNCTION("JOIN("" "", AJ34:AL34)"),"  ")</f>
        <v>  </v>
      </c>
      <c r="AR34" t="str">
        <f>IFERROR(__xludf.DUMMYFUNCTION("JOIN("" "", AO34:AQ34)"),"  ")</f>
        <v>  </v>
      </c>
      <c r="AW34" t="str">
        <f>IFERROR(__xludf.DUMMYFUNCTION("JOIN("" "", AT34:AV34)"),"  ")</f>
        <v>  </v>
      </c>
      <c r="BB34" t="str">
        <f>IFERROR(__xludf.DUMMYFUNCTION("JOIN("" "", AY34:BA34)"),"  ")</f>
        <v>  </v>
      </c>
      <c r="BG34" t="str">
        <f>IFERROR(__xludf.DUMMYFUNCTION("JOIN("" "", BD34:BF34)"),"  ")</f>
        <v>  </v>
      </c>
      <c r="BM34" t="str">
        <f>IFERROR(__xludf.DUMMYFUNCTION("JOIN("" "", BJ34:BL34)"),"  ")</f>
        <v>  </v>
      </c>
      <c r="BR34" t="str">
        <f>IFERROR(__xludf.DUMMYFUNCTION("JOIN("" "", BO34:BQ34)"),"  ")</f>
        <v>  </v>
      </c>
    </row>
    <row r="35">
      <c r="D35" t="str">
        <f>IFERROR(__xludf.DUMMYFUNCTION("JOIN("" "", A35:C35)"),"  ")</f>
        <v>  </v>
      </c>
      <c r="I35" t="str">
        <f>IFERROR(__xludf.DUMMYFUNCTION("JOIN("" "", F35:H35)"),"  ")</f>
        <v>  </v>
      </c>
      <c r="N35" t="str">
        <f>IFERROR(__xludf.DUMMYFUNCTION("JOIN("" "", K35:M35)"),"  ")</f>
        <v>  </v>
      </c>
      <c r="S35" t="str">
        <f>IFERROR(__xludf.DUMMYFUNCTION("JOIN("" "", P35:R35)"),"  ")</f>
        <v>  </v>
      </c>
      <c r="X35" t="str">
        <f>IFERROR(__xludf.DUMMYFUNCTION("JOIN("" "", U35:W35)"),"  ")</f>
        <v>  </v>
      </c>
      <c r="AC35" t="str">
        <f>IFERROR(__xludf.DUMMYFUNCTION("JOIN("" "", Z35:AB35)"),"  ")</f>
        <v>  </v>
      </c>
      <c r="AH35" t="str">
        <f>IFERROR(__xludf.DUMMYFUNCTION("JOIN("" "", AE35:AG35)"),"  ")</f>
        <v>  </v>
      </c>
      <c r="AM35" t="str">
        <f>IFERROR(__xludf.DUMMYFUNCTION("JOIN("" "", AJ35:AL35)"),"  ")</f>
        <v>  </v>
      </c>
      <c r="AR35" t="str">
        <f>IFERROR(__xludf.DUMMYFUNCTION("JOIN("" "", AO35:AQ35)"),"  ")</f>
        <v>  </v>
      </c>
      <c r="AW35" t="str">
        <f>IFERROR(__xludf.DUMMYFUNCTION("JOIN("" "", AT35:AV35)"),"  ")</f>
        <v>  </v>
      </c>
      <c r="BB35" t="str">
        <f>IFERROR(__xludf.DUMMYFUNCTION("JOIN("" "", AY35:BA35)"),"  ")</f>
        <v>  </v>
      </c>
      <c r="BG35" t="str">
        <f>IFERROR(__xludf.DUMMYFUNCTION("JOIN("" "", BD35:BF35)"),"  ")</f>
        <v>  </v>
      </c>
      <c r="BM35" t="str">
        <f>IFERROR(__xludf.DUMMYFUNCTION("JOIN("" "", BJ35:BL35)"),"  ")</f>
        <v>  </v>
      </c>
      <c r="BR35" t="str">
        <f>IFERROR(__xludf.DUMMYFUNCTION("JOIN("" "", BO35:BQ35)"),"  ")</f>
        <v>  </v>
      </c>
    </row>
    <row r="36">
      <c r="D36" t="str">
        <f>IFERROR(__xludf.DUMMYFUNCTION("JOIN("" "", A36:C36)"),"  ")</f>
        <v>  </v>
      </c>
      <c r="I36" t="str">
        <f>IFERROR(__xludf.DUMMYFUNCTION("JOIN("" "", F36:H36)"),"  ")</f>
        <v>  </v>
      </c>
      <c r="N36" t="str">
        <f>IFERROR(__xludf.DUMMYFUNCTION("JOIN("" "", K36:M36)"),"  ")</f>
        <v>  </v>
      </c>
      <c r="S36" t="str">
        <f>IFERROR(__xludf.DUMMYFUNCTION("JOIN("" "", P36:R36)"),"  ")</f>
        <v>  </v>
      </c>
      <c r="X36" t="str">
        <f>IFERROR(__xludf.DUMMYFUNCTION("JOIN("" "", U36:W36)"),"  ")</f>
        <v>  </v>
      </c>
      <c r="AC36" t="str">
        <f>IFERROR(__xludf.DUMMYFUNCTION("JOIN("" "", Z36:AB36)"),"  ")</f>
        <v>  </v>
      </c>
      <c r="AH36" t="str">
        <f>IFERROR(__xludf.DUMMYFUNCTION("JOIN("" "", AE36:AG36)"),"  ")</f>
        <v>  </v>
      </c>
      <c r="AM36" t="str">
        <f>IFERROR(__xludf.DUMMYFUNCTION("JOIN("" "", AJ36:AL36)"),"  ")</f>
        <v>  </v>
      </c>
      <c r="AR36" t="str">
        <f>IFERROR(__xludf.DUMMYFUNCTION("JOIN("" "", AO36:AQ36)"),"  ")</f>
        <v>  </v>
      </c>
      <c r="AW36" t="str">
        <f>IFERROR(__xludf.DUMMYFUNCTION("JOIN("" "", AT36:AV36)"),"  ")</f>
        <v>  </v>
      </c>
      <c r="BB36" t="str">
        <f>IFERROR(__xludf.DUMMYFUNCTION("JOIN("" "", AY36:BA36)"),"  ")</f>
        <v>  </v>
      </c>
      <c r="BG36" t="str">
        <f>IFERROR(__xludf.DUMMYFUNCTION("JOIN("" "", BD36:BF36)"),"  ")</f>
        <v>  </v>
      </c>
      <c r="BM36" t="str">
        <f>IFERROR(__xludf.DUMMYFUNCTION("JOIN("" "", BJ36:BL36)"),"  ")</f>
        <v>  </v>
      </c>
      <c r="BR36" t="str">
        <f>IFERROR(__xludf.DUMMYFUNCTION("JOIN("" "", BO36:BQ36)"),"  ")</f>
        <v>  </v>
      </c>
    </row>
    <row r="37">
      <c r="D37" t="str">
        <f>IFERROR(__xludf.DUMMYFUNCTION("JOIN("" "", A37:C37)"),"  ")</f>
        <v>  </v>
      </c>
      <c r="I37" t="str">
        <f>IFERROR(__xludf.DUMMYFUNCTION("JOIN("" "", F37:H37)"),"  ")</f>
        <v>  </v>
      </c>
      <c r="N37" t="str">
        <f>IFERROR(__xludf.DUMMYFUNCTION("JOIN("" "", K37:M37)"),"  ")</f>
        <v>  </v>
      </c>
      <c r="S37" t="str">
        <f>IFERROR(__xludf.DUMMYFUNCTION("JOIN("" "", P37:R37)"),"  ")</f>
        <v>  </v>
      </c>
      <c r="X37" t="str">
        <f>IFERROR(__xludf.DUMMYFUNCTION("JOIN("" "", U37:W37)"),"  ")</f>
        <v>  </v>
      </c>
      <c r="AC37" t="str">
        <f>IFERROR(__xludf.DUMMYFUNCTION("JOIN("" "", Z37:AB37)"),"  ")</f>
        <v>  </v>
      </c>
      <c r="AH37" t="str">
        <f>IFERROR(__xludf.DUMMYFUNCTION("JOIN("" "", AE37:AG37)"),"  ")</f>
        <v>  </v>
      </c>
      <c r="AM37" t="str">
        <f>IFERROR(__xludf.DUMMYFUNCTION("JOIN("" "", AJ37:AL37)"),"  ")</f>
        <v>  </v>
      </c>
      <c r="AR37" t="str">
        <f>IFERROR(__xludf.DUMMYFUNCTION("JOIN("" "", AO37:AQ37)"),"  ")</f>
        <v>  </v>
      </c>
      <c r="AW37" t="str">
        <f>IFERROR(__xludf.DUMMYFUNCTION("JOIN("" "", AT37:AV37)"),"  ")</f>
        <v>  </v>
      </c>
      <c r="BB37" t="str">
        <f>IFERROR(__xludf.DUMMYFUNCTION("JOIN("" "", AY37:BA37)"),"  ")</f>
        <v>  </v>
      </c>
      <c r="BG37" t="str">
        <f>IFERROR(__xludf.DUMMYFUNCTION("JOIN("" "", BD37:BF37)"),"  ")</f>
        <v>  </v>
      </c>
      <c r="BM37" t="str">
        <f>IFERROR(__xludf.DUMMYFUNCTION("JOIN("" "", BJ37:BL37)"),"  ")</f>
        <v>  </v>
      </c>
      <c r="BR37" t="str">
        <f>IFERROR(__xludf.DUMMYFUNCTION("JOIN("" "", BO37:BQ37)"),"  ")</f>
        <v>  </v>
      </c>
    </row>
    <row r="38">
      <c r="D38" t="str">
        <f>IFERROR(__xludf.DUMMYFUNCTION("JOIN("" "", A38:C38)"),"  ")</f>
        <v>  </v>
      </c>
      <c r="I38" t="str">
        <f>IFERROR(__xludf.DUMMYFUNCTION("JOIN("" "", F38:H38)"),"  ")</f>
        <v>  </v>
      </c>
      <c r="N38" t="str">
        <f>IFERROR(__xludf.DUMMYFUNCTION("JOIN("" "", K38:M38)"),"  ")</f>
        <v>  </v>
      </c>
      <c r="S38" t="str">
        <f>IFERROR(__xludf.DUMMYFUNCTION("JOIN("" "", P38:R38)"),"  ")</f>
        <v>  </v>
      </c>
      <c r="X38" t="str">
        <f>IFERROR(__xludf.DUMMYFUNCTION("JOIN("" "", U38:W38)"),"  ")</f>
        <v>  </v>
      </c>
      <c r="AC38" t="str">
        <f>IFERROR(__xludf.DUMMYFUNCTION("JOIN("" "", Z38:AB38)"),"  ")</f>
        <v>  </v>
      </c>
      <c r="AH38" t="str">
        <f>IFERROR(__xludf.DUMMYFUNCTION("JOIN("" "", AE38:AG38)"),"  ")</f>
        <v>  </v>
      </c>
      <c r="AM38" t="str">
        <f>IFERROR(__xludf.DUMMYFUNCTION("JOIN("" "", AJ38:AL38)"),"  ")</f>
        <v>  </v>
      </c>
      <c r="AR38" t="str">
        <f>IFERROR(__xludf.DUMMYFUNCTION("JOIN("" "", AO38:AQ38)"),"  ")</f>
        <v>  </v>
      </c>
      <c r="AW38" t="str">
        <f>IFERROR(__xludf.DUMMYFUNCTION("JOIN("" "", AT38:AV38)"),"  ")</f>
        <v>  </v>
      </c>
      <c r="BB38" t="str">
        <f>IFERROR(__xludf.DUMMYFUNCTION("JOIN("" "", AY38:BA38)"),"  ")</f>
        <v>  </v>
      </c>
      <c r="BG38" t="str">
        <f>IFERROR(__xludf.DUMMYFUNCTION("JOIN("" "", BD38:BF38)"),"  ")</f>
        <v>  </v>
      </c>
      <c r="BM38" t="str">
        <f>IFERROR(__xludf.DUMMYFUNCTION("JOIN("" "", BJ38:BL38)"),"  ")</f>
        <v>  </v>
      </c>
      <c r="BR38" t="str">
        <f>IFERROR(__xludf.DUMMYFUNCTION("JOIN("" "", BO38:BQ38)"),"  ")</f>
        <v>  </v>
      </c>
    </row>
    <row r="39">
      <c r="D39" t="str">
        <f>IFERROR(__xludf.DUMMYFUNCTION("JOIN("" "", A39:C39)"),"  ")</f>
        <v>  </v>
      </c>
      <c r="I39" t="str">
        <f>IFERROR(__xludf.DUMMYFUNCTION("JOIN("" "", F39:H39)"),"  ")</f>
        <v>  </v>
      </c>
      <c r="N39" t="str">
        <f>IFERROR(__xludf.DUMMYFUNCTION("JOIN("" "", K39:M39)"),"  ")</f>
        <v>  </v>
      </c>
      <c r="S39" t="str">
        <f>IFERROR(__xludf.DUMMYFUNCTION("JOIN("" "", P39:R39)"),"  ")</f>
        <v>  </v>
      </c>
      <c r="X39" t="str">
        <f>IFERROR(__xludf.DUMMYFUNCTION("JOIN("" "", U39:W39)"),"  ")</f>
        <v>  </v>
      </c>
      <c r="AC39" t="str">
        <f>IFERROR(__xludf.DUMMYFUNCTION("JOIN("" "", Z39:AB39)"),"  ")</f>
        <v>  </v>
      </c>
      <c r="AH39" t="str">
        <f>IFERROR(__xludf.DUMMYFUNCTION("JOIN("" "", AE39:AG39)"),"  ")</f>
        <v>  </v>
      </c>
      <c r="AM39" t="str">
        <f>IFERROR(__xludf.DUMMYFUNCTION("JOIN("" "", AJ39:AL39)"),"  ")</f>
        <v>  </v>
      </c>
      <c r="AR39" t="str">
        <f>IFERROR(__xludf.DUMMYFUNCTION("JOIN("" "", AO39:AQ39)"),"  ")</f>
        <v>  </v>
      </c>
      <c r="AW39" t="str">
        <f>IFERROR(__xludf.DUMMYFUNCTION("JOIN("" "", AT39:AV39)"),"  ")</f>
        <v>  </v>
      </c>
      <c r="BB39" t="str">
        <f>IFERROR(__xludf.DUMMYFUNCTION("JOIN("" "", AY39:BA39)"),"  ")</f>
        <v>  </v>
      </c>
      <c r="BG39" t="str">
        <f>IFERROR(__xludf.DUMMYFUNCTION("JOIN("" "", BD39:BF39)"),"  ")</f>
        <v>  </v>
      </c>
      <c r="BM39" t="str">
        <f>IFERROR(__xludf.DUMMYFUNCTION("JOIN("" "", BJ39:BL39)"),"  ")</f>
        <v>  </v>
      </c>
      <c r="BR39" t="str">
        <f>IFERROR(__xludf.DUMMYFUNCTION("JOIN("" "", BO39:BQ39)"),"  ")</f>
        <v>  </v>
      </c>
    </row>
    <row r="40">
      <c r="D40" t="str">
        <f>IFERROR(__xludf.DUMMYFUNCTION("JOIN("" "", A40:C40)"),"  ")</f>
        <v>  </v>
      </c>
      <c r="I40" t="str">
        <f>IFERROR(__xludf.DUMMYFUNCTION("JOIN("" "", F40:H40)"),"  ")</f>
        <v>  </v>
      </c>
      <c r="N40" t="str">
        <f>IFERROR(__xludf.DUMMYFUNCTION("JOIN("" "", K40:M40)"),"  ")</f>
        <v>  </v>
      </c>
      <c r="S40" t="str">
        <f>IFERROR(__xludf.DUMMYFUNCTION("JOIN("" "", P40:R40)"),"  ")</f>
        <v>  </v>
      </c>
      <c r="X40" t="str">
        <f>IFERROR(__xludf.DUMMYFUNCTION("JOIN("" "", U40:W40)"),"  ")</f>
        <v>  </v>
      </c>
      <c r="AC40" t="str">
        <f>IFERROR(__xludf.DUMMYFUNCTION("JOIN("" "", Z40:AB40)"),"  ")</f>
        <v>  </v>
      </c>
      <c r="AH40" t="str">
        <f>IFERROR(__xludf.DUMMYFUNCTION("JOIN("" "", AE40:AG40)"),"  ")</f>
        <v>  </v>
      </c>
      <c r="AM40" t="str">
        <f>IFERROR(__xludf.DUMMYFUNCTION("JOIN("" "", AJ40:AL40)"),"  ")</f>
        <v>  </v>
      </c>
      <c r="AR40" t="str">
        <f>IFERROR(__xludf.DUMMYFUNCTION("JOIN("" "", AO40:AQ40)"),"  ")</f>
        <v>  </v>
      </c>
      <c r="AW40" t="str">
        <f>IFERROR(__xludf.DUMMYFUNCTION("JOIN("" "", AT40:AV40)"),"  ")</f>
        <v>  </v>
      </c>
      <c r="BB40" t="str">
        <f>IFERROR(__xludf.DUMMYFUNCTION("JOIN("" "", AY40:BA40)"),"  ")</f>
        <v>  </v>
      </c>
      <c r="BG40" t="str">
        <f>IFERROR(__xludf.DUMMYFUNCTION("JOIN("" "", BD40:BF40)"),"  ")</f>
        <v>  </v>
      </c>
      <c r="BM40" t="str">
        <f>IFERROR(__xludf.DUMMYFUNCTION("JOIN("" "", BJ40:BL40)"),"  ")</f>
        <v>  </v>
      </c>
      <c r="BR40" t="str">
        <f>IFERROR(__xludf.DUMMYFUNCTION("JOIN("" "", BO40:BQ40)"),"  ")</f>
        <v>  </v>
      </c>
    </row>
    <row r="41">
      <c r="D41" t="str">
        <f>IFERROR(__xludf.DUMMYFUNCTION("JOIN("" "", A41:C41)"),"  ")</f>
        <v>  </v>
      </c>
      <c r="I41" t="str">
        <f>IFERROR(__xludf.DUMMYFUNCTION("JOIN("" "", F41:H41)"),"  ")</f>
        <v>  </v>
      </c>
      <c r="N41" t="str">
        <f>IFERROR(__xludf.DUMMYFUNCTION("JOIN("" "", K41:M41)"),"  ")</f>
        <v>  </v>
      </c>
      <c r="S41" t="str">
        <f>IFERROR(__xludf.DUMMYFUNCTION("JOIN("" "", P41:R41)"),"  ")</f>
        <v>  </v>
      </c>
      <c r="X41" t="str">
        <f>IFERROR(__xludf.DUMMYFUNCTION("JOIN("" "", U41:W41)"),"  ")</f>
        <v>  </v>
      </c>
      <c r="AC41" t="str">
        <f>IFERROR(__xludf.DUMMYFUNCTION("JOIN("" "", Z41:AB41)"),"  ")</f>
        <v>  </v>
      </c>
      <c r="AH41" t="str">
        <f>IFERROR(__xludf.DUMMYFUNCTION("JOIN("" "", AE41:AG41)"),"  ")</f>
        <v>  </v>
      </c>
      <c r="AM41" t="str">
        <f>IFERROR(__xludf.DUMMYFUNCTION("JOIN("" "", AJ41:AL41)"),"  ")</f>
        <v>  </v>
      </c>
      <c r="AR41" t="str">
        <f>IFERROR(__xludf.DUMMYFUNCTION("JOIN("" "", AO41:AQ41)"),"  ")</f>
        <v>  </v>
      </c>
      <c r="AW41" t="str">
        <f>IFERROR(__xludf.DUMMYFUNCTION("JOIN("" "", AT41:AV41)"),"  ")</f>
        <v>  </v>
      </c>
      <c r="BB41" t="str">
        <f>IFERROR(__xludf.DUMMYFUNCTION("JOIN("" "", AY41:BA41)"),"  ")</f>
        <v>  </v>
      </c>
      <c r="BG41" t="str">
        <f>IFERROR(__xludf.DUMMYFUNCTION("JOIN("" "", BD41:BF41)"),"  ")</f>
        <v>  </v>
      </c>
      <c r="BM41" t="str">
        <f>IFERROR(__xludf.DUMMYFUNCTION("JOIN("" "", BJ41:BL41)"),"  ")</f>
        <v>  </v>
      </c>
      <c r="BR41" t="str">
        <f>IFERROR(__xludf.DUMMYFUNCTION("JOIN("" "", BO41:BQ41)"),"  ")</f>
        <v>  </v>
      </c>
    </row>
    <row r="42">
      <c r="D42" t="str">
        <f>IFERROR(__xludf.DUMMYFUNCTION("JOIN("" "", A42:C42)"),"  ")</f>
        <v>  </v>
      </c>
      <c r="I42" t="str">
        <f>IFERROR(__xludf.DUMMYFUNCTION("JOIN("" "", F42:H42)"),"  ")</f>
        <v>  </v>
      </c>
      <c r="N42" t="str">
        <f>IFERROR(__xludf.DUMMYFUNCTION("JOIN("" "", K42:M42)"),"  ")</f>
        <v>  </v>
      </c>
      <c r="S42" t="str">
        <f>IFERROR(__xludf.DUMMYFUNCTION("JOIN("" "", P42:R42)"),"  ")</f>
        <v>  </v>
      </c>
      <c r="X42" t="str">
        <f>IFERROR(__xludf.DUMMYFUNCTION("JOIN("" "", U42:W42)"),"  ")</f>
        <v>  </v>
      </c>
      <c r="AC42" t="str">
        <f>IFERROR(__xludf.DUMMYFUNCTION("JOIN("" "", Z42:AB42)"),"  ")</f>
        <v>  </v>
      </c>
      <c r="AH42" t="str">
        <f>IFERROR(__xludf.DUMMYFUNCTION("JOIN("" "", AE42:AG42)"),"  ")</f>
        <v>  </v>
      </c>
      <c r="AM42" t="str">
        <f>IFERROR(__xludf.DUMMYFUNCTION("JOIN("" "", AJ42:AL42)"),"  ")</f>
        <v>  </v>
      </c>
      <c r="AR42" t="str">
        <f>IFERROR(__xludf.DUMMYFUNCTION("JOIN("" "", AO42:AQ42)"),"  ")</f>
        <v>  </v>
      </c>
      <c r="AW42" t="str">
        <f>IFERROR(__xludf.DUMMYFUNCTION("JOIN("" "", AT42:AV42)"),"  ")</f>
        <v>  </v>
      </c>
      <c r="BB42" t="str">
        <f>IFERROR(__xludf.DUMMYFUNCTION("JOIN("" "", AY42:BA42)"),"  ")</f>
        <v>  </v>
      </c>
      <c r="BG42" t="str">
        <f>IFERROR(__xludf.DUMMYFUNCTION("JOIN("" "", BD42:BF42)"),"  ")</f>
        <v>  </v>
      </c>
      <c r="BM42" t="str">
        <f>IFERROR(__xludf.DUMMYFUNCTION("JOIN("" "", BJ42:BL42)"),"  ")</f>
        <v>  </v>
      </c>
      <c r="BR42" t="str">
        <f>IFERROR(__xludf.DUMMYFUNCTION("JOIN("" "", BO42:BQ42)"),"  ")</f>
        <v>  </v>
      </c>
    </row>
    <row r="43">
      <c r="D43" t="str">
        <f>IFERROR(__xludf.DUMMYFUNCTION("JOIN("" "", A43:C43)"),"  ")</f>
        <v>  </v>
      </c>
      <c r="I43" t="str">
        <f>IFERROR(__xludf.DUMMYFUNCTION("JOIN("" "", F43:H43)"),"  ")</f>
        <v>  </v>
      </c>
      <c r="N43" t="str">
        <f>IFERROR(__xludf.DUMMYFUNCTION("JOIN("" "", K43:M43)"),"  ")</f>
        <v>  </v>
      </c>
      <c r="S43" t="str">
        <f>IFERROR(__xludf.DUMMYFUNCTION("JOIN("" "", P43:R43)"),"  ")</f>
        <v>  </v>
      </c>
      <c r="X43" t="str">
        <f>IFERROR(__xludf.DUMMYFUNCTION("JOIN("" "", U43:W43)"),"  ")</f>
        <v>  </v>
      </c>
      <c r="AC43" t="str">
        <f>IFERROR(__xludf.DUMMYFUNCTION("JOIN("" "", Z43:AB43)"),"  ")</f>
        <v>  </v>
      </c>
      <c r="AH43" t="str">
        <f>IFERROR(__xludf.DUMMYFUNCTION("JOIN("" "", AE43:AG43)"),"  ")</f>
        <v>  </v>
      </c>
      <c r="AM43" t="str">
        <f>IFERROR(__xludf.DUMMYFUNCTION("JOIN("" "", AJ43:AL43)"),"  ")</f>
        <v>  </v>
      </c>
      <c r="AR43" t="str">
        <f>IFERROR(__xludf.DUMMYFUNCTION("JOIN("" "", AO43:AQ43)"),"  ")</f>
        <v>  </v>
      </c>
      <c r="AW43" t="str">
        <f>IFERROR(__xludf.DUMMYFUNCTION("JOIN("" "", AT43:AV43)"),"  ")</f>
        <v>  </v>
      </c>
      <c r="BB43" t="str">
        <f>IFERROR(__xludf.DUMMYFUNCTION("JOIN("" "", AY43:BA43)"),"  ")</f>
        <v>  </v>
      </c>
      <c r="BG43" t="str">
        <f>IFERROR(__xludf.DUMMYFUNCTION("JOIN("" "", BD43:BF43)"),"  ")</f>
        <v>  </v>
      </c>
      <c r="BM43" t="str">
        <f>IFERROR(__xludf.DUMMYFUNCTION("JOIN("" "", BJ43:BL43)"),"  ")</f>
        <v>  </v>
      </c>
      <c r="BR43" t="str">
        <f>IFERROR(__xludf.DUMMYFUNCTION("JOIN("" "", BO43:BQ43)"),"  ")</f>
        <v>  </v>
      </c>
    </row>
    <row r="44">
      <c r="D44" t="str">
        <f>IFERROR(__xludf.DUMMYFUNCTION("JOIN("" "", A44:C44)"),"  ")</f>
        <v>  </v>
      </c>
      <c r="I44" t="str">
        <f>IFERROR(__xludf.DUMMYFUNCTION("JOIN("" "", F44:H44)"),"  ")</f>
        <v>  </v>
      </c>
      <c r="N44" t="str">
        <f>IFERROR(__xludf.DUMMYFUNCTION("JOIN("" "", K44:M44)"),"  ")</f>
        <v>  </v>
      </c>
      <c r="S44" t="str">
        <f>IFERROR(__xludf.DUMMYFUNCTION("JOIN("" "", P44:R44)"),"  ")</f>
        <v>  </v>
      </c>
      <c r="X44" t="str">
        <f>IFERROR(__xludf.DUMMYFUNCTION("JOIN("" "", U44:W44)"),"  ")</f>
        <v>  </v>
      </c>
      <c r="AC44" t="str">
        <f>IFERROR(__xludf.DUMMYFUNCTION("JOIN("" "", Z44:AB44)"),"  ")</f>
        <v>  </v>
      </c>
      <c r="AH44" t="str">
        <f>IFERROR(__xludf.DUMMYFUNCTION("JOIN("" "", AE44:AG44)"),"  ")</f>
        <v>  </v>
      </c>
      <c r="AM44" t="str">
        <f>IFERROR(__xludf.DUMMYFUNCTION("JOIN("" "", AJ44:AL44)"),"  ")</f>
        <v>  </v>
      </c>
      <c r="AR44" t="str">
        <f>IFERROR(__xludf.DUMMYFUNCTION("JOIN("" "", AO44:AQ44)"),"  ")</f>
        <v>  </v>
      </c>
      <c r="AW44" t="str">
        <f>IFERROR(__xludf.DUMMYFUNCTION("JOIN("" "", AT44:AV44)"),"  ")</f>
        <v>  </v>
      </c>
      <c r="BB44" t="str">
        <f>IFERROR(__xludf.DUMMYFUNCTION("JOIN("" "", AY44:BA44)"),"  ")</f>
        <v>  </v>
      </c>
      <c r="BG44" t="str">
        <f>IFERROR(__xludf.DUMMYFUNCTION("JOIN("" "", BD44:BF44)"),"  ")</f>
        <v>  </v>
      </c>
      <c r="BM44" t="str">
        <f>IFERROR(__xludf.DUMMYFUNCTION("JOIN("" "", BJ44:BL44)"),"  ")</f>
        <v>  </v>
      </c>
      <c r="BR44" t="str">
        <f>IFERROR(__xludf.DUMMYFUNCTION("JOIN("" "", BO44:BQ44)"),"  ")</f>
        <v>  </v>
      </c>
    </row>
    <row r="45">
      <c r="A45" s="193"/>
      <c r="D45" t="str">
        <f>IFERROR(__xludf.DUMMYFUNCTION("JOIN("" "", A45:C45)"),"  ")</f>
        <v>  </v>
      </c>
      <c r="I45" t="str">
        <f>IFERROR(__xludf.DUMMYFUNCTION("JOIN("" "", F45:H45)"),"  ")</f>
        <v>  </v>
      </c>
      <c r="N45" t="str">
        <f>IFERROR(__xludf.DUMMYFUNCTION("JOIN("" "", K45:M45)"),"  ")</f>
        <v>  </v>
      </c>
      <c r="S45" t="str">
        <f>IFERROR(__xludf.DUMMYFUNCTION("JOIN("" "", P45:R45)"),"  ")</f>
        <v>  </v>
      </c>
      <c r="X45" t="str">
        <f>IFERROR(__xludf.DUMMYFUNCTION("JOIN("" "", U45:W45)"),"  ")</f>
        <v>  </v>
      </c>
      <c r="AC45" t="str">
        <f>IFERROR(__xludf.DUMMYFUNCTION("JOIN("" "", Z45:AB45)"),"  ")</f>
        <v>  </v>
      </c>
      <c r="AH45" t="str">
        <f>IFERROR(__xludf.DUMMYFUNCTION("JOIN("" "", AE45:AG45)"),"  ")</f>
        <v>  </v>
      </c>
      <c r="AM45" t="str">
        <f>IFERROR(__xludf.DUMMYFUNCTION("JOIN("" "", AJ45:AL45)"),"  ")</f>
        <v>  </v>
      </c>
      <c r="AR45" t="str">
        <f>IFERROR(__xludf.DUMMYFUNCTION("JOIN("" "", AO45:AQ45)"),"  ")</f>
        <v>  </v>
      </c>
      <c r="AW45" t="str">
        <f>IFERROR(__xludf.DUMMYFUNCTION("JOIN("" "", AT45:AV45)"),"  ")</f>
        <v>  </v>
      </c>
      <c r="BB45" t="str">
        <f>IFERROR(__xludf.DUMMYFUNCTION("JOIN("" "", AY45:BA45)"),"  ")</f>
        <v>  </v>
      </c>
      <c r="BG45" t="str">
        <f>IFERROR(__xludf.DUMMYFUNCTION("JOIN("" "", BD45:BF45)"),"  ")</f>
        <v>  </v>
      </c>
      <c r="BM45" t="str">
        <f>IFERROR(__xludf.DUMMYFUNCTION("JOIN("" "", BJ45:BL45)"),"  ")</f>
        <v>  </v>
      </c>
      <c r="BR45" t="str">
        <f>IFERROR(__xludf.DUMMYFUNCTION("JOIN("" "", BO45:BQ45)"),"  ")</f>
        <v>  </v>
      </c>
    </row>
    <row r="46">
      <c r="D46" t="str">
        <f>IFERROR(__xludf.DUMMYFUNCTION("JOIN("" "", A46:C46)"),"  ")</f>
        <v>  </v>
      </c>
      <c r="I46" t="str">
        <f>IFERROR(__xludf.DUMMYFUNCTION("JOIN("" "", F46:H46)"),"  ")</f>
        <v>  </v>
      </c>
      <c r="N46" t="str">
        <f>IFERROR(__xludf.DUMMYFUNCTION("JOIN("" "", K46:M46)"),"  ")</f>
        <v>  </v>
      </c>
      <c r="S46" t="str">
        <f>IFERROR(__xludf.DUMMYFUNCTION("JOIN("" "", P46:R46)"),"  ")</f>
        <v>  </v>
      </c>
      <c r="X46" t="str">
        <f>IFERROR(__xludf.DUMMYFUNCTION("JOIN("" "", U46:W46)"),"  ")</f>
        <v>  </v>
      </c>
      <c r="AC46" t="str">
        <f>IFERROR(__xludf.DUMMYFUNCTION("JOIN("" "", Z46:AB46)"),"  ")</f>
        <v>  </v>
      </c>
      <c r="AH46" t="str">
        <f>IFERROR(__xludf.DUMMYFUNCTION("JOIN("" "", AE46:AG46)"),"  ")</f>
        <v>  </v>
      </c>
      <c r="AM46" t="str">
        <f>IFERROR(__xludf.DUMMYFUNCTION("JOIN("" "", AJ46:AL46)"),"  ")</f>
        <v>  </v>
      </c>
      <c r="AR46" t="str">
        <f>IFERROR(__xludf.DUMMYFUNCTION("JOIN("" "", AO46:AQ46)"),"  ")</f>
        <v>  </v>
      </c>
      <c r="AW46" t="str">
        <f>IFERROR(__xludf.DUMMYFUNCTION("JOIN("" "", AT46:AV46)"),"  ")</f>
        <v>  </v>
      </c>
      <c r="BB46" t="str">
        <f>IFERROR(__xludf.DUMMYFUNCTION("JOIN("" "", AY46:BA46)"),"  ")</f>
        <v>  </v>
      </c>
      <c r="BG46" t="str">
        <f>IFERROR(__xludf.DUMMYFUNCTION("JOIN("" "", BD46:BF46)"),"  ")</f>
        <v>  </v>
      </c>
      <c r="BM46" t="str">
        <f>IFERROR(__xludf.DUMMYFUNCTION("JOIN("" "", BJ46:BL46)"),"  ")</f>
        <v>  </v>
      </c>
      <c r="BR46" t="str">
        <f>IFERROR(__xludf.DUMMYFUNCTION("JOIN("" "", BO46:BQ46)"),"  ")</f>
        <v>  </v>
      </c>
    </row>
    <row r="47">
      <c r="D47" t="str">
        <f>IFERROR(__xludf.DUMMYFUNCTION("JOIN("" "", A47:C47)"),"  ")</f>
        <v>  </v>
      </c>
      <c r="I47" t="str">
        <f>IFERROR(__xludf.DUMMYFUNCTION("JOIN("" "", F47:H47)"),"  ")</f>
        <v>  </v>
      </c>
      <c r="N47" t="str">
        <f>IFERROR(__xludf.DUMMYFUNCTION("JOIN("" "", K47:M47)"),"  ")</f>
        <v>  </v>
      </c>
      <c r="S47" t="str">
        <f>IFERROR(__xludf.DUMMYFUNCTION("JOIN("" "", P47:R47)"),"  ")</f>
        <v>  </v>
      </c>
      <c r="X47" t="str">
        <f>IFERROR(__xludf.DUMMYFUNCTION("JOIN("" "", U47:W47)"),"  ")</f>
        <v>  </v>
      </c>
      <c r="AC47" t="str">
        <f>IFERROR(__xludf.DUMMYFUNCTION("JOIN("" "", Z47:AB47)"),"  ")</f>
        <v>  </v>
      </c>
      <c r="AH47" t="str">
        <f>IFERROR(__xludf.DUMMYFUNCTION("JOIN("" "", AE47:AG47)"),"  ")</f>
        <v>  </v>
      </c>
      <c r="AM47" t="str">
        <f>IFERROR(__xludf.DUMMYFUNCTION("JOIN("" "", AJ47:AL47)"),"  ")</f>
        <v>  </v>
      </c>
      <c r="AR47" t="str">
        <f>IFERROR(__xludf.DUMMYFUNCTION("JOIN("" "", AO47:AQ47)"),"  ")</f>
        <v>  </v>
      </c>
      <c r="AW47" t="str">
        <f>IFERROR(__xludf.DUMMYFUNCTION("JOIN("" "", AT47:AV47)"),"  ")</f>
        <v>  </v>
      </c>
      <c r="BB47" t="str">
        <f>IFERROR(__xludf.DUMMYFUNCTION("JOIN("" "", AY47:BA47)"),"  ")</f>
        <v>  </v>
      </c>
      <c r="BG47" t="str">
        <f>IFERROR(__xludf.DUMMYFUNCTION("JOIN("" "", BD47:BF47)"),"  ")</f>
        <v>  </v>
      </c>
      <c r="BM47" t="str">
        <f>IFERROR(__xludf.DUMMYFUNCTION("JOIN("" "", BJ47:BL47)"),"  ")</f>
        <v>  </v>
      </c>
      <c r="BR47" t="str">
        <f>IFERROR(__xludf.DUMMYFUNCTION("JOIN("" "", BO47:BQ47)"),"  ")</f>
        <v>  </v>
      </c>
    </row>
    <row r="48">
      <c r="D48" t="str">
        <f>IFERROR(__xludf.DUMMYFUNCTION("JOIN("" "", A48:C48)"),"  ")</f>
        <v>  </v>
      </c>
      <c r="I48" t="str">
        <f>IFERROR(__xludf.DUMMYFUNCTION("JOIN("" "", F48:H48)"),"  ")</f>
        <v>  </v>
      </c>
      <c r="N48" t="str">
        <f>IFERROR(__xludf.DUMMYFUNCTION("JOIN("" "", K48:M48)"),"  ")</f>
        <v>  </v>
      </c>
      <c r="S48" t="str">
        <f>IFERROR(__xludf.DUMMYFUNCTION("JOIN("" "", P48:R48)"),"  ")</f>
        <v>  </v>
      </c>
      <c r="X48" t="str">
        <f>IFERROR(__xludf.DUMMYFUNCTION("JOIN("" "", U48:W48)"),"  ")</f>
        <v>  </v>
      </c>
      <c r="AC48" t="str">
        <f>IFERROR(__xludf.DUMMYFUNCTION("JOIN("" "", Z48:AB48)"),"  ")</f>
        <v>  </v>
      </c>
      <c r="AH48" t="str">
        <f>IFERROR(__xludf.DUMMYFUNCTION("JOIN("" "", AE48:AG48)"),"  ")</f>
        <v>  </v>
      </c>
      <c r="AM48" t="str">
        <f>IFERROR(__xludf.DUMMYFUNCTION("JOIN("" "", AJ48:AL48)"),"  ")</f>
        <v>  </v>
      </c>
      <c r="AR48" t="str">
        <f>IFERROR(__xludf.DUMMYFUNCTION("JOIN("" "", AO48:AQ48)"),"  ")</f>
        <v>  </v>
      </c>
      <c r="AW48" t="str">
        <f>IFERROR(__xludf.DUMMYFUNCTION("JOIN("" "", AT48:AV48)"),"  ")</f>
        <v>  </v>
      </c>
      <c r="BB48" t="str">
        <f>IFERROR(__xludf.DUMMYFUNCTION("JOIN("" "", AY48:BA48)"),"  ")</f>
        <v>  </v>
      </c>
      <c r="BG48" t="str">
        <f>IFERROR(__xludf.DUMMYFUNCTION("JOIN("" "", BD48:BF48)"),"  ")</f>
        <v>  </v>
      </c>
      <c r="BM48" t="str">
        <f>IFERROR(__xludf.DUMMYFUNCTION("JOIN("" "", BJ48:BL48)"),"  ")</f>
        <v>  </v>
      </c>
      <c r="BR48" t="str">
        <f>IFERROR(__xludf.DUMMYFUNCTION("JOIN("" "", BO48:BQ48)"),"  ")</f>
        <v>  </v>
      </c>
    </row>
    <row r="49">
      <c r="D49" t="str">
        <f>IFERROR(__xludf.DUMMYFUNCTION("JOIN("" "", A49:C49)"),"  ")</f>
        <v>  </v>
      </c>
      <c r="I49" t="str">
        <f>IFERROR(__xludf.DUMMYFUNCTION("JOIN("" "", F49:H49)"),"  ")</f>
        <v>  </v>
      </c>
      <c r="N49" t="str">
        <f>IFERROR(__xludf.DUMMYFUNCTION("JOIN("" "", K49:M49)"),"  ")</f>
        <v>  </v>
      </c>
      <c r="S49" t="str">
        <f>IFERROR(__xludf.DUMMYFUNCTION("JOIN("" "", P49:R49)"),"  ")</f>
        <v>  </v>
      </c>
      <c r="X49" t="str">
        <f>IFERROR(__xludf.DUMMYFUNCTION("JOIN("" "", U49:W49)"),"  ")</f>
        <v>  </v>
      </c>
      <c r="AC49" t="str">
        <f>IFERROR(__xludf.DUMMYFUNCTION("JOIN("" "", Z49:AB49)"),"  ")</f>
        <v>  </v>
      </c>
      <c r="AH49" t="str">
        <f>IFERROR(__xludf.DUMMYFUNCTION("JOIN("" "", AE49:AG49)"),"  ")</f>
        <v>  </v>
      </c>
      <c r="AM49" t="str">
        <f>IFERROR(__xludf.DUMMYFUNCTION("JOIN("" "", AJ49:AL49)"),"  ")</f>
        <v>  </v>
      </c>
      <c r="AR49" t="str">
        <f>IFERROR(__xludf.DUMMYFUNCTION("JOIN("" "", AO49:AQ49)"),"  ")</f>
        <v>  </v>
      </c>
      <c r="AW49" t="str">
        <f>IFERROR(__xludf.DUMMYFUNCTION("JOIN("" "", AT49:AV49)"),"  ")</f>
        <v>  </v>
      </c>
      <c r="BB49" t="str">
        <f>IFERROR(__xludf.DUMMYFUNCTION("JOIN("" "", AY49:BA49)"),"  ")</f>
        <v>  </v>
      </c>
      <c r="BG49" t="str">
        <f>IFERROR(__xludf.DUMMYFUNCTION("JOIN("" "", BD49:BF49)"),"  ")</f>
        <v>  </v>
      </c>
      <c r="BM49" t="str">
        <f>IFERROR(__xludf.DUMMYFUNCTION("JOIN("" "", BJ49:BL49)"),"  ")</f>
        <v>  </v>
      </c>
      <c r="BR49" t="str">
        <f>IFERROR(__xludf.DUMMYFUNCTION("JOIN("" "", BO49:BQ49)"),"  ")</f>
        <v>  </v>
      </c>
    </row>
    <row r="50">
      <c r="D50" t="str">
        <f>IFERROR(__xludf.DUMMYFUNCTION("JOIN("" "", A50:C50)"),"  ")</f>
        <v>  </v>
      </c>
      <c r="I50" t="str">
        <f>IFERROR(__xludf.DUMMYFUNCTION("JOIN("" "", F50:H50)"),"  ")</f>
        <v>  </v>
      </c>
      <c r="N50" t="str">
        <f>IFERROR(__xludf.DUMMYFUNCTION("JOIN("" "", K50:M50)"),"  ")</f>
        <v>  </v>
      </c>
      <c r="S50" t="str">
        <f>IFERROR(__xludf.DUMMYFUNCTION("JOIN("" "", P50:R50)"),"  ")</f>
        <v>  </v>
      </c>
      <c r="X50" t="str">
        <f>IFERROR(__xludf.DUMMYFUNCTION("JOIN("" "", U50:W50)"),"  ")</f>
        <v>  </v>
      </c>
      <c r="AC50" t="str">
        <f>IFERROR(__xludf.DUMMYFUNCTION("JOIN("" "", Z50:AB50)"),"  ")</f>
        <v>  </v>
      </c>
      <c r="AH50" t="str">
        <f>IFERROR(__xludf.DUMMYFUNCTION("JOIN("" "", AE50:AG50)"),"  ")</f>
        <v>  </v>
      </c>
      <c r="AM50" t="str">
        <f>IFERROR(__xludf.DUMMYFUNCTION("JOIN("" "", AJ50:AL50)"),"  ")</f>
        <v>  </v>
      </c>
      <c r="AR50" t="str">
        <f>IFERROR(__xludf.DUMMYFUNCTION("JOIN("" "", AO50:AQ50)"),"  ")</f>
        <v>  </v>
      </c>
      <c r="AW50" t="str">
        <f>IFERROR(__xludf.DUMMYFUNCTION("JOIN("" "", AT50:AV50)"),"  ")</f>
        <v>  </v>
      </c>
      <c r="BB50" t="str">
        <f>IFERROR(__xludf.DUMMYFUNCTION("JOIN("" "", AY50:BA50)"),"  ")</f>
        <v>  </v>
      </c>
      <c r="BG50" t="str">
        <f>IFERROR(__xludf.DUMMYFUNCTION("JOIN("" "", BD50:BF50)"),"  ")</f>
        <v>  </v>
      </c>
      <c r="BM50" t="str">
        <f>IFERROR(__xludf.DUMMYFUNCTION("JOIN("" "", BJ50:BL50)"),"  ")</f>
        <v>  </v>
      </c>
      <c r="BR50" t="str">
        <f>IFERROR(__xludf.DUMMYFUNCTION("JOIN("" "", BO50:BQ50)"),"  ")</f>
        <v>  </v>
      </c>
    </row>
    <row r="51">
      <c r="D51" t="str">
        <f>IFERROR(__xludf.DUMMYFUNCTION("JOIN("" "", A51:C51)"),"  ")</f>
        <v>  </v>
      </c>
      <c r="I51" t="str">
        <f>IFERROR(__xludf.DUMMYFUNCTION("JOIN("" "", F51:H51)"),"  ")</f>
        <v>  </v>
      </c>
      <c r="N51" t="str">
        <f>IFERROR(__xludf.DUMMYFUNCTION("JOIN("" "", K51:M51)"),"  ")</f>
        <v>  </v>
      </c>
      <c r="S51" t="str">
        <f>IFERROR(__xludf.DUMMYFUNCTION("JOIN("" "", P51:R51)"),"  ")</f>
        <v>  </v>
      </c>
      <c r="X51" t="str">
        <f>IFERROR(__xludf.DUMMYFUNCTION("JOIN("" "", U51:W51)"),"  ")</f>
        <v>  </v>
      </c>
      <c r="AC51" t="str">
        <f>IFERROR(__xludf.DUMMYFUNCTION("JOIN("" "", Z51:AB51)"),"  ")</f>
        <v>  </v>
      </c>
      <c r="AH51" t="str">
        <f>IFERROR(__xludf.DUMMYFUNCTION("JOIN("" "", AE51:AG51)"),"  ")</f>
        <v>  </v>
      </c>
      <c r="AM51" t="str">
        <f>IFERROR(__xludf.DUMMYFUNCTION("JOIN("" "", AJ51:AL51)"),"  ")</f>
        <v>  </v>
      </c>
      <c r="AR51" t="str">
        <f>IFERROR(__xludf.DUMMYFUNCTION("JOIN("" "", AO51:AQ51)"),"  ")</f>
        <v>  </v>
      </c>
      <c r="AW51" t="str">
        <f>IFERROR(__xludf.DUMMYFUNCTION("JOIN("" "", AT51:AV51)"),"  ")</f>
        <v>  </v>
      </c>
      <c r="BB51" t="str">
        <f>IFERROR(__xludf.DUMMYFUNCTION("JOIN("" "", AY51:BA51)"),"  ")</f>
        <v>  </v>
      </c>
      <c r="BG51" t="str">
        <f>IFERROR(__xludf.DUMMYFUNCTION("JOIN("" "", BD51:BF51)"),"  ")</f>
        <v>  </v>
      </c>
      <c r="BM51" t="str">
        <f>IFERROR(__xludf.DUMMYFUNCTION("JOIN("" "", BJ51:BL51)"),"  ")</f>
        <v>  </v>
      </c>
      <c r="BR51" t="str">
        <f>IFERROR(__xludf.DUMMYFUNCTION("JOIN("" "", BO51:BQ51)"),"  ")</f>
        <v>  </v>
      </c>
    </row>
    <row r="52">
      <c r="D52" t="str">
        <f>IFERROR(__xludf.DUMMYFUNCTION("JOIN("" "", A52:C52)"),"  ")</f>
        <v>  </v>
      </c>
      <c r="I52" t="str">
        <f>IFERROR(__xludf.DUMMYFUNCTION("JOIN("" "", F52:H52)"),"  ")</f>
        <v>  </v>
      </c>
      <c r="N52" t="str">
        <f>IFERROR(__xludf.DUMMYFUNCTION("JOIN("" "", K52:M52)"),"  ")</f>
        <v>  </v>
      </c>
      <c r="S52" t="str">
        <f>IFERROR(__xludf.DUMMYFUNCTION("JOIN("" "", P52:R52)"),"  ")</f>
        <v>  </v>
      </c>
      <c r="X52" t="str">
        <f>IFERROR(__xludf.DUMMYFUNCTION("JOIN("" "", U52:W52)"),"  ")</f>
        <v>  </v>
      </c>
      <c r="AC52" t="str">
        <f>IFERROR(__xludf.DUMMYFUNCTION("JOIN("" "", Z52:AB52)"),"  ")</f>
        <v>  </v>
      </c>
      <c r="AH52" t="str">
        <f>IFERROR(__xludf.DUMMYFUNCTION("JOIN("" "", AE52:AG52)"),"  ")</f>
        <v>  </v>
      </c>
      <c r="AM52" t="str">
        <f>IFERROR(__xludf.DUMMYFUNCTION("JOIN("" "", AJ52:AL52)"),"  ")</f>
        <v>  </v>
      </c>
      <c r="AR52" t="str">
        <f>IFERROR(__xludf.DUMMYFUNCTION("JOIN("" "", AO52:AQ52)"),"  ")</f>
        <v>  </v>
      </c>
      <c r="AW52" t="str">
        <f>IFERROR(__xludf.DUMMYFUNCTION("JOIN("" "", AT52:AV52)"),"  ")</f>
        <v>  </v>
      </c>
      <c r="BB52" t="str">
        <f>IFERROR(__xludf.DUMMYFUNCTION("JOIN("" "", AY52:BA52)"),"  ")</f>
        <v>  </v>
      </c>
      <c r="BG52" t="str">
        <f>IFERROR(__xludf.DUMMYFUNCTION("JOIN("" "", BD52:BF52)"),"  ")</f>
        <v>  </v>
      </c>
      <c r="BM52" t="str">
        <f>IFERROR(__xludf.DUMMYFUNCTION("JOIN("" "", BJ52:BL52)"),"  ")</f>
        <v>  </v>
      </c>
      <c r="BR52" t="str">
        <f>IFERROR(__xludf.DUMMYFUNCTION("JOIN("" "", BO52:BQ52)"),"  ")</f>
        <v>  </v>
      </c>
    </row>
    <row r="53">
      <c r="D53" t="str">
        <f>IFERROR(__xludf.DUMMYFUNCTION("JOIN("" "", A53:C53)"),"  ")</f>
        <v>  </v>
      </c>
      <c r="I53" t="str">
        <f>IFERROR(__xludf.DUMMYFUNCTION("JOIN("" "", F53:H53)"),"  ")</f>
        <v>  </v>
      </c>
      <c r="N53" t="str">
        <f>IFERROR(__xludf.DUMMYFUNCTION("JOIN("" "", K53:M53)"),"  ")</f>
        <v>  </v>
      </c>
      <c r="S53" t="str">
        <f>IFERROR(__xludf.DUMMYFUNCTION("JOIN("" "", P53:R53)"),"  ")</f>
        <v>  </v>
      </c>
      <c r="X53" t="str">
        <f>IFERROR(__xludf.DUMMYFUNCTION("JOIN("" "", U53:W53)"),"  ")</f>
        <v>  </v>
      </c>
      <c r="AC53" t="str">
        <f>IFERROR(__xludf.DUMMYFUNCTION("JOIN("" "", Z53:AB53)"),"  ")</f>
        <v>  </v>
      </c>
      <c r="AH53" t="str">
        <f>IFERROR(__xludf.DUMMYFUNCTION("JOIN("" "", AE53:AG53)"),"  ")</f>
        <v>  </v>
      </c>
      <c r="AM53" t="str">
        <f>IFERROR(__xludf.DUMMYFUNCTION("JOIN("" "", AJ53:AL53)"),"  ")</f>
        <v>  </v>
      </c>
      <c r="AR53" t="str">
        <f>IFERROR(__xludf.DUMMYFUNCTION("JOIN("" "", AO53:AQ53)"),"  ")</f>
        <v>  </v>
      </c>
      <c r="AW53" t="str">
        <f>IFERROR(__xludf.DUMMYFUNCTION("JOIN("" "", AT53:AV53)"),"  ")</f>
        <v>  </v>
      </c>
      <c r="BB53" t="str">
        <f>IFERROR(__xludf.DUMMYFUNCTION("JOIN("" "", AY53:BA53)"),"  ")</f>
        <v>  </v>
      </c>
      <c r="BG53" t="str">
        <f>IFERROR(__xludf.DUMMYFUNCTION("JOIN("" "", BD53:BF53)"),"  ")</f>
        <v>  </v>
      </c>
      <c r="BM53" t="str">
        <f>IFERROR(__xludf.DUMMYFUNCTION("JOIN("" "", BJ53:BL53)"),"  ")</f>
        <v>  </v>
      </c>
      <c r="BR53" t="str">
        <f>IFERROR(__xludf.DUMMYFUNCTION("JOIN("" "", BO53:BQ53)"),"  ")</f>
        <v>  </v>
      </c>
    </row>
  </sheetData>
  <drawing r:id="rId1"/>
</worksheet>
</file>